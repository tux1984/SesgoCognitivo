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Grid de recoleccion" sheetId="1" state="visible" r:id="rId1"/>
    <sheet xmlns:r="http://schemas.openxmlformats.org/officeDocument/2006/relationships" name="Resumen" sheetId="2" state="visible" r:id="rId2"/>
    <sheet xmlns:r="http://schemas.openxmlformats.org/officeDocument/2006/relationships" name="Leyenda" sheetId="3" state="visible" r:id="rId3"/>
    <sheet xmlns:r="http://schemas.openxmlformats.org/officeDocument/2006/relationships" name="Corpus - oraciones"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0"/>
  <fonts count="14">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i val="1"/>
      <color rgb="FF595959"/>
      <sz val="10"/>
    </font>
    <font>
      <name val="Arial"/>
      <charset val="1"/>
      <family val="0"/>
      <b val="1"/>
      <color rgb="FFFFFFFF"/>
      <sz val="10"/>
    </font>
    <font>
      <name val="Arial"/>
      <charset val="1"/>
      <family val="0"/>
      <sz val="10"/>
    </font>
    <font>
      <name val="Arial"/>
      <charset val="1"/>
      <family val="0"/>
      <color rgb="FF0000FF"/>
      <sz val="10"/>
    </font>
    <font>
      <name val="Arial"/>
      <charset val="1"/>
      <family val="0"/>
      <color rgb="FF000000"/>
      <sz val="10"/>
    </font>
    <font>
      <name val="Arial"/>
      <charset val="1"/>
      <family val="0"/>
      <b val="1"/>
      <sz val="10"/>
    </font>
    <font>
      <name val="Arial"/>
      <charset val="1"/>
      <family val="0"/>
      <b val="1"/>
      <color rgb="FFFFFFFF"/>
      <sz val="9"/>
    </font>
    <font>
      <name val="Arial"/>
      <charset val="1"/>
      <family val="0"/>
      <i val="1"/>
      <color rgb="FF595959"/>
      <sz val="9"/>
    </font>
    <font>
      <name val="Arial"/>
      <charset val="1"/>
      <family val="0"/>
      <color rgb="FF595959"/>
      <sz val="9"/>
    </font>
  </fonts>
  <fills count="6">
    <fill>
      <patternFill/>
    </fill>
    <fill>
      <patternFill patternType="gray125"/>
    </fill>
    <fill>
      <patternFill patternType="solid">
        <fgColor rgb="FF2F5496"/>
        <bgColor rgb="FF1F3864"/>
      </patternFill>
    </fill>
    <fill>
      <patternFill patternType="solid">
        <fgColor rgb="FFFFFF00"/>
        <bgColor rgb="FFFFFF00"/>
      </patternFill>
    </fill>
    <fill>
      <patternFill patternType="solid">
        <fgColor rgb="FFF2F2F2"/>
        <bgColor rgb="FFFFFFFF"/>
      </patternFill>
    </fill>
    <fill>
      <patternFill patternType="solid">
        <fgColor rgb="FFD9E1F2"/>
        <bgColor rgb="FFF2F2F2"/>
      </patternFill>
    </fill>
  </fills>
  <borders count="5">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3" borderId="1" applyAlignment="1" pivotButton="0" quotePrefix="0" xfId="0">
      <alignment horizontal="center" vertical="center"/>
    </xf>
    <xf numFmtId="0" fontId="9" fillId="0" borderId="1" applyAlignment="1" pivotButton="0" quotePrefix="0" xfId="0">
      <alignment horizontal="center" vertical="center"/>
    </xf>
    <xf numFmtId="0" fontId="0" fillId="3" borderId="1" applyAlignment="1" pivotButton="0" quotePrefix="0" xfId="0">
      <alignment horizontal="center" vertical="center"/>
    </xf>
    <xf numFmtId="9" fontId="9" fillId="0" borderId="1" applyAlignment="1" pivotButton="0" quotePrefix="0" xfId="0">
      <alignment horizontal="center" vertical="center"/>
    </xf>
    <xf numFmtId="0" fontId="0" fillId="3" borderId="1" applyAlignment="1" pivotButton="0" quotePrefix="0" xfId="0">
      <alignment horizontal="center" vertical="center"/>
    </xf>
    <xf numFmtId="0" fontId="0" fillId="3" borderId="1" applyAlignment="1" pivotButton="0" quotePrefix="0" xfId="0">
      <alignment horizontal="left" vertical="center" wrapText="1"/>
    </xf>
    <xf numFmtId="0" fontId="7" fillId="4" borderId="1" applyAlignment="1" pivotButton="0" quotePrefix="0" xfId="0">
      <alignment horizontal="left" vertical="center" wrapText="1"/>
    </xf>
    <xf numFmtId="0" fontId="9" fillId="4" borderId="1" applyAlignment="1" pivotButton="0" quotePrefix="0" xfId="0">
      <alignment horizontal="center" vertical="center"/>
    </xf>
    <xf numFmtId="9" fontId="9" fillId="4" borderId="1" applyAlignment="1" pivotButton="0" quotePrefix="0" xfId="0">
      <alignment horizontal="center" vertical="center"/>
    </xf>
    <xf numFmtId="0" fontId="10" fillId="5" borderId="1" applyAlignment="1" pivotButton="0" quotePrefix="0" xfId="0">
      <alignment horizontal="general" vertical="bottom"/>
    </xf>
    <xf numFmtId="0" fontId="10" fillId="5" borderId="1" applyAlignment="1" pivotButton="0" quotePrefix="0" xfId="0">
      <alignment horizontal="general" vertical="bottom"/>
    </xf>
    <xf numFmtId="0" fontId="0" fillId="5" borderId="1" applyAlignment="1" pivotButton="0" quotePrefix="0" xfId="0">
      <alignment horizontal="general" vertical="bottom"/>
    </xf>
    <xf numFmtId="9" fontId="10" fillId="5" borderId="1" applyAlignment="1" pivotButton="0" quotePrefix="0" xfId="0">
      <alignment horizontal="general" vertical="bottom"/>
    </xf>
    <xf numFmtId="0" fontId="10" fillId="0" borderId="0" applyAlignment="1" pivotButton="0" quotePrefix="0" xfId="0">
      <alignment horizontal="general" vertical="bottom"/>
    </xf>
    <xf numFmtId="0" fontId="9" fillId="0" borderId="1" applyAlignment="1" pivotButton="0" quotePrefix="0" xfId="0">
      <alignment horizontal="center" vertical="bottom"/>
    </xf>
    <xf numFmtId="9" fontId="9" fillId="0" borderId="1" applyAlignment="1" pivotButton="0" quotePrefix="0" xfId="0">
      <alignment horizontal="center" vertical="bottom"/>
    </xf>
    <xf numFmtId="0" fontId="10" fillId="0" borderId="1" applyAlignment="1" pivotButton="0" quotePrefix="0" xfId="0">
      <alignment horizontal="general" vertical="bottom"/>
    </xf>
    <xf numFmtId="9" fontId="10" fillId="0" borderId="1" applyAlignment="1" pivotButton="0" quotePrefix="0" xfId="0">
      <alignment horizontal="general" vertical="bottom"/>
    </xf>
    <xf numFmtId="0" fontId="10" fillId="0" borderId="1" applyAlignment="1" pivotButton="0" quotePrefix="0" xfId="0">
      <alignment horizontal="left" vertical="center" wrapText="1"/>
    </xf>
    <xf numFmtId="0" fontId="5" fillId="0" borderId="0" applyAlignment="1" pivotButton="0" quotePrefix="0" xfId="0">
      <alignment horizontal="general" vertical="bottom"/>
    </xf>
    <xf numFmtId="0" fontId="5" fillId="0" borderId="0" applyAlignment="1" pivotButton="0" quotePrefix="0" xfId="0">
      <alignment horizontal="left" vertical="center" wrapText="1"/>
    </xf>
    <xf numFmtId="0" fontId="11" fillId="2" borderId="1" applyAlignment="1" pivotButton="0" quotePrefix="0" xfId="0">
      <alignment horizontal="center" vertical="center" wrapText="1"/>
    </xf>
    <xf numFmtId="0" fontId="12" fillId="0" borderId="1" applyAlignment="1" pivotButton="0" quotePrefix="0" xfId="0">
      <alignment horizontal="center" vertical="center"/>
    </xf>
    <xf numFmtId="0" fontId="12" fillId="0" borderId="1" applyAlignment="1" pivotButton="0" quotePrefix="0" xfId="0">
      <alignment horizontal="left" vertical="center" wrapText="1"/>
    </xf>
    <xf numFmtId="0" fontId="13" fillId="0" borderId="1"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3" borderId="1" applyAlignment="1" pivotButton="0" quotePrefix="0" xfId="0">
      <alignment horizontal="center" vertical="center"/>
    </xf>
    <xf numFmtId="0" fontId="9" fillId="0" borderId="1" applyAlignment="1" pivotButton="0" quotePrefix="0" xfId="0">
      <alignment horizontal="center" vertical="center"/>
    </xf>
    <xf numFmtId="0" fontId="0" fillId="3" borderId="1" applyAlignment="1" pivotButton="0" quotePrefix="0" xfId="0">
      <alignment horizontal="center" vertical="center"/>
    </xf>
    <xf numFmtId="9" fontId="9" fillId="0" borderId="1" applyAlignment="1" pivotButton="0" quotePrefix="0" xfId="0">
      <alignment horizontal="center" vertical="center"/>
    </xf>
    <xf numFmtId="0" fontId="0" fillId="3" borderId="1" applyAlignment="1" pivotButton="0" quotePrefix="0" xfId="0">
      <alignment horizontal="left" vertical="center" wrapText="1"/>
    </xf>
    <xf numFmtId="0" fontId="7" fillId="4" borderId="1" applyAlignment="1" pivotButton="0" quotePrefix="0" xfId="0">
      <alignment horizontal="left" vertical="center" wrapText="1"/>
    </xf>
    <xf numFmtId="0" fontId="9" fillId="4" borderId="1" applyAlignment="1" pivotButton="0" quotePrefix="0" xfId="0">
      <alignment horizontal="center" vertical="center"/>
    </xf>
    <xf numFmtId="9" fontId="9" fillId="4" borderId="1" applyAlignment="1" pivotButton="0" quotePrefix="0" xfId="0">
      <alignment horizontal="center" vertical="center"/>
    </xf>
    <xf numFmtId="0" fontId="10" fillId="5" borderId="1" applyAlignment="1" pivotButton="0" quotePrefix="0" xfId="0">
      <alignment horizontal="general" vertical="bottom"/>
    </xf>
    <xf numFmtId="0" fontId="0" fillId="0" borderId="4" pivotButton="0" quotePrefix="0" xfId="0"/>
    <xf numFmtId="0" fontId="0" fillId="5" borderId="1" applyAlignment="1" pivotButton="0" quotePrefix="0" xfId="0">
      <alignment horizontal="general" vertical="bottom"/>
    </xf>
    <xf numFmtId="9" fontId="10" fillId="5" borderId="1" applyAlignment="1" pivotButton="0" quotePrefix="0" xfId="0">
      <alignment horizontal="general" vertical="bottom"/>
    </xf>
    <xf numFmtId="0" fontId="10" fillId="0" borderId="0" applyAlignment="1" pivotButton="0" quotePrefix="0" xfId="0">
      <alignment horizontal="general" vertical="bottom"/>
    </xf>
    <xf numFmtId="0" fontId="9" fillId="0" borderId="1" applyAlignment="1" pivotButton="0" quotePrefix="0" xfId="0">
      <alignment horizontal="center" vertical="bottom"/>
    </xf>
    <xf numFmtId="9" fontId="9" fillId="0" borderId="1" applyAlignment="1" pivotButton="0" quotePrefix="0" xfId="0">
      <alignment horizontal="center" vertical="bottom"/>
    </xf>
    <xf numFmtId="0" fontId="10" fillId="0" borderId="1" applyAlignment="1" pivotButton="0" quotePrefix="0" xfId="0">
      <alignment horizontal="general" vertical="bottom"/>
    </xf>
    <xf numFmtId="9" fontId="10" fillId="0" borderId="1" applyAlignment="1" pivotButton="0" quotePrefix="0" xfId="0">
      <alignment horizontal="general" vertical="bottom"/>
    </xf>
    <xf numFmtId="0" fontId="10" fillId="0" borderId="1" applyAlignment="1" pivotButton="0" quotePrefix="0" xfId="0">
      <alignment horizontal="left" vertical="center" wrapText="1"/>
    </xf>
    <xf numFmtId="0" fontId="5" fillId="0" borderId="0" applyAlignment="1" pivotButton="0" quotePrefix="0" xfId="0">
      <alignment horizontal="left" vertical="center"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11" fillId="2" borderId="1" applyAlignment="1" pivotButton="0" quotePrefix="0" xfId="0">
      <alignment horizontal="center" vertical="center" wrapText="1"/>
    </xf>
    <xf numFmtId="0" fontId="11" fillId="2" borderId="1" applyAlignment="1" pivotButton="0" quotePrefix="0" xfId="0">
      <alignment horizontal="center" vertical="center" wrapText="1"/>
    </xf>
    <xf numFmtId="0" fontId="12" fillId="0" borderId="1" applyAlignment="1" pivotButton="0" quotePrefix="0" xfId="0">
      <alignment horizontal="center" vertical="center"/>
    </xf>
    <xf numFmtId="0" fontId="12" fillId="0" borderId="1" applyAlignment="1" pivotButton="0" quotePrefix="0" xfId="0">
      <alignment horizontal="left" vertical="center" wrapText="1"/>
    </xf>
    <xf numFmtId="0" fontId="13" fillId="0" borderId="1" applyAlignment="1" pivotButton="0" quotePrefix="0" xfId="0">
      <alignment horizontal="center" vertical="bottom"/>
    </xf>
    <xf numFmtId="0" fontId="0" fillId="3" borderId="1" applyAlignment="1" pivotButton="0" quotePrefix="0" xfId="0">
      <alignment horizontal="lef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2F5496"/>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K30"/>
  <sheetViews>
    <sheetView showFormulas="0" showGridLines="1" showRowColHeaders="1" showZeros="1" rightToLeft="0" tabSelected="1"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7" customWidth="1" style="30" min="1" max="1"/>
    <col width="30" customWidth="1" style="30" min="2" max="2"/>
    <col width="10" customWidth="1" style="30" min="3" max="3"/>
    <col width="12" customWidth="1" style="30" min="4" max="4"/>
    <col width="9" customWidth="1" style="30" min="5" max="5"/>
    <col width="11" customWidth="1" style="30" min="6" max="7"/>
    <col width="10" customWidth="1" style="30" min="8" max="8"/>
    <col width="9" customWidth="1" style="30" min="9" max="9"/>
    <col width="12" customWidth="1" style="30" min="10" max="10"/>
    <col width="22" customWidth="1" style="30" min="11" max="11"/>
  </cols>
  <sheetData>
    <row r="1" ht="17.35" customHeight="1" s="31">
      <c r="A1" s="55" t="inlineStr">
        <is>
          <t>Grid de recolección — 500 oraciones (5 medios x 5 temas)</t>
        </is>
      </c>
    </row>
    <row r="2" ht="27.75" customHeight="1" s="31">
      <c r="A2" s="56" t="inlineStr">
        <is>
          <t>Celdas en AMARILLO son las que se editan: objetivos ya propuestos (ajustables), artículos recolectados y estado. La columna 'Oraciones anotadas (real)' YA NO se llena a mano: se calcula sola contando lo que hay en la hoja 'Corpus - oraciones'.</t>
        </is>
      </c>
    </row>
    <row r="4" ht="46.25" customHeight="1" s="31">
      <c r="A4" s="34" t="inlineStr">
        <is>
          <t>Medio</t>
        </is>
      </c>
      <c r="B4" s="34" t="inlineStr">
        <is>
          <t>Tema</t>
        </is>
      </c>
      <c r="C4" s="34" t="inlineStr">
        <is>
          <t>Objetivo
oraciones
(dura)</t>
        </is>
      </c>
      <c r="D4" s="34" t="inlineStr">
        <is>
          <t>Objetivo
oraciones
(opinión/análisis)</t>
        </is>
      </c>
      <c r="E4" s="34" t="inlineStr">
        <is>
          <t>Objetivo
total</t>
        </is>
      </c>
      <c r="F4" s="34" t="inlineStr">
        <is>
          <t>Artículos
recolectados
(dura)</t>
        </is>
      </c>
      <c r="G4" s="34" t="inlineStr">
        <is>
          <t>Artículos
recolectados
(opinión)</t>
        </is>
      </c>
      <c r="H4" s="34" t="inlineStr">
        <is>
          <t>Oraciones
anotadas
(real)</t>
        </is>
      </c>
      <c r="I4" s="34" t="inlineStr">
        <is>
          <t>% avance</t>
        </is>
      </c>
      <c r="J4" s="34" t="inlineStr">
        <is>
          <t>Estado</t>
        </is>
      </c>
      <c r="K4" s="34" t="inlineStr">
        <is>
          <t>Notas</t>
        </is>
      </c>
    </row>
    <row r="5" ht="30" customHeight="1" s="31">
      <c r="A5" s="35" t="inlineStr">
        <is>
          <t>Infobae Colombia</t>
        </is>
      </c>
      <c r="B5" s="35" t="inlineStr">
        <is>
          <t>Transición de gobierno y relación con la oposición</t>
        </is>
      </c>
      <c r="C5" s="36" t="n">
        <v>20</v>
      </c>
      <c r="D5" s="36" t="n">
        <v>0</v>
      </c>
      <c r="E5" s="37">
        <f>C5+D5</f>
        <v/>
      </c>
      <c r="F5" s="38" t="n">
        <v>3</v>
      </c>
      <c r="G5" s="38" t="n">
        <v>0</v>
      </c>
      <c r="H5" s="37">
        <f>SUMIFS('Corpus - oraciones'!$AF$3:$AF$600,'Corpus - oraciones'!$C$3:$C$600,A5,'Corpus - oraciones'!$D$3:$D$600,B5)</f>
        <v/>
      </c>
      <c r="I5" s="39">
        <f>IFERROR(H5/E5,0)</f>
        <v/>
      </c>
      <c r="J5" s="38" t="inlineStr">
        <is>
          <t>Pendiente</t>
        </is>
      </c>
      <c r="K5" s="62" t="inlineStr">
        <is>
          <t>Redistribuido 2026-09-05: sin opinión propia de Colombia (ver aviso_legal en medios.yaml); objetivo movido íntegro a dura.</t>
        </is>
      </c>
    </row>
    <row r="6" ht="30" customHeight="1" s="31">
      <c r="A6" s="35" t="inlineStr">
        <is>
          <t>Infobae Colombia</t>
        </is>
      </c>
      <c r="B6" s="35" t="inlineStr">
        <is>
          <t>Respuesta a la emergencia del terremoto</t>
        </is>
      </c>
      <c r="C6" s="36" t="n">
        <v>20</v>
      </c>
      <c r="D6" s="36" t="n">
        <v>0</v>
      </c>
      <c r="E6" s="37">
        <f>C6+D6</f>
        <v/>
      </c>
      <c r="F6" s="38" t="n">
        <v>3</v>
      </c>
      <c r="G6" s="38" t="n">
        <v>0</v>
      </c>
      <c r="H6" s="37">
        <f>SUMIFS('Corpus - oraciones'!$AF$3:$AF$600,'Corpus - oraciones'!$C$3:$C$600,A6,'Corpus - oraciones'!$D$3:$D$600,B6)</f>
        <v/>
      </c>
      <c r="I6" s="39">
        <f>IFERROR(H6/E6,0)</f>
        <v/>
      </c>
      <c r="J6" s="38" t="inlineStr">
        <is>
          <t>Pendiente</t>
        </is>
      </c>
      <c r="K6" s="62" t="inlineStr">
        <is>
          <t>Redistribuido 2026-09-05: sin opinión propia de Colombia (ver aviso_legal en medios.yaml); objetivo movido íntegro a dura.</t>
        </is>
      </c>
    </row>
    <row r="7" ht="30" customHeight="1" s="31">
      <c r="A7" s="35" t="inlineStr">
        <is>
          <t>Infobae Colombia</t>
        </is>
      </c>
      <c r="B7" s="35" t="inlineStr">
        <is>
          <t>Relación con Estados Unidos</t>
        </is>
      </c>
      <c r="C7" s="36" t="n">
        <v>20</v>
      </c>
      <c r="D7" s="36" t="n">
        <v>0</v>
      </c>
      <c r="E7" s="37">
        <f>C7+D7</f>
        <v/>
      </c>
      <c r="F7" s="38" t="n">
        <v>4</v>
      </c>
      <c r="G7" s="38" t="n">
        <v>0</v>
      </c>
      <c r="H7" s="37">
        <f>SUMIFS('Corpus - oraciones'!$AF$3:$AF$600,'Corpus - oraciones'!$C$3:$C$600,A7,'Corpus - oraciones'!$D$3:$D$600,B7)</f>
        <v/>
      </c>
      <c r="I7" s="39">
        <f>IFERROR(H7/E7,0)</f>
        <v/>
      </c>
      <c r="J7" s="38" t="inlineStr">
        <is>
          <t>Pendiente</t>
        </is>
      </c>
      <c r="K7" s="62" t="inlineStr">
        <is>
          <t>Redistribuido 2026-09-05: sin opinión propia de Colombia (ver aviso_legal en medios.yaml); objetivo movido íntegro a dura.</t>
        </is>
      </c>
    </row>
    <row r="8" ht="30" customHeight="1" s="31">
      <c r="A8" s="35" t="inlineStr">
        <is>
          <t>Infobae Colombia</t>
        </is>
      </c>
      <c r="B8" s="35" t="inlineStr">
        <is>
          <t>Reformas sociales en disputa (pensional/tributaria)</t>
        </is>
      </c>
      <c r="C8" s="36" t="n">
        <v>20</v>
      </c>
      <c r="D8" s="36" t="n">
        <v>0</v>
      </c>
      <c r="E8" s="37">
        <f>C8+D8</f>
        <v/>
      </c>
      <c r="F8" s="38" t="n">
        <v>3</v>
      </c>
      <c r="G8" s="38" t="n">
        <v>0</v>
      </c>
      <c r="H8" s="37">
        <f>SUMIFS('Corpus - oraciones'!$AF$3:$AF$600,'Corpus - oraciones'!$C$3:$C$600,A8,'Corpus - oraciones'!$D$3:$D$600,B8)</f>
        <v/>
      </c>
      <c r="I8" s="39">
        <f>IFERROR(H8/E8,0)</f>
        <v/>
      </c>
      <c r="J8" s="38" t="inlineStr">
        <is>
          <t>Pendiente</t>
        </is>
      </c>
      <c r="K8" s="62" t="inlineStr">
        <is>
          <t>Redistribuido 2026-09-05: sin opinión propia de Colombia (ver aviso_legal en medios.yaml); objetivo movido íntegro a dura.</t>
        </is>
      </c>
    </row>
    <row r="9" ht="30" customHeight="1" s="31">
      <c r="A9" s="35" t="inlineStr">
        <is>
          <t>Infobae Colombia</t>
        </is>
      </c>
      <c r="B9" s="35" t="inlineStr">
        <is>
          <t>Seguridad y orden público</t>
        </is>
      </c>
      <c r="C9" s="36" t="n">
        <v>20</v>
      </c>
      <c r="D9" s="36" t="n">
        <v>0</v>
      </c>
      <c r="E9" s="37">
        <f>C9+D9</f>
        <v/>
      </c>
      <c r="F9" s="38" t="n">
        <v>3</v>
      </c>
      <c r="G9" s="38" t="n">
        <v>0</v>
      </c>
      <c r="H9" s="37">
        <f>SUMIFS('Corpus - oraciones'!$AF$3:$AF$600,'Corpus - oraciones'!$C$3:$C$600,A9,'Corpus - oraciones'!$D$3:$D$600,B9)</f>
        <v/>
      </c>
      <c r="I9" s="39">
        <f>IFERROR(H9/E9,0)</f>
        <v/>
      </c>
      <c r="J9" s="38" t="inlineStr">
        <is>
          <t>Pendiente</t>
        </is>
      </c>
      <c r="K9" s="62" t="inlineStr">
        <is>
          <t>Redistribuido 2026-09-05: sin opinión propia de Colombia (ver aviso_legal en medios.yaml); objetivo movido íntegro a dura.</t>
        </is>
      </c>
    </row>
    <row r="10" ht="30" customHeight="1" s="31">
      <c r="A10" s="41" t="inlineStr">
        <is>
          <t>El Tiempo</t>
        </is>
      </c>
      <c r="B10" s="41" t="inlineStr">
        <is>
          <t>Transición de gobierno y relación con la oposición</t>
        </is>
      </c>
      <c r="C10" s="36" t="n">
        <v>14</v>
      </c>
      <c r="D10" s="36" t="n">
        <v>6</v>
      </c>
      <c r="E10" s="42">
        <f>C10+D10</f>
        <v/>
      </c>
      <c r="F10" s="38" t="n">
        <v>2</v>
      </c>
      <c r="G10" s="38" t="n">
        <v>1</v>
      </c>
      <c r="H10" s="42">
        <f>SUMIFS('Corpus - oraciones'!$AF$3:$AF$600,'Corpus - oraciones'!$C$3:$C$600,A10,'Corpus - oraciones'!$D$3:$D$600,B10)</f>
        <v/>
      </c>
      <c r="I10" s="43">
        <f>IFERROR(H10/E10,0)</f>
        <v/>
      </c>
      <c r="J10" s="38" t="inlineStr">
        <is>
          <t>Pendiente</t>
        </is>
      </c>
      <c r="K10" s="62" t="n"/>
    </row>
    <row r="11" ht="30" customHeight="1" s="31">
      <c r="A11" s="41" t="inlineStr">
        <is>
          <t>El Tiempo</t>
        </is>
      </c>
      <c r="B11" s="41" t="inlineStr">
        <is>
          <t>Respuesta a la emergencia del terremoto</t>
        </is>
      </c>
      <c r="C11" s="36" t="n">
        <v>14</v>
      </c>
      <c r="D11" s="36" t="n">
        <v>6</v>
      </c>
      <c r="E11" s="42">
        <f>C11+D11</f>
        <v/>
      </c>
      <c r="F11" s="38" t="n">
        <v>3</v>
      </c>
      <c r="G11" s="38" t="n">
        <v>1</v>
      </c>
      <c r="H11" s="42">
        <f>SUMIFS('Corpus - oraciones'!$AF$3:$AF$600,'Corpus - oraciones'!$C$3:$C$600,A11,'Corpus - oraciones'!$D$3:$D$600,B11)</f>
        <v/>
      </c>
      <c r="I11" s="43">
        <f>IFERROR(H11/E11,0)</f>
        <v/>
      </c>
      <c r="J11" s="38" t="inlineStr">
        <is>
          <t>Pendiente</t>
        </is>
      </c>
      <c r="K11" s="62" t="n"/>
    </row>
    <row r="12" ht="30" customHeight="1" s="31">
      <c r="A12" s="41" t="inlineStr">
        <is>
          <t>El Tiempo</t>
        </is>
      </c>
      <c r="B12" s="41" t="inlineStr">
        <is>
          <t>Relación con Estados Unidos</t>
        </is>
      </c>
      <c r="C12" s="36" t="n">
        <v>20</v>
      </c>
      <c r="D12" s="36" t="n">
        <v>0</v>
      </c>
      <c r="E12" s="42">
        <f>C12+D12</f>
        <v/>
      </c>
      <c r="F12" s="38" t="n">
        <v>3</v>
      </c>
      <c r="G12" s="38" t="n">
        <v>0</v>
      </c>
      <c r="H12" s="42">
        <f>SUMIFS('Corpus - oraciones'!$AF$3:$AF$600,'Corpus - oraciones'!$C$3:$C$600,A12,'Corpus - oraciones'!$D$3:$D$600,B12)</f>
        <v/>
      </c>
      <c r="I12" s="43">
        <f>IFERROR(H12/E12,0)</f>
        <v/>
      </c>
      <c r="J12" s="38" t="inlineStr">
        <is>
          <t>Pendiente</t>
        </is>
      </c>
      <c r="K12" s="62" t="inlineStr">
        <is>
          <t>Redistribuido 2026-09-05: no se encontró columna de opinión propia sobre Estados Unidos en circulación actual (se probaron ~15 columnas de opinión de El Tiempo -- política exterior, editoriales -- ninguna calificó tras verificar con clasificar_tema()); objetivo movido íntegro a dura, igual que Infobae/El Espectador-Seguridad.</t>
        </is>
      </c>
    </row>
    <row r="13" ht="30" customHeight="1" s="31">
      <c r="A13" s="41" t="inlineStr">
        <is>
          <t>El Tiempo</t>
        </is>
      </c>
      <c r="B13" s="41" t="inlineStr">
        <is>
          <t>Reformas sociales en disputa (pensional/tributaria)</t>
        </is>
      </c>
      <c r="C13" s="36" t="n">
        <v>14</v>
      </c>
      <c r="D13" s="36" t="n">
        <v>6</v>
      </c>
      <c r="E13" s="42">
        <f>C13+D13</f>
        <v/>
      </c>
      <c r="F13" s="38" t="n">
        <v>2</v>
      </c>
      <c r="G13" s="38" t="n">
        <v>1</v>
      </c>
      <c r="H13" s="42">
        <f>SUMIFS('Corpus - oraciones'!$AF$3:$AF$600,'Corpus - oraciones'!$C$3:$C$600,A13,'Corpus - oraciones'!$D$3:$D$600,B13)</f>
        <v/>
      </c>
      <c r="I13" s="43">
        <f>IFERROR(H13/E13,0)</f>
        <v/>
      </c>
      <c r="J13" s="38" t="inlineStr">
        <is>
          <t>Pendiente</t>
        </is>
      </c>
      <c r="K13" s="62" t="n"/>
    </row>
    <row r="14" ht="30" customHeight="1" s="31">
      <c r="A14" s="41" t="inlineStr">
        <is>
          <t>El Tiempo</t>
        </is>
      </c>
      <c r="B14" s="41" t="inlineStr">
        <is>
          <t>Seguridad y orden público</t>
        </is>
      </c>
      <c r="C14" s="36" t="n">
        <v>14</v>
      </c>
      <c r="D14" s="36" t="n">
        <v>6</v>
      </c>
      <c r="E14" s="42">
        <f>C14+D14</f>
        <v/>
      </c>
      <c r="F14" s="38" t="n">
        <v>2</v>
      </c>
      <c r="G14" s="38" t="n">
        <v>1</v>
      </c>
      <c r="H14" s="42">
        <f>SUMIFS('Corpus - oraciones'!$AF$3:$AF$600,'Corpus - oraciones'!$C$3:$C$600,A14,'Corpus - oraciones'!$D$3:$D$600,B14)</f>
        <v/>
      </c>
      <c r="I14" s="43">
        <f>IFERROR(H14/E14,0)</f>
        <v/>
      </c>
      <c r="J14" s="38" t="inlineStr">
        <is>
          <t>Pendiente</t>
        </is>
      </c>
      <c r="K14" s="62" t="n"/>
    </row>
    <row r="15" ht="30" customHeight="1" s="31">
      <c r="A15" s="35" t="inlineStr">
        <is>
          <t>El Espectador</t>
        </is>
      </c>
      <c r="B15" s="35" t="inlineStr">
        <is>
          <t>Transición de gobierno y relación con la oposición</t>
        </is>
      </c>
      <c r="C15" s="36" t="n">
        <v>6</v>
      </c>
      <c r="D15" s="36" t="n">
        <v>14</v>
      </c>
      <c r="E15" s="37">
        <f>C15+D15</f>
        <v/>
      </c>
      <c r="F15" s="38" t="n">
        <v>1</v>
      </c>
      <c r="G15" s="38" t="n">
        <v>1</v>
      </c>
      <c r="H15" s="37">
        <f>SUMIFS('Corpus - oraciones'!$AF$3:$AF$600,'Corpus - oraciones'!$C$3:$C$600,A15,'Corpus - oraciones'!$D$3:$D$600,B15)</f>
        <v/>
      </c>
      <c r="I15" s="39">
        <f>IFERROR(H15/E15,0)</f>
        <v/>
      </c>
      <c r="J15" s="38" t="inlineStr">
        <is>
          <t>Pendiente</t>
        </is>
      </c>
      <c r="K15" s="62" t="n"/>
    </row>
    <row r="16" ht="30" customHeight="1" s="31">
      <c r="A16" s="35" t="inlineStr">
        <is>
          <t>El Espectador</t>
        </is>
      </c>
      <c r="B16" s="35" t="inlineStr">
        <is>
          <t>Respuesta a la emergencia del terremoto</t>
        </is>
      </c>
      <c r="C16" s="36" t="n">
        <v>6</v>
      </c>
      <c r="D16" s="36" t="n">
        <v>14</v>
      </c>
      <c r="E16" s="37">
        <f>C16+D16</f>
        <v/>
      </c>
      <c r="F16" s="38" t="n">
        <v>1</v>
      </c>
      <c r="G16" s="38" t="n">
        <v>1</v>
      </c>
      <c r="H16" s="37">
        <f>SUMIFS('Corpus - oraciones'!$AF$3:$AF$600,'Corpus - oraciones'!$C$3:$C$600,A16,'Corpus - oraciones'!$D$3:$D$600,B16)</f>
        <v/>
      </c>
      <c r="I16" s="39">
        <f>IFERROR(H16/E16,0)</f>
        <v/>
      </c>
      <c r="J16" s="38" t="inlineStr">
        <is>
          <t>Pendiente</t>
        </is>
      </c>
      <c r="K16" s="62" t="n"/>
    </row>
    <row r="17" ht="30" customHeight="1" s="31">
      <c r="A17" s="35" t="inlineStr">
        <is>
          <t>El Espectador</t>
        </is>
      </c>
      <c r="B17" s="35" t="inlineStr">
        <is>
          <t>Relación con Estados Unidos</t>
        </is>
      </c>
      <c r="C17" s="36" t="n">
        <v>6</v>
      </c>
      <c r="D17" s="36" t="n">
        <v>14</v>
      </c>
      <c r="E17" s="37">
        <f>C17+D17</f>
        <v/>
      </c>
      <c r="F17" s="38" t="n">
        <v>1</v>
      </c>
      <c r="G17" s="38" t="n">
        <v>1</v>
      </c>
      <c r="H17" s="37">
        <f>SUMIFS('Corpus - oraciones'!$AF$3:$AF$600,'Corpus - oraciones'!$C$3:$C$600,A17,'Corpus - oraciones'!$D$3:$D$600,B17)</f>
        <v/>
      </c>
      <c r="I17" s="39">
        <f>IFERROR(H17/E17,0)</f>
        <v/>
      </c>
      <c r="J17" s="38" t="inlineStr">
        <is>
          <t>Pendiente</t>
        </is>
      </c>
      <c r="K17" s="62" t="n"/>
    </row>
    <row r="18" ht="30" customHeight="1" s="31">
      <c r="A18" s="35" t="inlineStr">
        <is>
          <t>El Espectador</t>
        </is>
      </c>
      <c r="B18" s="35" t="inlineStr">
        <is>
          <t>Reformas sociales en disputa (pensional/tributaria)</t>
        </is>
      </c>
      <c r="C18" s="36" t="n">
        <v>6</v>
      </c>
      <c r="D18" s="36" t="n">
        <v>14</v>
      </c>
      <c r="E18" s="37">
        <f>C18+D18</f>
        <v/>
      </c>
      <c r="F18" s="38" t="n">
        <v>1</v>
      </c>
      <c r="G18" s="38" t="n">
        <v>1</v>
      </c>
      <c r="H18" s="37">
        <f>SUMIFS('Corpus - oraciones'!$AF$3:$AF$600,'Corpus - oraciones'!$C$3:$C$600,A18,'Corpus - oraciones'!$D$3:$D$600,B18)</f>
        <v/>
      </c>
      <c r="I18" s="39">
        <f>IFERROR(H18/E18,0)</f>
        <v/>
      </c>
      <c r="J18" s="38" t="inlineStr">
        <is>
          <t>Pendiente</t>
        </is>
      </c>
      <c r="K18" s="62" t="n"/>
    </row>
    <row r="19" ht="30" customHeight="1" s="31">
      <c r="A19" s="35" t="inlineStr">
        <is>
          <t>El Espectador</t>
        </is>
      </c>
      <c r="B19" s="35" t="inlineStr">
        <is>
          <t>Seguridad y orden público</t>
        </is>
      </c>
      <c r="C19" s="36" t="n">
        <v>20</v>
      </c>
      <c r="D19" s="36" t="n">
        <v>0</v>
      </c>
      <c r="E19" s="37">
        <f>C19+D19</f>
        <v/>
      </c>
      <c r="F19" s="38" t="n">
        <v>3</v>
      </c>
      <c r="G19" s="38" t="n">
        <v>0</v>
      </c>
      <c r="H19" s="37">
        <f>SUMIFS('Corpus - oraciones'!$AF$3:$AF$600,'Corpus - oraciones'!$C$3:$C$600,A19,'Corpus - oraciones'!$D$3:$D$600,B19)</f>
        <v/>
      </c>
      <c r="I19" s="39">
        <f>IFERROR(H19/E19,0)</f>
        <v/>
      </c>
      <c r="J19" s="38" t="inlineStr">
        <is>
          <t>Pendiente</t>
        </is>
      </c>
      <c r="K19" s="62" t="inlineStr">
        <is>
          <t>Redistribuido 2026-09-05: sin opinión sobre seguridad disponible tras 2 intentos; objetivo movido íntegro a dura.</t>
        </is>
      </c>
    </row>
    <row r="20" ht="30" customHeight="1" s="31">
      <c r="A20" s="41" t="inlineStr">
        <is>
          <t>La Silla Vacía</t>
        </is>
      </c>
      <c r="B20" s="41" t="inlineStr">
        <is>
          <t>Transición de gobierno y relación con la oposición</t>
        </is>
      </c>
      <c r="C20" s="36" t="n">
        <v>8</v>
      </c>
      <c r="D20" s="36" t="n">
        <v>12</v>
      </c>
      <c r="E20" s="42">
        <f>C20+D20</f>
        <v/>
      </c>
      <c r="F20" s="38" t="n">
        <v>1</v>
      </c>
      <c r="G20" s="38" t="n">
        <v>2</v>
      </c>
      <c r="H20" s="42">
        <f>SUMIFS('Corpus - oraciones'!$AF$3:$AF$600,'Corpus - oraciones'!$C$3:$C$600,A20,'Corpus - oraciones'!$D$3:$D$600,B20)</f>
        <v/>
      </c>
      <c r="I20" s="43">
        <f>IFERROR(H20/E20,0)</f>
        <v/>
      </c>
      <c r="J20" s="38" t="inlineStr">
        <is>
          <t>Pendiente</t>
        </is>
      </c>
      <c r="K20" s="62" t="n"/>
    </row>
    <row r="21" ht="30" customHeight="1" s="31">
      <c r="A21" s="41" t="inlineStr">
        <is>
          <t>La Silla Vacía</t>
        </is>
      </c>
      <c r="B21" s="41" t="inlineStr">
        <is>
          <t>Respuesta a la emergencia del terremoto</t>
        </is>
      </c>
      <c r="C21" s="36" t="n">
        <v>8</v>
      </c>
      <c r="D21" s="36" t="n">
        <v>12</v>
      </c>
      <c r="E21" s="42">
        <f>C21+D21</f>
        <v/>
      </c>
      <c r="F21" s="38" t="n">
        <v>1</v>
      </c>
      <c r="G21" s="38" t="n">
        <v>2</v>
      </c>
      <c r="H21" s="42">
        <f>SUMIFS('Corpus - oraciones'!$AF$3:$AF$600,'Corpus - oraciones'!$C$3:$C$600,A21,'Corpus - oraciones'!$D$3:$D$600,B21)</f>
        <v/>
      </c>
      <c r="I21" s="43">
        <f>IFERROR(H21/E21,0)</f>
        <v/>
      </c>
      <c r="J21" s="38" t="inlineStr">
        <is>
          <t>Pendiente</t>
        </is>
      </c>
      <c r="K21" s="62" t="n"/>
    </row>
    <row r="22" ht="30" customHeight="1" s="31">
      <c r="A22" s="41" t="inlineStr">
        <is>
          <t>La Silla Vacía</t>
        </is>
      </c>
      <c r="B22" s="41" t="inlineStr">
        <is>
          <t>Relación con Estados Unidos</t>
        </is>
      </c>
      <c r="C22" s="36" t="n">
        <v>8</v>
      </c>
      <c r="D22" s="36" t="n">
        <v>12</v>
      </c>
      <c r="E22" s="42">
        <f>C22+D22</f>
        <v/>
      </c>
      <c r="F22" s="38" t="n">
        <v>1</v>
      </c>
      <c r="G22" s="38" t="n">
        <v>3</v>
      </c>
      <c r="H22" s="42">
        <f>SUMIFS('Corpus - oraciones'!$AF$3:$AF$600,'Corpus - oraciones'!$C$3:$C$600,A22,'Corpus - oraciones'!$D$3:$D$600,B22)</f>
        <v/>
      </c>
      <c r="I22" s="43">
        <f>IFERROR(H22/E22,0)</f>
        <v/>
      </c>
      <c r="J22" s="38" t="inlineStr">
        <is>
          <t>Pendiente</t>
        </is>
      </c>
      <c r="K22" s="62" t="n"/>
    </row>
    <row r="23" ht="30" customHeight="1" s="31">
      <c r="A23" s="41" t="inlineStr">
        <is>
          <t>La Silla Vacía</t>
        </is>
      </c>
      <c r="B23" s="41" t="inlineStr">
        <is>
          <t>Reformas sociales en disputa (pensional/tributaria)</t>
        </is>
      </c>
      <c r="C23" s="36" t="n">
        <v>8</v>
      </c>
      <c r="D23" s="36" t="n">
        <v>12</v>
      </c>
      <c r="E23" s="42">
        <f>C23+D23</f>
        <v/>
      </c>
      <c r="F23" s="38" t="n">
        <v>1</v>
      </c>
      <c r="G23" s="38" t="n">
        <v>3</v>
      </c>
      <c r="H23" s="42">
        <f>SUMIFS('Corpus - oraciones'!$AF$3:$AF$600,'Corpus - oraciones'!$C$3:$C$600,A23,'Corpus - oraciones'!$D$3:$D$600,B23)</f>
        <v/>
      </c>
      <c r="I23" s="43">
        <f>IFERROR(H23/E23,0)</f>
        <v/>
      </c>
      <c r="J23" s="38" t="inlineStr">
        <is>
          <t>Pendiente</t>
        </is>
      </c>
      <c r="K23" s="62" t="n"/>
    </row>
    <row r="24" ht="30" customHeight="1" s="31">
      <c r="A24" s="41" t="inlineStr">
        <is>
          <t>La Silla Vacía</t>
        </is>
      </c>
      <c r="B24" s="41" t="inlineStr">
        <is>
          <t>Seguridad y orden público</t>
        </is>
      </c>
      <c r="C24" s="36" t="n">
        <v>8</v>
      </c>
      <c r="D24" s="36" t="n">
        <v>12</v>
      </c>
      <c r="E24" s="42">
        <f>C24+D24</f>
        <v/>
      </c>
      <c r="F24" s="38" t="n">
        <v>1</v>
      </c>
      <c r="G24" s="38" t="n">
        <v>3</v>
      </c>
      <c r="H24" s="42">
        <f>SUMIFS('Corpus - oraciones'!$AF$3:$AF$600,'Corpus - oraciones'!$C$3:$C$600,A24,'Corpus - oraciones'!$D$3:$D$600,B24)</f>
        <v/>
      </c>
      <c r="I24" s="43">
        <f>IFERROR(H24/E24,0)</f>
        <v/>
      </c>
      <c r="J24" s="38" t="inlineStr">
        <is>
          <t>Pendiente</t>
        </is>
      </c>
      <c r="K24" s="62" t="n"/>
    </row>
    <row r="25" ht="30" customHeight="1" s="31">
      <c r="A25" s="35" t="inlineStr">
        <is>
          <t>Semana</t>
        </is>
      </c>
      <c r="B25" s="35" t="inlineStr">
        <is>
          <t>Transición de gobierno y relación con la oposición</t>
        </is>
      </c>
      <c r="C25" s="36" t="n">
        <v>10</v>
      </c>
      <c r="D25" s="36" t="n">
        <v>10</v>
      </c>
      <c r="E25" s="37">
        <f>C25+D25</f>
        <v/>
      </c>
      <c r="F25" s="38" t="n">
        <v>1</v>
      </c>
      <c r="G25" s="38" t="n">
        <v>1</v>
      </c>
      <c r="H25" s="37">
        <f>SUMIFS('Corpus - oraciones'!$AF$3:$AF$600,'Corpus - oraciones'!$C$3:$C$600,A25,'Corpus - oraciones'!$D$3:$D$600,B25)</f>
        <v/>
      </c>
      <c r="I25" s="39">
        <f>IFERROR(H25/E25,0)</f>
        <v/>
      </c>
      <c r="J25" s="38" t="inlineStr">
        <is>
          <t>Pendiente</t>
        </is>
      </c>
      <c r="K25" s="62" t="n"/>
    </row>
    <row r="26" ht="30" customHeight="1" s="31">
      <c r="A26" s="35" t="inlineStr">
        <is>
          <t>Semana</t>
        </is>
      </c>
      <c r="B26" s="35" t="inlineStr">
        <is>
          <t>Respuesta a la emergencia del terremoto</t>
        </is>
      </c>
      <c r="C26" s="36" t="n">
        <v>10</v>
      </c>
      <c r="D26" s="36" t="n">
        <v>10</v>
      </c>
      <c r="E26" s="37">
        <f>C26+D26</f>
        <v/>
      </c>
      <c r="F26" s="38" t="n">
        <v>1</v>
      </c>
      <c r="G26" s="38" t="n">
        <v>1</v>
      </c>
      <c r="H26" s="37">
        <f>SUMIFS('Corpus - oraciones'!$AF$3:$AF$600,'Corpus - oraciones'!$C$3:$C$600,A26,'Corpus - oraciones'!$D$3:$D$600,B26)</f>
        <v/>
      </c>
      <c r="I26" s="39">
        <f>IFERROR(H26/E26,0)</f>
        <v/>
      </c>
      <c r="J26" s="38" t="inlineStr">
        <is>
          <t>Pendiente</t>
        </is>
      </c>
      <c r="K26" s="62" t="n"/>
    </row>
    <row r="27" ht="30" customHeight="1" s="31">
      <c r="A27" s="35" t="inlineStr">
        <is>
          <t>Semana</t>
        </is>
      </c>
      <c r="B27" s="35" t="inlineStr">
        <is>
          <t>Relación con Estados Unidos</t>
        </is>
      </c>
      <c r="C27" s="36" t="n">
        <v>10</v>
      </c>
      <c r="D27" s="36" t="n">
        <v>10</v>
      </c>
      <c r="E27" s="37">
        <f>C27+D27</f>
        <v/>
      </c>
      <c r="F27" s="38" t="n">
        <v>1</v>
      </c>
      <c r="G27" s="38" t="n">
        <v>1</v>
      </c>
      <c r="H27" s="37">
        <f>SUMIFS('Corpus - oraciones'!$AF$3:$AF$600,'Corpus - oraciones'!$C$3:$C$600,A27,'Corpus - oraciones'!$D$3:$D$600,B27)</f>
        <v/>
      </c>
      <c r="I27" s="39">
        <f>IFERROR(H27/E27,0)</f>
        <v/>
      </c>
      <c r="J27" s="38" t="inlineStr">
        <is>
          <t>Pendiente</t>
        </is>
      </c>
      <c r="K27" s="62" t="n"/>
    </row>
    <row r="28" ht="30" customHeight="1" s="31">
      <c r="A28" s="35" t="inlineStr">
        <is>
          <t>Semana</t>
        </is>
      </c>
      <c r="B28" s="35" t="inlineStr">
        <is>
          <t>Reformas sociales en disputa (pensional/tributaria)</t>
        </is>
      </c>
      <c r="C28" s="36" t="n">
        <v>10</v>
      </c>
      <c r="D28" s="36" t="n">
        <v>10</v>
      </c>
      <c r="E28" s="37">
        <f>C28+D28</f>
        <v/>
      </c>
      <c r="F28" s="38" t="n">
        <v>1</v>
      </c>
      <c r="G28" s="38" t="n">
        <v>1</v>
      </c>
      <c r="H28" s="37">
        <f>SUMIFS('Corpus - oraciones'!$AF$3:$AF$600,'Corpus - oraciones'!$C$3:$C$600,A28,'Corpus - oraciones'!$D$3:$D$600,B28)</f>
        <v/>
      </c>
      <c r="I28" s="39">
        <f>IFERROR(H28/E28,0)</f>
        <v/>
      </c>
      <c r="J28" s="38" t="inlineStr">
        <is>
          <t>Pendiente</t>
        </is>
      </c>
      <c r="K28" s="62" t="n"/>
    </row>
    <row r="29" ht="30" customHeight="1" s="31">
      <c r="A29" s="35" t="inlineStr">
        <is>
          <t>Semana</t>
        </is>
      </c>
      <c r="B29" s="35" t="inlineStr">
        <is>
          <t>Seguridad y orden público</t>
        </is>
      </c>
      <c r="C29" s="36" t="n">
        <v>10</v>
      </c>
      <c r="D29" s="36" t="n">
        <v>10</v>
      </c>
      <c r="E29" s="37">
        <f>C29+D29</f>
        <v/>
      </c>
      <c r="F29" s="38" t="n">
        <v>1</v>
      </c>
      <c r="G29" s="38" t="n">
        <v>1</v>
      </c>
      <c r="H29" s="37">
        <f>SUMIFS('Corpus - oraciones'!$AF$3:$AF$600,'Corpus - oraciones'!$C$3:$C$600,A29,'Corpus - oraciones'!$D$3:$D$600,B29)</f>
        <v/>
      </c>
      <c r="I29" s="39">
        <f>IFERROR(H29/E29,0)</f>
        <v/>
      </c>
      <c r="J29" s="38" t="inlineStr">
        <is>
          <t>Pendiente</t>
        </is>
      </c>
      <c r="K29" s="62" t="n"/>
    </row>
    <row r="30" ht="15" customHeight="1" s="31">
      <c r="A30" s="44" t="inlineStr">
        <is>
          <t>TOTAL</t>
        </is>
      </c>
      <c r="B30" s="45" t="n"/>
      <c r="C30" s="44">
        <f>SUM(C5:C29)</f>
        <v/>
      </c>
      <c r="D30" s="44">
        <f>SUM(D5:D29)</f>
        <v/>
      </c>
      <c r="E30" s="44">
        <f>SUM(E5:E29)</f>
        <v/>
      </c>
      <c r="F30" s="46" t="n"/>
      <c r="G30" s="46" t="n"/>
      <c r="H30" s="44">
        <f>SUM(H5:H29)</f>
        <v/>
      </c>
      <c r="I30" s="47">
        <f>IFERROR(H30/E30,0)</f>
        <v/>
      </c>
      <c r="J30" s="46" t="n"/>
      <c r="K30" s="46" t="n"/>
    </row>
  </sheetData>
  <mergeCells count="3">
    <mergeCell ref="A2:K2"/>
    <mergeCell ref="A1:K1"/>
    <mergeCell ref="A30:B30"/>
  </mergeCells>
  <conditionalFormatting sqref="I5:I29">
    <cfRule type="colorScale" priority="2">
      <colorScale>
        <cfvo type="num" val="0"/>
        <cfvo type="num" val="0.5"/>
        <cfvo type="num" val="1"/>
        <color rgb="FFF8696B"/>
        <color rgb="FFFFEB84"/>
        <color rgb="FF63BE7B"/>
      </colorScale>
    </cfRule>
  </conditionalFormatting>
  <dataValidations count="1">
    <dataValidation sqref="J5:J29" showDropDown="0" showInputMessage="0" showErrorMessage="0" allowBlank="1" type="list" errorStyle="stop" operator="between">
      <formula1>"Pendiente,En progreso,Completo"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2" customWidth="1" style="30" min="1" max="1"/>
    <col width="15" customWidth="1" style="30" min="2" max="2"/>
    <col width="18" customWidth="1" style="30" min="3" max="3"/>
    <col width="12" customWidth="1" style="30" min="4" max="4"/>
  </cols>
  <sheetData>
    <row r="1" ht="17.35" customHeight="1" s="31">
      <c r="A1" s="55" t="inlineStr">
        <is>
          <t>Resumen por medio y por tema</t>
        </is>
      </c>
    </row>
    <row r="3" ht="15" customHeight="1" s="31">
      <c r="A3" s="48" t="inlineStr">
        <is>
          <t>Por medio</t>
        </is>
      </c>
    </row>
    <row r="4" ht="15" customHeight="1" s="31">
      <c r="A4" s="34" t="inlineStr">
        <is>
          <t>Medio</t>
        </is>
      </c>
      <c r="B4" s="34" t="inlineStr">
        <is>
          <t>Objetivo total</t>
        </is>
      </c>
      <c r="C4" s="34" t="inlineStr">
        <is>
          <t>Oraciones anotadas</t>
        </is>
      </c>
      <c r="D4" s="34" t="inlineStr">
        <is>
          <t>% avance</t>
        </is>
      </c>
    </row>
    <row r="5" ht="18" customHeight="1" s="31">
      <c r="A5" s="35" t="inlineStr">
        <is>
          <t>Infobae Colombia</t>
        </is>
      </c>
      <c r="B5" s="49">
        <f>SUMIF('Grid de recoleccion'!A:A,A5,'Grid de recoleccion'!E:E)</f>
        <v/>
      </c>
      <c r="C5" s="49">
        <f>SUMIF('Grid de recoleccion'!A:A,A5,'Grid de recoleccion'!H:H)</f>
        <v/>
      </c>
      <c r="D5" s="50">
        <f>IFERROR(C5/B5,0)</f>
        <v/>
      </c>
    </row>
    <row r="6" ht="18" customHeight="1" s="31">
      <c r="A6" s="35" t="inlineStr">
        <is>
          <t>El Tiempo</t>
        </is>
      </c>
      <c r="B6" s="49">
        <f>SUMIF('Grid de recoleccion'!A:A,A6,'Grid de recoleccion'!E:E)</f>
        <v/>
      </c>
      <c r="C6" s="49">
        <f>SUMIF('Grid de recoleccion'!A:A,A6,'Grid de recoleccion'!H:H)</f>
        <v/>
      </c>
      <c r="D6" s="50">
        <f>IFERROR(C6/B6,0)</f>
        <v/>
      </c>
    </row>
    <row r="7" ht="18" customHeight="1" s="31">
      <c r="A7" s="35" t="inlineStr">
        <is>
          <t>El Espectador</t>
        </is>
      </c>
      <c r="B7" s="49">
        <f>SUMIF('Grid de recoleccion'!A:A,A7,'Grid de recoleccion'!E:E)</f>
        <v/>
      </c>
      <c r="C7" s="49">
        <f>SUMIF('Grid de recoleccion'!A:A,A7,'Grid de recoleccion'!H:H)</f>
        <v/>
      </c>
      <c r="D7" s="50">
        <f>IFERROR(C7/B7,0)</f>
        <v/>
      </c>
    </row>
    <row r="8" ht="18" customHeight="1" s="31">
      <c r="A8" s="35" t="inlineStr">
        <is>
          <t>La Silla Vacía</t>
        </is>
      </c>
      <c r="B8" s="49">
        <f>SUMIF('Grid de recoleccion'!A:A,A8,'Grid de recoleccion'!E:E)</f>
        <v/>
      </c>
      <c r="C8" s="49">
        <f>SUMIF('Grid de recoleccion'!A:A,A8,'Grid de recoleccion'!H:H)</f>
        <v/>
      </c>
      <c r="D8" s="50">
        <f>IFERROR(C8/B8,0)</f>
        <v/>
      </c>
    </row>
    <row r="9" ht="18" customHeight="1" s="31">
      <c r="A9" s="35" t="inlineStr">
        <is>
          <t>Semana</t>
        </is>
      </c>
      <c r="B9" s="49">
        <f>SUMIF('Grid de recoleccion'!A:A,A9,'Grid de recoleccion'!E:E)</f>
        <v/>
      </c>
      <c r="C9" s="49">
        <f>SUMIF('Grid de recoleccion'!A:A,A9,'Grid de recoleccion'!H:H)</f>
        <v/>
      </c>
      <c r="D9" s="50">
        <f>IFERROR(C9/B9,0)</f>
        <v/>
      </c>
    </row>
    <row r="10" ht="15" customHeight="1" s="31">
      <c r="A10" s="51" t="inlineStr">
        <is>
          <t>TOTAL</t>
        </is>
      </c>
      <c r="B10" s="51">
        <f>SUM(B5:B9)</f>
        <v/>
      </c>
      <c r="C10" s="51">
        <f>SUM(C5:C9)</f>
        <v/>
      </c>
      <c r="D10" s="52">
        <f>IFERROR(C10/B10,0)</f>
        <v/>
      </c>
    </row>
    <row r="13" ht="15" customHeight="1" s="31">
      <c r="A13" s="48" t="inlineStr">
        <is>
          <t>Por tema</t>
        </is>
      </c>
    </row>
    <row r="14" ht="15" customHeight="1" s="31">
      <c r="A14" s="34" t="inlineStr">
        <is>
          <t>Tema</t>
        </is>
      </c>
      <c r="B14" s="34" t="inlineStr">
        <is>
          <t>Objetivo total</t>
        </is>
      </c>
      <c r="C14" s="34" t="inlineStr">
        <is>
          <t>Oraciones anotadas</t>
        </is>
      </c>
      <c r="D14" s="34" t="inlineStr">
        <is>
          <t>% avance</t>
        </is>
      </c>
    </row>
    <row r="15" ht="23.85" customHeight="1" s="31">
      <c r="A15" s="35" t="inlineStr">
        <is>
          <t>Transición de gobierno y relación con la oposición</t>
        </is>
      </c>
      <c r="B15" s="49">
        <f>SUMIF('Grid de recoleccion'!B:B,A15,'Grid de recoleccion'!E:E)</f>
        <v/>
      </c>
      <c r="C15" s="49">
        <f>SUMIF('Grid de recoleccion'!B:B,A15,'Grid de recoleccion'!H:H)</f>
        <v/>
      </c>
      <c r="D15" s="50">
        <f>IFERROR(C15/B15,0)</f>
        <v/>
      </c>
    </row>
    <row r="16" ht="23.85" customHeight="1" s="31">
      <c r="A16" s="35" t="inlineStr">
        <is>
          <t>Respuesta a la emergencia del terremoto</t>
        </is>
      </c>
      <c r="B16" s="49">
        <f>SUMIF('Grid de recoleccion'!B:B,A16,'Grid de recoleccion'!E:E)</f>
        <v/>
      </c>
      <c r="C16" s="49">
        <f>SUMIF('Grid de recoleccion'!B:B,A16,'Grid de recoleccion'!H:H)</f>
        <v/>
      </c>
      <c r="D16" s="50">
        <f>IFERROR(C16/B16,0)</f>
        <v/>
      </c>
    </row>
    <row r="17" ht="15" customHeight="1" s="31">
      <c r="A17" s="35" t="inlineStr">
        <is>
          <t>Relación con Estados Unidos</t>
        </is>
      </c>
      <c r="B17" s="49">
        <f>SUMIF('Grid de recoleccion'!B:B,A17,'Grid de recoleccion'!E:E)</f>
        <v/>
      </c>
      <c r="C17" s="49">
        <f>SUMIF('Grid de recoleccion'!B:B,A17,'Grid de recoleccion'!H:H)</f>
        <v/>
      </c>
      <c r="D17" s="50">
        <f>IFERROR(C17/B17,0)</f>
        <v/>
      </c>
    </row>
    <row r="18" ht="23.85" customHeight="1" s="31">
      <c r="A18" s="35" t="inlineStr">
        <is>
          <t>Reformas sociales en disputa (pensional/tributaria)</t>
        </is>
      </c>
      <c r="B18" s="49">
        <f>SUMIF('Grid de recoleccion'!B:B,A18,'Grid de recoleccion'!E:E)</f>
        <v/>
      </c>
      <c r="C18" s="49">
        <f>SUMIF('Grid de recoleccion'!B:B,A18,'Grid de recoleccion'!H:H)</f>
        <v/>
      </c>
      <c r="D18" s="50">
        <f>IFERROR(C18/B18,0)</f>
        <v/>
      </c>
    </row>
    <row r="19" ht="15" customHeight="1" s="31">
      <c r="A19" s="35" t="inlineStr">
        <is>
          <t>Seguridad y orden público</t>
        </is>
      </c>
      <c r="B19" s="49">
        <f>SUMIF('Grid de recoleccion'!B:B,A19,'Grid de recoleccion'!E:E)</f>
        <v/>
      </c>
      <c r="C19" s="49">
        <f>SUMIF('Grid de recoleccion'!B:B,A19,'Grid de recoleccion'!H:H)</f>
        <v/>
      </c>
      <c r="D19" s="50">
        <f>IFERROR(C19/B19,0)</f>
        <v/>
      </c>
    </row>
    <row r="20" ht="15" customHeight="1" s="31">
      <c r="A20" s="51" t="inlineStr">
        <is>
          <t>TOTAL</t>
        </is>
      </c>
      <c r="B20" s="51">
        <f>SUM(B15:B19)</f>
        <v/>
      </c>
      <c r="C20" s="51">
        <f>SUM(C15:C19)</f>
        <v/>
      </c>
      <c r="D20" s="52">
        <f>IFERROR(C20/B20,0)</f>
        <v/>
      </c>
    </row>
  </sheetData>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30" min="1" max="1"/>
    <col width="60" customWidth="1" style="30" min="2" max="2"/>
  </cols>
  <sheetData>
    <row r="1" ht="17.35" customHeight="1" s="31">
      <c r="A1" s="55" t="inlineStr">
        <is>
          <t>Cómo usar este archivo</t>
        </is>
      </c>
    </row>
    <row r="3" ht="39.75" customHeight="1" s="31">
      <c r="A3" s="53" t="inlineStr">
        <is>
          <t>Objetivo oraciones (dura) / (opinión)</t>
        </is>
      </c>
      <c r="B3" s="35" t="inlineStr">
        <is>
          <t>Editable (amarillo). Ya vienen propuestos según la fortaleza de cada medio — ajústalos si el avance real muestra que un medio/tema rinde distinto a lo esperado.</t>
        </is>
      </c>
    </row>
    <row r="4" ht="39.75" customHeight="1" s="31">
      <c r="A4" s="53" t="inlineStr">
        <is>
          <t>Objetivo total</t>
        </is>
      </c>
      <c r="B4" s="35" t="inlineStr">
        <is>
          <t>Se calcula solo (dura + opinión). No editar.</t>
        </is>
      </c>
    </row>
    <row r="5" ht="39.75" customHeight="1" s="31">
      <c r="A5" s="53" t="inlineStr">
        <is>
          <t>Artículos recolectados (dura/opinión)</t>
        </is>
      </c>
      <c r="B5" s="35" t="inlineStr">
        <is>
          <t>Editable. Cuenta cuántos artículos de cada género llevas recolectados para esa celda.</t>
        </is>
      </c>
    </row>
    <row r="6" ht="39.75" customHeight="1" s="31">
      <c r="A6" s="53" t="inlineStr">
        <is>
          <t>Oraciones anotadas (real)</t>
        </is>
      </c>
      <c r="B6" s="35" t="inlineStr">
        <is>
          <t>Editable. Actualízalo a medida que el profesional anota — es lo que alimenta el % de avance.</t>
        </is>
      </c>
    </row>
    <row r="7" ht="39.75" customHeight="1" s="31">
      <c r="A7" s="53" t="inlineStr">
        <is>
          <t>% avance</t>
        </is>
      </c>
      <c r="B7" s="35" t="inlineStr">
        <is>
          <t>Se calcula solo (oraciones anotadas / objetivo total). Rojo = arrancando, amarillo = a mitad, verde = completo.</t>
        </is>
      </c>
    </row>
    <row r="8" ht="39.75" customHeight="1" s="31">
      <c r="A8" s="53" t="inlineStr">
        <is>
          <t>Estado</t>
        </is>
      </c>
      <c r="B8" s="35" t="inlineStr">
        <is>
          <t>Editable, selecciona de la lista desplegable: Pendiente / En progreso / Completo.</t>
        </is>
      </c>
    </row>
    <row r="9" ht="39.75" customHeight="1" s="31">
      <c r="A9" s="53" t="inlineStr">
        <is>
          <t>Notas</t>
        </is>
      </c>
      <c r="B9" s="35" t="inlineStr">
        <is>
          <t>Editable, libre — por ejemplo "El Espectador: solo se consiguieron 4 de 6 artículos de opinión, faltan 2".</t>
        </is>
      </c>
    </row>
    <row r="10" ht="39.75" customHeight="1" s="31">
      <c r="A10" s="53" t="inlineStr">
        <is>
          <t>Hoja Resumen</t>
        </is>
      </c>
      <c r="B10" s="35" t="inlineStr">
        <is>
          <t>Se calcula sola a partir de la hoja principal — no editar directamente, solo lectura.</t>
        </is>
      </c>
    </row>
    <row r="12" ht="15" customHeight="1" s="31">
      <c r="A12" s="56" t="inlineStr">
        <is>
          <t>Ejemplo de fila ya en progreso (referencia, no editar aquí):</t>
        </is>
      </c>
    </row>
    <row r="13" ht="39.75" customHeight="1" s="31">
      <c r="A13" s="56" t="inlineStr">
        <is>
          <t>Infobae — Seguridad y orden público</t>
        </is>
      </c>
      <c r="B13" s="54" t="inlineStr">
        <is>
          <t>Objetivo 20 (14 dura + 6 opinión); llevan 3 artículos dura + 1 opinión recolectados, 17 oraciones ya anotadas → 85% avance, Estado: En progreso.</t>
        </is>
      </c>
    </row>
    <row r="15" ht="90" customHeight="1" s="31">
      <c r="A15" s="53" t="inlineStr">
        <is>
          <t>Hoja 'Corpus - oraciones'</t>
        </is>
      </c>
      <c r="B15" s="35" t="inlineStr">
        <is>
          <t>Aquí van las 500 oraciones reales con su texto y su anotación. Las 3 primeras filas (en gris, cursiva) son el ejemplo de referencia -- una fila por oración, no se editan ni se cuentan (fila 5 = ejemplo con hallazgo léxico Y discursivo a la vez, fila 6 = ejemplo con hallazgo solo discursivo, fila 7 = ejemplo neutral). IMPORTANTE: toda oración revisada recibe exactamente una fila, incluso si todas las categorías quedan en FALSE -- las oraciones neutras son tan necesarias como las sesgadas, no se omiten. Esquema completo (Tabla 1 de esquemas_anotacion.xlsx): 5 categorías léxicas J1 (verbo_factivo, verbo_asertivo, palabra_subjetiva, hedge, etiqueta_valorativa) + 4 discursivas J2 (sensacionalismo, mind_reading, falta_atribucion, opinion_como_hecho), cada una con su propia columna de span al lado (se llena solo si esa categoría quedó en TRUE). direccion/actor_objetivo aplican sobre cualquiera de los dos niveles (actor_objetivo es obligatorio si direccion != neutral). intensidad_lexica se llena solo si algún J1 quedó TRUE; camuflaje_epistemico solo si algún J2 quedó TRUE -- ambas en escala 1-5 (ver manual). medio/tema/género/direccion/las 9 categorías booleanas tienen lista desplegable. La columna 'aux' alimenta automáticamente el avance en la hoja principal -- no se toca.</t>
        </is>
      </c>
    </row>
  </sheetData>
  <mergeCells count="2">
    <mergeCell ref="A1:B1"/>
    <mergeCell ref="A12:B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G557"/>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30" min="1" max="1"/>
    <col width="14" customWidth="1" style="30" min="2" max="3"/>
    <col width="24" customWidth="1" style="30" min="4" max="4"/>
    <col width="12" customWidth="1" style="30" min="5" max="5"/>
    <col width="11" customWidth="1" style="30" min="6" max="6"/>
    <col width="42" customWidth="1" style="30" min="7" max="7"/>
    <col width="30" customWidth="1" style="30" min="8" max="9"/>
    <col width="11" customWidth="1" style="30" min="10" max="10"/>
    <col width="26" customWidth="1" style="30" min="11" max="11"/>
    <col width="11" customWidth="1" style="30" min="12" max="12"/>
    <col width="26" customWidth="1" style="30" min="13" max="13"/>
    <col width="11" customWidth="1" style="30" min="14" max="14"/>
    <col width="26" customWidth="1" style="30" min="15" max="15"/>
    <col width="11" customWidth="1" style="30" min="16" max="16"/>
    <col width="26" customWidth="1" style="31" min="17" max="17"/>
    <col width="11" customWidth="1" style="31" min="18" max="18"/>
    <col width="26" customWidth="1" style="31" min="19" max="19"/>
    <col width="11" customWidth="1" style="31" min="20" max="20"/>
    <col width="26" customWidth="1" style="31" min="21" max="21"/>
    <col width="11" customWidth="1" style="31" min="22" max="22"/>
    <col width="26" customWidth="1" style="31" min="23" max="23"/>
    <col width="11" customWidth="1" style="31" min="24" max="24"/>
    <col width="26" customWidth="1" style="31" min="25" max="25"/>
    <col width="11" customWidth="1" style="31" min="26" max="26"/>
    <col width="26" customWidth="1" style="31" min="27" max="27"/>
    <col width="12" customWidth="1" style="31" min="28" max="28"/>
    <col width="22" customWidth="1" style="31" min="29" max="29"/>
    <col width="12" customWidth="1" style="31" min="30" max="30"/>
    <col width="14" customWidth="1" style="31" min="31" max="31"/>
    <col width="12" customWidth="1" style="31" min="32" max="32"/>
    <col width="45" customWidth="1" style="31" min="33" max="33"/>
  </cols>
  <sheetData>
    <row r="1" ht="17.35" customHeight="1" s="31">
      <c r="A1" s="55" t="inlineStr">
        <is>
          <t>Corpus real — una fila por oración (esquema completo: 9 categorías léxico/discursivo)</t>
        </is>
      </c>
    </row>
    <row r="2" ht="27.75" customHeight="1" s="31">
      <c r="A2" s="56" t="inlineStr">
        <is>
          <t>Aquí van las 500 oraciones reales, su texto, y su anotación (esquema completo: J1 léxico + J2 discursivo, 9 categorías, cada una con su span). Celdas amarillas = editables. La columna AF es auxiliar, no se edita -- alimenta el conteo automático de la hoja 'Grid de recoleccion'.</t>
        </is>
      </c>
    </row>
    <row r="4" ht="33.75" customHeight="1" s="31">
      <c r="A4" s="58" t="inlineStr">
        <is>
          <t>articulo_id</t>
        </is>
      </c>
      <c r="B4" s="58" t="inlineStr">
        <is>
          <t>oracion_id</t>
        </is>
      </c>
      <c r="C4" s="58" t="inlineStr">
        <is>
          <t>medio</t>
        </is>
      </c>
      <c r="D4" s="58" t="inlineStr">
        <is>
          <t>tema</t>
        </is>
      </c>
      <c r="E4" s="58" t="inlineStr">
        <is>
          <t>género
(dura/opinión)</t>
        </is>
      </c>
      <c r="F4" s="58" t="inlineStr">
        <is>
          <t>fecha_
publicación</t>
        </is>
      </c>
      <c r="G4" s="58" t="inlineStr">
        <is>
          <t>oracion_texto</t>
        </is>
      </c>
      <c r="H4" s="58" t="inlineStr">
        <is>
          <t>oracion_anterior</t>
        </is>
      </c>
      <c r="I4" s="58" t="inlineStr">
        <is>
          <t>oracion_siguiente</t>
        </is>
      </c>
      <c r="J4" s="58" t="inlineStr">
        <is>
          <t>verbo_factivo
(J1)</t>
        </is>
      </c>
      <c r="K4" s="58" t="inlineStr">
        <is>
          <t>verbo_factivo_span</t>
        </is>
      </c>
      <c r="L4" s="58" t="inlineStr">
        <is>
          <t>verbo_asertivo
(J1)</t>
        </is>
      </c>
      <c r="M4" s="58" t="inlineStr">
        <is>
          <t>verbo_asertivo_span</t>
        </is>
      </c>
      <c r="N4" s="58" t="inlineStr">
        <is>
          <t>palabra_subjetiva
(J1)</t>
        </is>
      </c>
      <c r="O4" s="58" t="inlineStr">
        <is>
          <t>palabra_subjetiva_span</t>
        </is>
      </c>
      <c r="P4" s="58" t="inlineStr">
        <is>
          <t>hedge
(J1)</t>
        </is>
      </c>
      <c r="Q4" s="58" t="inlineStr">
        <is>
          <t>hedge_span</t>
        </is>
      </c>
      <c r="R4" s="58" t="inlineStr">
        <is>
          <t>etiqueta_valorativa
(J1)</t>
        </is>
      </c>
      <c r="S4" s="58" t="inlineStr">
        <is>
          <t>etiqueta_valorativa_span</t>
        </is>
      </c>
      <c r="T4" s="58" t="inlineStr">
        <is>
          <t>sensacionalismo
(J2)</t>
        </is>
      </c>
      <c r="U4" s="58" t="inlineStr">
        <is>
          <t>sensacionalismo_span</t>
        </is>
      </c>
      <c r="V4" s="58" t="inlineStr">
        <is>
          <t>mind_reading
(J2)</t>
        </is>
      </c>
      <c r="W4" s="58" t="inlineStr">
        <is>
          <t>mind_reading_span</t>
        </is>
      </c>
      <c r="X4" s="58" t="inlineStr">
        <is>
          <t>falta_atribucion
(J2)</t>
        </is>
      </c>
      <c r="Y4" s="58" t="inlineStr">
        <is>
          <t>falta_atribucion_span</t>
        </is>
      </c>
      <c r="Z4" s="58" t="inlineStr">
        <is>
          <t>opinion_como_hecho
(J2)</t>
        </is>
      </c>
      <c r="AA4" s="58" t="inlineStr">
        <is>
          <t>opinion_como_hecho_span</t>
        </is>
      </c>
      <c r="AB4" s="58" t="inlineStr">
        <is>
          <t>direccion</t>
        </is>
      </c>
      <c r="AC4" s="58" t="inlineStr">
        <is>
          <t>actor_objetivo</t>
        </is>
      </c>
      <c r="AD4" s="58" t="inlineStr">
        <is>
          <t>intensidad_lexica
(1-5, si J1)</t>
        </is>
      </c>
      <c r="AE4" s="58" t="inlineStr">
        <is>
          <t>camuflaje_epistemico
(1-5, si J2)</t>
        </is>
      </c>
      <c r="AF4" s="58" t="inlineStr">
        <is>
          <t>aux: primera
fila de la
oración (no editar)</t>
        </is>
      </c>
      <c r="AG4" s="58" t="inlineStr">
        <is>
          <t>url_fuente</t>
        </is>
      </c>
    </row>
    <row r="5" ht="32.8" customHeight="1" s="31">
      <c r="A5" s="59" t="inlineStr">
        <is>
          <t>ART_0231</t>
        </is>
      </c>
      <c r="B5" s="59" t="inlineStr">
        <is>
          <t>ART_0231_S07</t>
        </is>
      </c>
      <c r="C5" s="59" t="inlineStr">
        <is>
          <t>El Tiempo</t>
        </is>
      </c>
      <c r="D5" s="59" t="inlineStr">
        <is>
          <t>Transición de gobierno y relación con la oposición</t>
        </is>
      </c>
      <c r="E5" s="59" t="inlineStr">
        <is>
          <t>Noticia dura</t>
        </is>
      </c>
      <c r="F5" s="59" t="inlineStr">
        <is>
          <t>2026-08-20</t>
        </is>
      </c>
      <c r="G5" s="60" t="inlineStr">
        <is>
          <t>El Gobierno impuso la polémica reforma tributaria pese a las advertencias de los gremios, sabiendo que afectaría directamente a la clase media.</t>
        </is>
      </c>
      <c r="H5" s="60" t="inlineStr">
        <is>
          <t>El anuncio se dio durante la rueda de prensa de la tarde.</t>
        </is>
      </c>
      <c r="I5" s="60" t="inlineStr">
        <is>
          <t>El Ministerio de Hacienda no respondió a las solicitudes de entrevista.</t>
        </is>
      </c>
      <c r="J5" s="38" t="inlineStr">
        <is>
          <t>FALSE</t>
        </is>
      </c>
      <c r="K5" s="62" t="n"/>
      <c r="L5" s="38" t="inlineStr">
        <is>
          <t>FALSE</t>
        </is>
      </c>
      <c r="M5" s="62" t="n"/>
      <c r="N5" s="38" t="inlineStr">
        <is>
          <t>FALSE</t>
        </is>
      </c>
      <c r="O5" s="62" t="n"/>
      <c r="P5" s="38" t="inlineStr">
        <is>
          <t>FALSE</t>
        </is>
      </c>
      <c r="Q5" s="62" t="n"/>
      <c r="R5" s="38" t="inlineStr">
        <is>
          <t>TRUE</t>
        </is>
      </c>
      <c r="S5" s="62" t="inlineStr">
        <is>
          <t>polémica</t>
        </is>
      </c>
      <c r="T5" s="38" t="inlineStr">
        <is>
          <t>FALSE</t>
        </is>
      </c>
      <c r="U5" s="62" t="n"/>
      <c r="V5" s="38" t="inlineStr">
        <is>
          <t>TRUE</t>
        </is>
      </c>
      <c r="W5" s="62" t="inlineStr">
        <is>
          <t>sabiendo que afectaría directamente a la clase media</t>
        </is>
      </c>
      <c r="X5" s="38" t="inlineStr">
        <is>
          <t>FALSE</t>
        </is>
      </c>
      <c r="Y5" s="62" t="n"/>
      <c r="Z5" s="38" t="inlineStr">
        <is>
          <t>FALSE</t>
        </is>
      </c>
      <c r="AA5" s="62" t="n"/>
      <c r="AB5" s="38" t="inlineStr">
        <is>
          <t>perjudica</t>
        </is>
      </c>
      <c r="AC5" s="62" t="inlineStr">
        <is>
          <t>Gobierno nacional</t>
        </is>
      </c>
      <c r="AD5" s="38" t="n">
        <v>3</v>
      </c>
      <c r="AE5" s="38" t="n">
        <v>4</v>
      </c>
      <c r="AF5" s="61">
        <f>IF(COUNTIF($B$5:B5,B5)=1,1,0)</f>
        <v/>
      </c>
      <c r="AG5" s="62" t="n"/>
    </row>
    <row r="6" ht="32.8" customHeight="1" s="31">
      <c r="A6" s="59" t="inlineStr">
        <is>
          <t>ART_0198</t>
        </is>
      </c>
      <c r="B6" s="59" t="inlineStr">
        <is>
          <t>ART_0198_S02</t>
        </is>
      </c>
      <c r="C6" s="59" t="inlineStr">
        <is>
          <t>El Espectador</t>
        </is>
      </c>
      <c r="D6" s="59" t="inlineStr">
        <is>
          <t>Reformas sociales en disputa (pensional/tributaria)</t>
        </is>
      </c>
      <c r="E6" s="59" t="inlineStr">
        <is>
          <t>Opinión-análisis</t>
        </is>
      </c>
      <c r="F6" s="59" t="inlineStr">
        <is>
          <t>2026-07-10</t>
        </is>
      </c>
      <c r="G6" s="60" t="inlineStr">
        <is>
          <t>El plan pensional fracasará antes de que termine el año.</t>
        </is>
      </c>
      <c r="H6" s="60" t="inlineStr">
        <is>
          <t>El columnista abrió su texto recordando las promesas de campaña.</t>
        </is>
      </c>
      <c r="I6" s="60" t="inlineStr">
        <is>
          <t>Nadie en el Gobierno ha salido a desmentirlo.</t>
        </is>
      </c>
      <c r="J6" s="38" t="inlineStr">
        <is>
          <t>FALSE</t>
        </is>
      </c>
      <c r="K6" s="62" t="n"/>
      <c r="L6" s="38" t="inlineStr">
        <is>
          <t>FALSE</t>
        </is>
      </c>
      <c r="M6" s="62" t="n"/>
      <c r="N6" s="38" t="inlineStr">
        <is>
          <t>FALSE</t>
        </is>
      </c>
      <c r="O6" s="62" t="n"/>
      <c r="P6" s="38" t="inlineStr">
        <is>
          <t>FALSE</t>
        </is>
      </c>
      <c r="Q6" s="62" t="n"/>
      <c r="R6" s="38" t="inlineStr">
        <is>
          <t>FALSE</t>
        </is>
      </c>
      <c r="S6" s="62" t="n"/>
      <c r="T6" s="38" t="inlineStr">
        <is>
          <t>FALSE</t>
        </is>
      </c>
      <c r="U6" s="62" t="n"/>
      <c r="V6" s="38" t="inlineStr">
        <is>
          <t>FALSE</t>
        </is>
      </c>
      <c r="W6" s="62" t="n"/>
      <c r="X6" s="38" t="inlineStr">
        <is>
          <t>FALSE</t>
        </is>
      </c>
      <c r="Y6" s="62" t="n"/>
      <c r="Z6" s="38" t="inlineStr">
        <is>
          <t>TRUE</t>
        </is>
      </c>
      <c r="AA6" s="62" t="inlineStr">
        <is>
          <t>El plan pensional fracasará antes de que termine el año</t>
        </is>
      </c>
      <c r="AB6" s="38" t="inlineStr">
        <is>
          <t>perjudica</t>
        </is>
      </c>
      <c r="AC6" s="62" t="inlineStr">
        <is>
          <t>Gobierno nacional / reforma pensional</t>
        </is>
      </c>
      <c r="AD6" s="38" t="n"/>
      <c r="AE6" s="38" t="n">
        <v>3</v>
      </c>
      <c r="AF6" s="61">
        <f>IF(COUNTIF($B$5:B6,B6)=1,1,0)</f>
        <v/>
      </c>
      <c r="AG6" s="62" t="n"/>
    </row>
    <row r="7" ht="22.35" customHeight="1" s="31">
      <c r="A7" s="59" t="inlineStr">
        <is>
          <t>ART_0245</t>
        </is>
      </c>
      <c r="B7" s="59" t="inlineStr">
        <is>
          <t>ART_0245_S03</t>
        </is>
      </c>
      <c r="C7" s="59" t="inlineStr">
        <is>
          <t>El Tiempo</t>
        </is>
      </c>
      <c r="D7" s="59" t="inlineStr">
        <is>
          <t>Transición de gobierno y relación con la oposición</t>
        </is>
      </c>
      <c r="E7" s="59" t="inlineStr">
        <is>
          <t>Noticia dura</t>
        </is>
      </c>
      <c r="F7" s="59" t="inlineStr">
        <is>
          <t>2026-08-20</t>
        </is>
      </c>
      <c r="G7" s="60" t="inlineStr">
        <is>
          <t>El Banco de la República publicará el informe de inflación el próximo martes.</t>
        </is>
      </c>
      <c r="H7" s="60" t="inlineStr">
        <is>
          <t>La medida se conoció durante la sesión ordinaria.</t>
        </is>
      </c>
      <c r="I7" s="60" t="inlineStr">
        <is>
          <t>Analistas esperan el dato con atención.</t>
        </is>
      </c>
      <c r="J7" s="38" t="inlineStr">
        <is>
          <t>FALSE</t>
        </is>
      </c>
      <c r="K7" s="62" t="n"/>
      <c r="L7" s="38" t="inlineStr">
        <is>
          <t>FALSE</t>
        </is>
      </c>
      <c r="M7" s="62" t="n"/>
      <c r="N7" s="38" t="inlineStr">
        <is>
          <t>FALSE</t>
        </is>
      </c>
      <c r="O7" s="62" t="n"/>
      <c r="P7" s="38" t="inlineStr">
        <is>
          <t>FALSE</t>
        </is>
      </c>
      <c r="Q7" s="62" t="n"/>
      <c r="R7" s="38" t="inlineStr">
        <is>
          <t>FALSE</t>
        </is>
      </c>
      <c r="S7" s="62" t="n"/>
      <c r="T7" s="38" t="inlineStr">
        <is>
          <t>FALSE</t>
        </is>
      </c>
      <c r="U7" s="62" t="n"/>
      <c r="V7" s="38" t="inlineStr">
        <is>
          <t>FALSE</t>
        </is>
      </c>
      <c r="W7" s="62" t="n"/>
      <c r="X7" s="38" t="inlineStr">
        <is>
          <t>FALSE</t>
        </is>
      </c>
      <c r="Y7" s="62" t="n"/>
      <c r="Z7" s="38" t="inlineStr">
        <is>
          <t>FALSE</t>
        </is>
      </c>
      <c r="AA7" s="62" t="n"/>
      <c r="AB7" s="38" t="inlineStr">
        <is>
          <t>neutral</t>
        </is>
      </c>
      <c r="AC7" s="62" t="n"/>
      <c r="AD7" s="38" t="n"/>
      <c r="AE7" s="38" t="n"/>
      <c r="AF7" s="61">
        <f>IF(COUNTIF($B$5:B7,B7)=1,1,0)</f>
        <v/>
      </c>
      <c r="AG7" s="62" t="n"/>
    </row>
    <row r="8" ht="15" customHeight="1" s="31">
      <c r="A8" s="38" t="inlineStr">
        <is>
          <t>https://www.infobae.com/colombia/2026/09/04/medicina-legal-confirmo-los-resultados-de-la-operacion-azarias-en-guaviare-en-la-que-murieron-23-disidentes-dos-eran-menores-de-edad/</t>
        </is>
      </c>
      <c r="B8" s="38" t="inlineStr">
        <is>
          <t>https://www.infobae.com/colombia/2026/09/04/medicina-legal-confirmo-los-resultados-de-la-operacion-azarias-en-guaviare-en-la-que-murieron-23-disidentes-dos-eran-menores-de-edad/_S01</t>
        </is>
      </c>
      <c r="C8" s="38" t="inlineStr">
        <is>
          <t>Infobae Colombia</t>
        </is>
      </c>
      <c r="D8" s="38" t="inlineStr">
        <is>
          <t>Seguridad y orden público</t>
        </is>
      </c>
      <c r="E8" s="38" t="inlineStr">
        <is>
          <t>Noticia dura</t>
        </is>
      </c>
      <c r="F8" s="38" t="inlineStr">
        <is>
          <t>Fri, 04 Sep 2026 21:14:49 +0000</t>
        </is>
      </c>
      <c r="G8" s="62" t="inlineStr">
        <is>
          <t>El Instituto Nacional de Medicina Legal y Ciencias Forenses comunicó oficialmente que identificó a 20 de los 24 cuerpos que recibió tras las acciones militares que desarrollaron de manera conjunta las fuerzas del orden en la vereda Lagos del Dorado, en el municipio de Miraflores, Guaviare, a través de la Operación Azarías en contra de los grupos armados que tienen presencia en el arco amazónico.</t>
        </is>
      </c>
      <c r="H8" s="62" t="n"/>
      <c r="I8" s="62" t="inlineStr">
        <is>
          <t>La entidad aseguró que los cuerpos ingresaron el 1 de septiembre de 2026.</t>
        </is>
      </c>
      <c r="J8" s="38" t="n"/>
      <c r="K8" s="62" t="n"/>
      <c r="L8" s="38" t="n"/>
      <c r="M8" s="62" t="n"/>
      <c r="N8" s="38" t="n"/>
      <c r="O8" s="62" t="n"/>
      <c r="P8" s="38" t="n"/>
      <c r="Q8" s="62" t="n"/>
      <c r="R8" s="38" t="n"/>
      <c r="S8" s="62" t="n"/>
      <c r="T8" s="38" t="n"/>
      <c r="U8" s="62" t="n"/>
      <c r="V8" s="38" t="n"/>
      <c r="W8" s="62" t="n"/>
      <c r="X8" s="38" t="n"/>
      <c r="Y8" s="62" t="n"/>
      <c r="Z8" s="38" t="n"/>
      <c r="AA8" s="62" t="n"/>
      <c r="AB8" s="38" t="n"/>
      <c r="AC8" s="62" t="n"/>
      <c r="AD8" s="38" t="n"/>
      <c r="AE8" s="38" t="n"/>
      <c r="AF8" s="61">
        <f>IF(COUNTIF($B$5:B8,B8)=1,1,0)</f>
        <v/>
      </c>
      <c r="AG8" s="62" t="inlineStr">
        <is>
          <t>https://www.infobae.com/colombia/2026/09/04/medicina-legal-confirmo-los-resultados-de-la-operacion-azarias-en-guaviare-en-la-que-murieron-23-disidentes-dos-eran-menores-de-edad/</t>
        </is>
      </c>
    </row>
    <row r="9" ht="15" customHeight="1" s="31">
      <c r="A9" s="38" t="inlineStr">
        <is>
          <t>https://www.infobae.com/colombia/2026/09/04/medicina-legal-confirmo-los-resultados-de-la-operacion-azarias-en-guaviare-en-la-que-murieron-23-disidentes-dos-eran-menores-de-edad/</t>
        </is>
      </c>
      <c r="B9" s="38" t="inlineStr">
        <is>
          <t>https://www.infobae.com/colombia/2026/09/04/medicina-legal-confirmo-los-resultados-de-la-operacion-azarias-en-guaviare-en-la-que-murieron-23-disidentes-dos-eran-menores-de-edad/_S02</t>
        </is>
      </c>
      <c r="C9" s="38" t="inlineStr">
        <is>
          <t>Infobae Colombia</t>
        </is>
      </c>
      <c r="D9" s="38" t="inlineStr">
        <is>
          <t>Seguridad y orden público</t>
        </is>
      </c>
      <c r="E9" s="38" t="inlineStr">
        <is>
          <t>Noticia dura</t>
        </is>
      </c>
      <c r="F9" s="38" t="inlineStr">
        <is>
          <t>Fri, 04 Sep 2026 21:14:49 +0000</t>
        </is>
      </c>
      <c r="G9" s="62" t="inlineStr">
        <is>
          <t>La entidad aseguró que los cuerpos ingresaron el 1 de septiembre de 2026.</t>
        </is>
      </c>
      <c r="H9" s="62" t="inlineStr">
        <is>
          <t>El Instituto Nacional de Medicina Legal y Ciencias Forenses comunicó oficialmente que identificó a 20 de los 24 cuerpos que recibió tras las acciones militares que desarrollaron de manera conjunta las fuerzas del orden en la vereda Lagos del Dorado, en el municipio de Miraflores, Guaviare, a través de la Operación Azarías en contra de los grupos armados que tienen presencia en el arco amazónico.</t>
        </is>
      </c>
      <c r="I9" s="62" t="inlineStr">
        <is>
          <t>Del total de 24 cuerpos inertes recibidos, cuatro permanecen en abordaje forense debido a las condiciones en que fueron entregados.</t>
        </is>
      </c>
      <c r="J9" s="38" t="n"/>
      <c r="K9" s="62" t="n"/>
      <c r="L9" s="38" t="n"/>
      <c r="M9" s="62" t="n"/>
      <c r="N9" s="38" t="n"/>
      <c r="O9" s="62" t="n"/>
      <c r="P9" s="38" t="n"/>
      <c r="Q9" s="62" t="n"/>
      <c r="R9" s="38" t="n"/>
      <c r="S9" s="62" t="n"/>
      <c r="T9" s="38" t="n"/>
      <c r="U9" s="62" t="n"/>
      <c r="V9" s="38" t="n"/>
      <c r="W9" s="62" t="n"/>
      <c r="X9" s="38" t="n"/>
      <c r="Y9" s="62" t="n"/>
      <c r="Z9" s="38" t="n"/>
      <c r="AA9" s="62" t="n"/>
      <c r="AB9" s="38" t="n"/>
      <c r="AC9" s="62" t="n"/>
      <c r="AD9" s="38" t="n"/>
      <c r="AE9" s="38" t="n"/>
      <c r="AF9" s="61">
        <f>IF(COUNTIF($B$5:B9,B9)=1,1,0)</f>
        <v/>
      </c>
      <c r="AG9" s="62" t="inlineStr">
        <is>
          <t>https://www.infobae.com/colombia/2026/09/04/medicina-legal-confirmo-los-resultados-de-la-operacion-azarias-en-guaviare-en-la-que-murieron-23-disidentes-dos-eran-menores-de-edad/</t>
        </is>
      </c>
    </row>
    <row r="10" ht="15" customHeight="1" s="31">
      <c r="A10" s="38" t="inlineStr">
        <is>
          <t>https://www.infobae.com/colombia/2026/09/04/medicina-legal-confirmo-los-resultados-de-la-operacion-azarias-en-guaviare-en-la-que-murieron-23-disidentes-dos-eran-menores-de-edad/</t>
        </is>
      </c>
      <c r="B10" s="38" t="inlineStr">
        <is>
          <t>https://www.infobae.com/colombia/2026/09/04/medicina-legal-confirmo-los-resultados-de-la-operacion-azarias-en-guaviare-en-la-que-murieron-23-disidentes-dos-eran-menores-de-edad/_S03</t>
        </is>
      </c>
      <c r="C10" s="38" t="inlineStr">
        <is>
          <t>Infobae Colombia</t>
        </is>
      </c>
      <c r="D10" s="38" t="inlineStr">
        <is>
          <t>Seguridad y orden público</t>
        </is>
      </c>
      <c r="E10" s="38" t="inlineStr">
        <is>
          <t>Noticia dura</t>
        </is>
      </c>
      <c r="F10" s="38" t="inlineStr">
        <is>
          <t>Fri, 04 Sep 2026 21:14:49 +0000</t>
        </is>
      </c>
      <c r="G10" s="62" t="inlineStr">
        <is>
          <t>Del total de 24 cuerpos inertes recibidos, cuatro permanecen en abordaje forense debido a las condiciones en que fueron entregados.</t>
        </is>
      </c>
      <c r="H10" s="62" t="inlineStr">
        <is>
          <t>La entidad aseguró que los cuerpos ingresaron el 1 de septiembre de 2026.</t>
        </is>
      </c>
      <c r="I10" s="62" t="inlineStr">
        <is>
          <t>Medicina Legal ratificó que, además, entre las 20 personas identificadas hay ocho mujeres y 12 hombres, de acuerdo con el balance oficial que se divulgó este 4 de septiembre.</t>
        </is>
      </c>
      <c r="J10" s="38" t="n"/>
      <c r="K10" s="62" t="n"/>
      <c r="L10" s="38" t="n"/>
      <c r="M10" s="62" t="n"/>
      <c r="N10" s="38" t="n"/>
      <c r="O10" s="62" t="n"/>
      <c r="P10" s="38" t="n"/>
      <c r="Q10" s="62" t="n"/>
      <c r="R10" s="38" t="n"/>
      <c r="S10" s="62" t="n"/>
      <c r="T10" s="38" t="n"/>
      <c r="U10" s="62" t="n"/>
      <c r="V10" s="38" t="n"/>
      <c r="W10" s="62" t="n"/>
      <c r="X10" s="38" t="n"/>
      <c r="Y10" s="62" t="n"/>
      <c r="Z10" s="38" t="n"/>
      <c r="AA10" s="62" t="n"/>
      <c r="AB10" s="38" t="n"/>
      <c r="AC10" s="62" t="n"/>
      <c r="AD10" s="38" t="n"/>
      <c r="AE10" s="38" t="n"/>
      <c r="AF10" s="61">
        <f>IF(COUNTIF($B$5:B10,B10)=1,1,0)</f>
        <v/>
      </c>
      <c r="AG10" s="62" t="inlineStr">
        <is>
          <t>https://www.infobae.com/colombia/2026/09/04/medicina-legal-confirmo-los-resultados-de-la-operacion-azarias-en-guaviare-en-la-que-murieron-23-disidentes-dos-eran-menores-de-edad/</t>
        </is>
      </c>
    </row>
    <row r="11" ht="15" customHeight="1" s="31">
      <c r="A11" s="38" t="inlineStr">
        <is>
          <t>https://www.infobae.com/colombia/2026/09/04/medicina-legal-confirmo-los-resultados-de-la-operacion-azarias-en-guaviare-en-la-que-murieron-23-disidentes-dos-eran-menores-de-edad/</t>
        </is>
      </c>
      <c r="B11" s="38" t="inlineStr">
        <is>
          <t>https://www.infobae.com/colombia/2026/09/04/medicina-legal-confirmo-los-resultados-de-la-operacion-azarias-en-guaviare-en-la-que-murieron-23-disidentes-dos-eran-menores-de-edad/_S04</t>
        </is>
      </c>
      <c r="C11" s="38" t="inlineStr">
        <is>
          <t>Infobae Colombia</t>
        </is>
      </c>
      <c r="D11" s="38" t="inlineStr">
        <is>
          <t>Seguridad y orden público</t>
        </is>
      </c>
      <c r="E11" s="38" t="inlineStr">
        <is>
          <t>Noticia dura</t>
        </is>
      </c>
      <c r="F11" s="38" t="inlineStr">
        <is>
          <t>Fri, 04 Sep 2026 21:14:49 +0000</t>
        </is>
      </c>
      <c r="G11" s="62" t="inlineStr">
        <is>
          <t>Medicina Legal ratificó que, además, entre las 20 personas identificadas hay ocho mujeres y 12 hombres, de acuerdo con el balance oficial que se divulgó este 4 de septiembre.</t>
        </is>
      </c>
      <c r="H11" s="62" t="inlineStr">
        <is>
          <t>Del total de 24 cuerpos inertes recibidos, cuatro permanecen en abordaje forense debido a las condiciones en que fueron entregados.</t>
        </is>
      </c>
      <c r="I11" s="62" t="inlineStr">
        <is>
          <t>Frente a la polémica por la presunta presencia de menores en el área en la que se desarrolló la ofensiva, el Instituto precisó que dos de las personas abatidas ya identificadas son menores de edad.</t>
        </is>
      </c>
      <c r="J11" s="38" t="n"/>
      <c r="K11" s="62" t="n"/>
      <c r="L11" s="38" t="n"/>
      <c r="M11" s="62" t="n"/>
      <c r="N11" s="38" t="n"/>
      <c r="O11" s="62" t="n"/>
      <c r="P11" s="38" t="n"/>
      <c r="Q11" s="62" t="n"/>
      <c r="R11" s="38" t="n"/>
      <c r="S11" s="62" t="n"/>
      <c r="T11" s="38" t="n"/>
      <c r="U11" s="62" t="n"/>
      <c r="V11" s="38" t="n"/>
      <c r="W11" s="62" t="n"/>
      <c r="X11" s="38" t="n"/>
      <c r="Y11" s="62" t="n"/>
      <c r="Z11" s="38" t="n"/>
      <c r="AA11" s="62" t="n"/>
      <c r="AB11" s="38" t="n"/>
      <c r="AC11" s="62" t="n"/>
      <c r="AD11" s="38" t="n"/>
      <c r="AE11" s="38" t="n"/>
      <c r="AF11" s="61">
        <f>IF(COUNTIF($B$5:B11,B11)=1,1,0)</f>
        <v/>
      </c>
      <c r="AG11" s="62" t="inlineStr">
        <is>
          <t>https://www.infobae.com/colombia/2026/09/04/medicina-legal-confirmo-los-resultados-de-la-operacion-azarias-en-guaviare-en-la-que-murieron-23-disidentes-dos-eran-menores-de-edad/</t>
        </is>
      </c>
    </row>
    <row r="12" ht="15" customHeight="1" s="31">
      <c r="A12" s="38" t="inlineStr">
        <is>
          <t>https://www.infobae.com/colombia/2026/09/04/medicina-legal-confirmo-los-resultados-de-la-operacion-azarias-en-guaviare-en-la-que-murieron-23-disidentes-dos-eran-menores-de-edad/</t>
        </is>
      </c>
      <c r="B12" s="38" t="inlineStr">
        <is>
          <t>https://www.infobae.com/colombia/2026/09/04/medicina-legal-confirmo-los-resultados-de-la-operacion-azarias-en-guaviare-en-la-que-murieron-23-disidentes-dos-eran-menores-de-edad/_S05</t>
        </is>
      </c>
      <c r="C12" s="38" t="inlineStr">
        <is>
          <t>Infobae Colombia</t>
        </is>
      </c>
      <c r="D12" s="38" t="inlineStr">
        <is>
          <t>Seguridad y orden público</t>
        </is>
      </c>
      <c r="E12" s="38" t="inlineStr">
        <is>
          <t>Noticia dura</t>
        </is>
      </c>
      <c r="F12" s="38" t="inlineStr">
        <is>
          <t>Fri, 04 Sep 2026 21:14:49 +0000</t>
        </is>
      </c>
      <c r="G12" s="62" t="inlineStr">
        <is>
          <t>Frente a la polémica por la presunta presencia de menores en el área en la que se desarrolló la ofensiva, el Instituto precisó que dos de las personas abatidas ya identificadas son menores de edad.</t>
        </is>
      </c>
      <c r="H12" s="62" t="inlineStr">
        <is>
          <t>Medicina Legal ratificó que, además, entre las 20 personas identificadas hay ocho mujeres y 12 hombres, de acuerdo con el balance oficial que se divulgó este 4 de septiembre.</t>
        </is>
      </c>
      <c r="I12" s="62" t="inlineStr">
        <is>
          <t>El comunicado no detalló sus identidades, edades ni las circunstancias en las que murieron.</t>
        </is>
      </c>
      <c r="J12" s="38" t="n"/>
      <c r="K12" s="62" t="n"/>
      <c r="L12" s="38" t="n"/>
      <c r="M12" s="62" t="n"/>
      <c r="N12" s="38" t="n"/>
      <c r="O12" s="62" t="n"/>
      <c r="P12" s="38" t="n"/>
      <c r="Q12" s="62" t="n"/>
      <c r="R12" s="38" t="n"/>
      <c r="S12" s="62" t="n"/>
      <c r="T12" s="38" t="n"/>
      <c r="U12" s="62" t="n"/>
      <c r="V12" s="38" t="n"/>
      <c r="W12" s="62" t="n"/>
      <c r="X12" s="38" t="n"/>
      <c r="Y12" s="62" t="n"/>
      <c r="Z12" s="38" t="n"/>
      <c r="AA12" s="62" t="n"/>
      <c r="AB12" s="38" t="n"/>
      <c r="AC12" s="62" t="n"/>
      <c r="AD12" s="38" t="n"/>
      <c r="AE12" s="38" t="n"/>
      <c r="AF12" s="61">
        <f>IF(COUNTIF($B$5:B12,B12)=1,1,0)</f>
        <v/>
      </c>
      <c r="AG12" s="62" t="inlineStr">
        <is>
          <t>https://www.infobae.com/colombia/2026/09/04/medicina-legal-confirmo-los-resultados-de-la-operacion-azarias-en-guaviare-en-la-que-murieron-23-disidentes-dos-eran-menores-de-edad/</t>
        </is>
      </c>
    </row>
    <row r="13" ht="15" customHeight="1" s="31">
      <c r="A13" s="38" t="inlineStr">
        <is>
          <t>https://www.infobae.com/colombia/2026/09/04/medicina-legal-confirmo-los-resultados-de-la-operacion-azarias-en-guaviare-en-la-que-murieron-23-disidentes-dos-eran-menores-de-edad/</t>
        </is>
      </c>
      <c r="B13" s="38" t="inlineStr">
        <is>
          <t>https://www.infobae.com/colombia/2026/09/04/medicina-legal-confirmo-los-resultados-de-la-operacion-azarias-en-guaviare-en-la-que-murieron-23-disidentes-dos-eran-menores-de-edad/_S06</t>
        </is>
      </c>
      <c r="C13" s="38" t="inlineStr">
        <is>
          <t>Infobae Colombia</t>
        </is>
      </c>
      <c r="D13" s="38" t="inlineStr">
        <is>
          <t>Seguridad y orden público</t>
        </is>
      </c>
      <c r="E13" s="38" t="inlineStr">
        <is>
          <t>Noticia dura</t>
        </is>
      </c>
      <c r="F13" s="38" t="inlineStr">
        <is>
          <t>Fri, 04 Sep 2026 21:14:49 +0000</t>
        </is>
      </c>
      <c r="G13" s="62" t="inlineStr">
        <is>
          <t>El comunicado no detalló sus identidades, edades ni las circunstancias en las que murieron.</t>
        </is>
      </c>
      <c r="H13" s="62" t="inlineStr">
        <is>
          <t>Frente a la polémica por la presunta presencia de menores en el área en la que se desarrolló la ofensiva, el Instituto precisó que dos de las personas abatidas ya identificadas son menores de edad.</t>
        </is>
      </c>
      <c r="I13" s="62" t="inlineStr">
        <is>
          <t>En cuanto a los procedimientos sobre los cuatro cuerpos pendientes, las identificaciones continuarán pese a las dificultades que presentan los cadáveres.</t>
        </is>
      </c>
      <c r="J13" s="38" t="n"/>
      <c r="K13" s="62" t="n"/>
      <c r="L13" s="38" t="n"/>
      <c r="M13" s="62" t="n"/>
      <c r="N13" s="38" t="n"/>
      <c r="O13" s="62" t="n"/>
      <c r="P13" s="38" t="n"/>
      <c r="Q13" s="62" t="n"/>
      <c r="R13" s="38" t="n"/>
      <c r="S13" s="62" t="n"/>
      <c r="T13" s="38" t="n"/>
      <c r="U13" s="62" t="n"/>
      <c r="V13" s="38" t="n"/>
      <c r="W13" s="62" t="n"/>
      <c r="X13" s="38" t="n"/>
      <c r="Y13" s="62" t="n"/>
      <c r="Z13" s="38" t="n"/>
      <c r="AA13" s="62" t="n"/>
      <c r="AB13" s="38" t="n"/>
      <c r="AC13" s="62" t="n"/>
      <c r="AD13" s="38" t="n"/>
      <c r="AE13" s="38" t="n"/>
      <c r="AF13" s="61">
        <f>IF(COUNTIF($B$5:B13,B13)=1,1,0)</f>
        <v/>
      </c>
      <c r="AG13" s="62" t="inlineStr">
        <is>
          <t>https://www.infobae.com/colombia/2026/09/04/medicina-legal-confirmo-los-resultados-de-la-operacion-azarias-en-guaviare-en-la-que-murieron-23-disidentes-dos-eran-menores-de-edad/</t>
        </is>
      </c>
    </row>
    <row r="14" ht="15" customHeight="1" s="31">
      <c r="A14" s="38" t="inlineStr">
        <is>
          <t>https://www.infobae.com/colombia/2026/09/04/medicina-legal-confirmo-los-resultados-de-la-operacion-azarias-en-guaviare-en-la-que-murieron-23-disidentes-dos-eran-menores-de-edad/</t>
        </is>
      </c>
      <c r="B14" s="38" t="inlineStr">
        <is>
          <t>https://www.infobae.com/colombia/2026/09/04/medicina-legal-confirmo-los-resultados-de-la-operacion-azarias-en-guaviare-en-la-que-murieron-23-disidentes-dos-eran-menores-de-edad/_S07</t>
        </is>
      </c>
      <c r="C14" s="38" t="inlineStr">
        <is>
          <t>Infobae Colombia</t>
        </is>
      </c>
      <c r="D14" s="38" t="inlineStr">
        <is>
          <t>Seguridad y orden público</t>
        </is>
      </c>
      <c r="E14" s="38" t="inlineStr">
        <is>
          <t>Noticia dura</t>
        </is>
      </c>
      <c r="F14" s="38" t="inlineStr">
        <is>
          <t>Fri, 04 Sep 2026 21:14:49 +0000</t>
        </is>
      </c>
      <c r="G14" s="62" t="inlineStr">
        <is>
          <t>En cuanto a los procedimientos sobre los cuatro cuerpos pendientes, las identificaciones continuarán pese a las dificultades que presentan los cadáveres.</t>
        </is>
      </c>
      <c r="H14" s="62" t="inlineStr">
        <is>
          <t>El comunicado no detalló sus identidades, edades ni las circunstancias en las que murieron.</t>
        </is>
      </c>
      <c r="I14" s="62" t="inlineStr">
        <is>
          <t>Sin embargo, la institución no indicó un plazo para completar los registros.</t>
        </is>
      </c>
      <c r="J14" s="38" t="n"/>
      <c r="K14" s="62" t="n"/>
      <c r="L14" s="38" t="n"/>
      <c r="M14" s="62" t="n"/>
      <c r="N14" s="38" t="n"/>
      <c r="O14" s="62" t="n"/>
      <c r="P14" s="38" t="n"/>
      <c r="Q14" s="62" t="n"/>
      <c r="R14" s="38" t="n"/>
      <c r="S14" s="62" t="n"/>
      <c r="T14" s="38" t="n"/>
      <c r="U14" s="62" t="n"/>
      <c r="V14" s="38" t="n"/>
      <c r="W14" s="62" t="n"/>
      <c r="X14" s="38" t="n"/>
      <c r="Y14" s="62" t="n"/>
      <c r="Z14" s="38" t="n"/>
      <c r="AA14" s="62" t="n"/>
      <c r="AB14" s="38" t="n"/>
      <c r="AC14" s="62" t="n"/>
      <c r="AD14" s="38" t="n"/>
      <c r="AE14" s="38" t="n"/>
      <c r="AF14" s="61">
        <f>IF(COUNTIF($B$5:B14,B14)=1,1,0)</f>
        <v/>
      </c>
      <c r="AG14" s="62" t="inlineStr">
        <is>
          <t>https://www.infobae.com/colombia/2026/09/04/medicina-legal-confirmo-los-resultados-de-la-operacion-azarias-en-guaviare-en-la-que-murieron-23-disidentes-dos-eran-menores-de-edad/</t>
        </is>
      </c>
    </row>
    <row r="15" ht="15" customHeight="1" s="31">
      <c r="A15" s="38" t="inlineStr">
        <is>
          <t>https://www.infobae.com/colombia/2026/09/04/medicina-legal-confirmo-los-resultados-de-la-operacion-azarias-en-guaviare-en-la-que-murieron-23-disidentes-dos-eran-menores-de-edad/</t>
        </is>
      </c>
      <c r="B15" s="38" t="inlineStr">
        <is>
          <t>https://www.infobae.com/colombia/2026/09/04/medicina-legal-confirmo-los-resultados-de-la-operacion-azarias-en-guaviare-en-la-que-murieron-23-disidentes-dos-eran-menores-de-edad/_S08</t>
        </is>
      </c>
      <c r="C15" s="38" t="inlineStr">
        <is>
          <t>Infobae Colombia</t>
        </is>
      </c>
      <c r="D15" s="38" t="inlineStr">
        <is>
          <t>Seguridad y orden público</t>
        </is>
      </c>
      <c r="E15" s="38" t="inlineStr">
        <is>
          <t>Noticia dura</t>
        </is>
      </c>
      <c r="F15" s="38" t="inlineStr">
        <is>
          <t>Fri, 04 Sep 2026 21:14:49 +0000</t>
        </is>
      </c>
      <c r="G15" s="62" t="inlineStr">
        <is>
          <t>Sin embargo, la institución no indicó un plazo para completar los registros.</t>
        </is>
      </c>
      <c r="H15" s="62" t="inlineStr">
        <is>
          <t>En cuanto a los procedimientos sobre los cuatro cuerpos pendientes, las identificaciones continuarán pese a las dificultades que presentan los cadáveres.</t>
        </is>
      </c>
      <c r="I15" s="62" t="inlineStr">
        <is>
          <t>En su pronunciamiento, el organismo afirmó que mantendrá su compromiso con la independencia técnica y la transparencia en apoyo a la administración de justicia.</t>
        </is>
      </c>
      <c r="J15" s="38" t="n"/>
      <c r="K15" s="62" t="n"/>
      <c r="L15" s="38" t="n"/>
      <c r="M15" s="62" t="n"/>
      <c r="N15" s="38" t="n"/>
      <c r="O15" s="62" t="n"/>
      <c r="P15" s="38" t="n"/>
      <c r="Q15" s="62" t="n"/>
      <c r="R15" s="38" t="n"/>
      <c r="S15" s="62" t="n"/>
      <c r="T15" s="38" t="n"/>
      <c r="U15" s="62" t="n"/>
      <c r="V15" s="38" t="n"/>
      <c r="W15" s="62" t="n"/>
      <c r="X15" s="38" t="n"/>
      <c r="Y15" s="62" t="n"/>
      <c r="Z15" s="38" t="n"/>
      <c r="AA15" s="62" t="n"/>
      <c r="AB15" s="38" t="n"/>
      <c r="AC15" s="62" t="n"/>
      <c r="AD15" s="38" t="n"/>
      <c r="AE15" s="38" t="n"/>
      <c r="AF15" s="61">
        <f>IF(COUNTIF($B$5:B15,B15)=1,1,0)</f>
        <v/>
      </c>
      <c r="AG15" s="62" t="inlineStr">
        <is>
          <t>https://www.infobae.com/colombia/2026/09/04/medicina-legal-confirmo-los-resultados-de-la-operacion-azarias-en-guaviare-en-la-que-murieron-23-disidentes-dos-eran-menores-de-edad/</t>
        </is>
      </c>
    </row>
    <row r="16" ht="15" customHeight="1" s="31">
      <c r="A16" s="38" t="inlineStr">
        <is>
          <t>https://www.infobae.com/colombia/2026/09/04/medicina-legal-confirmo-los-resultados-de-la-operacion-azarias-en-guaviare-en-la-que-murieron-23-disidentes-dos-eran-menores-de-edad/</t>
        </is>
      </c>
      <c r="B16" s="38" t="inlineStr">
        <is>
          <t>https://www.infobae.com/colombia/2026/09/04/medicina-legal-confirmo-los-resultados-de-la-operacion-azarias-en-guaviare-en-la-que-murieron-23-disidentes-dos-eran-menores-de-edad/_S09</t>
        </is>
      </c>
      <c r="C16" s="38" t="inlineStr">
        <is>
          <t>Infobae Colombia</t>
        </is>
      </c>
      <c r="D16" s="38" t="inlineStr">
        <is>
          <t>Seguridad y orden público</t>
        </is>
      </c>
      <c r="E16" s="38" t="inlineStr">
        <is>
          <t>Noticia dura</t>
        </is>
      </c>
      <c r="F16" s="38" t="inlineStr">
        <is>
          <t>Fri, 04 Sep 2026 21:14:49 +0000</t>
        </is>
      </c>
      <c r="G16" s="62" t="inlineStr">
        <is>
          <t>En su pronunciamiento, el organismo afirmó que mantendrá su compromiso con la independencia técnica y la transparencia en apoyo a la administración de justicia.</t>
        </is>
      </c>
      <c r="H16" s="62" t="inlineStr">
        <is>
          <t>Sin embargo, la institución no indicó un plazo para completar los registros.</t>
        </is>
      </c>
      <c r="I16" s="62" t="inlineStr">
        <is>
          <t>El reporte de Medicina Legal se conoció cuatro días después de que el presidente Abelardo de la Espriella divulgara el resultado del operativo que incluyó bombardeos.</t>
        </is>
      </c>
      <c r="J16" s="38" t="n"/>
      <c r="K16" s="62" t="n"/>
      <c r="L16" s="38" t="n"/>
      <c r="M16" s="62" t="n"/>
      <c r="N16" s="38" t="n"/>
      <c r="O16" s="62" t="n"/>
      <c r="P16" s="38" t="n"/>
      <c r="Q16" s="62" t="n"/>
      <c r="R16" s="38" t="n"/>
      <c r="S16" s="62" t="n"/>
      <c r="T16" s="38" t="n"/>
      <c r="U16" s="62" t="n"/>
      <c r="V16" s="38" t="n"/>
      <c r="W16" s="62" t="n"/>
      <c r="X16" s="38" t="n"/>
      <c r="Y16" s="62" t="n"/>
      <c r="Z16" s="38" t="n"/>
      <c r="AA16" s="62" t="n"/>
      <c r="AB16" s="38" t="n"/>
      <c r="AC16" s="62" t="n"/>
      <c r="AD16" s="38" t="n"/>
      <c r="AE16" s="38" t="n"/>
      <c r="AF16" s="61">
        <f>IF(COUNTIF($B$5:B16,B16)=1,1,0)</f>
        <v/>
      </c>
      <c r="AG16" s="62" t="inlineStr">
        <is>
          <t>https://www.infobae.com/colombia/2026/09/04/medicina-legal-confirmo-los-resultados-de-la-operacion-azarias-en-guaviare-en-la-que-murieron-23-disidentes-dos-eran-menores-de-edad/</t>
        </is>
      </c>
    </row>
    <row r="17" ht="15" customHeight="1" s="31">
      <c r="A17" s="38" t="inlineStr">
        <is>
          <t>https://www.infobae.com/colombia/2026/09/04/medicina-legal-confirmo-los-resultados-de-la-operacion-azarias-en-guaviare-en-la-que-murieron-23-disidentes-dos-eran-menores-de-edad/</t>
        </is>
      </c>
      <c r="B17" s="38" t="inlineStr">
        <is>
          <t>https://www.infobae.com/colombia/2026/09/04/medicina-legal-confirmo-los-resultados-de-la-operacion-azarias-en-guaviare-en-la-que-murieron-23-disidentes-dos-eran-menores-de-edad/_S10</t>
        </is>
      </c>
      <c r="C17" s="38" t="inlineStr">
        <is>
          <t>Infobae Colombia</t>
        </is>
      </c>
      <c r="D17" s="38" t="inlineStr">
        <is>
          <t>Seguridad y orden público</t>
        </is>
      </c>
      <c r="E17" s="38" t="inlineStr">
        <is>
          <t>Noticia dura</t>
        </is>
      </c>
      <c r="F17" s="38" t="inlineStr">
        <is>
          <t>Fri, 04 Sep 2026 21:14:49 +0000</t>
        </is>
      </c>
      <c r="G17" s="62" t="inlineStr">
        <is>
          <t>El reporte de Medicina Legal se conoció cuatro días después de que el presidente Abelardo de la Espriella divulgara el resultado del operativo que incluyó bombardeos.</t>
        </is>
      </c>
      <c r="H17" s="62" t="inlineStr">
        <is>
          <t>En su pronunciamiento, el organismo afirmó que mantendrá su compromiso con la independencia técnica y la transparencia en apoyo a la administración de justicia.</t>
        </is>
      </c>
      <c r="I17" s="62" t="inlineStr">
        <is>
          <t>Según el mandatario, durante la incursión murió alias El Tigre, a quien identificó como jefe del frente Carolina Ramírez, de las disidencias de las Farc.</t>
        </is>
      </c>
      <c r="J17" s="38" t="n"/>
      <c r="K17" s="62" t="n"/>
      <c r="L17" s="38" t="n"/>
      <c r="M17" s="62" t="n"/>
      <c r="N17" s="38" t="n"/>
      <c r="O17" s="62" t="n"/>
      <c r="P17" s="38" t="n"/>
      <c r="Q17" s="62" t="n"/>
      <c r="R17" s="38" t="n"/>
      <c r="S17" s="62" t="n"/>
      <c r="T17" s="38" t="n"/>
      <c r="U17" s="62" t="n"/>
      <c r="V17" s="38" t="n"/>
      <c r="W17" s="62" t="n"/>
      <c r="X17" s="38" t="n"/>
      <c r="Y17" s="62" t="n"/>
      <c r="Z17" s="38" t="n"/>
      <c r="AA17" s="62" t="n"/>
      <c r="AB17" s="38" t="n"/>
      <c r="AC17" s="62" t="n"/>
      <c r="AD17" s="38" t="n"/>
      <c r="AE17" s="38" t="n"/>
      <c r="AF17" s="61">
        <f>IF(COUNTIF($B$5:B17,B17)=1,1,0)</f>
        <v/>
      </c>
      <c r="AG17" s="62" t="inlineStr">
        <is>
          <t>https://www.infobae.com/colombia/2026/09/04/medicina-legal-confirmo-los-resultados-de-la-operacion-azarias-en-guaviare-en-la-que-murieron-23-disidentes-dos-eran-menores-de-edad/</t>
        </is>
      </c>
    </row>
    <row r="18" ht="15" customHeight="1" s="31">
      <c r="A18" s="38" t="inlineStr">
        <is>
          <t>https://www.infobae.com/colombia/2026/09/04/medicina-legal-confirmo-los-resultados-de-la-operacion-azarias-en-guaviare-en-la-que-murieron-23-disidentes-dos-eran-menores-de-edad/</t>
        </is>
      </c>
      <c r="B18" s="38" t="inlineStr">
        <is>
          <t>https://www.infobae.com/colombia/2026/09/04/medicina-legal-confirmo-los-resultados-de-la-operacion-azarias-en-guaviare-en-la-que-murieron-23-disidentes-dos-eran-menores-de-edad/_S11</t>
        </is>
      </c>
      <c r="C18" s="38" t="inlineStr">
        <is>
          <t>Infobae Colombia</t>
        </is>
      </c>
      <c r="D18" s="38" t="inlineStr">
        <is>
          <t>Seguridad y orden público</t>
        </is>
      </c>
      <c r="E18" s="38" t="inlineStr">
        <is>
          <t>Noticia dura</t>
        </is>
      </c>
      <c r="F18" s="38" t="inlineStr">
        <is>
          <t>Fri, 04 Sep 2026 21:14:49 +0000</t>
        </is>
      </c>
      <c r="G18" s="62" t="inlineStr">
        <is>
          <t>Según el mandatario, durante la incursión murió alias El Tigre, a quien identificó como jefe del frente Carolina Ramírez, de las disidencias de las Farc.</t>
        </is>
      </c>
      <c r="H18" s="62" t="inlineStr">
        <is>
          <t>El reporte de Medicina Legal se conoció cuatro días después de que el presidente Abelardo de la Espriella divulgara el resultado del operativo que incluyó bombardeos.</t>
        </is>
      </c>
      <c r="I18" s="62" t="inlineStr">
        <is>
          <t>Esa estructura operaba bajo el mando de Néstor Gregorio Vera, alias Iván Mordisco, señalado por el Gobierno nacional como el hombre más buscado del país.</t>
        </is>
      </c>
      <c r="J18" s="38" t="n"/>
      <c r="K18" s="62" t="n"/>
      <c r="L18" s="38" t="n"/>
      <c r="M18" s="62" t="n"/>
      <c r="N18" s="38" t="n"/>
      <c r="O18" s="62" t="n"/>
      <c r="P18" s="38" t="n"/>
      <c r="Q18" s="62" t="n"/>
      <c r="R18" s="38" t="n"/>
      <c r="S18" s="62" t="n"/>
      <c r="T18" s="38" t="n"/>
      <c r="U18" s="62" t="n"/>
      <c r="V18" s="38" t="n"/>
      <c r="W18" s="62" t="n"/>
      <c r="X18" s="38" t="n"/>
      <c r="Y18" s="62" t="n"/>
      <c r="Z18" s="38" t="n"/>
      <c r="AA18" s="62" t="n"/>
      <c r="AB18" s="38" t="n"/>
      <c r="AC18" s="62" t="n"/>
      <c r="AD18" s="38" t="n"/>
      <c r="AE18" s="38" t="n"/>
      <c r="AF18" s="61">
        <f>IF(COUNTIF($B$5:B18,B18)=1,1,0)</f>
        <v/>
      </c>
      <c r="AG18" s="62" t="inlineStr">
        <is>
          <t>https://www.infobae.com/colombia/2026/09/04/medicina-legal-confirmo-los-resultados-de-la-operacion-azarias-en-guaviare-en-la-que-murieron-23-disidentes-dos-eran-menores-de-edad/</t>
        </is>
      </c>
    </row>
    <row r="19" ht="15" customHeight="1" s="31">
      <c r="A19" s="38" t="inlineStr">
        <is>
          <t>https://www.infobae.com/colombia/2026/09/04/medicina-legal-confirmo-los-resultados-de-la-operacion-azarias-en-guaviare-en-la-que-murieron-23-disidentes-dos-eran-menores-de-edad/</t>
        </is>
      </c>
      <c r="B19" s="38" t="inlineStr">
        <is>
          <t>https://www.infobae.com/colombia/2026/09/04/medicina-legal-confirmo-los-resultados-de-la-operacion-azarias-en-guaviare-en-la-que-murieron-23-disidentes-dos-eran-menores-de-edad/_S12</t>
        </is>
      </c>
      <c r="C19" s="38" t="inlineStr">
        <is>
          <t>Infobae Colombia</t>
        </is>
      </c>
      <c r="D19" s="38" t="inlineStr">
        <is>
          <t>Seguridad y orden público</t>
        </is>
      </c>
      <c r="E19" s="38" t="inlineStr">
        <is>
          <t>Noticia dura</t>
        </is>
      </c>
      <c r="F19" s="38" t="inlineStr">
        <is>
          <t>Fri, 04 Sep 2026 21:14:49 +0000</t>
        </is>
      </c>
      <c r="G19" s="62" t="inlineStr">
        <is>
          <t>Esa estructura operaba bajo el mando de Néstor Gregorio Vera, alias Iván Mordisco, señalado por el Gobierno nacional como el hombre más buscado del país.</t>
        </is>
      </c>
      <c r="H19" s="62" t="inlineStr">
        <is>
          <t>Según el mandatario, durante la incursión murió alias El Tigre, a quien identificó como jefe del frente Carolina Ramírez, de las disidencias de las Farc.</t>
        </is>
      </c>
      <c r="I19" s="62" t="n"/>
      <c r="J19" s="38" t="n"/>
      <c r="K19" s="62" t="n"/>
      <c r="L19" s="38" t="n"/>
      <c r="M19" s="62" t="n"/>
      <c r="N19" s="38" t="n"/>
      <c r="O19" s="62" t="n"/>
      <c r="P19" s="38" t="n"/>
      <c r="Q19" s="62" t="n"/>
      <c r="R19" s="38" t="n"/>
      <c r="S19" s="62" t="n"/>
      <c r="T19" s="38" t="n"/>
      <c r="U19" s="62" t="n"/>
      <c r="V19" s="38" t="n"/>
      <c r="W19" s="62" t="n"/>
      <c r="X19" s="38" t="n"/>
      <c r="Y19" s="62" t="n"/>
      <c r="Z19" s="38" t="n"/>
      <c r="AA19" s="62" t="n"/>
      <c r="AB19" s="38" t="n"/>
      <c r="AC19" s="62" t="n"/>
      <c r="AD19" s="38" t="n"/>
      <c r="AE19" s="38" t="n"/>
      <c r="AF19" s="61">
        <f>IF(COUNTIF($B$5:B19,B19)=1,1,0)</f>
        <v/>
      </c>
      <c r="AG19" s="62" t="inlineStr">
        <is>
          <t>https://www.infobae.com/colombia/2026/09/04/medicina-legal-confirmo-los-resultados-de-la-operacion-azarias-en-guaviare-en-la-que-murieron-23-disidentes-dos-eran-menores-de-edad/</t>
        </is>
      </c>
    </row>
    <row r="20" ht="15" customHeight="1" s="31">
      <c r="A20" s="38" t="inlineStr">
        <is>
          <t>https://www.infobae.com/colombia/2026/09/04/encontraron-muertos-a-tres-miembros-de-una-misma-familia-dentro-de-su-vivienda-en-bogota-accidente-o-suicidio-colectivo/</t>
        </is>
      </c>
      <c r="B20" s="38" t="inlineStr">
        <is>
          <t>https://www.infobae.com/colombia/2026/09/04/encontraron-muertos-a-tres-miembros-de-una-misma-familia-dentro-de-su-vivienda-en-bogota-accidente-o-suicidio-colectivo/_S01</t>
        </is>
      </c>
      <c r="C20" s="38" t="inlineStr">
        <is>
          <t>Infobae Colombia</t>
        </is>
      </c>
      <c r="D20" s="38" t="inlineStr">
        <is>
          <t>Respuesta a la emergencia del terremoto</t>
        </is>
      </c>
      <c r="E20" s="38" t="inlineStr">
        <is>
          <t>Noticia dura</t>
        </is>
      </c>
      <c r="F20" s="38" t="inlineStr">
        <is>
          <t>Fri, 04 Sep 2026 20:27:11 +0000</t>
        </is>
      </c>
      <c r="G20" s="62" t="inlineStr">
        <is>
          <t>Un caso que se encuentra bajo materia de investigación, y que sembró de luto a un comunidad residencial, se conoció luego de que tres integrantes de una misma familia fueron encontrados sin vida dentro de un apartamento de un conjunto situado en el barrio Casablanca, en la localidad de Kennedy, suroccidente de Bogotá.</t>
        </is>
      </c>
      <c r="H20" s="62" t="n"/>
      <c r="I20" s="62" t="inlineStr">
        <is>
          <t>En el lugar, las autoridades hallaron medicamentos y documentos que, de manera preliminar, podrían corresponder a cartas de despedida.</t>
        </is>
      </c>
      <c r="J20" s="38" t="n"/>
      <c r="K20" s="62" t="n"/>
      <c r="L20" s="38" t="n"/>
      <c r="M20" s="62" t="n"/>
      <c r="N20" s="38" t="n"/>
      <c r="O20" s="62" t="n"/>
      <c r="P20" s="38" t="n"/>
      <c r="Q20" s="62" t="n"/>
      <c r="R20" s="38" t="n"/>
      <c r="S20" s="62" t="n"/>
      <c r="T20" s="38" t="n"/>
      <c r="U20" s="62" t="n"/>
      <c r="V20" s="38" t="n"/>
      <c r="W20" s="62" t="n"/>
      <c r="X20" s="38" t="n"/>
      <c r="Y20" s="62" t="n"/>
      <c r="Z20" s="38" t="n"/>
      <c r="AA20" s="62" t="n"/>
      <c r="AB20" s="38" t="n"/>
      <c r="AC20" s="62" t="n"/>
      <c r="AD20" s="38" t="n"/>
      <c r="AE20" s="38" t="n"/>
      <c r="AF20" s="61">
        <f>IF(COUNTIF($B$5:B20,B20)=1,1,0)</f>
        <v/>
      </c>
      <c r="AG20" s="62" t="inlineStr">
        <is>
          <t>https://www.infobae.com/colombia/2026/09/04/encontraron-muertos-a-tres-miembros-de-una-misma-familia-dentro-de-su-vivienda-en-bogota-accidente-o-suicidio-colectivo/</t>
        </is>
      </c>
    </row>
    <row r="21" ht="15" customHeight="1" s="31">
      <c r="A21" s="38" t="inlineStr">
        <is>
          <t>https://www.infobae.com/colombia/2026/09/04/encontraron-muertos-a-tres-miembros-de-una-misma-familia-dentro-de-su-vivienda-en-bogota-accidente-o-suicidio-colectivo/</t>
        </is>
      </c>
      <c r="B21" s="38" t="inlineStr">
        <is>
          <t>https://www.infobae.com/colombia/2026/09/04/encontraron-muertos-a-tres-miembros-de-una-misma-familia-dentro-de-su-vivienda-en-bogota-accidente-o-suicidio-colectivo/_S02</t>
        </is>
      </c>
      <c r="C21" s="38" t="inlineStr">
        <is>
          <t>Infobae Colombia</t>
        </is>
      </c>
      <c r="D21" s="38" t="inlineStr">
        <is>
          <t>Respuesta a la emergencia del terremoto</t>
        </is>
      </c>
      <c r="E21" s="38" t="inlineStr">
        <is>
          <t>Noticia dura</t>
        </is>
      </c>
      <c r="F21" s="38" t="inlineStr">
        <is>
          <t>Fri, 04 Sep 2026 20:27:11 +0000</t>
        </is>
      </c>
      <c r="G21" s="62" t="inlineStr">
        <is>
          <t>En el lugar, las autoridades hallaron medicamentos y documentos que, de manera preliminar, podrían corresponder a cartas de despedida.</t>
        </is>
      </c>
      <c r="H21" s="62" t="inlineStr">
        <is>
          <t>Un caso que se encuentra bajo materia de investigación, y que sembró de luto a un comunidad residencial, se conoció luego de que tres integrantes de una misma familia fueron encontrados sin vida dentro de un apartamento de un conjunto situado en el barrio Casablanca, en la localidad de Kennedy, suroccidente de Bogotá.</t>
        </is>
      </c>
      <c r="I21" s="62" t="inlineStr">
        <is>
          <t>El caso fue atendido durante la noche del jueves 3 de septiembre por unidades de la Policía Nacional, organismos de emergencia y funcionarios de policía judicial.</t>
        </is>
      </c>
      <c r="J21" s="38" t="n"/>
      <c r="K21" s="62" t="n"/>
      <c r="L21" s="38" t="n"/>
      <c r="M21" s="62" t="n"/>
      <c r="N21" s="38" t="n"/>
      <c r="O21" s="62" t="n"/>
      <c r="P21" s="38" t="n"/>
      <c r="Q21" s="62" t="n"/>
      <c r="R21" s="38" t="n"/>
      <c r="S21" s="62" t="n"/>
      <c r="T21" s="38" t="n"/>
      <c r="U21" s="62" t="n"/>
      <c r="V21" s="38" t="n"/>
      <c r="W21" s="62" t="n"/>
      <c r="X21" s="38" t="n"/>
      <c r="Y21" s="62" t="n"/>
      <c r="Z21" s="38" t="n"/>
      <c r="AA21" s="62" t="n"/>
      <c r="AB21" s="38" t="n"/>
      <c r="AC21" s="62" t="n"/>
      <c r="AD21" s="38" t="n"/>
      <c r="AE21" s="38" t="n"/>
      <c r="AF21" s="61">
        <f>IF(COUNTIF($B$5:B21,B21)=1,1,0)</f>
        <v/>
      </c>
      <c r="AG21" s="62" t="inlineStr">
        <is>
          <t>https://www.infobae.com/colombia/2026/09/04/encontraron-muertos-a-tres-miembros-de-una-misma-familia-dentro-de-su-vivienda-en-bogota-accidente-o-suicidio-colectivo/</t>
        </is>
      </c>
    </row>
    <row r="22" ht="15" customHeight="1" s="31">
      <c r="A22" s="38" t="inlineStr">
        <is>
          <t>https://www.infobae.com/colombia/2026/09/04/encontraron-muertos-a-tres-miembros-de-una-misma-familia-dentro-de-su-vivienda-en-bogota-accidente-o-suicidio-colectivo/</t>
        </is>
      </c>
      <c r="B22" s="38" t="inlineStr">
        <is>
          <t>https://www.infobae.com/colombia/2026/09/04/encontraron-muertos-a-tres-miembros-de-una-misma-familia-dentro-de-su-vivienda-en-bogota-accidente-o-suicidio-colectivo/_S03</t>
        </is>
      </c>
      <c r="C22" s="38" t="inlineStr">
        <is>
          <t>Infobae Colombia</t>
        </is>
      </c>
      <c r="D22" s="38" t="inlineStr">
        <is>
          <t>Respuesta a la emergencia del terremoto</t>
        </is>
      </c>
      <c r="E22" s="38" t="inlineStr">
        <is>
          <t>Noticia dura</t>
        </is>
      </c>
      <c r="F22" s="38" t="inlineStr">
        <is>
          <t>Fri, 04 Sep 2026 20:27:11 +0000</t>
        </is>
      </c>
      <c r="G22" s="62" t="inlineStr">
        <is>
          <t>El caso fue atendido durante la noche del jueves 3 de septiembre por unidades de la Policía Nacional, organismos de emergencia y funcionarios de policía judicial.</t>
        </is>
      </c>
      <c r="H22" s="62" t="inlineStr">
        <is>
          <t>En el lugar, las autoridades hallaron medicamentos y documentos que, de manera preliminar, podrían corresponder a cartas de despedida.</t>
        </is>
      </c>
      <c r="I22" s="62" t="inlineStr">
        <is>
          <t>Las víctimas son dos mujeres y un hombre, de 67, 32 y 44 años, de acuerdo con el informe entregado en la madrugada de este viernes 4 de septiembre.</t>
        </is>
      </c>
      <c r="J22" s="38" t="n"/>
      <c r="K22" s="62" t="n"/>
      <c r="L22" s="38" t="n"/>
      <c r="M22" s="62" t="n"/>
      <c r="N22" s="38" t="n"/>
      <c r="O22" s="62" t="n"/>
      <c r="P22" s="38" t="n"/>
      <c r="Q22" s="62" t="n"/>
      <c r="R22" s="38" t="n"/>
      <c r="S22" s="62" t="n"/>
      <c r="T22" s="38" t="n"/>
      <c r="U22" s="62" t="n"/>
      <c r="V22" s="38" t="n"/>
      <c r="W22" s="62" t="n"/>
      <c r="X22" s="38" t="n"/>
      <c r="Y22" s="62" t="n"/>
      <c r="Z22" s="38" t="n"/>
      <c r="AA22" s="62" t="n"/>
      <c r="AB22" s="38" t="n"/>
      <c r="AC22" s="62" t="n"/>
      <c r="AD22" s="38" t="n"/>
      <c r="AE22" s="38" t="n"/>
      <c r="AF22" s="61">
        <f>IF(COUNTIF($B$5:B22,B22)=1,1,0)</f>
        <v/>
      </c>
      <c r="AG22" s="62" t="inlineStr">
        <is>
          <t>https://www.infobae.com/colombia/2026/09/04/encontraron-muertos-a-tres-miembros-de-una-misma-familia-dentro-de-su-vivienda-en-bogota-accidente-o-suicidio-colectivo/</t>
        </is>
      </c>
    </row>
    <row r="23" ht="15" customHeight="1" s="31">
      <c r="A23" s="38" t="inlineStr">
        <is>
          <t>https://www.infobae.com/colombia/2026/09/04/encontraron-muertos-a-tres-miembros-de-una-misma-familia-dentro-de-su-vivienda-en-bogota-accidente-o-suicidio-colectivo/</t>
        </is>
      </c>
      <c r="B23" s="38" t="inlineStr">
        <is>
          <t>https://www.infobae.com/colombia/2026/09/04/encontraron-muertos-a-tres-miembros-de-una-misma-familia-dentro-de-su-vivienda-en-bogota-accidente-o-suicidio-colectivo/_S04</t>
        </is>
      </c>
      <c r="C23" s="38" t="inlineStr">
        <is>
          <t>Infobae Colombia</t>
        </is>
      </c>
      <c r="D23" s="38" t="inlineStr">
        <is>
          <t>Respuesta a la emergencia del terremoto</t>
        </is>
      </c>
      <c r="E23" s="38" t="inlineStr">
        <is>
          <t>Noticia dura</t>
        </is>
      </c>
      <c r="F23" s="38" t="inlineStr">
        <is>
          <t>Fri, 04 Sep 2026 20:27:11 +0000</t>
        </is>
      </c>
      <c r="G23" s="62" t="inlineStr">
        <is>
          <t>Las víctimas son dos mujeres y un hombre, de 67, 32 y 44 años, de acuerdo con el informe entregado en la madrugada de este viernes 4 de septiembre.</t>
        </is>
      </c>
      <c r="H23" s="62" t="inlineStr">
        <is>
          <t>El caso fue atendido durante la noche del jueves 3 de septiembre por unidades de la Policía Nacional, organismos de emergencia y funcionarios de policía judicial.</t>
        </is>
      </c>
      <c r="I23" s="62" t="inlineStr">
        <is>
          <t>Tras recibir el aviso, los uniformados se desplazaron al sitio para verificar la situación y acordonar el área, mientras se iniciaban las diligencias urgentes.</t>
        </is>
      </c>
      <c r="J23" s="38" t="n"/>
      <c r="K23" s="62" t="n"/>
      <c r="L23" s="38" t="n"/>
      <c r="M23" s="62" t="n"/>
      <c r="N23" s="38" t="n"/>
      <c r="O23" s="62" t="n"/>
      <c r="P23" s="38" t="n"/>
      <c r="Q23" s="62" t="n"/>
      <c r="R23" s="38" t="n"/>
      <c r="S23" s="62" t="n"/>
      <c r="T23" s="38" t="n"/>
      <c r="U23" s="62" t="n"/>
      <c r="V23" s="38" t="n"/>
      <c r="W23" s="62" t="n"/>
      <c r="X23" s="38" t="n"/>
      <c r="Y23" s="62" t="n"/>
      <c r="Z23" s="38" t="n"/>
      <c r="AA23" s="62" t="n"/>
      <c r="AB23" s="38" t="n"/>
      <c r="AC23" s="62" t="n"/>
      <c r="AD23" s="38" t="n"/>
      <c r="AE23" s="38" t="n"/>
      <c r="AF23" s="61">
        <f>IF(COUNTIF($B$5:B23,B23)=1,1,0)</f>
        <v/>
      </c>
      <c r="AG23" s="62" t="inlineStr">
        <is>
          <t>https://www.infobae.com/colombia/2026/09/04/encontraron-muertos-a-tres-miembros-de-una-misma-familia-dentro-de-su-vivienda-en-bogota-accidente-o-suicidio-colectivo/</t>
        </is>
      </c>
    </row>
    <row r="24" ht="15" customHeight="1" s="31">
      <c r="A24" s="38" t="inlineStr">
        <is>
          <t>https://www.infobae.com/colombia/2026/09/04/encontraron-muertos-a-tres-miembros-de-una-misma-familia-dentro-de-su-vivienda-en-bogota-accidente-o-suicidio-colectivo/</t>
        </is>
      </c>
      <c r="B24" s="38" t="inlineStr">
        <is>
          <t>https://www.infobae.com/colombia/2026/09/04/encontraron-muertos-a-tres-miembros-de-una-misma-familia-dentro-de-su-vivienda-en-bogota-accidente-o-suicidio-colectivo/_S05</t>
        </is>
      </c>
      <c r="C24" s="38" t="inlineStr">
        <is>
          <t>Infobae Colombia</t>
        </is>
      </c>
      <c r="D24" s="38" t="inlineStr">
        <is>
          <t>Respuesta a la emergencia del terremoto</t>
        </is>
      </c>
      <c r="E24" s="38" t="inlineStr">
        <is>
          <t>Noticia dura</t>
        </is>
      </c>
      <c r="F24" s="38" t="inlineStr">
        <is>
          <t>Fri, 04 Sep 2026 20:27:11 +0000</t>
        </is>
      </c>
      <c r="G24" s="62" t="inlineStr">
        <is>
          <t>Tras recibir el aviso, los uniformados se desplazaron al sitio para verificar la situación y acordonar el área, mientras se iniciaban las diligencias urgentes.</t>
        </is>
      </c>
      <c r="H24" s="62" t="inlineStr">
        <is>
          <t>Las víctimas son dos mujeres y un hombre, de 67, 32 y 44 años, de acuerdo con el informe entregado en la madrugada de este viernes 4 de septiembre.</t>
        </is>
      </c>
      <c r="I24" s="62" t="inlineStr">
        <is>
          <t>“La Policía Nacional se permite informar que en la localidad de Kennedy, multifamiliar del barrio Casa Blanca, fueron encontrados tres miembros de una familia sin signos vitales”, indicó el tniente coronel Julián Felipe Cetina Rodríguez, oficial de Guarnición de la Policía Metropolitana de Bogotá.</t>
        </is>
      </c>
      <c r="J24" s="38" t="n"/>
      <c r="K24" s="62" t="n"/>
      <c r="L24" s="38" t="n"/>
      <c r="M24" s="62" t="n"/>
      <c r="N24" s="38" t="n"/>
      <c r="O24" s="62" t="n"/>
      <c r="P24" s="38" t="n"/>
      <c r="Q24" s="62" t="n"/>
      <c r="R24" s="38" t="n"/>
      <c r="S24" s="62" t="n"/>
      <c r="T24" s="38" t="n"/>
      <c r="U24" s="62" t="n"/>
      <c r="V24" s="38" t="n"/>
      <c r="W24" s="62" t="n"/>
      <c r="X24" s="38" t="n"/>
      <c r="Y24" s="62" t="n"/>
      <c r="Z24" s="38" t="n"/>
      <c r="AA24" s="62" t="n"/>
      <c r="AB24" s="38" t="n"/>
      <c r="AC24" s="62" t="n"/>
      <c r="AD24" s="38" t="n"/>
      <c r="AE24" s="38" t="n"/>
      <c r="AF24" s="61">
        <f>IF(COUNTIF($B$5:B24,B24)=1,1,0)</f>
        <v/>
      </c>
      <c r="AG24" s="62" t="inlineStr">
        <is>
          <t>https://www.infobae.com/colombia/2026/09/04/encontraron-muertos-a-tres-miembros-de-una-misma-familia-dentro-de-su-vivienda-en-bogota-accidente-o-suicidio-colectivo/</t>
        </is>
      </c>
    </row>
    <row r="25" ht="15" customHeight="1" s="31">
      <c r="A25" s="38" t="inlineStr">
        <is>
          <t>https://www.infobae.com/colombia/2026/09/04/encontraron-muertos-a-tres-miembros-de-una-misma-familia-dentro-de-su-vivienda-en-bogota-accidente-o-suicidio-colectivo/</t>
        </is>
      </c>
      <c r="B25" s="38" t="inlineStr">
        <is>
          <t>https://www.infobae.com/colombia/2026/09/04/encontraron-muertos-a-tres-miembros-de-una-misma-familia-dentro-de-su-vivienda-en-bogota-accidente-o-suicidio-colectivo/_S06</t>
        </is>
      </c>
      <c r="C25" s="38" t="inlineStr">
        <is>
          <t>Infobae Colombia</t>
        </is>
      </c>
      <c r="D25" s="38" t="inlineStr">
        <is>
          <t>Respuesta a la emergencia del terremoto</t>
        </is>
      </c>
      <c r="E25" s="38" t="inlineStr">
        <is>
          <t>Noticia dura</t>
        </is>
      </c>
      <c r="F25" s="38" t="inlineStr">
        <is>
          <t>Fri, 04 Sep 2026 20:27:11 +0000</t>
        </is>
      </c>
      <c r="G25" s="62" t="inlineStr">
        <is>
          <t>“La Policía Nacional se permite informar que en la localidad de Kennedy, multifamiliar del barrio Casa Blanca, fueron encontrados tres miembros de una familia sin signos vitales”, indicó el tniente coronel Julián Felipe Cetina Rodríguez, oficial de Guarnición de la Policía Metropolitana de Bogotá.</t>
        </is>
      </c>
      <c r="H25" s="62" t="inlineStr">
        <is>
          <t>Tras recibir el aviso, los uniformados se desplazaron al sitio para verificar la situación y acordonar el área, mientras se iniciaban las diligencias urgentes.</t>
        </is>
      </c>
      <c r="I25" s="62" t="inlineStr">
        <is>
          <t>Medicamentos y documentos fueron encontrados dentro del apartamento</t>
        </is>
      </c>
      <c r="J25" s="38" t="n"/>
      <c r="K25" s="62" t="n"/>
      <c r="L25" s="38" t="n"/>
      <c r="M25" s="62" t="n"/>
      <c r="N25" s="38" t="n"/>
      <c r="O25" s="62" t="n"/>
      <c r="P25" s="38" t="n"/>
      <c r="Q25" s="62" t="n"/>
      <c r="R25" s="38" t="n"/>
      <c r="S25" s="62" t="n"/>
      <c r="T25" s="38" t="n"/>
      <c r="U25" s="62" t="n"/>
      <c r="V25" s="38" t="n"/>
      <c r="W25" s="62" t="n"/>
      <c r="X25" s="38" t="n"/>
      <c r="Y25" s="62" t="n"/>
      <c r="Z25" s="38" t="n"/>
      <c r="AA25" s="62" t="n"/>
      <c r="AB25" s="38" t="n"/>
      <c r="AC25" s="62" t="n"/>
      <c r="AD25" s="38" t="n"/>
      <c r="AE25" s="38" t="n"/>
      <c r="AF25" s="61">
        <f>IF(COUNTIF($B$5:B25,B25)=1,1,0)</f>
        <v/>
      </c>
      <c r="AG25" s="62" t="inlineStr">
        <is>
          <t>https://www.infobae.com/colombia/2026/09/04/encontraron-muertos-a-tres-miembros-de-una-misma-familia-dentro-de-su-vivienda-en-bogota-accidente-o-suicidio-colectivo/</t>
        </is>
      </c>
    </row>
    <row r="26" ht="15" customHeight="1" s="31">
      <c r="A26" s="38" t="inlineStr">
        <is>
          <t>https://www.infobae.com/colombia/2026/09/04/encontraron-muertos-a-tres-miembros-de-una-misma-familia-dentro-de-su-vivienda-en-bogota-accidente-o-suicidio-colectivo/</t>
        </is>
      </c>
      <c r="B26" s="38" t="inlineStr">
        <is>
          <t>https://www.infobae.com/colombia/2026/09/04/encontraron-muertos-a-tres-miembros-de-una-misma-familia-dentro-de-su-vivienda-en-bogota-accidente-o-suicidio-colectivo/_S07</t>
        </is>
      </c>
      <c r="C26" s="38" t="inlineStr">
        <is>
          <t>Infobae Colombia</t>
        </is>
      </c>
      <c r="D26" s="38" t="inlineStr">
        <is>
          <t>Respuesta a la emergencia del terremoto</t>
        </is>
      </c>
      <c r="E26" s="38" t="inlineStr">
        <is>
          <t>Noticia dura</t>
        </is>
      </c>
      <c r="F26" s="38" t="inlineStr">
        <is>
          <t>Fri, 04 Sep 2026 20:27:11 +0000</t>
        </is>
      </c>
      <c r="G26" s="62" t="inlineStr">
        <is>
          <t>Medicamentos y documentos fueron encontrados dentro del apartamento</t>
        </is>
      </c>
      <c r="H26" s="62" t="inlineStr">
        <is>
          <t>“La Policía Nacional se permite informar que en la localidad de Kennedy, multifamiliar del barrio Casa Blanca, fueron encontrados tres miembros de una familia sin signos vitales”, indicó el tniente coronel Julián Felipe Cetina Rodríguez, oficial de Guarnición de la Policía Metropolitana de Bogotá.</t>
        </is>
      </c>
      <c r="I26" s="62" t="inlineStr">
        <is>
          <t>La inspección del inmueble situado en un tercer piso permitió encontrar varios elementos que fueron puestos a disposición de los investigadores.</t>
        </is>
      </c>
      <c r="J26" s="38" t="n"/>
      <c r="K26" s="62" t="n"/>
      <c r="L26" s="38" t="n"/>
      <c r="M26" s="62" t="n"/>
      <c r="N26" s="38" t="n"/>
      <c r="O26" s="62" t="n"/>
      <c r="P26" s="38" t="n"/>
      <c r="Q26" s="62" t="n"/>
      <c r="R26" s="38" t="n"/>
      <c r="S26" s="62" t="n"/>
      <c r="T26" s="38" t="n"/>
      <c r="U26" s="62" t="n"/>
      <c r="V26" s="38" t="n"/>
      <c r="W26" s="62" t="n"/>
      <c r="X26" s="38" t="n"/>
      <c r="Y26" s="62" t="n"/>
      <c r="Z26" s="38" t="n"/>
      <c r="AA26" s="62" t="n"/>
      <c r="AB26" s="38" t="n"/>
      <c r="AC26" s="62" t="n"/>
      <c r="AD26" s="38" t="n"/>
      <c r="AE26" s="38" t="n"/>
      <c r="AF26" s="61">
        <f>IF(COUNTIF($B$5:B26,B26)=1,1,0)</f>
        <v/>
      </c>
      <c r="AG26" s="62" t="inlineStr">
        <is>
          <t>https://www.infobae.com/colombia/2026/09/04/encontraron-muertos-a-tres-miembros-de-una-misma-familia-dentro-de-su-vivienda-en-bogota-accidente-o-suicidio-colectivo/</t>
        </is>
      </c>
    </row>
    <row r="27" ht="15" customHeight="1" s="31">
      <c r="A27" s="38" t="inlineStr">
        <is>
          <t>https://www.infobae.com/colombia/2026/09/04/encontraron-muertos-a-tres-miembros-de-una-misma-familia-dentro-de-su-vivienda-en-bogota-accidente-o-suicidio-colectivo/</t>
        </is>
      </c>
      <c r="B27" s="38" t="inlineStr">
        <is>
          <t>https://www.infobae.com/colombia/2026/09/04/encontraron-muertos-a-tres-miembros-de-una-misma-familia-dentro-de-su-vivienda-en-bogota-accidente-o-suicidio-colectivo/_S08</t>
        </is>
      </c>
      <c r="C27" s="38" t="inlineStr">
        <is>
          <t>Infobae Colombia</t>
        </is>
      </c>
      <c r="D27" s="38" t="inlineStr">
        <is>
          <t>Respuesta a la emergencia del terremoto</t>
        </is>
      </c>
      <c r="E27" s="38" t="inlineStr">
        <is>
          <t>Noticia dura</t>
        </is>
      </c>
      <c r="F27" s="38" t="inlineStr">
        <is>
          <t>Fri, 04 Sep 2026 20:27:11 +0000</t>
        </is>
      </c>
      <c r="G27" s="62" t="inlineStr">
        <is>
          <t>La inspección del inmueble situado en un tercer piso permitió encontrar varios elementos que fueron puestos a disposición de los investigadores.</t>
        </is>
      </c>
      <c r="H27" s="62" t="inlineStr">
        <is>
          <t>Medicamentos y documentos fueron encontrados dentro del apartamento</t>
        </is>
      </c>
      <c r="I27" s="62" t="inlineStr">
        <is>
          <t>Entre ellos había medicamentos y documentos que, según la información inicial, podrían aportar pistas sobre las circunstancias de los fallecimientos, destacó un informe del diario El Tiempo.</t>
        </is>
      </c>
      <c r="J27" s="38" t="n"/>
      <c r="K27" s="62" t="n"/>
      <c r="L27" s="38" t="n"/>
      <c r="M27" s="62" t="n"/>
      <c r="N27" s="38" t="n"/>
      <c r="O27" s="62" t="n"/>
      <c r="P27" s="38" t="n"/>
      <c r="Q27" s="62" t="n"/>
      <c r="R27" s="38" t="n"/>
      <c r="S27" s="62" t="n"/>
      <c r="T27" s="38" t="n"/>
      <c r="U27" s="62" t="n"/>
      <c r="V27" s="38" t="n"/>
      <c r="W27" s="62" t="n"/>
      <c r="X27" s="38" t="n"/>
      <c r="Y27" s="62" t="n"/>
      <c r="Z27" s="38" t="n"/>
      <c r="AA27" s="62" t="n"/>
      <c r="AB27" s="38" t="n"/>
      <c r="AC27" s="62" t="n"/>
      <c r="AD27" s="38" t="n"/>
      <c r="AE27" s="38" t="n"/>
      <c r="AF27" s="61">
        <f>IF(COUNTIF($B$5:B27,B27)=1,1,0)</f>
        <v/>
      </c>
      <c r="AG27" s="62" t="inlineStr">
        <is>
          <t>https://www.infobae.com/colombia/2026/09/04/encontraron-muertos-a-tres-miembros-de-una-misma-familia-dentro-de-su-vivienda-en-bogota-accidente-o-suicidio-colectivo/</t>
        </is>
      </c>
    </row>
    <row r="28" ht="15" customHeight="1" s="31">
      <c r="A28" s="38" t="inlineStr">
        <is>
          <t>https://www.infobae.com/colombia/2026/09/04/encontraron-muertos-a-tres-miembros-de-una-misma-familia-dentro-de-su-vivienda-en-bogota-accidente-o-suicidio-colectivo/</t>
        </is>
      </c>
      <c r="B28" s="38" t="inlineStr">
        <is>
          <t>https://www.infobae.com/colombia/2026/09/04/encontraron-muertos-a-tres-miembros-de-una-misma-familia-dentro-de-su-vivienda-en-bogota-accidente-o-suicidio-colectivo/_S09</t>
        </is>
      </c>
      <c r="C28" s="38" t="inlineStr">
        <is>
          <t>Infobae Colombia</t>
        </is>
      </c>
      <c r="D28" s="38" t="inlineStr">
        <is>
          <t>Respuesta a la emergencia del terremoto</t>
        </is>
      </c>
      <c r="E28" s="38" t="inlineStr">
        <is>
          <t>Noticia dura</t>
        </is>
      </c>
      <c r="F28" s="38" t="inlineStr">
        <is>
          <t>Fri, 04 Sep 2026 20:27:11 +0000</t>
        </is>
      </c>
      <c r="G28" s="62" t="inlineStr">
        <is>
          <t>Entre ellos había medicamentos y documentos que, según la información inicial, podrían aportar pistas sobre las circunstancias de los fallecimientos, destacó un informe del diario El Tiempo.</t>
        </is>
      </c>
      <c r="H28" s="62" t="inlineStr">
        <is>
          <t>La inspección del inmueble situado en un tercer piso permitió encontrar varios elementos que fueron puestos a disposición de los investigadores.</t>
        </is>
      </c>
      <c r="I28" s="62" t="inlineStr">
        <is>
          <t>De acuerdo con El ojo de la noche, los tres miembros de la misma familia, identificados como María Cristina, de 65 años; Joana (38), y Jairo Nicolás Pinzón (35), y se encontraron dentro de la misma habitación.</t>
        </is>
      </c>
      <c r="J28" s="38" t="n"/>
      <c r="K28" s="62" t="n"/>
      <c r="L28" s="38" t="n"/>
      <c r="M28" s="62" t="n"/>
      <c r="N28" s="38" t="n"/>
      <c r="O28" s="62" t="n"/>
      <c r="P28" s="38" t="n"/>
      <c r="Q28" s="62" t="n"/>
      <c r="R28" s="38" t="n"/>
      <c r="S28" s="62" t="n"/>
      <c r="T28" s="38" t="n"/>
      <c r="U28" s="62" t="n"/>
      <c r="V28" s="38" t="n"/>
      <c r="W28" s="62" t="n"/>
      <c r="X28" s="38" t="n"/>
      <c r="Y28" s="62" t="n"/>
      <c r="Z28" s="38" t="n"/>
      <c r="AA28" s="62" t="n"/>
      <c r="AB28" s="38" t="n"/>
      <c r="AC28" s="62" t="n"/>
      <c r="AD28" s="38" t="n"/>
      <c r="AE28" s="38" t="n"/>
      <c r="AF28" s="61">
        <f>IF(COUNTIF($B$5:B28,B28)=1,1,0)</f>
        <v/>
      </c>
      <c r="AG28" s="62" t="inlineStr">
        <is>
          <t>https://www.infobae.com/colombia/2026/09/04/encontraron-muertos-a-tres-miembros-de-una-misma-familia-dentro-de-su-vivienda-en-bogota-accidente-o-suicidio-colectivo/</t>
        </is>
      </c>
    </row>
    <row r="29" ht="15" customHeight="1" s="31">
      <c r="A29" s="38" t="inlineStr">
        <is>
          <t>https://www.infobae.com/colombia/2026/09/04/encontraron-muertos-a-tres-miembros-de-una-misma-familia-dentro-de-su-vivienda-en-bogota-accidente-o-suicidio-colectivo/</t>
        </is>
      </c>
      <c r="B29" s="38" t="inlineStr">
        <is>
          <t>https://www.infobae.com/colombia/2026/09/04/encontraron-muertos-a-tres-miembros-de-una-misma-familia-dentro-de-su-vivienda-en-bogota-accidente-o-suicidio-colectivo/_S10</t>
        </is>
      </c>
      <c r="C29" s="38" t="inlineStr">
        <is>
          <t>Infobae Colombia</t>
        </is>
      </c>
      <c r="D29" s="38" t="inlineStr">
        <is>
          <t>Respuesta a la emergencia del terremoto</t>
        </is>
      </c>
      <c r="E29" s="38" t="inlineStr">
        <is>
          <t>Noticia dura</t>
        </is>
      </c>
      <c r="F29" s="38" t="inlineStr">
        <is>
          <t>Fri, 04 Sep 2026 20:27:11 +0000</t>
        </is>
      </c>
      <c r="G29" s="62" t="inlineStr">
        <is>
          <t>De acuerdo con El ojo de la noche, los tres miembros de la misma familia, identificados como María Cristina, de 65 años; Joana (38), y Jairo Nicolás Pinzón (35), y se encontraron dentro de la misma habitación.</t>
        </is>
      </c>
      <c r="H29" s="62" t="inlineStr">
        <is>
          <t>Entre ellos había medicamentos y documentos que, según la información inicial, podrían aportar pistas sobre las circunstancias de los fallecimientos, destacó un informe del diario El Tiempo.</t>
        </is>
      </c>
      <c r="I29" s="62" t="inlineStr">
        <is>
          <t>La Policía señaló que los escritos encontrados permiten inferir la existencia de cartas de despedida.</t>
        </is>
      </c>
      <c r="J29" s="38" t="n"/>
      <c r="K29" s="62" t="n"/>
      <c r="L29" s="38" t="n"/>
      <c r="M29" s="62" t="n"/>
      <c r="N29" s="38" t="n"/>
      <c r="O29" s="62" t="n"/>
      <c r="P29" s="38" t="n"/>
      <c r="Q29" s="62" t="n"/>
      <c r="R29" s="38" t="n"/>
      <c r="S29" s="62" t="n"/>
      <c r="T29" s="38" t="n"/>
      <c r="U29" s="62" t="n"/>
      <c r="V29" s="38" t="n"/>
      <c r="W29" s="62" t="n"/>
      <c r="X29" s="38" t="n"/>
      <c r="Y29" s="62" t="n"/>
      <c r="Z29" s="38" t="n"/>
      <c r="AA29" s="62" t="n"/>
      <c r="AB29" s="38" t="n"/>
      <c r="AC29" s="62" t="n"/>
      <c r="AD29" s="38" t="n"/>
      <c r="AE29" s="38" t="n"/>
      <c r="AF29" s="61">
        <f>IF(COUNTIF($B$5:B29,B29)=1,1,0)</f>
        <v/>
      </c>
      <c r="AG29" s="62" t="inlineStr">
        <is>
          <t>https://www.infobae.com/colombia/2026/09/04/encontraron-muertos-a-tres-miembros-de-una-misma-familia-dentro-de-su-vivienda-en-bogota-accidente-o-suicidio-colectivo/</t>
        </is>
      </c>
    </row>
    <row r="30" ht="15" customHeight="1" s="31">
      <c r="A30" s="38" t="inlineStr">
        <is>
          <t>https://www.infobae.com/colombia/2026/09/04/encontraron-muertos-a-tres-miembros-de-una-misma-familia-dentro-de-su-vivienda-en-bogota-accidente-o-suicidio-colectivo/</t>
        </is>
      </c>
      <c r="B30" s="38" t="inlineStr">
        <is>
          <t>https://www.infobae.com/colombia/2026/09/04/encontraron-muertos-a-tres-miembros-de-una-misma-familia-dentro-de-su-vivienda-en-bogota-accidente-o-suicidio-colectivo/_S11</t>
        </is>
      </c>
      <c r="C30" s="38" t="inlineStr">
        <is>
          <t>Infobae Colombia</t>
        </is>
      </c>
      <c r="D30" s="38" t="inlineStr">
        <is>
          <t>Respuesta a la emergencia del terremoto</t>
        </is>
      </c>
      <c r="E30" s="38" t="inlineStr">
        <is>
          <t>Noticia dura</t>
        </is>
      </c>
      <c r="F30" s="38" t="inlineStr">
        <is>
          <t>Fri, 04 Sep 2026 20:27:11 +0000</t>
        </is>
      </c>
      <c r="G30" s="62" t="inlineStr">
        <is>
          <t>La Policía señaló que los escritos encontrados permiten inferir la existencia de cartas de despedida.</t>
        </is>
      </c>
      <c r="H30" s="62" t="inlineStr">
        <is>
          <t>De acuerdo con El ojo de la noche, los tres miembros de la misma familia, identificados como María Cristina, de 65 años; Joana (38), y Jairo Nicolás Pinzón (35), y se encontraron dentro de la misma habitación.</t>
        </is>
      </c>
      <c r="I30" s="62" t="inlineStr">
        <is>
          <t>La autenticidad, el contenido y la relación de esos documentos con la muerte de las tres personas deberán ser determinados dentro de la investigación judicial.</t>
        </is>
      </c>
      <c r="J30" s="38" t="n"/>
      <c r="K30" s="62" t="n"/>
      <c r="L30" s="38" t="n"/>
      <c r="M30" s="62" t="n"/>
      <c r="N30" s="38" t="n"/>
      <c r="O30" s="62" t="n"/>
      <c r="P30" s="38" t="n"/>
      <c r="Q30" s="62" t="n"/>
      <c r="R30" s="38" t="n"/>
      <c r="S30" s="62" t="n"/>
      <c r="T30" s="38" t="n"/>
      <c r="U30" s="62" t="n"/>
      <c r="V30" s="38" t="n"/>
      <c r="W30" s="62" t="n"/>
      <c r="X30" s="38" t="n"/>
      <c r="Y30" s="62" t="n"/>
      <c r="Z30" s="38" t="n"/>
      <c r="AA30" s="62" t="n"/>
      <c r="AB30" s="38" t="n"/>
      <c r="AC30" s="62" t="n"/>
      <c r="AD30" s="38" t="n"/>
      <c r="AE30" s="38" t="n"/>
      <c r="AF30" s="61">
        <f>IF(COUNTIF($B$5:B30,B30)=1,1,0)</f>
        <v/>
      </c>
      <c r="AG30" s="62" t="inlineStr">
        <is>
          <t>https://www.infobae.com/colombia/2026/09/04/encontraron-muertos-a-tres-miembros-de-una-misma-familia-dentro-de-su-vivienda-en-bogota-accidente-o-suicidio-colectivo/</t>
        </is>
      </c>
    </row>
    <row r="31" ht="15" customHeight="1" s="31">
      <c r="A31" s="38" t="inlineStr">
        <is>
          <t>https://www.infobae.com/colombia/2026/09/04/encontraron-muertos-a-tres-miembros-de-una-misma-familia-dentro-de-su-vivienda-en-bogota-accidente-o-suicidio-colectivo/</t>
        </is>
      </c>
      <c r="B31" s="38" t="inlineStr">
        <is>
          <t>https://www.infobae.com/colombia/2026/09/04/encontraron-muertos-a-tres-miembros-de-una-misma-familia-dentro-de-su-vivienda-en-bogota-accidente-o-suicidio-colectivo/_S12</t>
        </is>
      </c>
      <c r="C31" s="38" t="inlineStr">
        <is>
          <t>Infobae Colombia</t>
        </is>
      </c>
      <c r="D31" s="38" t="inlineStr">
        <is>
          <t>Respuesta a la emergencia del terremoto</t>
        </is>
      </c>
      <c r="E31" s="38" t="inlineStr">
        <is>
          <t>Noticia dura</t>
        </is>
      </c>
      <c r="F31" s="38" t="inlineStr">
        <is>
          <t>Fri, 04 Sep 2026 20:27:11 +0000</t>
        </is>
      </c>
      <c r="G31" s="62" t="inlineStr">
        <is>
          <t>La autenticidad, el contenido y la relación de esos documentos con la muerte de las tres personas deberán ser determinados dentro de la investigación judicial.</t>
        </is>
      </c>
      <c r="H31" s="62" t="inlineStr">
        <is>
          <t>La Policía señaló que los escritos encontrados permiten inferir la existencia de cartas de despedida.</t>
        </is>
      </c>
      <c r="I31" s="62" t="n"/>
      <c r="J31" s="38" t="n"/>
      <c r="K31" s="62" t="n"/>
      <c r="L31" s="38" t="n"/>
      <c r="M31" s="62" t="n"/>
      <c r="N31" s="38" t="n"/>
      <c r="O31" s="62" t="n"/>
      <c r="P31" s="38" t="n"/>
      <c r="Q31" s="62" t="n"/>
      <c r="R31" s="38" t="n"/>
      <c r="S31" s="62" t="n"/>
      <c r="T31" s="38" t="n"/>
      <c r="U31" s="62" t="n"/>
      <c r="V31" s="38" t="n"/>
      <c r="W31" s="62" t="n"/>
      <c r="X31" s="38" t="n"/>
      <c r="Y31" s="62" t="n"/>
      <c r="Z31" s="38" t="n"/>
      <c r="AA31" s="62" t="n"/>
      <c r="AB31" s="38" t="n"/>
      <c r="AC31" s="62" t="n"/>
      <c r="AD31" s="38" t="n"/>
      <c r="AE31" s="38" t="n"/>
      <c r="AF31" s="61">
        <f>IF(COUNTIF($B$5:B31,B31)=1,1,0)</f>
        <v/>
      </c>
      <c r="AG31" s="62" t="inlineStr">
        <is>
          <t>https://www.infobae.com/colombia/2026/09/04/encontraron-muertos-a-tres-miembros-de-una-misma-familia-dentro-de-su-vivienda-en-bogota-accidente-o-suicidio-colectivo/</t>
        </is>
      </c>
    </row>
    <row r="32" ht="15" customHeight="1" s="31">
      <c r="A32" s="38" t="inlineStr">
        <is>
          <t>https://www.infobae.com/colombia/2026/09/04/autodefensas-conquistadoras-se-pronunciaron-sobre-la-muerte-del-cabecilla-bendito-menor-y-su-novia-la-bebecita-aseguraron-que-no-habra-represalias/</t>
        </is>
      </c>
      <c r="B32" s="38" t="inlineStr">
        <is>
          <t>https://www.infobae.com/colombia/2026/09/04/autodefensas-conquistadoras-se-pronunciaron-sobre-la-muerte-del-cabecilla-bendito-menor-y-su-novia-la-bebecita-aseguraron-que-no-habra-represalias/_S01</t>
        </is>
      </c>
      <c r="C32" s="38" t="inlineStr">
        <is>
          <t>Infobae Colombia</t>
        </is>
      </c>
      <c r="D32" s="38" t="inlineStr">
        <is>
          <t>Transición de gobierno y relación con la oposición</t>
        </is>
      </c>
      <c r="E32" s="38" t="inlineStr">
        <is>
          <t>Noticia dura</t>
        </is>
      </c>
      <c r="F32" s="38" t="inlineStr">
        <is>
          <t>Fri, 04 Sep 2026 20:26:29 +0000</t>
        </is>
      </c>
      <c r="G32" s="62" t="inlineStr">
        <is>
          <t>En medio de rumores, se confirmó que Naín Pérez Toncel, alias Bendito Menor, cabecilla de las Autodefensas Conquistadoras de la Sierra Nevada (Acsn), fue abatido en una operación militar ejecutada en el barrio Los Olivos de Riohacha, en el departamento de La Guajira.</t>
        </is>
      </c>
      <c r="H32" s="62" t="n"/>
      <c r="I32" s="62" t="inlineStr">
        <is>
          <t>Desde el Batallón Cartagena de Riohacha, el presidente Abelardo de la Espriella se refirió a los hechos y aseguró que este resultado operacional responde a un trabajo conjunto de distintas instituciones de la fuerza pública.</t>
        </is>
      </c>
      <c r="J32" s="38" t="n"/>
      <c r="K32" s="62" t="n"/>
      <c r="L32" s="38" t="n"/>
      <c r="M32" s="62" t="n"/>
      <c r="N32" s="38" t="n"/>
      <c r="O32" s="62" t="n"/>
      <c r="P32" s="38" t="n"/>
      <c r="Q32" s="62" t="n"/>
      <c r="R32" s="38" t="n"/>
      <c r="S32" s="62" t="n"/>
      <c r="T32" s="38" t="n"/>
      <c r="U32" s="62" t="n"/>
      <c r="V32" s="38" t="n"/>
      <c r="W32" s="62" t="n"/>
      <c r="X32" s="38" t="n"/>
      <c r="Y32" s="62" t="n"/>
      <c r="Z32" s="38" t="n"/>
      <c r="AA32" s="62" t="n"/>
      <c r="AB32" s="38" t="n"/>
      <c r="AC32" s="62" t="n"/>
      <c r="AD32" s="38" t="n"/>
      <c r="AE32" s="38" t="n"/>
      <c r="AF32" s="61">
        <f>IF(COUNTIF($B$5:B32,B32)=1,1,0)</f>
        <v/>
      </c>
      <c r="AG32" s="62" t="inlineStr">
        <is>
          <t>https://www.infobae.com/colombia/2026/09/04/autodefensas-conquistadoras-se-pronunciaron-sobre-la-muerte-del-cabecilla-bendito-menor-y-su-novia-la-bebecita-aseguraron-que-no-habra-represalias/</t>
        </is>
      </c>
    </row>
    <row r="33" ht="15" customHeight="1" s="31">
      <c r="A33" s="38" t="inlineStr">
        <is>
          <t>https://www.infobae.com/colombia/2026/09/04/autodefensas-conquistadoras-se-pronunciaron-sobre-la-muerte-del-cabecilla-bendito-menor-y-su-novia-la-bebecita-aseguraron-que-no-habra-represalias/</t>
        </is>
      </c>
      <c r="B33" s="38" t="inlineStr">
        <is>
          <t>https://www.infobae.com/colombia/2026/09/04/autodefensas-conquistadoras-se-pronunciaron-sobre-la-muerte-del-cabecilla-bendito-menor-y-su-novia-la-bebecita-aseguraron-que-no-habra-represalias/_S02</t>
        </is>
      </c>
      <c r="C33" s="38" t="inlineStr">
        <is>
          <t>Infobae Colombia</t>
        </is>
      </c>
      <c r="D33" s="38" t="inlineStr">
        <is>
          <t>Transición de gobierno y relación con la oposición</t>
        </is>
      </c>
      <c r="E33" s="38" t="inlineStr">
        <is>
          <t>Noticia dura</t>
        </is>
      </c>
      <c r="F33" s="38" t="inlineStr">
        <is>
          <t>Fri, 04 Sep 2026 20:26:29 +0000</t>
        </is>
      </c>
      <c r="G33" s="62" t="inlineStr">
        <is>
          <t>Desde el Batallón Cartagena de Riohacha, el presidente Abelardo de la Espriella se refirió a los hechos y aseguró que este resultado operacional responde a un trabajo conjunto de distintas instituciones de la fuerza pública.</t>
        </is>
      </c>
      <c r="H33" s="62" t="inlineStr">
        <is>
          <t>En medio de rumores, se confirmó que Naín Pérez Toncel, alias Bendito Menor, cabecilla de las Autodefensas Conquistadoras de la Sierra Nevada (Acsn), fue abatido en una operación militar ejecutada en el barrio Los Olivos de Riohacha, en el departamento de La Guajira.</t>
        </is>
      </c>
      <c r="I33" s="62" t="inlineStr">
        <is>
          <t>“Gracias a una operación impecable realizada por nuestra Policía Nacional, por un comando especial de la Dijín, se dio de baja a uno de los más peligrosos delincuentes de nuestro país (...).</t>
        </is>
      </c>
      <c r="J33" s="38" t="n"/>
      <c r="K33" s="62" t="n"/>
      <c r="L33" s="38" t="n"/>
      <c r="M33" s="62" t="n"/>
      <c r="N33" s="38" t="n"/>
      <c r="O33" s="62" t="n"/>
      <c r="P33" s="38" t="n"/>
      <c r="Q33" s="62" t="n"/>
      <c r="R33" s="38" t="n"/>
      <c r="S33" s="62" t="n"/>
      <c r="T33" s="38" t="n"/>
      <c r="U33" s="62" t="n"/>
      <c r="V33" s="38" t="n"/>
      <c r="W33" s="62" t="n"/>
      <c r="X33" s="38" t="n"/>
      <c r="Y33" s="62" t="n"/>
      <c r="Z33" s="38" t="n"/>
      <c r="AA33" s="62" t="n"/>
      <c r="AB33" s="38" t="n"/>
      <c r="AC33" s="62" t="n"/>
      <c r="AD33" s="38" t="n"/>
      <c r="AE33" s="38" t="n"/>
      <c r="AF33" s="61">
        <f>IF(COUNTIF($B$5:B33,B33)=1,1,0)</f>
        <v/>
      </c>
      <c r="AG33" s="62" t="inlineStr">
        <is>
          <t>https://www.infobae.com/colombia/2026/09/04/autodefensas-conquistadoras-se-pronunciaron-sobre-la-muerte-del-cabecilla-bendito-menor-y-su-novia-la-bebecita-aseguraron-que-no-habra-represalias/</t>
        </is>
      </c>
    </row>
    <row r="34" ht="15" customHeight="1" s="31">
      <c r="A34" s="38" t="inlineStr">
        <is>
          <t>https://www.infobae.com/colombia/2026/09/04/autodefensas-conquistadoras-se-pronunciaron-sobre-la-muerte-del-cabecilla-bendito-menor-y-su-novia-la-bebecita-aseguraron-que-no-habra-represalias/</t>
        </is>
      </c>
      <c r="B34" s="38" t="inlineStr">
        <is>
          <t>https://www.infobae.com/colombia/2026/09/04/autodefensas-conquistadoras-se-pronunciaron-sobre-la-muerte-del-cabecilla-bendito-menor-y-su-novia-la-bebecita-aseguraron-que-no-habra-represalias/_S03</t>
        </is>
      </c>
      <c r="C34" s="38" t="inlineStr">
        <is>
          <t>Infobae Colombia</t>
        </is>
      </c>
      <c r="D34" s="38" t="inlineStr">
        <is>
          <t>Transición de gobierno y relación con la oposición</t>
        </is>
      </c>
      <c r="E34" s="38" t="inlineStr">
        <is>
          <t>Noticia dura</t>
        </is>
      </c>
      <c r="F34" s="38" t="inlineStr">
        <is>
          <t>Fri, 04 Sep 2026 20:26:29 +0000</t>
        </is>
      </c>
      <c r="G34" s="62" t="inlineStr">
        <is>
          <t>“Gracias a una operación impecable realizada por nuestra Policía Nacional, por un comando especial de la Dijín, se dio de baja a uno de los más peligrosos delincuentes de nuestro país (...).</t>
        </is>
      </c>
      <c r="H34" s="62" t="inlineStr">
        <is>
          <t>Desde el Batallón Cartagena de Riohacha, el presidente Abelardo de la Espriella se refirió a los hechos y aseguró que este resultado operacional responde a un trabajo conjunto de distintas instituciones de la fuerza pública.</t>
        </is>
      </c>
      <c r="I34" s="62" t="inlineStr">
        <is>
          <t>Hoy ha llegado el fin de las actividades criminales de este narcoterrorista que tenía azotada a La Guajira y al Caribe colombiano”, precisó el jefe de Estado en declaraciones públicas.</t>
        </is>
      </c>
      <c r="J34" s="38" t="n"/>
      <c r="K34" s="62" t="n"/>
      <c r="L34" s="38" t="n"/>
      <c r="M34" s="62" t="n"/>
      <c r="N34" s="38" t="n"/>
      <c r="O34" s="62" t="n"/>
      <c r="P34" s="38" t="n"/>
      <c r="Q34" s="62" t="n"/>
      <c r="R34" s="38" t="n"/>
      <c r="S34" s="62" t="n"/>
      <c r="T34" s="38" t="n"/>
      <c r="U34" s="62" t="n"/>
      <c r="V34" s="38" t="n"/>
      <c r="W34" s="62" t="n"/>
      <c r="X34" s="38" t="n"/>
      <c r="Y34" s="62" t="n"/>
      <c r="Z34" s="38" t="n"/>
      <c r="AA34" s="62" t="n"/>
      <c r="AB34" s="38" t="n"/>
      <c r="AC34" s="62" t="n"/>
      <c r="AD34" s="38" t="n"/>
      <c r="AE34" s="38" t="n"/>
      <c r="AF34" s="61">
        <f>IF(COUNTIF($B$5:B34,B34)=1,1,0)</f>
        <v/>
      </c>
      <c r="AG34" s="62" t="inlineStr">
        <is>
          <t>https://www.infobae.com/colombia/2026/09/04/autodefensas-conquistadoras-se-pronunciaron-sobre-la-muerte-del-cabecilla-bendito-menor-y-su-novia-la-bebecita-aseguraron-que-no-habra-represalias/</t>
        </is>
      </c>
    </row>
    <row r="35" ht="15" customHeight="1" s="31">
      <c r="A35" s="38" t="inlineStr">
        <is>
          <t>https://www.infobae.com/colombia/2026/09/04/autodefensas-conquistadoras-se-pronunciaron-sobre-la-muerte-del-cabecilla-bendito-menor-y-su-novia-la-bebecita-aseguraron-que-no-habra-represalias/</t>
        </is>
      </c>
      <c r="B35" s="38" t="inlineStr">
        <is>
          <t>https://www.infobae.com/colombia/2026/09/04/autodefensas-conquistadoras-se-pronunciaron-sobre-la-muerte-del-cabecilla-bendito-menor-y-su-novia-la-bebecita-aseguraron-que-no-habra-represalias/_S04</t>
        </is>
      </c>
      <c r="C35" s="38" t="inlineStr">
        <is>
          <t>Infobae Colombia</t>
        </is>
      </c>
      <c r="D35" s="38" t="inlineStr">
        <is>
          <t>Transición de gobierno y relación con la oposición</t>
        </is>
      </c>
      <c r="E35" s="38" t="inlineStr">
        <is>
          <t>Noticia dura</t>
        </is>
      </c>
      <c r="F35" s="38" t="inlineStr">
        <is>
          <t>Fri, 04 Sep 2026 20:26:29 +0000</t>
        </is>
      </c>
      <c r="G35" s="62" t="inlineStr">
        <is>
          <t>Hoy ha llegado el fin de las actividades criminales de este narcoterrorista que tenía azotada a La Guajira y al Caribe colombiano”, precisó el jefe de Estado en declaraciones públicas.</t>
        </is>
      </c>
      <c r="H35" s="62" t="inlineStr">
        <is>
          <t>“Gracias a una operación impecable realizada por nuestra Policía Nacional, por un comando especial de la Dijín, se dio de baja a uno de los más peligrosos delincuentes de nuestro país (...).</t>
        </is>
      </c>
      <c r="I35" s="62" t="inlineStr">
        <is>
          <t>Por medio de un comunicado, las Acsn también confirmaron la muerte del peligroso cabecilla.</t>
        </is>
      </c>
      <c r="J35" s="38" t="n"/>
      <c r="K35" s="62" t="n"/>
      <c r="L35" s="38" t="n"/>
      <c r="M35" s="62" t="n"/>
      <c r="N35" s="38" t="n"/>
      <c r="O35" s="62" t="n"/>
      <c r="P35" s="38" t="n"/>
      <c r="Q35" s="62" t="n"/>
      <c r="R35" s="38" t="n"/>
      <c r="S35" s="62" t="n"/>
      <c r="T35" s="38" t="n"/>
      <c r="U35" s="62" t="n"/>
      <c r="V35" s="38" t="n"/>
      <c r="W35" s="62" t="n"/>
      <c r="X35" s="38" t="n"/>
      <c r="Y35" s="62" t="n"/>
      <c r="Z35" s="38" t="n"/>
      <c r="AA35" s="62" t="n"/>
      <c r="AB35" s="38" t="n"/>
      <c r="AC35" s="62" t="n"/>
      <c r="AD35" s="38" t="n"/>
      <c r="AE35" s="38" t="n"/>
      <c r="AF35" s="61">
        <f>IF(COUNTIF($B$5:B35,B35)=1,1,0)</f>
        <v/>
      </c>
      <c r="AG35" s="62" t="inlineStr">
        <is>
          <t>https://www.infobae.com/colombia/2026/09/04/autodefensas-conquistadoras-se-pronunciaron-sobre-la-muerte-del-cabecilla-bendito-menor-y-su-novia-la-bebecita-aseguraron-que-no-habra-represalias/</t>
        </is>
      </c>
    </row>
    <row r="36" ht="15" customHeight="1" s="31">
      <c r="A36" s="38" t="inlineStr">
        <is>
          <t>https://www.infobae.com/colombia/2026/09/04/autodefensas-conquistadoras-se-pronunciaron-sobre-la-muerte-del-cabecilla-bendito-menor-y-su-novia-la-bebecita-aseguraron-que-no-habra-represalias/</t>
        </is>
      </c>
      <c r="B36" s="38" t="inlineStr">
        <is>
          <t>https://www.infobae.com/colombia/2026/09/04/autodefensas-conquistadoras-se-pronunciaron-sobre-la-muerte-del-cabecilla-bendito-menor-y-su-novia-la-bebecita-aseguraron-que-no-habra-represalias/_S05</t>
        </is>
      </c>
      <c r="C36" s="38" t="inlineStr">
        <is>
          <t>Infobae Colombia</t>
        </is>
      </c>
      <c r="D36" s="38" t="inlineStr">
        <is>
          <t>Transición de gobierno y relación con la oposición</t>
        </is>
      </c>
      <c r="E36" s="38" t="inlineStr">
        <is>
          <t>Noticia dura</t>
        </is>
      </c>
      <c r="F36" s="38" t="inlineStr">
        <is>
          <t>Fri, 04 Sep 2026 20:26:29 +0000</t>
        </is>
      </c>
      <c r="G36" s="62" t="inlineStr">
        <is>
          <t>Por medio de un comunicado, las Acsn también confirmaron la muerte del peligroso cabecilla.</t>
        </is>
      </c>
      <c r="H36" s="62" t="inlineStr">
        <is>
          <t>Hoy ha llegado el fin de las actividades criminales de este narcoterrorista que tenía azotada a La Guajira y al Caribe colombiano”, precisó el jefe de Estado en declaraciones públicas.</t>
        </is>
      </c>
      <c r="I36" s="62" t="inlineStr">
        <is>
          <t>“Lamentamos profundamente el fallecimiento de Naín Pérez Toncel, ocurrido en el marco de un operativo adelantado por la Fuerza Pública.</t>
        </is>
      </c>
      <c r="J36" s="38" t="n"/>
      <c r="K36" s="62" t="n"/>
      <c r="L36" s="38" t="n"/>
      <c r="M36" s="62" t="n"/>
      <c r="N36" s="38" t="n"/>
      <c r="O36" s="62" t="n"/>
      <c r="P36" s="38" t="n"/>
      <c r="Q36" s="62" t="n"/>
      <c r="R36" s="38" t="n"/>
      <c r="S36" s="62" t="n"/>
      <c r="T36" s="38" t="n"/>
      <c r="U36" s="62" t="n"/>
      <c r="V36" s="38" t="n"/>
      <c r="W36" s="62" t="n"/>
      <c r="X36" s="38" t="n"/>
      <c r="Y36" s="62" t="n"/>
      <c r="Z36" s="38" t="n"/>
      <c r="AA36" s="62" t="n"/>
      <c r="AB36" s="38" t="n"/>
      <c r="AC36" s="62" t="n"/>
      <c r="AD36" s="38" t="n"/>
      <c r="AE36" s="38" t="n"/>
      <c r="AF36" s="61">
        <f>IF(COUNTIF($B$5:B36,B36)=1,1,0)</f>
        <v/>
      </c>
      <c r="AG36" s="62" t="inlineStr">
        <is>
          <t>https://www.infobae.com/colombia/2026/09/04/autodefensas-conquistadoras-se-pronunciaron-sobre-la-muerte-del-cabecilla-bendito-menor-y-su-novia-la-bebecita-aseguraron-que-no-habra-represalias/</t>
        </is>
      </c>
    </row>
    <row r="37" ht="15" customHeight="1" s="31">
      <c r="A37" s="38" t="inlineStr">
        <is>
          <t>https://www.infobae.com/colombia/2026/09/04/autodefensas-conquistadoras-se-pronunciaron-sobre-la-muerte-del-cabecilla-bendito-menor-y-su-novia-la-bebecita-aseguraron-que-no-habra-represalias/</t>
        </is>
      </c>
      <c r="B37" s="38" t="inlineStr">
        <is>
          <t>https://www.infobae.com/colombia/2026/09/04/autodefensas-conquistadoras-se-pronunciaron-sobre-la-muerte-del-cabecilla-bendito-menor-y-su-novia-la-bebecita-aseguraron-que-no-habra-represalias/_S06</t>
        </is>
      </c>
      <c r="C37" s="38" t="inlineStr">
        <is>
          <t>Infobae Colombia</t>
        </is>
      </c>
      <c r="D37" s="38" t="inlineStr">
        <is>
          <t>Transición de gobierno y relación con la oposición</t>
        </is>
      </c>
      <c r="E37" s="38" t="inlineStr">
        <is>
          <t>Noticia dura</t>
        </is>
      </c>
      <c r="F37" s="38" t="inlineStr">
        <is>
          <t>Fri, 04 Sep 2026 20:26:29 +0000</t>
        </is>
      </c>
      <c r="G37" s="62" t="inlineStr">
        <is>
          <t>“Lamentamos profundamente el fallecimiento de Naín Pérez Toncel, ocurrido en el marco de un operativo adelantado por la Fuerza Pública.</t>
        </is>
      </c>
      <c r="H37" s="62" t="inlineStr">
        <is>
          <t>Por medio de un comunicado, las Acsn también confirmaron la muerte del peligroso cabecilla.</t>
        </is>
      </c>
      <c r="I37" s="62" t="inlineStr">
        <is>
          <t>Se reconoce el impacto que este hecho representa para sus familiares, allegados y para las comunidades que han conocido de los acontecimientos registrados durante las últimas horas”, precisó la organización criminal en la comunicación oficial.</t>
        </is>
      </c>
      <c r="J37" s="38" t="n"/>
      <c r="K37" s="62" t="n"/>
      <c r="L37" s="38" t="n"/>
      <c r="M37" s="62" t="n"/>
      <c r="N37" s="38" t="n"/>
      <c r="O37" s="62" t="n"/>
      <c r="P37" s="38" t="n"/>
      <c r="Q37" s="62" t="n"/>
      <c r="R37" s="38" t="n"/>
      <c r="S37" s="62" t="n"/>
      <c r="T37" s="38" t="n"/>
      <c r="U37" s="62" t="n"/>
      <c r="V37" s="38" t="n"/>
      <c r="W37" s="62" t="n"/>
      <c r="X37" s="38" t="n"/>
      <c r="Y37" s="62" t="n"/>
      <c r="Z37" s="38" t="n"/>
      <c r="AA37" s="62" t="n"/>
      <c r="AB37" s="38" t="n"/>
      <c r="AC37" s="62" t="n"/>
      <c r="AD37" s="38" t="n"/>
      <c r="AE37" s="38" t="n"/>
      <c r="AF37" s="61">
        <f>IF(COUNTIF($B$5:B37,B37)=1,1,0)</f>
        <v/>
      </c>
      <c r="AG37" s="62" t="inlineStr">
        <is>
          <t>https://www.infobae.com/colombia/2026/09/04/autodefensas-conquistadoras-se-pronunciaron-sobre-la-muerte-del-cabecilla-bendito-menor-y-su-novia-la-bebecita-aseguraron-que-no-habra-represalias/</t>
        </is>
      </c>
    </row>
    <row r="38" ht="15" customHeight="1" s="31">
      <c r="A38" s="38" t="inlineStr">
        <is>
          <t>https://www.infobae.com/colombia/2026/09/04/autodefensas-conquistadoras-se-pronunciaron-sobre-la-muerte-del-cabecilla-bendito-menor-y-su-novia-la-bebecita-aseguraron-que-no-habra-represalias/</t>
        </is>
      </c>
      <c r="B38" s="38" t="inlineStr">
        <is>
          <t>https://www.infobae.com/colombia/2026/09/04/autodefensas-conquistadoras-se-pronunciaron-sobre-la-muerte-del-cabecilla-bendito-menor-y-su-novia-la-bebecita-aseguraron-que-no-habra-represalias/_S07</t>
        </is>
      </c>
      <c r="C38" s="38" t="inlineStr">
        <is>
          <t>Infobae Colombia</t>
        </is>
      </c>
      <c r="D38" s="38" t="inlineStr">
        <is>
          <t>Transición de gobierno y relación con la oposición</t>
        </is>
      </c>
      <c r="E38" s="38" t="inlineStr">
        <is>
          <t>Noticia dura</t>
        </is>
      </c>
      <c r="F38" s="38" t="inlineStr">
        <is>
          <t>Fri, 04 Sep 2026 20:26:29 +0000</t>
        </is>
      </c>
      <c r="G38" s="62" t="inlineStr">
        <is>
          <t>Se reconoce el impacto que este hecho representa para sus familiares, allegados y para las comunidades que han conocido de los acontecimientos registrados durante las últimas horas”, precisó la organización criminal en la comunicación oficial.</t>
        </is>
      </c>
      <c r="H38" s="62" t="inlineStr">
        <is>
          <t>“Lamentamos profundamente el fallecimiento de Naín Pérez Toncel, ocurrido en el marco de un operativo adelantado por la Fuerza Pública.</t>
        </is>
      </c>
      <c r="I38" s="62" t="inlineStr">
        <is>
          <t>De igual manera, lamentó la muerte de Rosa Angélica Tarazona, alias La Bebecita, que era la pareja sentimental de alias Bendito Menor.</t>
        </is>
      </c>
      <c r="J38" s="38" t="n"/>
      <c r="K38" s="62" t="n"/>
      <c r="L38" s="38" t="n"/>
      <c r="M38" s="62" t="n"/>
      <c r="N38" s="38" t="n"/>
      <c r="O38" s="62" t="n"/>
      <c r="P38" s="38" t="n"/>
      <c r="Q38" s="62" t="n"/>
      <c r="R38" s="38" t="n"/>
      <c r="S38" s="62" t="n"/>
      <c r="T38" s="38" t="n"/>
      <c r="U38" s="62" t="n"/>
      <c r="V38" s="38" t="n"/>
      <c r="W38" s="62" t="n"/>
      <c r="X38" s="38" t="n"/>
      <c r="Y38" s="62" t="n"/>
      <c r="Z38" s="38" t="n"/>
      <c r="AA38" s="62" t="n"/>
      <c r="AB38" s="38" t="n"/>
      <c r="AC38" s="62" t="n"/>
      <c r="AD38" s="38" t="n"/>
      <c r="AE38" s="38" t="n"/>
      <c r="AF38" s="61">
        <f>IF(COUNTIF($B$5:B38,B38)=1,1,0)</f>
        <v/>
      </c>
      <c r="AG38" s="62" t="inlineStr">
        <is>
          <t>https://www.infobae.com/colombia/2026/09/04/autodefensas-conquistadoras-se-pronunciaron-sobre-la-muerte-del-cabecilla-bendito-menor-y-su-novia-la-bebecita-aseguraron-que-no-habra-represalias/</t>
        </is>
      </c>
    </row>
    <row r="39" ht="15" customHeight="1" s="31">
      <c r="A39" s="38" t="inlineStr">
        <is>
          <t>https://www.infobae.com/colombia/2026/09/04/autodefensas-conquistadoras-se-pronunciaron-sobre-la-muerte-del-cabecilla-bendito-menor-y-su-novia-la-bebecita-aseguraron-que-no-habra-represalias/</t>
        </is>
      </c>
      <c r="B39" s="38" t="inlineStr">
        <is>
          <t>https://www.infobae.com/colombia/2026/09/04/autodefensas-conquistadoras-se-pronunciaron-sobre-la-muerte-del-cabecilla-bendito-menor-y-su-novia-la-bebecita-aseguraron-que-no-habra-represalias/_S08</t>
        </is>
      </c>
      <c r="C39" s="38" t="inlineStr">
        <is>
          <t>Infobae Colombia</t>
        </is>
      </c>
      <c r="D39" s="38" t="inlineStr">
        <is>
          <t>Transición de gobierno y relación con la oposición</t>
        </is>
      </c>
      <c r="E39" s="38" t="inlineStr">
        <is>
          <t>Noticia dura</t>
        </is>
      </c>
      <c r="F39" s="38" t="inlineStr">
        <is>
          <t>Fri, 04 Sep 2026 20:26:29 +0000</t>
        </is>
      </c>
      <c r="G39" s="62" t="inlineStr">
        <is>
          <t>De igual manera, lamentó la muerte de Rosa Angélica Tarazona, alias La Bebecita, que era la pareja sentimental de alias Bendito Menor.</t>
        </is>
      </c>
      <c r="H39" s="62" t="inlineStr">
        <is>
          <t>Se reconoce el impacto que este hecho representa para sus familiares, allegados y para las comunidades que han conocido de los acontecimientos registrados durante las últimas horas”, precisó la organización criminal en la comunicación oficial.</t>
        </is>
      </c>
      <c r="I39" s="62" t="inlineStr">
        <is>
          <t>Recientemente, el señalado criminal se había comprometido en matrimonio con la mujer en un evento romántico en la playa.</t>
        </is>
      </c>
      <c r="J39" s="38" t="n"/>
      <c r="K39" s="62" t="n"/>
      <c r="L39" s="38" t="n"/>
      <c r="M39" s="62" t="n"/>
      <c r="N39" s="38" t="n"/>
      <c r="O39" s="62" t="n"/>
      <c r="P39" s="38" t="n"/>
      <c r="Q39" s="62" t="n"/>
      <c r="R39" s="38" t="n"/>
      <c r="S39" s="62" t="n"/>
      <c r="T39" s="38" t="n"/>
      <c r="U39" s="62" t="n"/>
      <c r="V39" s="38" t="n"/>
      <c r="W39" s="62" t="n"/>
      <c r="X39" s="38" t="n"/>
      <c r="Y39" s="62" t="n"/>
      <c r="Z39" s="38" t="n"/>
      <c r="AA39" s="62" t="n"/>
      <c r="AB39" s="38" t="n"/>
      <c r="AC39" s="62" t="n"/>
      <c r="AD39" s="38" t="n"/>
      <c r="AE39" s="38" t="n"/>
      <c r="AF39" s="61">
        <f>IF(COUNTIF($B$5:B39,B39)=1,1,0)</f>
        <v/>
      </c>
      <c r="AG39" s="62" t="inlineStr">
        <is>
          <t>https://www.infobae.com/colombia/2026/09/04/autodefensas-conquistadoras-se-pronunciaron-sobre-la-muerte-del-cabecilla-bendito-menor-y-su-novia-la-bebecita-aseguraron-que-no-habra-represalias/</t>
        </is>
      </c>
    </row>
    <row r="40" ht="15" customHeight="1" s="31">
      <c r="A40" s="38" t="inlineStr">
        <is>
          <t>https://www.infobae.com/colombia/2026/09/04/autodefensas-conquistadoras-se-pronunciaron-sobre-la-muerte-del-cabecilla-bendito-menor-y-su-novia-la-bebecita-aseguraron-que-no-habra-represalias/</t>
        </is>
      </c>
      <c r="B40" s="38" t="inlineStr">
        <is>
          <t>https://www.infobae.com/colombia/2026/09/04/autodefensas-conquistadoras-se-pronunciaron-sobre-la-muerte-del-cabecilla-bendito-menor-y-su-novia-la-bebecita-aseguraron-que-no-habra-represalias/_S09</t>
        </is>
      </c>
      <c r="C40" s="38" t="inlineStr">
        <is>
          <t>Infobae Colombia</t>
        </is>
      </c>
      <c r="D40" s="38" t="inlineStr">
        <is>
          <t>Transición de gobierno y relación con la oposición</t>
        </is>
      </c>
      <c r="E40" s="38" t="inlineStr">
        <is>
          <t>Noticia dura</t>
        </is>
      </c>
      <c r="F40" s="38" t="inlineStr">
        <is>
          <t>Fri, 04 Sep 2026 20:26:29 +0000</t>
        </is>
      </c>
      <c r="G40" s="62" t="inlineStr">
        <is>
          <t>Recientemente, el señalado criminal se había comprometido en matrimonio con la mujer en un evento romántico en la playa.</t>
        </is>
      </c>
      <c r="H40" s="62" t="inlineStr">
        <is>
          <t>De igual manera, lamentó la muerte de Rosa Angélica Tarazona, alias La Bebecita, que era la pareja sentimental de alias Bendito Menor.</t>
        </is>
      </c>
      <c r="I40" s="62" t="inlineStr">
        <is>
          <t>El grupo terrorista también informó que, aunque la operación militar ordenada por el Gobierno nacional supone una afectación para la organización al margen de la ley, no habrá retaliaciones de ningún tipo.</t>
        </is>
      </c>
      <c r="J40" s="38" t="n"/>
      <c r="K40" s="62" t="n"/>
      <c r="L40" s="38" t="n"/>
      <c r="M40" s="62" t="n"/>
      <c r="N40" s="38" t="n"/>
      <c r="O40" s="62" t="n"/>
      <c r="P40" s="38" t="n"/>
      <c r="Q40" s="62" t="n"/>
      <c r="R40" s="38" t="n"/>
      <c r="S40" s="62" t="n"/>
      <c r="T40" s="38" t="n"/>
      <c r="U40" s="62" t="n"/>
      <c r="V40" s="38" t="n"/>
      <c r="W40" s="62" t="n"/>
      <c r="X40" s="38" t="n"/>
      <c r="Y40" s="62" t="n"/>
      <c r="Z40" s="38" t="n"/>
      <c r="AA40" s="62" t="n"/>
      <c r="AB40" s="38" t="n"/>
      <c r="AC40" s="62" t="n"/>
      <c r="AD40" s="38" t="n"/>
      <c r="AE40" s="38" t="n"/>
      <c r="AF40" s="61">
        <f>IF(COUNTIF($B$5:B40,B40)=1,1,0)</f>
        <v/>
      </c>
      <c r="AG40" s="62" t="inlineStr">
        <is>
          <t>https://www.infobae.com/colombia/2026/09/04/autodefensas-conquistadoras-se-pronunciaron-sobre-la-muerte-del-cabecilla-bendito-menor-y-su-novia-la-bebecita-aseguraron-que-no-habra-represalias/</t>
        </is>
      </c>
    </row>
    <row r="41" ht="15" customHeight="1" s="31">
      <c r="A41" s="38" t="inlineStr">
        <is>
          <t>https://www.infobae.com/colombia/2026/09/04/autodefensas-conquistadoras-se-pronunciaron-sobre-la-muerte-del-cabecilla-bendito-menor-y-su-novia-la-bebecita-aseguraron-que-no-habra-represalias/</t>
        </is>
      </c>
      <c r="B41" s="38" t="inlineStr">
        <is>
          <t>https://www.infobae.com/colombia/2026/09/04/autodefensas-conquistadoras-se-pronunciaron-sobre-la-muerte-del-cabecilla-bendito-menor-y-su-novia-la-bebecita-aseguraron-que-no-habra-represalias/_S10</t>
        </is>
      </c>
      <c r="C41" s="38" t="inlineStr">
        <is>
          <t>Infobae Colombia</t>
        </is>
      </c>
      <c r="D41" s="38" t="inlineStr">
        <is>
          <t>Transición de gobierno y relación con la oposición</t>
        </is>
      </c>
      <c r="E41" s="38" t="inlineStr">
        <is>
          <t>Noticia dura</t>
        </is>
      </c>
      <c r="F41" s="38" t="inlineStr">
        <is>
          <t>Fri, 04 Sep 2026 20:26:29 +0000</t>
        </is>
      </c>
      <c r="G41" s="62" t="inlineStr">
        <is>
          <t>El grupo terrorista también informó que, aunque la operación militar ordenada por el Gobierno nacional supone una afectación para la organización al margen de la ley, no habrá retaliaciones de ningún tipo.</t>
        </is>
      </c>
      <c r="H41" s="62" t="inlineStr">
        <is>
          <t>Recientemente, el señalado criminal se había comprometido en matrimonio con la mujer en un evento romántico en la playa.</t>
        </is>
      </c>
      <c r="I41" s="62" t="inlineStr">
        <is>
          <t>“Hacemos un llamado a la población civil de la Sierra Nevada de Santa Marta y de los departamentos del Magdalena, La Guajira y Cesar a mantener la calma.</t>
        </is>
      </c>
      <c r="J41" s="38" t="n"/>
      <c r="K41" s="62" t="n"/>
      <c r="L41" s="38" t="n"/>
      <c r="M41" s="62" t="n"/>
      <c r="N41" s="38" t="n"/>
      <c r="O41" s="62" t="n"/>
      <c r="P41" s="38" t="n"/>
      <c r="Q41" s="62" t="n"/>
      <c r="R41" s="38" t="n"/>
      <c r="S41" s="62" t="n"/>
      <c r="T41" s="38" t="n"/>
      <c r="U41" s="62" t="n"/>
      <c r="V41" s="38" t="n"/>
      <c r="W41" s="62" t="n"/>
      <c r="X41" s="38" t="n"/>
      <c r="Y41" s="62" t="n"/>
      <c r="Z41" s="38" t="n"/>
      <c r="AA41" s="62" t="n"/>
      <c r="AB41" s="38" t="n"/>
      <c r="AC41" s="62" t="n"/>
      <c r="AD41" s="38" t="n"/>
      <c r="AE41" s="38" t="n"/>
      <c r="AF41" s="61">
        <f>IF(COUNTIF($B$5:B41,B41)=1,1,0)</f>
        <v/>
      </c>
      <c r="AG41" s="62" t="inlineStr">
        <is>
          <t>https://www.infobae.com/colombia/2026/09/04/autodefensas-conquistadoras-se-pronunciaron-sobre-la-muerte-del-cabecilla-bendito-menor-y-su-novia-la-bebecita-aseguraron-que-no-habra-represalias/</t>
        </is>
      </c>
    </row>
    <row r="42" ht="15" customHeight="1" s="31">
      <c r="A42" s="38" t="inlineStr">
        <is>
          <t>https://www.infobae.com/colombia/2026/09/04/autodefensas-conquistadoras-se-pronunciaron-sobre-la-muerte-del-cabecilla-bendito-menor-y-su-novia-la-bebecita-aseguraron-que-no-habra-represalias/</t>
        </is>
      </c>
      <c r="B42" s="38" t="inlineStr">
        <is>
          <t>https://www.infobae.com/colombia/2026/09/04/autodefensas-conquistadoras-se-pronunciaron-sobre-la-muerte-del-cabecilla-bendito-menor-y-su-novia-la-bebecita-aseguraron-que-no-habra-represalias/_S11</t>
        </is>
      </c>
      <c r="C42" s="38" t="inlineStr">
        <is>
          <t>Infobae Colombia</t>
        </is>
      </c>
      <c r="D42" s="38" t="inlineStr">
        <is>
          <t>Transición de gobierno y relación con la oposición</t>
        </is>
      </c>
      <c r="E42" s="38" t="inlineStr">
        <is>
          <t>Noticia dura</t>
        </is>
      </c>
      <c r="F42" s="38" t="inlineStr">
        <is>
          <t>Fri, 04 Sep 2026 20:26:29 +0000</t>
        </is>
      </c>
      <c r="G42" s="62" t="inlineStr">
        <is>
          <t>“Hacemos un llamado a la población civil de la Sierra Nevada de Santa Marta y de los departamentos del Magdalena, La Guajira y Cesar a mantener la calma.</t>
        </is>
      </c>
      <c r="H42" s="62" t="inlineStr">
        <is>
          <t>El grupo terrorista también informó que, aunque la operación militar ordenada por el Gobierno nacional supone una afectación para la organización al margen de la ley, no habrá retaliaciones de ningún tipo.</t>
        </is>
      </c>
      <c r="I42" s="62" t="inlineStr">
        <is>
          <t>Aunque es un golpe a nuestra organización, no habrá retaliaciones”, indicó el grupo armado.</t>
        </is>
      </c>
      <c r="J42" s="38" t="n"/>
      <c r="K42" s="62" t="n"/>
      <c r="L42" s="38" t="n"/>
      <c r="M42" s="62" t="n"/>
      <c r="N42" s="38" t="n"/>
      <c r="O42" s="62" t="n"/>
      <c r="P42" s="38" t="n"/>
      <c r="Q42" s="62" t="n"/>
      <c r="R42" s="38" t="n"/>
      <c r="S42" s="62" t="n"/>
      <c r="T42" s="38" t="n"/>
      <c r="U42" s="62" t="n"/>
      <c r="V42" s="38" t="n"/>
      <c r="W42" s="62" t="n"/>
      <c r="X42" s="38" t="n"/>
      <c r="Y42" s="62" t="n"/>
      <c r="Z42" s="38" t="n"/>
      <c r="AA42" s="62" t="n"/>
      <c r="AB42" s="38" t="n"/>
      <c r="AC42" s="62" t="n"/>
      <c r="AD42" s="38" t="n"/>
      <c r="AE42" s="38" t="n"/>
      <c r="AF42" s="61">
        <f>IF(COUNTIF($B$5:B42,B42)=1,1,0)</f>
        <v/>
      </c>
      <c r="AG42" s="62" t="inlineStr">
        <is>
          <t>https://www.infobae.com/colombia/2026/09/04/autodefensas-conquistadoras-se-pronunciaron-sobre-la-muerte-del-cabecilla-bendito-menor-y-su-novia-la-bebecita-aseguraron-que-no-habra-represalias/</t>
        </is>
      </c>
    </row>
    <row r="43" ht="15" customHeight="1" s="31">
      <c r="A43" s="38" t="inlineStr">
        <is>
          <t>https://www.infobae.com/colombia/2026/09/04/autodefensas-conquistadoras-se-pronunciaron-sobre-la-muerte-del-cabecilla-bendito-menor-y-su-novia-la-bebecita-aseguraron-que-no-habra-represalias/</t>
        </is>
      </c>
      <c r="B43" s="38" t="inlineStr">
        <is>
          <t>https://www.infobae.com/colombia/2026/09/04/autodefensas-conquistadoras-se-pronunciaron-sobre-la-muerte-del-cabecilla-bendito-menor-y-su-novia-la-bebecita-aseguraron-que-no-habra-represalias/_S12</t>
        </is>
      </c>
      <c r="C43" s="38" t="inlineStr">
        <is>
          <t>Infobae Colombia</t>
        </is>
      </c>
      <c r="D43" s="38" t="inlineStr">
        <is>
          <t>Transición de gobierno y relación con la oposición</t>
        </is>
      </c>
      <c r="E43" s="38" t="inlineStr">
        <is>
          <t>Noticia dura</t>
        </is>
      </c>
      <c r="F43" s="38" t="inlineStr">
        <is>
          <t>Fri, 04 Sep 2026 20:26:29 +0000</t>
        </is>
      </c>
      <c r="G43" s="62" t="inlineStr">
        <is>
          <t>Aunque es un golpe a nuestra organización, no habrá retaliaciones”, indicó el grupo armado.</t>
        </is>
      </c>
      <c r="H43" s="62" t="inlineStr">
        <is>
          <t>“Hacemos un llamado a la población civil de la Sierra Nevada de Santa Marta y de los departamentos del Magdalena, La Guajira y Cesar a mantener la calma.</t>
        </is>
      </c>
      <c r="I43" s="62" t="n"/>
      <c r="J43" s="38" t="n"/>
      <c r="K43" s="62" t="n"/>
      <c r="L43" s="38" t="n"/>
      <c r="M43" s="62" t="n"/>
      <c r="N43" s="38" t="n"/>
      <c r="O43" s="62" t="n"/>
      <c r="P43" s="38" t="n"/>
      <c r="Q43" s="62" t="n"/>
      <c r="R43" s="38" t="n"/>
      <c r="S43" s="62" t="n"/>
      <c r="T43" s="38" t="n"/>
      <c r="U43" s="62" t="n"/>
      <c r="V43" s="38" t="n"/>
      <c r="W43" s="62" t="n"/>
      <c r="X43" s="38" t="n"/>
      <c r="Y43" s="62" t="n"/>
      <c r="Z43" s="38" t="n"/>
      <c r="AA43" s="62" t="n"/>
      <c r="AB43" s="38" t="n"/>
      <c r="AC43" s="62" t="n"/>
      <c r="AD43" s="38" t="n"/>
      <c r="AE43" s="38" t="n"/>
      <c r="AF43" s="61">
        <f>IF(COUNTIF($B$5:B43,B43)=1,1,0)</f>
        <v/>
      </c>
      <c r="AG43" s="62" t="inlineStr">
        <is>
          <t>https://www.infobae.com/colombia/2026/09/04/autodefensas-conquistadoras-se-pronunciaron-sobre-la-muerte-del-cabecilla-bendito-menor-y-su-novia-la-bebecita-aseguraron-que-no-habra-represalias/</t>
        </is>
      </c>
    </row>
    <row r="44" ht="15" customHeight="1" s="31">
      <c r="A44" s="38" t="inlineStr">
        <is>
          <t>https://www.infobae.com/colombia/2026/09/04/vina-machado-revelo-las-complicaciones-que-pusieron-en-riesgo-su-embarazo-tenia-una-trombosis/</t>
        </is>
      </c>
      <c r="B44" s="38" t="inlineStr">
        <is>
          <t>https://www.infobae.com/colombia/2026/09/04/vina-machado-revelo-las-complicaciones-que-pusieron-en-riesgo-su-embarazo-tenia-una-trombosis/_S01</t>
        </is>
      </c>
      <c r="C44" s="38" t="inlineStr">
        <is>
          <t>Infobae Colombia</t>
        </is>
      </c>
      <c r="D44" s="38" t="inlineStr">
        <is>
          <t>Respuesta a la emergencia del terremoto</t>
        </is>
      </c>
      <c r="E44" s="38" t="inlineStr">
        <is>
          <t>Noticia dura</t>
        </is>
      </c>
      <c r="F44" s="38" t="inlineStr">
        <is>
          <t>Fri, 04 Sep 2026 18:47:59 +0000</t>
        </is>
      </c>
      <c r="G44" s="62" t="inlineStr">
        <is>
          <t>Viña Machado relató que enfrentó una trombosis cerebral y una infección por Listeria monocytogenes cuando tenía 26 semanas de embarazo de su hijo León, una emergencia que la mantuvo hospitalizada cerca de dos meses.</t>
        </is>
      </c>
      <c r="H44" s="62" t="n"/>
      <c r="I44" s="62" t="inlineStr">
        <is>
          <t>La actriz contó que atravesó ese periodo con temor por su salud y por la evolución de la gestación, mientras recibía tratamiento médico especializado.</t>
        </is>
      </c>
      <c r="J44" s="38" t="n"/>
      <c r="K44" s="62" t="n"/>
      <c r="L44" s="38" t="n"/>
      <c r="M44" s="62" t="n"/>
      <c r="N44" s="38" t="n"/>
      <c r="O44" s="62" t="n"/>
      <c r="P44" s="38" t="n"/>
      <c r="Q44" s="62" t="n"/>
      <c r="R44" s="38" t="n"/>
      <c r="S44" s="62" t="n"/>
      <c r="T44" s="38" t="n"/>
      <c r="U44" s="62" t="n"/>
      <c r="V44" s="38" t="n"/>
      <c r="W44" s="62" t="n"/>
      <c r="X44" s="38" t="n"/>
      <c r="Y44" s="62" t="n"/>
      <c r="Z44" s="38" t="n"/>
      <c r="AA44" s="62" t="n"/>
      <c r="AB44" s="38" t="n"/>
      <c r="AC44" s="62" t="n"/>
      <c r="AD44" s="38" t="n"/>
      <c r="AE44" s="38" t="n"/>
      <c r="AF44" s="61">
        <f>IF(COUNTIF($B$5:B44,B44)=1,1,0)</f>
        <v/>
      </c>
      <c r="AG44" s="62" t="inlineStr">
        <is>
          <t>https://www.infobae.com/colombia/2026/09/04/vina-machado-revelo-las-complicaciones-que-pusieron-en-riesgo-su-embarazo-tenia-una-trombosis/</t>
        </is>
      </c>
    </row>
    <row r="45" ht="15" customHeight="1" s="31">
      <c r="A45" s="38" t="inlineStr">
        <is>
          <t>https://www.infobae.com/colombia/2026/09/04/vina-machado-revelo-las-complicaciones-que-pusieron-en-riesgo-su-embarazo-tenia-una-trombosis/</t>
        </is>
      </c>
      <c r="B45" s="38" t="inlineStr">
        <is>
          <t>https://www.infobae.com/colombia/2026/09/04/vina-machado-revelo-las-complicaciones-que-pusieron-en-riesgo-su-embarazo-tenia-una-trombosis/_S02</t>
        </is>
      </c>
      <c r="C45" s="38" t="inlineStr">
        <is>
          <t>Infobae Colombia</t>
        </is>
      </c>
      <c r="D45" s="38" t="inlineStr">
        <is>
          <t>Respuesta a la emergencia del terremoto</t>
        </is>
      </c>
      <c r="E45" s="38" t="inlineStr">
        <is>
          <t>Noticia dura</t>
        </is>
      </c>
      <c r="F45" s="38" t="inlineStr">
        <is>
          <t>Fri, 04 Sep 2026 18:47:59 +0000</t>
        </is>
      </c>
      <c r="G45" s="62" t="inlineStr">
        <is>
          <t>La actriz contó que atravesó ese periodo con temor por su salud y por la evolución de la gestación, mientras recibía tratamiento médico especializado.</t>
        </is>
      </c>
      <c r="H45" s="62" t="inlineStr">
        <is>
          <t>Viña Machado relató que enfrentó una trombosis cerebral y una infección por Listeria monocytogenes cuando tenía 26 semanas de embarazo de su hijo León, una emergencia que la mantuvo hospitalizada cerca de dos meses.</t>
        </is>
      </c>
      <c r="I45" s="62" t="n"/>
      <c r="J45" s="38" t="n"/>
      <c r="K45" s="62" t="n"/>
      <c r="L45" s="38" t="n"/>
      <c r="M45" s="62" t="n"/>
      <c r="N45" s="38" t="n"/>
      <c r="O45" s="62" t="n"/>
      <c r="P45" s="38" t="n"/>
      <c r="Q45" s="62" t="n"/>
      <c r="R45" s="38" t="n"/>
      <c r="S45" s="62" t="n"/>
      <c r="T45" s="38" t="n"/>
      <c r="U45" s="62" t="n"/>
      <c r="V45" s="38" t="n"/>
      <c r="W45" s="62" t="n"/>
      <c r="X45" s="38" t="n"/>
      <c r="Y45" s="62" t="n"/>
      <c r="Z45" s="38" t="n"/>
      <c r="AA45" s="62" t="n"/>
      <c r="AB45" s="38" t="n"/>
      <c r="AC45" s="62" t="n"/>
      <c r="AD45" s="38" t="n"/>
      <c r="AE45" s="38" t="n"/>
      <c r="AF45" s="61">
        <f>IF(COUNTIF($B$5:B45,B45)=1,1,0)</f>
        <v/>
      </c>
      <c r="AG45" s="62" t="inlineStr">
        <is>
          <t>https://www.infobae.com/colombia/2026/09/04/vina-machado-revelo-las-complicaciones-que-pusieron-en-riesgo-su-embarazo-tenia-una-trombosis/</t>
        </is>
      </c>
    </row>
    <row r="46" ht="15" customHeight="1" s="31">
      <c r="A46" s="38" t="inlineStr">
        <is>
          <t>https://www.infobae.com/colombia/2026/09/04/alianza-verde-critico-a-david-racero-por-llamar-lavaperros-a-catherine-juvinao-durante-la-discusion-del-presupuesto-general-de-la-nacion-violencia-politica-verbal-y-simbolica/</t>
        </is>
      </c>
      <c r="B46" s="38" t="inlineStr">
        <is>
          <t>https://www.infobae.com/colombia/2026/09/04/alianza-verde-critico-a-david-racero-por-llamar-lavaperros-a-catherine-juvinao-durante-la-discusion-del-presupuesto-general-de-la-nacion-violencia-politica-verbal-y-simbolica/_S01</t>
        </is>
      </c>
      <c r="C46" s="38" t="inlineStr">
        <is>
          <t>Infobae Colombia</t>
        </is>
      </c>
      <c r="D46" s="38" t="inlineStr">
        <is>
          <t>Transición de gobierno y relación con la oposición</t>
        </is>
      </c>
      <c r="E46" s="38" t="inlineStr">
        <is>
          <t>Noticia dura</t>
        </is>
      </c>
      <c r="F46" s="38" t="inlineStr">
        <is>
          <t>Fri, 04 Sep 2026 18:20:11 +0000</t>
        </is>
      </c>
      <c r="G46" s="62" t="inlineStr">
        <is>
          <t>La Alianza Verde salió a responder a las expresiones del senador del Pacto Histórico David Racero contra la representante de su partido Catherine Juvinao durante la discusión del Presupuesto General de la Nación (PGN) 2027 en las comisiones económicas del Congreso de la República.</t>
        </is>
      </c>
      <c r="H46" s="62" t="n"/>
      <c r="I46" s="62" t="inlineStr">
        <is>
          <t>La colectividad “rechaza contundentemente la violencia política, verbal y simbólica” de la que, según afirma, ha sido víctima la congresista por parte del legislador del Pacto Histórico.</t>
        </is>
      </c>
      <c r="J46" s="38" t="n"/>
      <c r="K46" s="62" t="n"/>
      <c r="L46" s="38" t="n"/>
      <c r="M46" s="62" t="n"/>
      <c r="N46" s="38" t="n"/>
      <c r="O46" s="62" t="n"/>
      <c r="P46" s="38" t="n"/>
      <c r="Q46" s="62" t="n"/>
      <c r="R46" s="38" t="n"/>
      <c r="S46" s="62" t="n"/>
      <c r="T46" s="38" t="n"/>
      <c r="U46" s="62" t="n"/>
      <c r="V46" s="38" t="n"/>
      <c r="W46" s="62" t="n"/>
      <c r="X46" s="38" t="n"/>
      <c r="Y46" s="62" t="n"/>
      <c r="Z46" s="38" t="n"/>
      <c r="AA46" s="62" t="n"/>
      <c r="AB46" s="38" t="n"/>
      <c r="AC46" s="62" t="n"/>
      <c r="AD46" s="38" t="n"/>
      <c r="AE46" s="38" t="n"/>
      <c r="AF46" s="61">
        <f>IF(COUNTIF($B$5:B46,B46)=1,1,0)</f>
        <v/>
      </c>
      <c r="AG46" s="62" t="inlineStr">
        <is>
          <t>https://www.infobae.com/colombia/2026/09/04/alianza-verde-critico-a-david-racero-por-llamar-lavaperros-a-catherine-juvinao-durante-la-discusion-del-presupuesto-general-de-la-nacion-violencia-politica-verbal-y-simbolica/</t>
        </is>
      </c>
    </row>
    <row r="47" ht="15" customHeight="1" s="31">
      <c r="A47" s="38" t="inlineStr">
        <is>
          <t>https://www.infobae.com/colombia/2026/09/04/alianza-verde-critico-a-david-racero-por-llamar-lavaperros-a-catherine-juvinao-durante-la-discusion-del-presupuesto-general-de-la-nacion-violencia-politica-verbal-y-simbolica/</t>
        </is>
      </c>
      <c r="B47" s="38" t="inlineStr">
        <is>
          <t>https://www.infobae.com/colombia/2026/09/04/alianza-verde-critico-a-david-racero-por-llamar-lavaperros-a-catherine-juvinao-durante-la-discusion-del-presupuesto-general-de-la-nacion-violencia-politica-verbal-y-simbolica/_S02</t>
        </is>
      </c>
      <c r="C47" s="38" t="inlineStr">
        <is>
          <t>Infobae Colombia</t>
        </is>
      </c>
      <c r="D47" s="38" t="inlineStr">
        <is>
          <t>Transición de gobierno y relación con la oposición</t>
        </is>
      </c>
      <c r="E47" s="38" t="inlineStr">
        <is>
          <t>Noticia dura</t>
        </is>
      </c>
      <c r="F47" s="38" t="inlineStr">
        <is>
          <t>Fri, 04 Sep 2026 18:20:11 +0000</t>
        </is>
      </c>
      <c r="G47" s="62" t="inlineStr">
        <is>
          <t>La colectividad “rechaza contundentemente la violencia política, verbal y simbólica” de la que, según afirma, ha sido víctima la congresista por parte del legislador del Pacto Histórico.</t>
        </is>
      </c>
      <c r="H47" s="62" t="inlineStr">
        <is>
          <t>La Alianza Verde salió a responder a las expresiones del senador del Pacto Histórico David Racero contra la representante de su partido Catherine Juvinao durante la discusión del Presupuesto General de la Nación (PGN) 2027 en las comisiones económicas del Congreso de la República.</t>
        </is>
      </c>
      <c r="I47" s="62" t="n"/>
      <c r="J47" s="38" t="n"/>
      <c r="K47" s="62" t="n"/>
      <c r="L47" s="38" t="n"/>
      <c r="M47" s="62" t="n"/>
      <c r="N47" s="38" t="n"/>
      <c r="O47" s="62" t="n"/>
      <c r="P47" s="38" t="n"/>
      <c r="Q47" s="62" t="n"/>
      <c r="R47" s="38" t="n"/>
      <c r="S47" s="62" t="n"/>
      <c r="T47" s="38" t="n"/>
      <c r="U47" s="62" t="n"/>
      <c r="V47" s="38" t="n"/>
      <c r="W47" s="62" t="n"/>
      <c r="X47" s="38" t="n"/>
      <c r="Y47" s="62" t="n"/>
      <c r="Z47" s="38" t="n"/>
      <c r="AA47" s="62" t="n"/>
      <c r="AB47" s="38" t="n"/>
      <c r="AC47" s="62" t="n"/>
      <c r="AD47" s="38" t="n"/>
      <c r="AE47" s="38" t="n"/>
      <c r="AF47" s="61">
        <f>IF(COUNTIF($B$5:B47,B47)=1,1,0)</f>
        <v/>
      </c>
      <c r="AG47" s="62" t="inlineStr">
        <is>
          <t>https://www.infobae.com/colombia/2026/09/04/alianza-verde-critico-a-david-racero-por-llamar-lavaperros-a-catherine-juvinao-durante-la-discusion-del-presupuesto-general-de-la-nacion-violencia-politica-verbal-y-simbolica/</t>
        </is>
      </c>
    </row>
    <row r="48" ht="15" customHeight="1" s="31">
      <c r="A48" s="38" t="inlineStr">
        <is>
          <t>https://www.infobae.com/colombia/2026/09/04/defensa-del-expresidente-uribe-velez-pidio-a-la-fiscalia-suspender-indagatoria-por-la-masacre-de-el-aro-y-la-granja-esta-es-la-razon/</t>
        </is>
      </c>
      <c r="B48" s="38" t="inlineStr">
        <is>
          <t>https://www.infobae.com/colombia/2026/09/04/defensa-del-expresidente-uribe-velez-pidio-a-la-fiscalia-suspender-indagatoria-por-la-masacre-de-el-aro-y-la-granja-esta-es-la-razon/_S01</t>
        </is>
      </c>
      <c r="C48" s="38" t="inlineStr">
        <is>
          <t>Infobae Colombia</t>
        </is>
      </c>
      <c r="D48" s="38" t="inlineStr">
        <is>
          <t>Reformas sociales en disputa (pensional/tributaria)</t>
        </is>
      </c>
      <c r="E48" s="38" t="inlineStr">
        <is>
          <t>Noticia dura</t>
        </is>
      </c>
      <c r="F48" s="38" t="inlineStr">
        <is>
          <t>Fri, 04 Sep 2026 14:44:45 +0000</t>
        </is>
      </c>
      <c r="G48" s="62" t="inlineStr">
        <is>
          <t>La Fiscalía General de la Nación programó para las 9:00 a. m. del 4 de septiembre de 2026, la indagatoria de Álvaro Uribe Vélez, dentro de tres procesos que examinan crímenes atribuidos a grupos paramilitares en Antioquia durante su período como gobernador, entre 1996 y 1998.</t>
        </is>
      </c>
      <c r="H48" s="62" t="n"/>
      <c r="I48" s="62" t="inlineStr">
        <is>
          <t>Las investigaciones pretenden establecer si el exmandatario tuvo algún papel en la formación de esas estructuras armadas y si existió una posible conexión con el asesinato del defensor de derechos humanos Jesús María Valle.</t>
        </is>
      </c>
      <c r="J48" s="38" t="n"/>
      <c r="K48" s="62" t="n"/>
      <c r="L48" s="38" t="n"/>
      <c r="M48" s="62" t="n"/>
      <c r="N48" s="38" t="n"/>
      <c r="O48" s="62" t="n"/>
      <c r="P48" s="38" t="n"/>
      <c r="Q48" s="62" t="n"/>
      <c r="R48" s="38" t="n"/>
      <c r="S48" s="62" t="n"/>
      <c r="T48" s="38" t="n"/>
      <c r="U48" s="62" t="n"/>
      <c r="V48" s="38" t="n"/>
      <c r="W48" s="62" t="n"/>
      <c r="X48" s="38" t="n"/>
      <c r="Y48" s="62" t="n"/>
      <c r="Z48" s="38" t="n"/>
      <c r="AA48" s="62" t="n"/>
      <c r="AB48" s="38" t="n"/>
      <c r="AC48" s="62" t="n"/>
      <c r="AD48" s="38" t="n"/>
      <c r="AE48" s="38" t="n"/>
      <c r="AF48" s="61">
        <f>IF(COUNTIF($B$5:B48,B48)=1,1,0)</f>
        <v/>
      </c>
      <c r="AG48" s="62" t="inlineStr">
        <is>
          <t>https://www.infobae.com/colombia/2026/09/04/defensa-del-expresidente-uribe-velez-pidio-a-la-fiscalia-suspender-indagatoria-por-la-masacre-de-el-aro-y-la-granja-esta-es-la-razon/</t>
        </is>
      </c>
    </row>
    <row r="49" ht="15" customHeight="1" s="31">
      <c r="A49" s="38" t="inlineStr">
        <is>
          <t>https://www.infobae.com/colombia/2026/09/04/defensa-del-expresidente-uribe-velez-pidio-a-la-fiscalia-suspender-indagatoria-por-la-masacre-de-el-aro-y-la-granja-esta-es-la-razon/</t>
        </is>
      </c>
      <c r="B49" s="38" t="inlineStr">
        <is>
          <t>https://www.infobae.com/colombia/2026/09/04/defensa-del-expresidente-uribe-velez-pidio-a-la-fiscalia-suspender-indagatoria-por-la-masacre-de-el-aro-y-la-granja-esta-es-la-razon/_S02</t>
        </is>
      </c>
      <c r="C49" s="38" t="inlineStr">
        <is>
          <t>Infobae Colombia</t>
        </is>
      </c>
      <c r="D49" s="38" t="inlineStr">
        <is>
          <t>Reformas sociales en disputa (pensional/tributaria)</t>
        </is>
      </c>
      <c r="E49" s="38" t="inlineStr">
        <is>
          <t>Noticia dura</t>
        </is>
      </c>
      <c r="F49" s="38" t="inlineStr">
        <is>
          <t>Fri, 04 Sep 2026 14:44:45 +0000</t>
        </is>
      </c>
      <c r="G49" s="62" t="inlineStr">
        <is>
          <t>Las investigaciones pretenden establecer si el exmandatario tuvo algún papel en la formación de esas estructuras armadas y si existió una posible conexión con el asesinato del defensor de derechos humanos Jesús María Valle.</t>
        </is>
      </c>
      <c r="H49" s="62" t="inlineStr">
        <is>
          <t>La Fiscalía General de la Nación programó para las 9:00 a. m. del 4 de septiembre de 2026, la indagatoria de Álvaro Uribe Vélez, dentro de tres procesos que examinan crímenes atribuidos a grupos paramilitares en Antioquia durante su período como gobernador, entre 1996 y 1998.</t>
        </is>
      </c>
      <c r="I49" s="62" t="inlineStr">
        <is>
          <t>Uno de los casos está relacionado con una incursión paramilitar ocurrida en San Roque entre el 13 y el 17 de septiembre de 1996.</t>
        </is>
      </c>
      <c r="J49" s="38" t="n"/>
      <c r="K49" s="62" t="n"/>
      <c r="L49" s="38" t="n"/>
      <c r="M49" s="62" t="n"/>
      <c r="N49" s="38" t="n"/>
      <c r="O49" s="62" t="n"/>
      <c r="P49" s="38" t="n"/>
      <c r="Q49" s="62" t="n"/>
      <c r="R49" s="38" t="n"/>
      <c r="S49" s="62" t="n"/>
      <c r="T49" s="38" t="n"/>
      <c r="U49" s="62" t="n"/>
      <c r="V49" s="38" t="n"/>
      <c r="W49" s="62" t="n"/>
      <c r="X49" s="38" t="n"/>
      <c r="Y49" s="62" t="n"/>
      <c r="Z49" s="38" t="n"/>
      <c r="AA49" s="62" t="n"/>
      <c r="AB49" s="38" t="n"/>
      <c r="AC49" s="62" t="n"/>
      <c r="AD49" s="38" t="n"/>
      <c r="AE49" s="38" t="n"/>
      <c r="AF49" s="61">
        <f>IF(COUNTIF($B$5:B49,B49)=1,1,0)</f>
        <v/>
      </c>
      <c r="AG49" s="62" t="inlineStr">
        <is>
          <t>https://www.infobae.com/colombia/2026/09/04/defensa-del-expresidente-uribe-velez-pidio-a-la-fiscalia-suspender-indagatoria-por-la-masacre-de-el-aro-y-la-granja-esta-es-la-razon/</t>
        </is>
      </c>
    </row>
    <row r="50" ht="15" customHeight="1" s="31">
      <c r="A50" s="38" t="inlineStr">
        <is>
          <t>https://www.infobae.com/colombia/2026/09/04/defensa-del-expresidente-uribe-velez-pidio-a-la-fiscalia-suspender-indagatoria-por-la-masacre-de-el-aro-y-la-granja-esta-es-la-razon/</t>
        </is>
      </c>
      <c r="B50" s="38" t="inlineStr">
        <is>
          <t>https://www.infobae.com/colombia/2026/09/04/defensa-del-expresidente-uribe-velez-pidio-a-la-fiscalia-suspender-indagatoria-por-la-masacre-de-el-aro-y-la-granja-esta-es-la-razon/_S03</t>
        </is>
      </c>
      <c r="C50" s="38" t="inlineStr">
        <is>
          <t>Infobae Colombia</t>
        </is>
      </c>
      <c r="D50" s="38" t="inlineStr">
        <is>
          <t>Reformas sociales en disputa (pensional/tributaria)</t>
        </is>
      </c>
      <c r="E50" s="38" t="inlineStr">
        <is>
          <t>Noticia dura</t>
        </is>
      </c>
      <c r="F50" s="38" t="inlineStr">
        <is>
          <t>Fri, 04 Sep 2026 14:44:45 +0000</t>
        </is>
      </c>
      <c r="G50" s="62" t="inlineStr">
        <is>
          <t>Uno de los casos está relacionado con una incursión paramilitar ocurrida en San Roque entre el 13 y el 17 de septiembre de 1996.</t>
        </is>
      </c>
      <c r="H50" s="62" t="inlineStr">
        <is>
          <t>Las investigaciones pretenden establecer si el exmandatario tuvo algún papel en la formación de esas estructuras armadas y si existió una posible conexión con el asesinato del defensor de derechos humanos Jesús María Valle.</t>
        </is>
      </c>
      <c r="I50" s="62" t="inlineStr">
        <is>
          <t>De acuerdo con el expediente, los responsables habrían usado la hacienda Guacharacas, que pertenecía entonces a la familia Uribe, como punto de apoyo.</t>
        </is>
      </c>
      <c r="J50" s="38" t="n"/>
      <c r="K50" s="62" t="n"/>
      <c r="L50" s="38" t="n"/>
      <c r="M50" s="62" t="n"/>
      <c r="N50" s="38" t="n"/>
      <c r="O50" s="62" t="n"/>
      <c r="P50" s="38" t="n"/>
      <c r="Q50" s="62" t="n"/>
      <c r="R50" s="38" t="n"/>
      <c r="S50" s="62" t="n"/>
      <c r="T50" s="38" t="n"/>
      <c r="U50" s="62" t="n"/>
      <c r="V50" s="38" t="n"/>
      <c r="W50" s="62" t="n"/>
      <c r="X50" s="38" t="n"/>
      <c r="Y50" s="62" t="n"/>
      <c r="Z50" s="38" t="n"/>
      <c r="AA50" s="62" t="n"/>
      <c r="AB50" s="38" t="n"/>
      <c r="AC50" s="62" t="n"/>
      <c r="AD50" s="38" t="n"/>
      <c r="AE50" s="38" t="n"/>
      <c r="AF50" s="61">
        <f>IF(COUNTIF($B$5:B50,B50)=1,1,0)</f>
        <v/>
      </c>
      <c r="AG50" s="62" t="inlineStr">
        <is>
          <t>https://www.infobae.com/colombia/2026/09/04/defensa-del-expresidente-uribe-velez-pidio-a-la-fiscalia-suspender-indagatoria-por-la-masacre-de-el-aro-y-la-granja-esta-es-la-razon/</t>
        </is>
      </c>
    </row>
    <row r="51" ht="15" customHeight="1" s="31">
      <c r="A51" s="38" t="inlineStr">
        <is>
          <t>https://www.infobae.com/colombia/2026/09/04/defensa-del-expresidente-uribe-velez-pidio-a-la-fiscalia-suspender-indagatoria-por-la-masacre-de-el-aro-y-la-granja-esta-es-la-razon/</t>
        </is>
      </c>
      <c r="B51" s="38" t="inlineStr">
        <is>
          <t>https://www.infobae.com/colombia/2026/09/04/defensa-del-expresidente-uribe-velez-pidio-a-la-fiscalia-suspender-indagatoria-por-la-masacre-de-el-aro-y-la-granja-esta-es-la-razon/_S04</t>
        </is>
      </c>
      <c r="C51" s="38" t="inlineStr">
        <is>
          <t>Infobae Colombia</t>
        </is>
      </c>
      <c r="D51" s="38" t="inlineStr">
        <is>
          <t>Reformas sociales en disputa (pensional/tributaria)</t>
        </is>
      </c>
      <c r="E51" s="38" t="inlineStr">
        <is>
          <t>Noticia dura</t>
        </is>
      </c>
      <c r="F51" s="38" t="inlineStr">
        <is>
          <t>Fri, 04 Sep 2026 14:44:45 +0000</t>
        </is>
      </c>
      <c r="G51" s="62" t="inlineStr">
        <is>
          <t>De acuerdo con el expediente, los responsables habrían usado la hacienda Guacharacas, que pertenecía entonces a la familia Uribe, como punto de apoyo.</t>
        </is>
      </c>
      <c r="H51" s="62" t="inlineStr">
        <is>
          <t>Uno de los casos está relacionado con una incursión paramilitar ocurrida en San Roque entre el 13 y el 17 de septiembre de 1996.</t>
        </is>
      </c>
      <c r="I51" s="62" t="inlineStr">
        <is>
          <t>La pesquisa también abarca la desaparición de cuatro personas en junio de ese año y la desaparición de ocho comerciantes el 14 de agosto, en el corredor entre Maceo y Puerto Berrío.</t>
        </is>
      </c>
      <c r="J51" s="38" t="n"/>
      <c r="K51" s="62" t="n"/>
      <c r="L51" s="38" t="n"/>
      <c r="M51" s="62" t="n"/>
      <c r="N51" s="38" t="n"/>
      <c r="O51" s="62" t="n"/>
      <c r="P51" s="38" t="n"/>
      <c r="Q51" s="62" t="n"/>
      <c r="R51" s="38" t="n"/>
      <c r="S51" s="62" t="n"/>
      <c r="T51" s="38" t="n"/>
      <c r="U51" s="62" t="n"/>
      <c r="V51" s="38" t="n"/>
      <c r="W51" s="62" t="n"/>
      <c r="X51" s="38" t="n"/>
      <c r="Y51" s="62" t="n"/>
      <c r="Z51" s="38" t="n"/>
      <c r="AA51" s="62" t="n"/>
      <c r="AB51" s="38" t="n"/>
      <c r="AC51" s="62" t="n"/>
      <c r="AD51" s="38" t="n"/>
      <c r="AE51" s="38" t="n"/>
      <c r="AF51" s="61">
        <f>IF(COUNTIF($B$5:B51,B51)=1,1,0)</f>
        <v/>
      </c>
      <c r="AG51" s="62" t="inlineStr">
        <is>
          <t>https://www.infobae.com/colombia/2026/09/04/defensa-del-expresidente-uribe-velez-pidio-a-la-fiscalia-suspender-indagatoria-por-la-masacre-de-el-aro-y-la-granja-esta-es-la-razon/</t>
        </is>
      </c>
    </row>
    <row r="52" ht="15" customHeight="1" s="31">
      <c r="A52" s="38" t="inlineStr">
        <is>
          <t>https://www.infobae.com/colombia/2026/09/04/defensa-del-expresidente-uribe-velez-pidio-a-la-fiscalia-suspender-indagatoria-por-la-masacre-de-el-aro-y-la-granja-esta-es-la-razon/</t>
        </is>
      </c>
      <c r="B52" s="38" t="inlineStr">
        <is>
          <t>https://www.infobae.com/colombia/2026/09/04/defensa-del-expresidente-uribe-velez-pidio-a-la-fiscalia-suspender-indagatoria-por-la-masacre-de-el-aro-y-la-granja-esta-es-la-razon/_S05</t>
        </is>
      </c>
      <c r="C52" s="38" t="inlineStr">
        <is>
          <t>Infobae Colombia</t>
        </is>
      </c>
      <c r="D52" s="38" t="inlineStr">
        <is>
          <t>Reformas sociales en disputa (pensional/tributaria)</t>
        </is>
      </c>
      <c r="E52" s="38" t="inlineStr">
        <is>
          <t>Noticia dura</t>
        </is>
      </c>
      <c r="F52" s="38" t="inlineStr">
        <is>
          <t>Fri, 04 Sep 2026 14:44:45 +0000</t>
        </is>
      </c>
      <c r="G52" s="62" t="inlineStr">
        <is>
          <t>La pesquisa también abarca la desaparición de cuatro personas en junio de ese año y la desaparición de ocho comerciantes el 14 de agosto, en el corredor entre Maceo y Puerto Berrío.</t>
        </is>
      </c>
      <c r="H52" s="62" t="inlineStr">
        <is>
          <t>De acuerdo con el expediente, los responsables habrían usado la hacienda Guacharacas, que pertenecía entonces a la familia Uribe, como punto de apoyo.</t>
        </is>
      </c>
      <c r="I52" s="62" t="inlineStr">
        <is>
          <t>La Fiscalía también revisa la masacre de La Granja, en Ituango, donde integrantes de las Autodefensas Campesinas de Córdoba y Urabá (Accu) asesinaron a cuatro campesinos en junio de 1996, tras acusarlos de colaborar con las Fuerzas Armadas Revolucionarias de Colombia (Farc).</t>
        </is>
      </c>
      <c r="J52" s="38" t="n"/>
      <c r="K52" s="62" t="n"/>
      <c r="L52" s="38" t="n"/>
      <c r="M52" s="62" t="n"/>
      <c r="N52" s="38" t="n"/>
      <c r="O52" s="62" t="n"/>
      <c r="P52" s="38" t="n"/>
      <c r="Q52" s="62" t="n"/>
      <c r="R52" s="38" t="n"/>
      <c r="S52" s="62" t="n"/>
      <c r="T52" s="38" t="n"/>
      <c r="U52" s="62" t="n"/>
      <c r="V52" s="38" t="n"/>
      <c r="W52" s="62" t="n"/>
      <c r="X52" s="38" t="n"/>
      <c r="Y52" s="62" t="n"/>
      <c r="Z52" s="38" t="n"/>
      <c r="AA52" s="62" t="n"/>
      <c r="AB52" s="38" t="n"/>
      <c r="AC52" s="62" t="n"/>
      <c r="AD52" s="38" t="n"/>
      <c r="AE52" s="38" t="n"/>
      <c r="AF52" s="61">
        <f>IF(COUNTIF($B$5:B52,B52)=1,1,0)</f>
        <v/>
      </c>
      <c r="AG52" s="62" t="inlineStr">
        <is>
          <t>https://www.infobae.com/colombia/2026/09/04/defensa-del-expresidente-uribe-velez-pidio-a-la-fiscalia-suspender-indagatoria-por-la-masacre-de-el-aro-y-la-granja-esta-es-la-razon/</t>
        </is>
      </c>
    </row>
    <row r="53" ht="15" customHeight="1" s="31">
      <c r="A53" s="38" t="inlineStr">
        <is>
          <t>https://www.infobae.com/colombia/2026/09/04/defensa-del-expresidente-uribe-velez-pidio-a-la-fiscalia-suspender-indagatoria-por-la-masacre-de-el-aro-y-la-granja-esta-es-la-razon/</t>
        </is>
      </c>
      <c r="B53" s="38" t="inlineStr">
        <is>
          <t>https://www.infobae.com/colombia/2026/09/04/defensa-del-expresidente-uribe-velez-pidio-a-la-fiscalia-suspender-indagatoria-por-la-masacre-de-el-aro-y-la-granja-esta-es-la-razon/_S06</t>
        </is>
      </c>
      <c r="C53" s="38" t="inlineStr">
        <is>
          <t>Infobae Colombia</t>
        </is>
      </c>
      <c r="D53" s="38" t="inlineStr">
        <is>
          <t>Reformas sociales en disputa (pensional/tributaria)</t>
        </is>
      </c>
      <c r="E53" s="38" t="inlineStr">
        <is>
          <t>Noticia dura</t>
        </is>
      </c>
      <c r="F53" s="38" t="inlineStr">
        <is>
          <t>Fri, 04 Sep 2026 14:44:45 +0000</t>
        </is>
      </c>
      <c r="G53" s="62" t="inlineStr">
        <is>
          <t>La Fiscalía también revisa la masacre de La Granja, en Ituango, donde integrantes de las Autodefensas Campesinas de Córdoba y Urabá (Accu) asesinaron a cuatro campesinos en junio de 1996, tras acusarlos de colaborar con las Fuerzas Armadas Revolucionarias de Colombia (Farc).</t>
        </is>
      </c>
      <c r="H53" s="62" t="inlineStr">
        <is>
          <t>La pesquisa también abarca la desaparición de cuatro personas en junio de ese año y la desaparición de ocho comerciantes el 14 de agosto, en el corredor entre Maceo y Puerto Berrío.</t>
        </is>
      </c>
      <c r="I53" s="62" t="inlineStr">
        <is>
          <t>El ente investigador analiza la eventual responsabilidad de Uribe Vélez por concierto para delinquir.</t>
        </is>
      </c>
      <c r="J53" s="38" t="n"/>
      <c r="K53" s="62" t="n"/>
      <c r="L53" s="38" t="n"/>
      <c r="M53" s="62" t="n"/>
      <c r="N53" s="38" t="n"/>
      <c r="O53" s="62" t="n"/>
      <c r="P53" s="38" t="n"/>
      <c r="Q53" s="62" t="n"/>
      <c r="R53" s="38" t="n"/>
      <c r="S53" s="62" t="n"/>
      <c r="T53" s="38" t="n"/>
      <c r="U53" s="62" t="n"/>
      <c r="V53" s="38" t="n"/>
      <c r="W53" s="62" t="n"/>
      <c r="X53" s="38" t="n"/>
      <c r="Y53" s="62" t="n"/>
      <c r="Z53" s="38" t="n"/>
      <c r="AA53" s="62" t="n"/>
      <c r="AB53" s="38" t="n"/>
      <c r="AC53" s="62" t="n"/>
      <c r="AD53" s="38" t="n"/>
      <c r="AE53" s="38" t="n"/>
      <c r="AF53" s="61">
        <f>IF(COUNTIF($B$5:B53,B53)=1,1,0)</f>
        <v/>
      </c>
      <c r="AG53" s="62" t="inlineStr">
        <is>
          <t>https://www.infobae.com/colombia/2026/09/04/defensa-del-expresidente-uribe-velez-pidio-a-la-fiscalia-suspender-indagatoria-por-la-masacre-de-el-aro-y-la-granja-esta-es-la-razon/</t>
        </is>
      </c>
    </row>
    <row r="54" ht="15" customHeight="1" s="31">
      <c r="A54" s="38" t="inlineStr">
        <is>
          <t>https://www.infobae.com/colombia/2026/09/04/defensa-del-expresidente-uribe-velez-pidio-a-la-fiscalia-suspender-indagatoria-por-la-masacre-de-el-aro-y-la-granja-esta-es-la-razon/</t>
        </is>
      </c>
      <c r="B54" s="38" t="inlineStr">
        <is>
          <t>https://www.infobae.com/colombia/2026/09/04/defensa-del-expresidente-uribe-velez-pidio-a-la-fiscalia-suspender-indagatoria-por-la-masacre-de-el-aro-y-la-granja-esta-es-la-razon/_S07</t>
        </is>
      </c>
      <c r="C54" s="38" t="inlineStr">
        <is>
          <t>Infobae Colombia</t>
        </is>
      </c>
      <c r="D54" s="38" t="inlineStr">
        <is>
          <t>Reformas sociales en disputa (pensional/tributaria)</t>
        </is>
      </c>
      <c r="E54" s="38" t="inlineStr">
        <is>
          <t>Noticia dura</t>
        </is>
      </c>
      <c r="F54" s="38" t="inlineStr">
        <is>
          <t>Fri, 04 Sep 2026 14:44:45 +0000</t>
        </is>
      </c>
      <c r="G54" s="62" t="inlineStr">
        <is>
          <t>El ente investigador analiza la eventual responsabilidad de Uribe Vélez por concierto para delinquir.</t>
        </is>
      </c>
      <c r="H54" s="62" t="inlineStr">
        <is>
          <t>La Fiscalía también revisa la masacre de La Granja, en Ituango, donde integrantes de las Autodefensas Campesinas de Córdoba y Urabá (Accu) asesinaron a cuatro campesinos en junio de 1996, tras acusarlos de colaborar con las Fuerzas Armadas Revolucionarias de Colombia (Farc).</t>
        </is>
      </c>
      <c r="I54" s="62" t="inlineStr">
        <is>
          <t>El tercer expediente corresponde a la masacre de El Aro, cometida en octubre de 1997, también en Ituango, que dejó 17 muertos y provocó el desplazamiento de cientos de habitantes.</t>
        </is>
      </c>
      <c r="J54" s="38" t="n"/>
      <c r="K54" s="62" t="n"/>
      <c r="L54" s="38" t="n"/>
      <c r="M54" s="62" t="n"/>
      <c r="N54" s="38" t="n"/>
      <c r="O54" s="62" t="n"/>
      <c r="P54" s="38" t="n"/>
      <c r="Q54" s="62" t="n"/>
      <c r="R54" s="38" t="n"/>
      <c r="S54" s="62" t="n"/>
      <c r="T54" s="38" t="n"/>
      <c r="U54" s="62" t="n"/>
      <c r="V54" s="38" t="n"/>
      <c r="W54" s="62" t="n"/>
      <c r="X54" s="38" t="n"/>
      <c r="Y54" s="62" t="n"/>
      <c r="Z54" s="38" t="n"/>
      <c r="AA54" s="62" t="n"/>
      <c r="AB54" s="38" t="n"/>
      <c r="AC54" s="62" t="n"/>
      <c r="AD54" s="38" t="n"/>
      <c r="AE54" s="38" t="n"/>
      <c r="AF54" s="61">
        <f>IF(COUNTIF($B$5:B54,B54)=1,1,0)</f>
        <v/>
      </c>
      <c r="AG54" s="62" t="inlineStr">
        <is>
          <t>https://www.infobae.com/colombia/2026/09/04/defensa-del-expresidente-uribe-velez-pidio-a-la-fiscalia-suspender-indagatoria-por-la-masacre-de-el-aro-y-la-granja-esta-es-la-razon/</t>
        </is>
      </c>
    </row>
    <row r="55" ht="15" customHeight="1" s="31">
      <c r="A55" s="38" t="inlineStr">
        <is>
          <t>https://www.infobae.com/colombia/2026/09/04/defensa-del-expresidente-uribe-velez-pidio-a-la-fiscalia-suspender-indagatoria-por-la-masacre-de-el-aro-y-la-granja-esta-es-la-razon/</t>
        </is>
      </c>
      <c r="B55" s="38" t="inlineStr">
        <is>
          <t>https://www.infobae.com/colombia/2026/09/04/defensa-del-expresidente-uribe-velez-pidio-a-la-fiscalia-suspender-indagatoria-por-la-masacre-de-el-aro-y-la-granja-esta-es-la-razon/_S08</t>
        </is>
      </c>
      <c r="C55" s="38" t="inlineStr">
        <is>
          <t>Infobae Colombia</t>
        </is>
      </c>
      <c r="D55" s="38" t="inlineStr">
        <is>
          <t>Reformas sociales en disputa (pensional/tributaria)</t>
        </is>
      </c>
      <c r="E55" s="38" t="inlineStr">
        <is>
          <t>Noticia dura</t>
        </is>
      </c>
      <c r="F55" s="38" t="inlineStr">
        <is>
          <t>Fri, 04 Sep 2026 14:44:45 +0000</t>
        </is>
      </c>
      <c r="G55" s="62" t="inlineStr">
        <is>
          <t>El tercer expediente corresponde a la masacre de El Aro, cometida en octubre de 1997, también en Ituango, que dejó 17 muertos y provocó el desplazamiento de cientos de habitantes.</t>
        </is>
      </c>
      <c r="H55" s="62" t="inlineStr">
        <is>
          <t>El ente investigador analiza la eventual responsabilidad de Uribe Vélez por concierto para delinquir.</t>
        </is>
      </c>
      <c r="I55" s="62" t="inlineStr">
        <is>
          <t>La defensa pidió aplazar la diligencia hasta que decida la Corte Constitucional</t>
        </is>
      </c>
      <c r="J55" s="38" t="n"/>
      <c r="K55" s="62" t="n"/>
      <c r="L55" s="38" t="n"/>
      <c r="M55" s="62" t="n"/>
      <c r="N55" s="38" t="n"/>
      <c r="O55" s="62" t="n"/>
      <c r="P55" s="38" t="n"/>
      <c r="Q55" s="62" t="n"/>
      <c r="R55" s="38" t="n"/>
      <c r="S55" s="62" t="n"/>
      <c r="T55" s="38" t="n"/>
      <c r="U55" s="62" t="n"/>
      <c r="V55" s="38" t="n"/>
      <c r="W55" s="62" t="n"/>
      <c r="X55" s="38" t="n"/>
      <c r="Y55" s="62" t="n"/>
      <c r="Z55" s="38" t="n"/>
      <c r="AA55" s="62" t="n"/>
      <c r="AB55" s="38" t="n"/>
      <c r="AC55" s="62" t="n"/>
      <c r="AD55" s="38" t="n"/>
      <c r="AE55" s="38" t="n"/>
      <c r="AF55" s="61">
        <f>IF(COUNTIF($B$5:B55,B55)=1,1,0)</f>
        <v/>
      </c>
      <c r="AG55" s="62" t="inlineStr">
        <is>
          <t>https://www.infobae.com/colombia/2026/09/04/defensa-del-expresidente-uribe-velez-pidio-a-la-fiscalia-suspender-indagatoria-por-la-masacre-de-el-aro-y-la-granja-esta-es-la-razon/</t>
        </is>
      </c>
    </row>
    <row r="56" ht="15" customHeight="1" s="31">
      <c r="A56" s="38" t="inlineStr">
        <is>
          <t>https://www.infobae.com/colombia/2026/09/04/defensa-del-expresidente-uribe-velez-pidio-a-la-fiscalia-suspender-indagatoria-por-la-masacre-de-el-aro-y-la-granja-esta-es-la-razon/</t>
        </is>
      </c>
      <c r="B56" s="38" t="inlineStr">
        <is>
          <t>https://www.infobae.com/colombia/2026/09/04/defensa-del-expresidente-uribe-velez-pidio-a-la-fiscalia-suspender-indagatoria-por-la-masacre-de-el-aro-y-la-granja-esta-es-la-razon/_S09</t>
        </is>
      </c>
      <c r="C56" s="38" t="inlineStr">
        <is>
          <t>Infobae Colombia</t>
        </is>
      </c>
      <c r="D56" s="38" t="inlineStr">
        <is>
          <t>Reformas sociales en disputa (pensional/tributaria)</t>
        </is>
      </c>
      <c r="E56" s="38" t="inlineStr">
        <is>
          <t>Noticia dura</t>
        </is>
      </c>
      <c r="F56" s="38" t="inlineStr">
        <is>
          <t>Fri, 04 Sep 2026 14:44:45 +0000</t>
        </is>
      </c>
      <c r="G56" s="62" t="inlineStr">
        <is>
          <t>La defensa pidió aplazar la diligencia hasta que decida la Corte Constitucional</t>
        </is>
      </c>
      <c r="H56" s="62" t="inlineStr">
        <is>
          <t>El tercer expediente corresponde a la masacre de El Aro, cometida en octubre de 1997, también en Ituango, que dejó 17 muertos y provocó el desplazamiento de cientos de habitantes.</t>
        </is>
      </c>
      <c r="I56" s="62" t="inlineStr">
        <is>
          <t>Jaime Granados, abogado del expresidente de la República, Álvaro Uribe Vélez, envió dos comunicaciones a la Fiscalía General de la Nación.</t>
        </is>
      </c>
      <c r="J56" s="38" t="n"/>
      <c r="K56" s="62" t="n"/>
      <c r="L56" s="38" t="n"/>
      <c r="M56" s="62" t="n"/>
      <c r="N56" s="38" t="n"/>
      <c r="O56" s="62" t="n"/>
      <c r="P56" s="38" t="n"/>
      <c r="Q56" s="62" t="n"/>
      <c r="R56" s="38" t="n"/>
      <c r="S56" s="62" t="n"/>
      <c r="T56" s="38" t="n"/>
      <c r="U56" s="62" t="n"/>
      <c r="V56" s="38" t="n"/>
      <c r="W56" s="62" t="n"/>
      <c r="X56" s="38" t="n"/>
      <c r="Y56" s="62" t="n"/>
      <c r="Z56" s="38" t="n"/>
      <c r="AA56" s="62" t="n"/>
      <c r="AB56" s="38" t="n"/>
      <c r="AC56" s="62" t="n"/>
      <c r="AD56" s="38" t="n"/>
      <c r="AE56" s="38" t="n"/>
      <c r="AF56" s="61">
        <f>IF(COUNTIF($B$5:B56,B56)=1,1,0)</f>
        <v/>
      </c>
      <c r="AG56" s="62" t="inlineStr">
        <is>
          <t>https://www.infobae.com/colombia/2026/09/04/defensa-del-expresidente-uribe-velez-pidio-a-la-fiscalia-suspender-indagatoria-por-la-masacre-de-el-aro-y-la-granja-esta-es-la-razon/</t>
        </is>
      </c>
    </row>
    <row r="57" ht="15" customHeight="1" s="31">
      <c r="A57" s="38" t="inlineStr">
        <is>
          <t>https://www.infobae.com/colombia/2026/09/04/defensa-del-expresidente-uribe-velez-pidio-a-la-fiscalia-suspender-indagatoria-por-la-masacre-de-el-aro-y-la-granja-esta-es-la-razon/</t>
        </is>
      </c>
      <c r="B57" s="38" t="inlineStr">
        <is>
          <t>https://www.infobae.com/colombia/2026/09/04/defensa-del-expresidente-uribe-velez-pidio-a-la-fiscalia-suspender-indagatoria-por-la-masacre-de-el-aro-y-la-granja-esta-es-la-razon/_S10</t>
        </is>
      </c>
      <c r="C57" s="38" t="inlineStr">
        <is>
          <t>Infobae Colombia</t>
        </is>
      </c>
      <c r="D57" s="38" t="inlineStr">
        <is>
          <t>Reformas sociales en disputa (pensional/tributaria)</t>
        </is>
      </c>
      <c r="E57" s="38" t="inlineStr">
        <is>
          <t>Noticia dura</t>
        </is>
      </c>
      <c r="F57" s="38" t="inlineStr">
        <is>
          <t>Fri, 04 Sep 2026 14:44:45 +0000</t>
        </is>
      </c>
      <c r="G57" s="62" t="inlineStr">
        <is>
          <t>Jaime Granados, abogado del expresidente de la República, Álvaro Uribe Vélez, envió dos comunicaciones a la Fiscalía General de la Nación.</t>
        </is>
      </c>
      <c r="H57" s="62" t="inlineStr">
        <is>
          <t>La defensa pidió aplazar la diligencia hasta que decida la Corte Constitucional</t>
        </is>
      </c>
      <c r="I57" s="62" t="inlineStr">
        <is>
          <t>En la primera solicitó aplazar la indagatoria hasta que la Corte Constitucional resuelva si la autoridad competente es la Comisión de Acusación o el ente acusador, según informó Reporte Coronell.</t>
        </is>
      </c>
      <c r="J57" s="38" t="n"/>
      <c r="K57" s="62" t="n"/>
      <c r="L57" s="38" t="n"/>
      <c r="M57" s="62" t="n"/>
      <c r="N57" s="38" t="n"/>
      <c r="O57" s="62" t="n"/>
      <c r="P57" s="38" t="n"/>
      <c r="Q57" s="62" t="n"/>
      <c r="R57" s="38" t="n"/>
      <c r="S57" s="62" t="n"/>
      <c r="T57" s="38" t="n"/>
      <c r="U57" s="62" t="n"/>
      <c r="V57" s="38" t="n"/>
      <c r="W57" s="62" t="n"/>
      <c r="X57" s="38" t="n"/>
      <c r="Y57" s="62" t="n"/>
      <c r="Z57" s="38" t="n"/>
      <c r="AA57" s="62" t="n"/>
      <c r="AB57" s="38" t="n"/>
      <c r="AC57" s="62" t="n"/>
      <c r="AD57" s="38" t="n"/>
      <c r="AE57" s="38" t="n"/>
      <c r="AF57" s="61">
        <f>IF(COUNTIF($B$5:B57,B57)=1,1,0)</f>
        <v/>
      </c>
      <c r="AG57" s="62" t="inlineStr">
        <is>
          <t>https://www.infobae.com/colombia/2026/09/04/defensa-del-expresidente-uribe-velez-pidio-a-la-fiscalia-suspender-indagatoria-por-la-masacre-de-el-aro-y-la-granja-esta-es-la-razon/</t>
        </is>
      </c>
    </row>
    <row r="58" ht="15" customHeight="1" s="31">
      <c r="A58" s="38" t="inlineStr">
        <is>
          <t>https://www.infobae.com/colombia/2026/09/04/defensa-del-expresidente-uribe-velez-pidio-a-la-fiscalia-suspender-indagatoria-por-la-masacre-de-el-aro-y-la-granja-esta-es-la-razon/</t>
        </is>
      </c>
      <c r="B58" s="38" t="inlineStr">
        <is>
          <t>https://www.infobae.com/colombia/2026/09/04/defensa-del-expresidente-uribe-velez-pidio-a-la-fiscalia-suspender-indagatoria-por-la-masacre-de-el-aro-y-la-granja-esta-es-la-razon/_S11</t>
        </is>
      </c>
      <c r="C58" s="38" t="inlineStr">
        <is>
          <t>Infobae Colombia</t>
        </is>
      </c>
      <c r="D58" s="38" t="inlineStr">
        <is>
          <t>Reformas sociales en disputa (pensional/tributaria)</t>
        </is>
      </c>
      <c r="E58" s="38" t="inlineStr">
        <is>
          <t>Noticia dura</t>
        </is>
      </c>
      <c r="F58" s="38" t="inlineStr">
        <is>
          <t>Fri, 04 Sep 2026 14:44:45 +0000</t>
        </is>
      </c>
      <c r="G58" s="62" t="inlineStr">
        <is>
          <t>En la primera solicitó aplazar la indagatoria hasta que la Corte Constitucional resuelva si la autoridad competente es la Comisión de Acusación o el ente acusador, según informó Reporte Coronell.</t>
        </is>
      </c>
      <c r="H58" s="62" t="inlineStr">
        <is>
          <t>Jaime Granados, abogado del expresidente de la República, Álvaro Uribe Vélez, envió dos comunicaciones a la Fiscalía General de la Nación.</t>
        </is>
      </c>
      <c r="I58" s="62" t="inlineStr">
        <is>
          <t>El planteo tiene una consecuencia temporal concreta: la decisión del alto tribunal podría tardar años, porque no existe un término legal fijado para resolver ese punto.</t>
        </is>
      </c>
      <c r="J58" s="38" t="n"/>
      <c r="K58" s="62" t="n"/>
      <c r="L58" s="38" t="n"/>
      <c r="M58" s="62" t="n"/>
      <c r="N58" s="38" t="n"/>
      <c r="O58" s="62" t="n"/>
      <c r="P58" s="38" t="n"/>
      <c r="Q58" s="62" t="n"/>
      <c r="R58" s="38" t="n"/>
      <c r="S58" s="62" t="n"/>
      <c r="T58" s="38" t="n"/>
      <c r="U58" s="62" t="n"/>
      <c r="V58" s="38" t="n"/>
      <c r="W58" s="62" t="n"/>
      <c r="X58" s="38" t="n"/>
      <c r="Y58" s="62" t="n"/>
      <c r="Z58" s="38" t="n"/>
      <c r="AA58" s="62" t="n"/>
      <c r="AB58" s="38" t="n"/>
      <c r="AC58" s="62" t="n"/>
      <c r="AD58" s="38" t="n"/>
      <c r="AE58" s="38" t="n"/>
      <c r="AF58" s="61">
        <f>IF(COUNTIF($B$5:B58,B58)=1,1,0)</f>
        <v/>
      </c>
      <c r="AG58" s="62" t="inlineStr">
        <is>
          <t>https://www.infobae.com/colombia/2026/09/04/defensa-del-expresidente-uribe-velez-pidio-a-la-fiscalia-suspender-indagatoria-por-la-masacre-de-el-aro-y-la-granja-esta-es-la-razon/</t>
        </is>
      </c>
    </row>
    <row r="59" ht="15" customHeight="1" s="31">
      <c r="A59" s="38" t="inlineStr">
        <is>
          <t>https://www.infobae.com/colombia/2026/09/04/defensa-del-expresidente-uribe-velez-pidio-a-la-fiscalia-suspender-indagatoria-por-la-masacre-de-el-aro-y-la-granja-esta-es-la-razon/</t>
        </is>
      </c>
      <c r="B59" s="38" t="inlineStr">
        <is>
          <t>https://www.infobae.com/colombia/2026/09/04/defensa-del-expresidente-uribe-velez-pidio-a-la-fiscalia-suspender-indagatoria-por-la-masacre-de-el-aro-y-la-granja-esta-es-la-razon/_S12</t>
        </is>
      </c>
      <c r="C59" s="38" t="inlineStr">
        <is>
          <t>Infobae Colombia</t>
        </is>
      </c>
      <c r="D59" s="38" t="inlineStr">
        <is>
          <t>Reformas sociales en disputa (pensional/tributaria)</t>
        </is>
      </c>
      <c r="E59" s="38" t="inlineStr">
        <is>
          <t>Noticia dura</t>
        </is>
      </c>
      <c r="F59" s="38" t="inlineStr">
        <is>
          <t>Fri, 04 Sep 2026 14:44:45 +0000</t>
        </is>
      </c>
      <c r="G59" s="62" t="inlineStr">
        <is>
          <t>El planteo tiene una consecuencia temporal concreta: la decisión del alto tribunal podría tardar años, porque no existe un término legal fijado para resolver ese punto.</t>
        </is>
      </c>
      <c r="H59" s="62" t="inlineStr">
        <is>
          <t>En la primera solicitó aplazar la indagatoria hasta que la Corte Constitucional resuelva si la autoridad competente es la Comisión de Acusación o el ente acusador, según informó Reporte Coronell.</t>
        </is>
      </c>
      <c r="I59" s="62" t="n"/>
      <c r="J59" s="38" t="n"/>
      <c r="K59" s="62" t="n"/>
      <c r="L59" s="38" t="n"/>
      <c r="M59" s="62" t="n"/>
      <c r="N59" s="38" t="n"/>
      <c r="O59" s="62" t="n"/>
      <c r="P59" s="38" t="n"/>
      <c r="Q59" s="62" t="n"/>
      <c r="R59" s="38" t="n"/>
      <c r="S59" s="62" t="n"/>
      <c r="T59" s="38" t="n"/>
      <c r="U59" s="62" t="n"/>
      <c r="V59" s="38" t="n"/>
      <c r="W59" s="62" t="n"/>
      <c r="X59" s="38" t="n"/>
      <c r="Y59" s="62" t="n"/>
      <c r="Z59" s="38" t="n"/>
      <c r="AA59" s="62" t="n"/>
      <c r="AB59" s="38" t="n"/>
      <c r="AC59" s="62" t="n"/>
      <c r="AD59" s="38" t="n"/>
      <c r="AE59" s="38" t="n"/>
      <c r="AF59" s="61">
        <f>IF(COUNTIF($B$5:B59,B59)=1,1,0)</f>
        <v/>
      </c>
      <c r="AG59" s="62" t="inlineStr">
        <is>
          <t>https://www.infobae.com/colombia/2026/09/04/defensa-del-expresidente-uribe-velez-pidio-a-la-fiscalia-suspender-indagatoria-por-la-masacre-de-el-aro-y-la-granja-esta-es-la-razon/</t>
        </is>
      </c>
    </row>
    <row r="60" ht="15" customHeight="1" s="31">
      <c r="A60" s="38" t="inlineStr">
        <is>
          <t>https://www.infobae.com/colombia/2026/09/04/maria-claudia-tarazona-revelo-que-conserva-amenazas-que-habrian-anticipado-el-atentado-contra-miguel-uribe-no-tengo-las-garantias/</t>
        </is>
      </c>
      <c r="B60" s="38" t="inlineStr">
        <is>
          <t>https://www.infobae.com/colombia/2026/09/04/maria-claudia-tarazona-revelo-que-conserva-amenazas-que-habrian-anticipado-el-atentado-contra-miguel-uribe-no-tengo-las-garantias/_S01</t>
        </is>
      </c>
      <c r="C60" s="38" t="inlineStr">
        <is>
          <t>Infobae Colombia</t>
        </is>
      </c>
      <c r="D60" s="38" t="inlineStr">
        <is>
          <t>Reformas sociales en disputa (pensional/tributaria)</t>
        </is>
      </c>
      <c r="E60" s="38" t="inlineStr">
        <is>
          <t>Noticia dura</t>
        </is>
      </c>
      <c r="F60" s="38" t="inlineStr">
        <is>
          <t>Fri, 04 Sep 2026 02:52:18 +0000</t>
        </is>
      </c>
      <c r="G60" s="62" t="inlineStr">
        <is>
          <t>María Claudia Tarazona, viuda del senador y precandidato presidencial Miguel Uribe Turbay, se pronunció en una entrevista para Noticias Caracol con el fin de hablar sobre las sombras que rodean el magnicidio de su esposo, ocurrido tras un atentado en junio de 2025.</t>
        </is>
      </c>
      <c r="H60" s="62" t="n"/>
      <c r="I60" s="62" t="inlineStr">
        <is>
          <t>La empresaria reveló la existencia de pruebas inéditas que darían cuenta de advertencias previas sobre el ataque, al tiempo que cuestionó en forma severa la falta de garantías procesales por parte de la Fiscalía General de la Nación y el manejo del esquema de seguridad asignado a su familia.</t>
        </is>
      </c>
      <c r="J60" s="38" t="n"/>
      <c r="K60" s="62" t="n"/>
      <c r="L60" s="38" t="n"/>
      <c r="M60" s="62" t="n"/>
      <c r="N60" s="38" t="n"/>
      <c r="O60" s="62" t="n"/>
      <c r="P60" s="38" t="n"/>
      <c r="Q60" s="62" t="n"/>
      <c r="R60" s="38" t="n"/>
      <c r="S60" s="62" t="n"/>
      <c r="T60" s="38" t="n"/>
      <c r="U60" s="62" t="n"/>
      <c r="V60" s="38" t="n"/>
      <c r="W60" s="62" t="n"/>
      <c r="X60" s="38" t="n"/>
      <c r="Y60" s="62" t="n"/>
      <c r="Z60" s="38" t="n"/>
      <c r="AA60" s="62" t="n"/>
      <c r="AB60" s="38" t="n"/>
      <c r="AC60" s="62" t="n"/>
      <c r="AD60" s="38" t="n"/>
      <c r="AE60" s="38" t="n"/>
      <c r="AF60" s="61">
        <f>IF(COUNTIF($B$5:B60,B60)=1,1,0)</f>
        <v/>
      </c>
      <c r="AG60" s="62" t="inlineStr">
        <is>
          <t>https://www.infobae.com/colombia/2026/09/04/maria-claudia-tarazona-revelo-que-conserva-amenazas-que-habrian-anticipado-el-atentado-contra-miguel-uribe-no-tengo-las-garantias/</t>
        </is>
      </c>
    </row>
    <row r="61" ht="15" customHeight="1" s="31">
      <c r="A61" s="38" t="inlineStr">
        <is>
          <t>https://www.infobae.com/colombia/2026/09/04/maria-claudia-tarazona-revelo-que-conserva-amenazas-que-habrian-anticipado-el-atentado-contra-miguel-uribe-no-tengo-las-garantias/</t>
        </is>
      </c>
      <c r="B61" s="38" t="inlineStr">
        <is>
          <t>https://www.infobae.com/colombia/2026/09/04/maria-claudia-tarazona-revelo-que-conserva-amenazas-que-habrian-anticipado-el-atentado-contra-miguel-uribe-no-tengo-las-garantias/_S02</t>
        </is>
      </c>
      <c r="C61" s="38" t="inlineStr">
        <is>
          <t>Infobae Colombia</t>
        </is>
      </c>
      <c r="D61" s="38" t="inlineStr">
        <is>
          <t>Reformas sociales en disputa (pensional/tributaria)</t>
        </is>
      </c>
      <c r="E61" s="38" t="inlineStr">
        <is>
          <t>Noticia dura</t>
        </is>
      </c>
      <c r="F61" s="38" t="inlineStr">
        <is>
          <t>Fri, 04 Sep 2026 02:52:18 +0000</t>
        </is>
      </c>
      <c r="G61" s="62" t="inlineStr">
        <is>
          <t>La empresaria reveló la existencia de pruebas inéditas que darían cuenta de advertencias previas sobre el ataque, al tiempo que cuestionó en forma severa la falta de garantías procesales por parte de la Fiscalía General de la Nación y el manejo del esquema de seguridad asignado a su familia.</t>
        </is>
      </c>
      <c r="H61" s="62" t="inlineStr">
        <is>
          <t>María Claudia Tarazona, viuda del senador y precandidato presidencial Miguel Uribe Turbay, se pronunció en una entrevista para Noticias Caracol con el fin de hablar sobre las sombras que rodean el magnicidio de su esposo, ocurrido tras un atentado en junio de 2025.</t>
        </is>
      </c>
      <c r="I61" s="62" t="n"/>
      <c r="J61" s="38" t="n"/>
      <c r="K61" s="62" t="n"/>
      <c r="L61" s="38" t="n"/>
      <c r="M61" s="62" t="n"/>
      <c r="N61" s="38" t="n"/>
      <c r="O61" s="62" t="n"/>
      <c r="P61" s="38" t="n"/>
      <c r="Q61" s="62" t="n"/>
      <c r="R61" s="38" t="n"/>
      <c r="S61" s="62" t="n"/>
      <c r="T61" s="38" t="n"/>
      <c r="U61" s="62" t="n"/>
      <c r="V61" s="38" t="n"/>
      <c r="W61" s="62" t="n"/>
      <c r="X61" s="38" t="n"/>
      <c r="Y61" s="62" t="n"/>
      <c r="Z61" s="38" t="n"/>
      <c r="AA61" s="62" t="n"/>
      <c r="AB61" s="38" t="n"/>
      <c r="AC61" s="62" t="n"/>
      <c r="AD61" s="38" t="n"/>
      <c r="AE61" s="38" t="n"/>
      <c r="AF61" s="61">
        <f>IF(COUNTIF($B$5:B61,B61)=1,1,0)</f>
        <v/>
      </c>
      <c r="AG61" s="62" t="inlineStr">
        <is>
          <t>https://www.infobae.com/colombia/2026/09/04/maria-claudia-tarazona-revelo-que-conserva-amenazas-que-habrian-anticipado-el-atentado-contra-miguel-uribe-no-tengo-las-garantias/</t>
        </is>
      </c>
    </row>
    <row r="62" ht="15" customHeight="1" s="31">
      <c r="A62" s="38" t="inlineStr">
        <is>
          <t>https://www.infobae.com/colombia/2026/09/04/accionante-que-logro-que-un-juzgado-frenara-bombardeos-por-presencia-de-menores-explico-el-alcance-de-su-tutela-se-deben-proteger/</t>
        </is>
      </c>
      <c r="B62" s="38" t="inlineStr">
        <is>
          <t>https://www.infobae.com/colombia/2026/09/04/accionante-que-logro-que-un-juzgado-frenara-bombardeos-por-presencia-de-menores-explico-el-alcance-de-su-tutela-se-deben-proteger/_S01</t>
        </is>
      </c>
      <c r="C62" s="38" t="inlineStr">
        <is>
          <t>Infobae Colombia</t>
        </is>
      </c>
      <c r="D62" s="38" t="inlineStr">
        <is>
          <t>Seguridad y orden público</t>
        </is>
      </c>
      <c r="E62" s="38" t="inlineStr">
        <is>
          <t>Noticia dura</t>
        </is>
      </c>
      <c r="F62" s="38" t="inlineStr">
        <is>
          <t>Fri, 04 Sep 2026 02:29:45 +0000</t>
        </is>
      </c>
      <c r="G62" s="62" t="inlineStr">
        <is>
          <t>Ni la Presidencia de la República, ejercida por Abelardo de la Espriella, ni el Ministerio de Defensa, ni la fuerza pública, están autorizadas para ejecutar operaciones aéreas ofensivas en zonas donde se sospeche que hay presencia de niños, niñas y adolescentes reclutados por organizaciones criminales.</t>
        </is>
      </c>
      <c r="H62" s="62" t="n"/>
      <c r="I62" s="62" t="inlineStr">
        <is>
          <t>Así lo determinó el Juzgado 34 de Familia de Bogotá en un fallo proferido el 2 de septiembre de 2026, por medio del cual decretó la medida provisional, en respuesta a una acción de tutela que está en estudio.</t>
        </is>
      </c>
      <c r="J62" s="38" t="n"/>
      <c r="K62" s="62" t="n"/>
      <c r="L62" s="38" t="n"/>
      <c r="M62" s="62" t="n"/>
      <c r="N62" s="38" t="n"/>
      <c r="O62" s="62" t="n"/>
      <c r="P62" s="38" t="n"/>
      <c r="Q62" s="62" t="n"/>
      <c r="R62" s="38" t="n"/>
      <c r="S62" s="62" t="n"/>
      <c r="T62" s="38" t="n"/>
      <c r="U62" s="62" t="n"/>
      <c r="V62" s="38" t="n"/>
      <c r="W62" s="62" t="n"/>
      <c r="X62" s="38" t="n"/>
      <c r="Y62" s="62" t="n"/>
      <c r="Z62" s="38" t="n"/>
      <c r="AA62" s="62" t="n"/>
      <c r="AB62" s="38" t="n"/>
      <c r="AC62" s="62" t="n"/>
      <c r="AD62" s="38" t="n"/>
      <c r="AE62" s="38" t="n"/>
      <c r="AF62" s="61">
        <f>IF(COUNTIF($B$5:B62,B62)=1,1,0)</f>
        <v/>
      </c>
      <c r="AG62" s="62" t="inlineStr">
        <is>
          <t>https://www.infobae.com/colombia/2026/09/04/accionante-que-logro-que-un-juzgado-frenara-bombardeos-por-presencia-de-menores-explico-el-alcance-de-su-tutela-se-deben-proteger/</t>
        </is>
      </c>
    </row>
    <row r="63" ht="15" customHeight="1" s="31">
      <c r="A63" s="38" t="inlineStr">
        <is>
          <t>https://www.infobae.com/colombia/2026/09/04/accionante-que-logro-que-un-juzgado-frenara-bombardeos-por-presencia-de-menores-explico-el-alcance-de-su-tutela-se-deben-proteger/</t>
        </is>
      </c>
      <c r="B63" s="38" t="inlineStr">
        <is>
          <t>https://www.infobae.com/colombia/2026/09/04/accionante-que-logro-que-un-juzgado-frenara-bombardeos-por-presencia-de-menores-explico-el-alcance-de-su-tutela-se-deben-proteger/_S02</t>
        </is>
      </c>
      <c r="C63" s="38" t="inlineStr">
        <is>
          <t>Infobae Colombia</t>
        </is>
      </c>
      <c r="D63" s="38" t="inlineStr">
        <is>
          <t>Seguridad y orden público</t>
        </is>
      </c>
      <c r="E63" s="38" t="inlineStr">
        <is>
          <t>Noticia dura</t>
        </is>
      </c>
      <c r="F63" s="38" t="inlineStr">
        <is>
          <t>Fri, 04 Sep 2026 02:29:45 +0000</t>
        </is>
      </c>
      <c r="G63" s="62" t="inlineStr">
        <is>
          <t>Así lo determinó el Juzgado 34 de Familia de Bogotá en un fallo proferido el 2 de septiembre de 2026, por medio del cual decretó la medida provisional, en respuesta a una acción de tutela que está en estudio.</t>
        </is>
      </c>
      <c r="H63" s="62" t="inlineStr">
        <is>
          <t>Ni la Presidencia de la República, ejercida por Abelardo de la Espriella, ni el Ministerio de Defensa, ni la fuerza pública, están autorizadas para ejecutar operaciones aéreas ofensivas en zonas donde se sospeche que hay presencia de niños, niñas y adolescentes reclutados por organizaciones criminales.</t>
        </is>
      </c>
      <c r="I63" s="62" t="n"/>
      <c r="J63" s="38" t="n"/>
      <c r="K63" s="62" t="n"/>
      <c r="L63" s="38" t="n"/>
      <c r="M63" s="62" t="n"/>
      <c r="N63" s="38" t="n"/>
      <c r="O63" s="62" t="n"/>
      <c r="P63" s="38" t="n"/>
      <c r="Q63" s="62" t="n"/>
      <c r="R63" s="38" t="n"/>
      <c r="S63" s="62" t="n"/>
      <c r="T63" s="38" t="n"/>
      <c r="U63" s="62" t="n"/>
      <c r="V63" s="38" t="n"/>
      <c r="W63" s="62" t="n"/>
      <c r="X63" s="38" t="n"/>
      <c r="Y63" s="62" t="n"/>
      <c r="Z63" s="38" t="n"/>
      <c r="AA63" s="62" t="n"/>
      <c r="AB63" s="38" t="n"/>
      <c r="AC63" s="62" t="n"/>
      <c r="AD63" s="38" t="n"/>
      <c r="AE63" s="38" t="n"/>
      <c r="AF63" s="61">
        <f>IF(COUNTIF($B$5:B63,B63)=1,1,0)</f>
        <v/>
      </c>
      <c r="AG63" s="62" t="inlineStr">
        <is>
          <t>https://www.infobae.com/colombia/2026/09/04/accionante-que-logro-que-un-juzgado-frenara-bombardeos-por-presencia-de-menores-explico-el-alcance-de-su-tutela-se-deben-proteger/</t>
        </is>
      </c>
    </row>
    <row r="64" ht="15" customHeight="1" s="31">
      <c r="A64" s="38" t="inlineStr">
        <is>
          <t>https://www.eltiempo.com/politica/partidos-politicos/las-movidas-detras-de-la-declaratoria-de-la-alianza-verde-como-partido-independiente-al-gobierno-de-abelardo-de-la-espriella-3583710</t>
        </is>
      </c>
      <c r="B64" s="38" t="inlineStr">
        <is>
          <t>https://www.eltiempo.com/politica/partidos-politicos/las-movidas-detras-de-la-declaratoria-de-la-alianza-verde-como-partido-independiente-al-gobierno-de-abelardo-de-la-espriella-3583710_S01</t>
        </is>
      </c>
      <c r="C64" s="38" t="inlineStr">
        <is>
          <t>El Tiempo</t>
        </is>
      </c>
      <c r="D64" s="38" t="inlineStr">
        <is>
          <t>Transición de gobierno y relación con la oposición</t>
        </is>
      </c>
      <c r="E64" s="38" t="inlineStr">
        <is>
          <t>Noticia dura</t>
        </is>
      </c>
      <c r="F64" s="38" t="inlineStr">
        <is>
          <t>2026-09-04T16:36:43-05:00</t>
        </is>
      </c>
      <c r="G64" s="62" t="inlineStr">
        <is>
          <t>La decisión de la Alianza Verde de declararse como partido independiente al gobierno de Abelardo De La Espriella ha generado polémica.</t>
        </is>
      </c>
      <c r="H64" s="62" t="n"/>
      <c r="I64" s="62" t="inlineStr">
        <is>
          <t>No sólo dejó al Pacto Histórico y En Marcha como únicas fuerzas de oposición, sino que se ha llamado la atención debido a que el partido de centro pasó de ser uno de los grandes aliados de Gustavo Petro a no acompañar a su bancada en su postura frente a la nueva administración.</t>
        </is>
      </c>
      <c r="J64" s="38" t="n"/>
      <c r="K64" s="62" t="n"/>
      <c r="L64" s="38" t="n"/>
      <c r="M64" s="62" t="n"/>
      <c r="N64" s="38" t="n"/>
      <c r="O64" s="62" t="n"/>
      <c r="P64" s="38" t="n"/>
      <c r="Q64" s="62" t="n"/>
      <c r="R64" s="38" t="n"/>
      <c r="S64" s="62" t="n"/>
      <c r="T64" s="38" t="n"/>
      <c r="U64" s="62" t="n"/>
      <c r="V64" s="38" t="n"/>
      <c r="W64" s="62" t="n"/>
      <c r="X64" s="38" t="n"/>
      <c r="Y64" s="62" t="n"/>
      <c r="Z64" s="38" t="n"/>
      <c r="AA64" s="62" t="n"/>
      <c r="AB64" s="38" t="n"/>
      <c r="AC64" s="62" t="n"/>
      <c r="AD64" s="38" t="n"/>
      <c r="AE64" s="38" t="n"/>
      <c r="AF64" s="61">
        <f>IF(COUNTIF($B$5:B64,B64)=1,1,0)</f>
        <v/>
      </c>
      <c r="AG64" s="62" t="inlineStr">
        <is>
          <t>https://www.eltiempo.com/politica/partidos-politicos/las-movidas-detras-de-la-declaratoria-de-la-alianza-verde-como-partido-independiente-al-gobierno-de-abelardo-de-la-espriella-3583710</t>
        </is>
      </c>
    </row>
    <row r="65" ht="15" customHeight="1" s="31">
      <c r="A65" s="38" t="inlineStr">
        <is>
          <t>https://www.eltiempo.com/politica/partidos-politicos/las-movidas-detras-de-la-declaratoria-de-la-alianza-verde-como-partido-independiente-al-gobierno-de-abelardo-de-la-espriella-3583710</t>
        </is>
      </c>
      <c r="B65" s="38" t="inlineStr">
        <is>
          <t>https://www.eltiempo.com/politica/partidos-politicos/las-movidas-detras-de-la-declaratoria-de-la-alianza-verde-como-partido-independiente-al-gobierno-de-abelardo-de-la-espriella-3583710_S02</t>
        </is>
      </c>
      <c r="C65" s="38" t="inlineStr">
        <is>
          <t>El Tiempo</t>
        </is>
      </c>
      <c r="D65" s="38" t="inlineStr">
        <is>
          <t>Transición de gobierno y relación con la oposición</t>
        </is>
      </c>
      <c r="E65" s="38" t="inlineStr">
        <is>
          <t>Noticia dura</t>
        </is>
      </c>
      <c r="F65" s="38" t="inlineStr">
        <is>
          <t>2026-09-04T16:36:43-05:00</t>
        </is>
      </c>
      <c r="G65" s="62" t="inlineStr">
        <is>
          <t>No sólo dejó al Pacto Histórico y En Marcha como únicas fuerzas de oposición, sino que se ha llamado la atención debido a que el partido de centro pasó de ser uno de los grandes aliados de Gustavo Petro a no acompañar a su bancada en su postura frente a la nueva administración.</t>
        </is>
      </c>
      <c r="H65" s="62" t="inlineStr">
        <is>
          <t>La decisión de la Alianza Verde de declararse como partido independiente al gobierno de Abelardo De La Espriella ha generado polémica.</t>
        </is>
      </c>
      <c r="I65" s="62" t="inlineStr">
        <is>
          <t>Las críticas no se han hecho esperar.</t>
        </is>
      </c>
      <c r="J65" s="38" t="n"/>
      <c r="K65" s="62" t="n"/>
      <c r="L65" s="38" t="n"/>
      <c r="M65" s="62" t="n"/>
      <c r="N65" s="38" t="n"/>
      <c r="O65" s="62" t="n"/>
      <c r="P65" s="38" t="n"/>
      <c r="Q65" s="62" t="n"/>
      <c r="R65" s="38" t="n"/>
      <c r="S65" s="62" t="n"/>
      <c r="T65" s="38" t="n"/>
      <c r="U65" s="62" t="n"/>
      <c r="V65" s="38" t="n"/>
      <c r="W65" s="62" t="n"/>
      <c r="X65" s="38" t="n"/>
      <c r="Y65" s="62" t="n"/>
      <c r="Z65" s="38" t="n"/>
      <c r="AA65" s="62" t="n"/>
      <c r="AB65" s="38" t="n"/>
      <c r="AC65" s="62" t="n"/>
      <c r="AD65" s="38" t="n"/>
      <c r="AE65" s="38" t="n"/>
      <c r="AF65" s="61">
        <f>IF(COUNTIF($B$5:B65,B65)=1,1,0)</f>
        <v/>
      </c>
      <c r="AG65" s="62" t="inlineStr">
        <is>
          <t>https://www.eltiempo.com/politica/partidos-politicos/las-movidas-detras-de-la-declaratoria-de-la-alianza-verde-como-partido-independiente-al-gobierno-de-abelardo-de-la-espriella-3583710</t>
        </is>
      </c>
    </row>
    <row r="66" ht="15" customHeight="1" s="31">
      <c r="A66" s="38" t="inlineStr">
        <is>
          <t>https://www.eltiempo.com/politica/partidos-politicos/las-movidas-detras-de-la-declaratoria-de-la-alianza-verde-como-partido-independiente-al-gobierno-de-abelardo-de-la-espriella-3583710</t>
        </is>
      </c>
      <c r="B66" s="38" t="inlineStr">
        <is>
          <t>https://www.eltiempo.com/politica/partidos-politicos/las-movidas-detras-de-la-declaratoria-de-la-alianza-verde-como-partido-independiente-al-gobierno-de-abelardo-de-la-espriella-3583710_S03</t>
        </is>
      </c>
      <c r="C66" s="38" t="inlineStr">
        <is>
          <t>El Tiempo</t>
        </is>
      </c>
      <c r="D66" s="38" t="inlineStr">
        <is>
          <t>Transición de gobierno y relación con la oposición</t>
        </is>
      </c>
      <c r="E66" s="38" t="inlineStr">
        <is>
          <t>Noticia dura</t>
        </is>
      </c>
      <c r="F66" s="38" t="inlineStr">
        <is>
          <t>2026-09-04T16:36:43-05:00</t>
        </is>
      </c>
      <c r="G66" s="62" t="inlineStr">
        <is>
          <t>Las críticas no se han hecho esperar.</t>
        </is>
      </c>
      <c r="H66" s="62" t="inlineStr">
        <is>
          <t>No sólo dejó al Pacto Histórico y En Marcha como únicas fuerzas de oposición, sino que se ha llamado la atención debido a que el partido de centro pasó de ser uno de los grandes aliados de Gustavo Petro a no acompañar a su bancada en su postura frente a la nueva administración.</t>
        </is>
      </c>
      <c r="I66" s="62" t="inlineStr">
        <is>
          <t>“Frente al fascismo no se puede ser independiente”, dijo el excandidato presidencial y senador, Iván Cepeda.</t>
        </is>
      </c>
      <c r="J66" s="38" t="n"/>
      <c r="K66" s="62" t="n"/>
      <c r="L66" s="38" t="n"/>
      <c r="M66" s="62" t="n"/>
      <c r="N66" s="38" t="n"/>
      <c r="O66" s="62" t="n"/>
      <c r="P66" s="38" t="n"/>
      <c r="Q66" s="62" t="n"/>
      <c r="R66" s="38" t="n"/>
      <c r="S66" s="62" t="n"/>
      <c r="T66" s="38" t="n"/>
      <c r="U66" s="62" t="n"/>
      <c r="V66" s="38" t="n"/>
      <c r="W66" s="62" t="n"/>
      <c r="X66" s="38" t="n"/>
      <c r="Y66" s="62" t="n"/>
      <c r="Z66" s="38" t="n"/>
      <c r="AA66" s="62" t="n"/>
      <c r="AB66" s="38" t="n"/>
      <c r="AC66" s="62" t="n"/>
      <c r="AD66" s="38" t="n"/>
      <c r="AE66" s="38" t="n"/>
      <c r="AF66" s="61">
        <f>IF(COUNTIF($B$5:B66,B66)=1,1,0)</f>
        <v/>
      </c>
      <c r="AG66" s="62" t="inlineStr">
        <is>
          <t>https://www.eltiempo.com/politica/partidos-politicos/las-movidas-detras-de-la-declaratoria-de-la-alianza-verde-como-partido-independiente-al-gobierno-de-abelardo-de-la-espriella-3583710</t>
        </is>
      </c>
    </row>
    <row r="67" ht="15" customHeight="1" s="31">
      <c r="A67" s="38" t="inlineStr">
        <is>
          <t>https://www.eltiempo.com/politica/partidos-politicos/las-movidas-detras-de-la-declaratoria-de-la-alianza-verde-como-partido-independiente-al-gobierno-de-abelardo-de-la-espriella-3583710</t>
        </is>
      </c>
      <c r="B67" s="38" t="inlineStr">
        <is>
          <t>https://www.eltiempo.com/politica/partidos-politicos/las-movidas-detras-de-la-declaratoria-de-la-alianza-verde-como-partido-independiente-al-gobierno-de-abelardo-de-la-espriella-3583710_S04</t>
        </is>
      </c>
      <c r="C67" s="38" t="inlineStr">
        <is>
          <t>El Tiempo</t>
        </is>
      </c>
      <c r="D67" s="38" t="inlineStr">
        <is>
          <t>Transición de gobierno y relación con la oposición</t>
        </is>
      </c>
      <c r="E67" s="38" t="inlineStr">
        <is>
          <t>Noticia dura</t>
        </is>
      </c>
      <c r="F67" s="38" t="inlineStr">
        <is>
          <t>2026-09-04T16:36:43-05:00</t>
        </is>
      </c>
      <c r="G67" s="62" t="inlineStr">
        <is>
          <t>“Frente al fascismo no se puede ser independiente”, dijo el excandidato presidencial y senador, Iván Cepeda.</t>
        </is>
      </c>
      <c r="H67" s="62" t="inlineStr">
        <is>
          <t>Las críticas no se han hecho esperar.</t>
        </is>
      </c>
      <c r="I67" s="62" t="inlineStr">
        <is>
          <t>Y es que algunos no entienden la decisión y qué hay detrás de ella.</t>
        </is>
      </c>
      <c r="J67" s="38" t="n"/>
      <c r="K67" s="62" t="n"/>
      <c r="L67" s="38" t="n"/>
      <c r="M67" s="62" t="n"/>
      <c r="N67" s="38" t="n"/>
      <c r="O67" s="62" t="n"/>
      <c r="P67" s="38" t="n"/>
      <c r="Q67" s="62" t="n"/>
      <c r="R67" s="38" t="n"/>
      <c r="S67" s="62" t="n"/>
      <c r="T67" s="38" t="n"/>
      <c r="U67" s="62" t="n"/>
      <c r="V67" s="38" t="n"/>
      <c r="W67" s="62" t="n"/>
      <c r="X67" s="38" t="n"/>
      <c r="Y67" s="62" t="n"/>
      <c r="Z67" s="38" t="n"/>
      <c r="AA67" s="62" t="n"/>
      <c r="AB67" s="38" t="n"/>
      <c r="AC67" s="62" t="n"/>
      <c r="AD67" s="38" t="n"/>
      <c r="AE67" s="38" t="n"/>
      <c r="AF67" s="61">
        <f>IF(COUNTIF($B$5:B67,B67)=1,1,0)</f>
        <v/>
      </c>
      <c r="AG67" s="62" t="inlineStr">
        <is>
          <t>https://www.eltiempo.com/politica/partidos-politicos/las-movidas-detras-de-la-declaratoria-de-la-alianza-verde-como-partido-independiente-al-gobierno-de-abelardo-de-la-espriella-3583710</t>
        </is>
      </c>
    </row>
    <row r="68" ht="15" customHeight="1" s="31">
      <c r="A68" s="38" t="inlineStr">
        <is>
          <t>https://www.eltiempo.com/politica/partidos-politicos/las-movidas-detras-de-la-declaratoria-de-la-alianza-verde-como-partido-independiente-al-gobierno-de-abelardo-de-la-espriella-3583710</t>
        </is>
      </c>
      <c r="B68" s="38" t="inlineStr">
        <is>
          <t>https://www.eltiempo.com/politica/partidos-politicos/las-movidas-detras-de-la-declaratoria-de-la-alianza-verde-como-partido-independiente-al-gobierno-de-abelardo-de-la-espriella-3583710_S05</t>
        </is>
      </c>
      <c r="C68" s="38" t="inlineStr">
        <is>
          <t>El Tiempo</t>
        </is>
      </c>
      <c r="D68" s="38" t="inlineStr">
        <is>
          <t>Transición de gobierno y relación con la oposición</t>
        </is>
      </c>
      <c r="E68" s="38" t="inlineStr">
        <is>
          <t>Noticia dura</t>
        </is>
      </c>
      <c r="F68" s="38" t="inlineStr">
        <is>
          <t>2026-09-04T16:36:43-05:00</t>
        </is>
      </c>
      <c r="G68" s="62" t="inlineStr">
        <is>
          <t>Y es que algunos no entienden la decisión y qué hay detrás de ella.</t>
        </is>
      </c>
      <c r="H68" s="62" t="inlineStr">
        <is>
          <t>“Frente al fascismo no se puede ser independiente”, dijo el excandidato presidencial y senador, Iván Cepeda.</t>
        </is>
      </c>
      <c r="I68" s="62" t="inlineStr">
        <is>
          <t>Lo ven como una falta de coherencia frente a lo que ha predicado el partido durante su existencia.</t>
        </is>
      </c>
      <c r="J68" s="38" t="n"/>
      <c r="K68" s="62" t="n"/>
      <c r="L68" s="38" t="n"/>
      <c r="M68" s="62" t="n"/>
      <c r="N68" s="38" t="n"/>
      <c r="O68" s="62" t="n"/>
      <c r="P68" s="38" t="n"/>
      <c r="Q68" s="62" t="n"/>
      <c r="R68" s="38" t="n"/>
      <c r="S68" s="62" t="n"/>
      <c r="T68" s="38" t="n"/>
      <c r="U68" s="62" t="n"/>
      <c r="V68" s="38" t="n"/>
      <c r="W68" s="62" t="n"/>
      <c r="X68" s="38" t="n"/>
      <c r="Y68" s="62" t="n"/>
      <c r="Z68" s="38" t="n"/>
      <c r="AA68" s="62" t="n"/>
      <c r="AB68" s="38" t="n"/>
      <c r="AC68" s="62" t="n"/>
      <c r="AD68" s="38" t="n"/>
      <c r="AE68" s="38" t="n"/>
      <c r="AF68" s="61">
        <f>IF(COUNTIF($B$5:B68,B68)=1,1,0)</f>
        <v/>
      </c>
      <c r="AG68" s="62" t="inlineStr">
        <is>
          <t>https://www.eltiempo.com/politica/partidos-politicos/las-movidas-detras-de-la-declaratoria-de-la-alianza-verde-como-partido-independiente-al-gobierno-de-abelardo-de-la-espriella-3583710</t>
        </is>
      </c>
    </row>
    <row r="69" ht="15" customHeight="1" s="31">
      <c r="A69" s="38" t="inlineStr">
        <is>
          <t>https://www.eltiempo.com/politica/partidos-politicos/las-movidas-detras-de-la-declaratoria-de-la-alianza-verde-como-partido-independiente-al-gobierno-de-abelardo-de-la-espriella-3583710</t>
        </is>
      </c>
      <c r="B69" s="38" t="inlineStr">
        <is>
          <t>https://www.eltiempo.com/politica/partidos-politicos/las-movidas-detras-de-la-declaratoria-de-la-alianza-verde-como-partido-independiente-al-gobierno-de-abelardo-de-la-espriella-3583710_S06</t>
        </is>
      </c>
      <c r="C69" s="38" t="inlineStr">
        <is>
          <t>El Tiempo</t>
        </is>
      </c>
      <c r="D69" s="38" t="inlineStr">
        <is>
          <t>Transición de gobierno y relación con la oposición</t>
        </is>
      </c>
      <c r="E69" s="38" t="inlineStr">
        <is>
          <t>Noticia dura</t>
        </is>
      </c>
      <c r="F69" s="38" t="inlineStr">
        <is>
          <t>2026-09-04T16:36:43-05:00</t>
        </is>
      </c>
      <c r="G69" s="62" t="inlineStr">
        <is>
          <t>Lo ven como una falta de coherencia frente a lo que ha predicado el partido durante su existencia.</t>
        </is>
      </c>
      <c r="H69" s="62" t="inlineStr">
        <is>
          <t>Y es que algunos no entienden la decisión y qué hay detrás de ella.</t>
        </is>
      </c>
      <c r="I69" s="62" t="inlineStr">
        <is>
          <t>Además, han cuestionado que hasta hace unos días venía ganando la postura de la oposición y al final se revirtió la tendencia.</t>
        </is>
      </c>
      <c r="J69" s="38" t="n"/>
      <c r="K69" s="62" t="n"/>
      <c r="L69" s="38" t="n"/>
      <c r="M69" s="62" t="n"/>
      <c r="N69" s="38" t="n"/>
      <c r="O69" s="62" t="n"/>
      <c r="P69" s="38" t="n"/>
      <c r="Q69" s="62" t="n"/>
      <c r="R69" s="38" t="n"/>
      <c r="S69" s="62" t="n"/>
      <c r="T69" s="38" t="n"/>
      <c r="U69" s="62" t="n"/>
      <c r="V69" s="38" t="n"/>
      <c r="W69" s="62" t="n"/>
      <c r="X69" s="38" t="n"/>
      <c r="Y69" s="62" t="n"/>
      <c r="Z69" s="38" t="n"/>
      <c r="AA69" s="62" t="n"/>
      <c r="AB69" s="38" t="n"/>
      <c r="AC69" s="62" t="n"/>
      <c r="AD69" s="38" t="n"/>
      <c r="AE69" s="38" t="n"/>
      <c r="AF69" s="61">
        <f>IF(COUNTIF($B$5:B69,B69)=1,1,0)</f>
        <v/>
      </c>
      <c r="AG69" s="62" t="inlineStr">
        <is>
          <t>https://www.eltiempo.com/politica/partidos-politicos/las-movidas-detras-de-la-declaratoria-de-la-alianza-verde-como-partido-independiente-al-gobierno-de-abelardo-de-la-espriella-3583710</t>
        </is>
      </c>
    </row>
    <row r="70" ht="15" customHeight="1" s="31">
      <c r="A70" s="38" t="inlineStr">
        <is>
          <t>https://www.eltiempo.com/politica/partidos-politicos/las-movidas-detras-de-la-declaratoria-de-la-alianza-verde-como-partido-independiente-al-gobierno-de-abelardo-de-la-espriella-3583710</t>
        </is>
      </c>
      <c r="B70" s="38" t="inlineStr">
        <is>
          <t>https://www.eltiempo.com/politica/partidos-politicos/las-movidas-detras-de-la-declaratoria-de-la-alianza-verde-como-partido-independiente-al-gobierno-de-abelardo-de-la-espriella-3583710_S07</t>
        </is>
      </c>
      <c r="C70" s="38" t="inlineStr">
        <is>
          <t>El Tiempo</t>
        </is>
      </c>
      <c r="D70" s="38" t="inlineStr">
        <is>
          <t>Transición de gobierno y relación con la oposición</t>
        </is>
      </c>
      <c r="E70" s="38" t="inlineStr">
        <is>
          <t>Noticia dura</t>
        </is>
      </c>
      <c r="F70" s="38" t="inlineStr">
        <is>
          <t>2026-09-04T16:36:43-05:00</t>
        </is>
      </c>
      <c r="G70" s="62" t="inlineStr">
        <is>
          <t>Además, han cuestionado que hasta hace unos días venía ganando la postura de la oposición y al final se revirtió la tendencia.</t>
        </is>
      </c>
      <c r="H70" s="62" t="inlineStr">
        <is>
          <t>Lo ven como una falta de coherencia frente a lo que ha predicado el partido durante su existencia.</t>
        </is>
      </c>
      <c r="I70" s="62" t="inlineStr">
        <is>
          <t>Hay distintas versiones sobre lo que motivó a la mayoría de los Verdes a votar por la independencia.</t>
        </is>
      </c>
      <c r="J70" s="38" t="n"/>
      <c r="K70" s="62" t="n"/>
      <c r="L70" s="38" t="n"/>
      <c r="M70" s="62" t="n"/>
      <c r="N70" s="38" t="n"/>
      <c r="O70" s="62" t="n"/>
      <c r="P70" s="38" t="n"/>
      <c r="Q70" s="62" t="n"/>
      <c r="R70" s="38" t="n"/>
      <c r="S70" s="62" t="n"/>
      <c r="T70" s="38" t="n"/>
      <c r="U70" s="62" t="n"/>
      <c r="V70" s="38" t="n"/>
      <c r="W70" s="62" t="n"/>
      <c r="X70" s="38" t="n"/>
      <c r="Y70" s="62" t="n"/>
      <c r="Z70" s="38" t="n"/>
      <c r="AA70" s="62" t="n"/>
      <c r="AB70" s="38" t="n"/>
      <c r="AC70" s="62" t="n"/>
      <c r="AD70" s="38" t="n"/>
      <c r="AE70" s="38" t="n"/>
      <c r="AF70" s="61">
        <f>IF(COUNTIF($B$5:B70,B70)=1,1,0)</f>
        <v/>
      </c>
      <c r="AG70" s="62" t="inlineStr">
        <is>
          <t>https://www.eltiempo.com/politica/partidos-politicos/las-movidas-detras-de-la-declaratoria-de-la-alianza-verde-como-partido-independiente-al-gobierno-de-abelardo-de-la-espriella-3583710</t>
        </is>
      </c>
    </row>
    <row r="71" ht="15" customHeight="1" s="31">
      <c r="A71" s="38" t="inlineStr">
        <is>
          <t>https://www.eltiempo.com/politica/partidos-politicos/las-movidas-detras-de-la-declaratoria-de-la-alianza-verde-como-partido-independiente-al-gobierno-de-abelardo-de-la-espriella-3583710</t>
        </is>
      </c>
      <c r="B71" s="38" t="inlineStr">
        <is>
          <t>https://www.eltiempo.com/politica/partidos-politicos/las-movidas-detras-de-la-declaratoria-de-la-alianza-verde-como-partido-independiente-al-gobierno-de-abelardo-de-la-espriella-3583710_S08</t>
        </is>
      </c>
      <c r="C71" s="38" t="inlineStr">
        <is>
          <t>El Tiempo</t>
        </is>
      </c>
      <c r="D71" s="38" t="inlineStr">
        <is>
          <t>Transición de gobierno y relación con la oposición</t>
        </is>
      </c>
      <c r="E71" s="38" t="inlineStr">
        <is>
          <t>Noticia dura</t>
        </is>
      </c>
      <c r="F71" s="38" t="inlineStr">
        <is>
          <t>2026-09-04T16:36:43-05:00</t>
        </is>
      </c>
      <c r="G71" s="62" t="inlineStr">
        <is>
          <t>Hay distintas versiones sobre lo que motivó a la mayoría de los Verdes a votar por la independencia.</t>
        </is>
      </c>
      <c r="H71" s="62" t="inlineStr">
        <is>
          <t>Además, han cuestionado que hasta hace unos días venía ganando la postura de la oposición y al final se revirtió la tendencia.</t>
        </is>
      </c>
      <c r="I71" s="62" t="inlineStr">
        <is>
          <t>Algunos de los consultados aseguran que se impuso la independencia debido a que se quieren desligar del Pacto Histórico.</t>
        </is>
      </c>
      <c r="J71" s="38" t="n"/>
      <c r="K71" s="62" t="n"/>
      <c r="L71" s="38" t="n"/>
      <c r="M71" s="62" t="n"/>
      <c r="N71" s="38" t="n"/>
      <c r="O71" s="62" t="n"/>
      <c r="P71" s="38" t="n"/>
      <c r="Q71" s="62" t="n"/>
      <c r="R71" s="38" t="n"/>
      <c r="S71" s="62" t="n"/>
      <c r="T71" s="38" t="n"/>
      <c r="U71" s="62" t="n"/>
      <c r="V71" s="38" t="n"/>
      <c r="W71" s="62" t="n"/>
      <c r="X71" s="38" t="n"/>
      <c r="Y71" s="62" t="n"/>
      <c r="Z71" s="38" t="n"/>
      <c r="AA71" s="62" t="n"/>
      <c r="AB71" s="38" t="n"/>
      <c r="AC71" s="62" t="n"/>
      <c r="AD71" s="38" t="n"/>
      <c r="AE71" s="38" t="n"/>
      <c r="AF71" s="61">
        <f>IF(COUNTIF($B$5:B71,B71)=1,1,0)</f>
        <v/>
      </c>
      <c r="AG71" s="62" t="inlineStr">
        <is>
          <t>https://www.eltiempo.com/politica/partidos-politicos/las-movidas-detras-de-la-declaratoria-de-la-alianza-verde-como-partido-independiente-al-gobierno-de-abelardo-de-la-espriella-3583710</t>
        </is>
      </c>
    </row>
    <row r="72" ht="15" customHeight="1" s="31">
      <c r="A72" s="38" t="inlineStr">
        <is>
          <t>https://www.eltiempo.com/politica/partidos-politicos/las-movidas-detras-de-la-declaratoria-de-la-alianza-verde-como-partido-independiente-al-gobierno-de-abelardo-de-la-espriella-3583710</t>
        </is>
      </c>
      <c r="B72" s="38" t="inlineStr">
        <is>
          <t>https://www.eltiempo.com/politica/partidos-politicos/las-movidas-detras-de-la-declaratoria-de-la-alianza-verde-como-partido-independiente-al-gobierno-de-abelardo-de-la-espriella-3583710_S09</t>
        </is>
      </c>
      <c r="C72" s="38" t="inlineStr">
        <is>
          <t>El Tiempo</t>
        </is>
      </c>
      <c r="D72" s="38" t="inlineStr">
        <is>
          <t>Transición de gobierno y relación con la oposición</t>
        </is>
      </c>
      <c r="E72" s="38" t="inlineStr">
        <is>
          <t>Noticia dura</t>
        </is>
      </c>
      <c r="F72" s="38" t="inlineStr">
        <is>
          <t>2026-09-04T16:36:43-05:00</t>
        </is>
      </c>
      <c r="G72" s="62" t="inlineStr">
        <is>
          <t>Algunos de los consultados aseguran que se impuso la independencia debido a que se quieren desligar del Pacto Histórico.</t>
        </is>
      </c>
      <c r="H72" s="62" t="inlineStr">
        <is>
          <t>Hay distintas versiones sobre lo que motivó a la mayoría de los Verdes a votar por la independencia.</t>
        </is>
      </c>
      <c r="I72" s="62" t="inlineStr">
        <is>
          <t>Señalan que la colectividad de izquierda los ha visto como un apéndice y necesitaban de alguna forma mostrar sus diferencias con ellos.</t>
        </is>
      </c>
      <c r="J72" s="38" t="n"/>
      <c r="K72" s="62" t="n"/>
      <c r="L72" s="38" t="n"/>
      <c r="M72" s="62" t="n"/>
      <c r="N72" s="38" t="n"/>
      <c r="O72" s="62" t="n"/>
      <c r="P72" s="38" t="n"/>
      <c r="Q72" s="62" t="n"/>
      <c r="R72" s="38" t="n"/>
      <c r="S72" s="62" t="n"/>
      <c r="T72" s="38" t="n"/>
      <c r="U72" s="62" t="n"/>
      <c r="V72" s="38" t="n"/>
      <c r="W72" s="62" t="n"/>
      <c r="X72" s="38" t="n"/>
      <c r="Y72" s="62" t="n"/>
      <c r="Z72" s="38" t="n"/>
      <c r="AA72" s="62" t="n"/>
      <c r="AB72" s="38" t="n"/>
      <c r="AC72" s="62" t="n"/>
      <c r="AD72" s="38" t="n"/>
      <c r="AE72" s="38" t="n"/>
      <c r="AF72" s="61">
        <f>IF(COUNTIF($B$5:B72,B72)=1,1,0)</f>
        <v/>
      </c>
      <c r="AG72" s="62" t="inlineStr">
        <is>
          <t>https://www.eltiempo.com/politica/partidos-politicos/las-movidas-detras-de-la-declaratoria-de-la-alianza-verde-como-partido-independiente-al-gobierno-de-abelardo-de-la-espriella-3583710</t>
        </is>
      </c>
    </row>
    <row r="73" ht="15" customHeight="1" s="31">
      <c r="A73" s="38" t="inlineStr">
        <is>
          <t>https://www.eltiempo.com/politica/partidos-politicos/las-movidas-detras-de-la-declaratoria-de-la-alianza-verde-como-partido-independiente-al-gobierno-de-abelardo-de-la-espriella-3583710</t>
        </is>
      </c>
      <c r="B73" s="38" t="inlineStr">
        <is>
          <t>https://www.eltiempo.com/politica/partidos-politicos/las-movidas-detras-de-la-declaratoria-de-la-alianza-verde-como-partido-independiente-al-gobierno-de-abelardo-de-la-espriella-3583710_S10</t>
        </is>
      </c>
      <c r="C73" s="38" t="inlineStr">
        <is>
          <t>El Tiempo</t>
        </is>
      </c>
      <c r="D73" s="38" t="inlineStr">
        <is>
          <t>Transición de gobierno y relación con la oposición</t>
        </is>
      </c>
      <c r="E73" s="38" t="inlineStr">
        <is>
          <t>Noticia dura</t>
        </is>
      </c>
      <c r="F73" s="38" t="inlineStr">
        <is>
          <t>2026-09-04T16:36:43-05:00</t>
        </is>
      </c>
      <c r="G73" s="62" t="inlineStr">
        <is>
          <t>Señalan que la colectividad de izquierda los ha visto como un apéndice y necesitaban de alguna forma mostrar sus diferencias con ellos.</t>
        </is>
      </c>
      <c r="H73" s="62" t="inlineStr">
        <is>
          <t>Algunos de los consultados aseguran que se impuso la independencia debido a que se quieren desligar del Pacto Histórico.</t>
        </is>
      </c>
      <c r="I73" s="62" t="inlineStr">
        <is>
          <t>Por eso, indican que evitaron irse a la oposición para intentar mostrarse como un partido distinto.</t>
        </is>
      </c>
      <c r="J73" s="38" t="n"/>
      <c r="K73" s="62" t="n"/>
      <c r="L73" s="38" t="n"/>
      <c r="M73" s="62" t="n"/>
      <c r="N73" s="38" t="n"/>
      <c r="O73" s="62" t="n"/>
      <c r="P73" s="38" t="n"/>
      <c r="Q73" s="62" t="n"/>
      <c r="R73" s="38" t="n"/>
      <c r="S73" s="62" t="n"/>
      <c r="T73" s="38" t="n"/>
      <c r="U73" s="62" t="n"/>
      <c r="V73" s="38" t="n"/>
      <c r="W73" s="62" t="n"/>
      <c r="X73" s="38" t="n"/>
      <c r="Y73" s="62" t="n"/>
      <c r="Z73" s="38" t="n"/>
      <c r="AA73" s="62" t="n"/>
      <c r="AB73" s="38" t="n"/>
      <c r="AC73" s="62" t="n"/>
      <c r="AD73" s="38" t="n"/>
      <c r="AE73" s="38" t="n"/>
      <c r="AF73" s="61">
        <f>IF(COUNTIF($B$5:B73,B73)=1,1,0)</f>
        <v/>
      </c>
      <c r="AG73" s="62" t="inlineStr">
        <is>
          <t>https://www.eltiempo.com/politica/partidos-politicos/las-movidas-detras-de-la-declaratoria-de-la-alianza-verde-como-partido-independiente-al-gobierno-de-abelardo-de-la-espriella-3583710</t>
        </is>
      </c>
    </row>
    <row r="74" ht="15" customHeight="1" s="31">
      <c r="A74" s="38" t="inlineStr">
        <is>
          <t>https://www.eltiempo.com/politica/partidos-politicos/las-movidas-detras-de-la-declaratoria-de-la-alianza-verde-como-partido-independiente-al-gobierno-de-abelardo-de-la-espriella-3583710</t>
        </is>
      </c>
      <c r="B74" s="38" t="inlineStr">
        <is>
          <t>https://www.eltiempo.com/politica/partidos-politicos/las-movidas-detras-de-la-declaratoria-de-la-alianza-verde-como-partido-independiente-al-gobierno-de-abelardo-de-la-espriella-3583710_S11</t>
        </is>
      </c>
      <c r="C74" s="38" t="inlineStr">
        <is>
          <t>El Tiempo</t>
        </is>
      </c>
      <c r="D74" s="38" t="inlineStr">
        <is>
          <t>Transición de gobierno y relación con la oposición</t>
        </is>
      </c>
      <c r="E74" s="38" t="inlineStr">
        <is>
          <t>Noticia dura</t>
        </is>
      </c>
      <c r="F74" s="38" t="inlineStr">
        <is>
          <t>2026-09-04T16:36:43-05:00</t>
        </is>
      </c>
      <c r="G74" s="62" t="inlineStr">
        <is>
          <t>Por eso, indican que evitaron irse a la oposición para intentar mostrarse como un partido distinto.</t>
        </is>
      </c>
      <c r="H74" s="62" t="inlineStr">
        <is>
          <t>Señalan que la colectividad de izquierda los ha visto como un apéndice y necesitaban de alguna forma mostrar sus diferencias con ellos.</t>
        </is>
      </c>
      <c r="I74" s="62" t="inlineStr">
        <is>
          <t>En ese sentido ilustran lo que está ocurriendo en el partido con  la situación que ocurrió en la elección del CNE, en la que no apoyaron a Guillermo Rivera debido a que supuestamente querían sentar una posición ante supuestos intentos del partido de izquierda de imponer sus criterios sin siquiera dar las debidas discusiones.</t>
        </is>
      </c>
      <c r="J74" s="38" t="n"/>
      <c r="K74" s="62" t="n"/>
      <c r="L74" s="38" t="n"/>
      <c r="M74" s="62" t="n"/>
      <c r="N74" s="38" t="n"/>
      <c r="O74" s="62" t="n"/>
      <c r="P74" s="38" t="n"/>
      <c r="Q74" s="62" t="n"/>
      <c r="R74" s="38" t="n"/>
      <c r="S74" s="62" t="n"/>
      <c r="T74" s="38" t="n"/>
      <c r="U74" s="62" t="n"/>
      <c r="V74" s="38" t="n"/>
      <c r="W74" s="62" t="n"/>
      <c r="X74" s="38" t="n"/>
      <c r="Y74" s="62" t="n"/>
      <c r="Z74" s="38" t="n"/>
      <c r="AA74" s="62" t="n"/>
      <c r="AB74" s="38" t="n"/>
      <c r="AC74" s="62" t="n"/>
      <c r="AD74" s="38" t="n"/>
      <c r="AE74" s="38" t="n"/>
      <c r="AF74" s="61">
        <f>IF(COUNTIF($B$5:B74,B74)=1,1,0)</f>
        <v/>
      </c>
      <c r="AG74" s="62" t="inlineStr">
        <is>
          <t>https://www.eltiempo.com/politica/partidos-politicos/las-movidas-detras-de-la-declaratoria-de-la-alianza-verde-como-partido-independiente-al-gobierno-de-abelardo-de-la-espriella-3583710</t>
        </is>
      </c>
    </row>
    <row r="75" ht="15" customHeight="1" s="31">
      <c r="A75" s="38" t="inlineStr">
        <is>
          <t>https://www.eltiempo.com/politica/partidos-politicos/las-movidas-detras-de-la-declaratoria-de-la-alianza-verde-como-partido-independiente-al-gobierno-de-abelardo-de-la-espriella-3583710</t>
        </is>
      </c>
      <c r="B75" s="38" t="inlineStr">
        <is>
          <t>https://www.eltiempo.com/politica/partidos-politicos/las-movidas-detras-de-la-declaratoria-de-la-alianza-verde-como-partido-independiente-al-gobierno-de-abelardo-de-la-espriella-3583710_S12</t>
        </is>
      </c>
      <c r="C75" s="38" t="inlineStr">
        <is>
          <t>El Tiempo</t>
        </is>
      </c>
      <c r="D75" s="38" t="inlineStr">
        <is>
          <t>Transición de gobierno y relación con la oposición</t>
        </is>
      </c>
      <c r="E75" s="38" t="inlineStr">
        <is>
          <t>Noticia dura</t>
        </is>
      </c>
      <c r="F75" s="38" t="inlineStr">
        <is>
          <t>2026-09-04T16:36:43-05:00</t>
        </is>
      </c>
      <c r="G75" s="62" t="inlineStr">
        <is>
          <t>En ese sentido ilustran lo que está ocurriendo en el partido con  la situación que ocurrió en la elección del CNE, en la que no apoyaron a Guillermo Rivera debido a que supuestamente querían sentar una posición ante supuestos intentos del partido de izquierda de imponer sus criterios sin siquiera dar las debidas discusiones.</t>
        </is>
      </c>
      <c r="H75" s="62" t="inlineStr">
        <is>
          <t>Por eso, indican que evitaron irse a la oposición para intentar mostrarse como un partido distinto.</t>
        </is>
      </c>
      <c r="I75" s="62" t="n"/>
      <c r="J75" s="38" t="n"/>
      <c r="K75" s="62" t="n"/>
      <c r="L75" s="38" t="n"/>
      <c r="M75" s="62" t="n"/>
      <c r="N75" s="38" t="n"/>
      <c r="O75" s="62" t="n"/>
      <c r="P75" s="38" t="n"/>
      <c r="Q75" s="62" t="n"/>
      <c r="R75" s="38" t="n"/>
      <c r="S75" s="62" t="n"/>
      <c r="T75" s="38" t="n"/>
      <c r="U75" s="62" t="n"/>
      <c r="V75" s="38" t="n"/>
      <c r="W75" s="62" t="n"/>
      <c r="X75" s="38" t="n"/>
      <c r="Y75" s="62" t="n"/>
      <c r="Z75" s="38" t="n"/>
      <c r="AA75" s="62" t="n"/>
      <c r="AB75" s="38" t="n"/>
      <c r="AC75" s="62" t="n"/>
      <c r="AD75" s="38" t="n"/>
      <c r="AE75" s="38" t="n"/>
      <c r="AF75" s="61">
        <f>IF(COUNTIF($B$5:B75,B75)=1,1,0)</f>
        <v/>
      </c>
      <c r="AG75" s="62" t="inlineStr">
        <is>
          <t>https://www.eltiempo.com/politica/partidos-politicos/las-movidas-detras-de-la-declaratoria-de-la-alianza-verde-como-partido-independiente-al-gobierno-de-abelardo-de-la-espriella-3583710</t>
        </is>
      </c>
    </row>
    <row r="76" ht="15" customHeight="1" s="31">
      <c r="A76" s="38" t="inlineStr">
        <is>
          <t>https://www.eltiempo.com/politica/congreso/en-los-ultimos-ocho-anos-solo-se-aprobo-uno-de-cada-siete-proyectos-de-ley-en-el-congreso-lo-que-revelan-las-cifras-3583664</t>
        </is>
      </c>
      <c r="B76" s="38" t="inlineStr">
        <is>
          <t>https://www.eltiempo.com/politica/congreso/en-los-ultimos-ocho-anos-solo-se-aprobo-uno-de-cada-siete-proyectos-de-ley-en-el-congreso-lo-que-revelan-las-cifras-3583664_S01</t>
        </is>
      </c>
      <c r="C76" s="38" t="inlineStr">
        <is>
          <t>El Tiempo</t>
        </is>
      </c>
      <c r="D76" s="38" t="inlineStr">
        <is>
          <t>Reformas sociales en disputa (pensional/tributaria)</t>
        </is>
      </c>
      <c r="E76" s="38" t="inlineStr">
        <is>
          <t>Noticia dura</t>
        </is>
      </c>
      <c r="F76" s="38" t="inlineStr">
        <is>
          <t>2026-09-04T15:12:57-05:00</t>
        </is>
      </c>
      <c r="G76" s="62" t="inlineStr">
        <is>
          <t>Cada semana se radican en la Cámara de Representantes y el Senado decenas de proyectos de ley que nunca verán la luz, frenados por obstáculos de trámite, de forma y de fondo.</t>
        </is>
      </c>
      <c r="H76" s="62" t="n"/>
      <c r="I76" s="62" t="inlineStr">
        <is>
          <t>Solo en el primer mes desde que se instaló el nuevo Congreso —del 20 de julio al 20 de agosto de 2026— se radicaron 228 proyectos en la Cámara y 206 en el Senado.</t>
        </is>
      </c>
      <c r="J76" s="38" t="n"/>
      <c r="K76" s="62" t="n"/>
      <c r="L76" s="38" t="n"/>
      <c r="M76" s="62" t="n"/>
      <c r="N76" s="38" t="n"/>
      <c r="O76" s="62" t="n"/>
      <c r="P76" s="38" t="n"/>
      <c r="Q76" s="62" t="n"/>
      <c r="R76" s="38" t="n"/>
      <c r="S76" s="62" t="n"/>
      <c r="T76" s="38" t="n"/>
      <c r="U76" s="62" t="n"/>
      <c r="V76" s="38" t="n"/>
      <c r="W76" s="62" t="n"/>
      <c r="X76" s="38" t="n"/>
      <c r="Y76" s="62" t="n"/>
      <c r="Z76" s="38" t="n"/>
      <c r="AA76" s="62" t="n"/>
      <c r="AB76" s="38" t="n"/>
      <c r="AC76" s="62" t="n"/>
      <c r="AD76" s="38" t="n"/>
      <c r="AE76" s="38" t="n"/>
      <c r="AF76" s="61">
        <f>IF(COUNTIF($B$5:B76,B76)=1,1,0)</f>
        <v/>
      </c>
      <c r="AG76" s="62" t="inlineStr">
        <is>
          <t>https://www.eltiempo.com/politica/congreso/en-los-ultimos-ocho-anos-solo-se-aprobo-uno-de-cada-siete-proyectos-de-ley-en-el-congreso-lo-que-revelan-las-cifras-3583664</t>
        </is>
      </c>
    </row>
    <row r="77" ht="15" customHeight="1" s="31">
      <c r="A77" s="38" t="inlineStr">
        <is>
          <t>https://www.eltiempo.com/politica/congreso/en-los-ultimos-ocho-anos-solo-se-aprobo-uno-de-cada-siete-proyectos-de-ley-en-el-congreso-lo-que-revelan-las-cifras-3583664</t>
        </is>
      </c>
      <c r="B77" s="38" t="inlineStr">
        <is>
          <t>https://www.eltiempo.com/politica/congreso/en-los-ultimos-ocho-anos-solo-se-aprobo-uno-de-cada-siete-proyectos-de-ley-en-el-congreso-lo-que-revelan-las-cifras-3583664_S02</t>
        </is>
      </c>
      <c r="C77" s="38" t="inlineStr">
        <is>
          <t>El Tiempo</t>
        </is>
      </c>
      <c r="D77" s="38" t="inlineStr">
        <is>
          <t>Reformas sociales en disputa (pensional/tributaria)</t>
        </is>
      </c>
      <c r="E77" s="38" t="inlineStr">
        <is>
          <t>Noticia dura</t>
        </is>
      </c>
      <c r="F77" s="38" t="inlineStr">
        <is>
          <t>2026-09-04T15:12:57-05:00</t>
        </is>
      </c>
      <c r="G77" s="62" t="inlineStr">
        <is>
          <t>Solo en el primer mes desde que se instaló el nuevo Congreso —del 20 de julio al 20 de agosto de 2026— se radicaron 228 proyectos en la Cámara y 206 en el Senado.</t>
        </is>
      </c>
      <c r="H77" s="62" t="inlineStr">
        <is>
          <t>Cada semana se radican en la Cámara de Representantes y el Senado decenas de proyectos de ley que nunca verán la luz, frenados por obstáculos de trámite, de forma y de fondo.</t>
        </is>
      </c>
      <c r="I77" s="62" t="inlineStr">
        <is>
          <t>Su destino más probable, si se repite el patrón de los últimos ocho años, no será un intenso debate en el Capitolio, ni un veto presidencial, ni una sentencia de la Corte Constitucional.</t>
        </is>
      </c>
      <c r="J77" s="38" t="n"/>
      <c r="K77" s="62" t="n"/>
      <c r="L77" s="38" t="n"/>
      <c r="M77" s="62" t="n"/>
      <c r="N77" s="38" t="n"/>
      <c r="O77" s="62" t="n"/>
      <c r="P77" s="38" t="n"/>
      <c r="Q77" s="62" t="n"/>
      <c r="R77" s="38" t="n"/>
      <c r="S77" s="62" t="n"/>
      <c r="T77" s="38" t="n"/>
      <c r="U77" s="62" t="n"/>
      <c r="V77" s="38" t="n"/>
      <c r="W77" s="62" t="n"/>
      <c r="X77" s="38" t="n"/>
      <c r="Y77" s="62" t="n"/>
      <c r="Z77" s="38" t="n"/>
      <c r="AA77" s="62" t="n"/>
      <c r="AB77" s="38" t="n"/>
      <c r="AC77" s="62" t="n"/>
      <c r="AD77" s="38" t="n"/>
      <c r="AE77" s="38" t="n"/>
      <c r="AF77" s="61">
        <f>IF(COUNTIF($B$5:B77,B77)=1,1,0)</f>
        <v/>
      </c>
      <c r="AG77" s="62" t="inlineStr">
        <is>
          <t>https://www.eltiempo.com/politica/congreso/en-los-ultimos-ocho-anos-solo-se-aprobo-uno-de-cada-siete-proyectos-de-ley-en-el-congreso-lo-que-revelan-las-cifras-3583664</t>
        </is>
      </c>
    </row>
    <row r="78" ht="15" customHeight="1" s="31">
      <c r="A78" s="38" t="inlineStr">
        <is>
          <t>https://www.eltiempo.com/politica/congreso/en-los-ultimos-ocho-anos-solo-se-aprobo-uno-de-cada-siete-proyectos-de-ley-en-el-congreso-lo-que-revelan-las-cifras-3583664</t>
        </is>
      </c>
      <c r="B78" s="38" t="inlineStr">
        <is>
          <t>https://www.eltiempo.com/politica/congreso/en-los-ultimos-ocho-anos-solo-se-aprobo-uno-de-cada-siete-proyectos-de-ley-en-el-congreso-lo-que-revelan-las-cifras-3583664_S03</t>
        </is>
      </c>
      <c r="C78" s="38" t="inlineStr">
        <is>
          <t>El Tiempo</t>
        </is>
      </c>
      <c r="D78" s="38" t="inlineStr">
        <is>
          <t>Reformas sociales en disputa (pensional/tributaria)</t>
        </is>
      </c>
      <c r="E78" s="38" t="inlineStr">
        <is>
          <t>Noticia dura</t>
        </is>
      </c>
      <c r="F78" s="38" t="inlineStr">
        <is>
          <t>2026-09-04T15:12:57-05:00</t>
        </is>
      </c>
      <c r="G78" s="62" t="inlineStr">
        <is>
          <t>Su destino más probable, si se repite el patrón de los últimos ocho años, no será un intenso debate en el Capitolio, ni un veto presidencial, ni una sentencia de la Corte Constitucional.</t>
        </is>
      </c>
      <c r="H78" s="62" t="inlineStr">
        <is>
          <t>Solo en el primer mes desde que se instaló el nuevo Congreso —del 20 de julio al 20 de agosto de 2026— se radicaron 228 proyectos en la Cámara y 206 en el Senado.</t>
        </is>
      </c>
      <c r="I78" s="62" t="inlineStr">
        <is>
          <t>Será morir en silencio, guardados en una comisión.</t>
        </is>
      </c>
      <c r="J78" s="38" t="n"/>
      <c r="K78" s="62" t="n"/>
      <c r="L78" s="38" t="n"/>
      <c r="M78" s="62" t="n"/>
      <c r="N78" s="38" t="n"/>
      <c r="O78" s="62" t="n"/>
      <c r="P78" s="38" t="n"/>
      <c r="Q78" s="62" t="n"/>
      <c r="R78" s="38" t="n"/>
      <c r="S78" s="62" t="n"/>
      <c r="T78" s="38" t="n"/>
      <c r="U78" s="62" t="n"/>
      <c r="V78" s="38" t="n"/>
      <c r="W78" s="62" t="n"/>
      <c r="X78" s="38" t="n"/>
      <c r="Y78" s="62" t="n"/>
      <c r="Z78" s="38" t="n"/>
      <c r="AA78" s="62" t="n"/>
      <c r="AB78" s="38" t="n"/>
      <c r="AC78" s="62" t="n"/>
      <c r="AD78" s="38" t="n"/>
      <c r="AE78" s="38" t="n"/>
      <c r="AF78" s="61">
        <f>IF(COUNTIF($B$5:B78,B78)=1,1,0)</f>
        <v/>
      </c>
      <c r="AG78" s="62" t="inlineStr">
        <is>
          <t>https://www.eltiempo.com/politica/congreso/en-los-ultimos-ocho-anos-solo-se-aprobo-uno-de-cada-siete-proyectos-de-ley-en-el-congreso-lo-que-revelan-las-cifras-3583664</t>
        </is>
      </c>
    </row>
    <row r="79" ht="15" customHeight="1" s="31">
      <c r="A79" s="38" t="inlineStr">
        <is>
          <t>https://www.eltiempo.com/politica/congreso/en-los-ultimos-ocho-anos-solo-se-aprobo-uno-de-cada-siete-proyectos-de-ley-en-el-congreso-lo-que-revelan-las-cifras-3583664</t>
        </is>
      </c>
      <c r="B79" s="38" t="inlineStr">
        <is>
          <t>https://www.eltiempo.com/politica/congreso/en-los-ultimos-ocho-anos-solo-se-aprobo-uno-de-cada-siete-proyectos-de-ley-en-el-congreso-lo-que-revelan-las-cifras-3583664_S04</t>
        </is>
      </c>
      <c r="C79" s="38" t="inlineStr">
        <is>
          <t>El Tiempo</t>
        </is>
      </c>
      <c r="D79" s="38" t="inlineStr">
        <is>
          <t>Reformas sociales en disputa (pensional/tributaria)</t>
        </is>
      </c>
      <c r="E79" s="38" t="inlineStr">
        <is>
          <t>Noticia dura</t>
        </is>
      </c>
      <c r="F79" s="38" t="inlineStr">
        <is>
          <t>2026-09-04T15:12:57-05:00</t>
        </is>
      </c>
      <c r="G79" s="62" t="inlineStr">
        <is>
          <t>Será morir en silencio, guardados en una comisión.</t>
        </is>
      </c>
      <c r="H79" s="62" t="inlineStr">
        <is>
          <t>Su destino más probable, si se repite el patrón de los últimos ocho años, no será un intenso debate en el Capitolio, ni un veto presidencial, ni una sentencia de la Corte Constitucional.</t>
        </is>
      </c>
      <c r="I79" s="62" t="inlineStr">
        <is>
          <t>Las cifras lo respaldan: de los 4.004 proyectos de ley radicados en el Congreso colombiano entre los cuatrienios completos de 2018-2022 y 2022-2026, apenas 1 de cada 7 (14,1 %) terminó convertido en ley con sanción presidencial.</t>
        </is>
      </c>
      <c r="J79" s="38" t="n"/>
      <c r="K79" s="62" t="n"/>
      <c r="L79" s="38" t="n"/>
      <c r="M79" s="62" t="n"/>
      <c r="N79" s="38" t="n"/>
      <c r="O79" s="62" t="n"/>
      <c r="P79" s="38" t="n"/>
      <c r="Q79" s="62" t="n"/>
      <c r="R79" s="38" t="n"/>
      <c r="S79" s="62" t="n"/>
      <c r="T79" s="38" t="n"/>
      <c r="U79" s="62" t="n"/>
      <c r="V79" s="38" t="n"/>
      <c r="W79" s="62" t="n"/>
      <c r="X79" s="38" t="n"/>
      <c r="Y79" s="62" t="n"/>
      <c r="Z79" s="38" t="n"/>
      <c r="AA79" s="62" t="n"/>
      <c r="AB79" s="38" t="n"/>
      <c r="AC79" s="62" t="n"/>
      <c r="AD79" s="38" t="n"/>
      <c r="AE79" s="38" t="n"/>
      <c r="AF79" s="61">
        <f>IF(COUNTIF($B$5:B79,B79)=1,1,0)</f>
        <v/>
      </c>
      <c r="AG79" s="62" t="inlineStr">
        <is>
          <t>https://www.eltiempo.com/politica/congreso/en-los-ultimos-ocho-anos-solo-se-aprobo-uno-de-cada-siete-proyectos-de-ley-en-el-congreso-lo-que-revelan-las-cifras-3583664</t>
        </is>
      </c>
    </row>
    <row r="80" ht="15" customHeight="1" s="31">
      <c r="A80" s="38" t="inlineStr">
        <is>
          <t>https://www.eltiempo.com/politica/congreso/en-los-ultimos-ocho-anos-solo-se-aprobo-uno-de-cada-siete-proyectos-de-ley-en-el-congreso-lo-que-revelan-las-cifras-3583664</t>
        </is>
      </c>
      <c r="B80" s="38" t="inlineStr">
        <is>
          <t>https://www.eltiempo.com/politica/congreso/en-los-ultimos-ocho-anos-solo-se-aprobo-uno-de-cada-siete-proyectos-de-ley-en-el-congreso-lo-que-revelan-las-cifras-3583664_S05</t>
        </is>
      </c>
      <c r="C80" s="38" t="inlineStr">
        <is>
          <t>El Tiempo</t>
        </is>
      </c>
      <c r="D80" s="38" t="inlineStr">
        <is>
          <t>Reformas sociales en disputa (pensional/tributaria)</t>
        </is>
      </c>
      <c r="E80" s="38" t="inlineStr">
        <is>
          <t>Noticia dura</t>
        </is>
      </c>
      <c r="F80" s="38" t="inlineStr">
        <is>
          <t>2026-09-04T15:12:57-05:00</t>
        </is>
      </c>
      <c r="G80" s="62" t="inlineStr">
        <is>
          <t>Las cifras lo respaldan: de los 4.004 proyectos de ley radicados en el Congreso colombiano entre los cuatrienios completos de 2018-2022 y 2022-2026, apenas 1 de cada 7 (14,1 %) terminó convertido en ley con sanción presidencial.</t>
        </is>
      </c>
      <c r="H80" s="62" t="inlineStr">
        <is>
          <t>Será morir en silencio, guardados en una comisión.</t>
        </is>
      </c>
      <c r="I80" s="62" t="inlineStr">
        <is>
          <t>El resto se repartió entre el archivo (2.435 proyectos, 61 %), el retiro por parte de sus propios autores (279) y un limbo de trámite sin resolver (724).</t>
        </is>
      </c>
      <c r="J80" s="38" t="n"/>
      <c r="K80" s="62" t="n"/>
      <c r="L80" s="38" t="n"/>
      <c r="M80" s="62" t="n"/>
      <c r="N80" s="38" t="n"/>
      <c r="O80" s="62" t="n"/>
      <c r="P80" s="38" t="n"/>
      <c r="Q80" s="62" t="n"/>
      <c r="R80" s="38" t="n"/>
      <c r="S80" s="62" t="n"/>
      <c r="T80" s="38" t="n"/>
      <c r="U80" s="62" t="n"/>
      <c r="V80" s="38" t="n"/>
      <c r="W80" s="62" t="n"/>
      <c r="X80" s="38" t="n"/>
      <c r="Y80" s="62" t="n"/>
      <c r="Z80" s="38" t="n"/>
      <c r="AA80" s="62" t="n"/>
      <c r="AB80" s="38" t="n"/>
      <c r="AC80" s="62" t="n"/>
      <c r="AD80" s="38" t="n"/>
      <c r="AE80" s="38" t="n"/>
      <c r="AF80" s="61">
        <f>IF(COUNTIF($B$5:B80,B80)=1,1,0)</f>
        <v/>
      </c>
      <c r="AG80" s="62" t="inlineStr">
        <is>
          <t>https://www.eltiempo.com/politica/congreso/en-los-ultimos-ocho-anos-solo-se-aprobo-uno-de-cada-siete-proyectos-de-ley-en-el-congreso-lo-que-revelan-las-cifras-3583664</t>
        </is>
      </c>
    </row>
    <row r="81" ht="15" customHeight="1" s="31">
      <c r="A81" s="38" t="inlineStr">
        <is>
          <t>https://www.eltiempo.com/politica/congreso/en-los-ultimos-ocho-anos-solo-se-aprobo-uno-de-cada-siete-proyectos-de-ley-en-el-congreso-lo-que-revelan-las-cifras-3583664</t>
        </is>
      </c>
      <c r="B81" s="38" t="inlineStr">
        <is>
          <t>https://www.eltiempo.com/politica/congreso/en-los-ultimos-ocho-anos-solo-se-aprobo-uno-de-cada-siete-proyectos-de-ley-en-el-congreso-lo-que-revelan-las-cifras-3583664_S06</t>
        </is>
      </c>
      <c r="C81" s="38" t="inlineStr">
        <is>
          <t>El Tiempo</t>
        </is>
      </c>
      <c r="D81" s="38" t="inlineStr">
        <is>
          <t>Reformas sociales en disputa (pensional/tributaria)</t>
        </is>
      </c>
      <c r="E81" s="38" t="inlineStr">
        <is>
          <t>Noticia dura</t>
        </is>
      </c>
      <c r="F81" s="38" t="inlineStr">
        <is>
          <t>2026-09-04T15:12:57-05:00</t>
        </is>
      </c>
      <c r="G81" s="62" t="inlineStr">
        <is>
          <t>El resto se repartió entre el archivo (2.435 proyectos, 61 %), el retiro por parte de sus propios autores (279) y un limbo de trámite sin resolver (724).</t>
        </is>
      </c>
      <c r="H81" s="62" t="inlineStr">
        <is>
          <t>Las cifras lo respaldan: de los 4.004 proyectos de ley radicados en el Congreso colombiano entre los cuatrienios completos de 2018-2022 y 2022-2026, apenas 1 de cada 7 (14,1 %) terminó convertido en ley con sanción presidencial.</t>
        </is>
      </c>
      <c r="I81" s="62" t="inlineStr">
        <is>
          <t>Ni siquiera las reformas de mayor peso político logran cerrar ese ciclo con rapidez.</t>
        </is>
      </c>
      <c r="J81" s="38" t="n"/>
      <c r="K81" s="62" t="n"/>
      <c r="L81" s="38" t="n"/>
      <c r="M81" s="62" t="n"/>
      <c r="N81" s="38" t="n"/>
      <c r="O81" s="62" t="n"/>
      <c r="P81" s="38" t="n"/>
      <c r="Q81" s="62" t="n"/>
      <c r="R81" s="38" t="n"/>
      <c r="S81" s="62" t="n"/>
      <c r="T81" s="38" t="n"/>
      <c r="U81" s="62" t="n"/>
      <c r="V81" s="38" t="n"/>
      <c r="W81" s="62" t="n"/>
      <c r="X81" s="38" t="n"/>
      <c r="Y81" s="62" t="n"/>
      <c r="Z81" s="38" t="n"/>
      <c r="AA81" s="62" t="n"/>
      <c r="AB81" s="38" t="n"/>
      <c r="AC81" s="62" t="n"/>
      <c r="AD81" s="38" t="n"/>
      <c r="AE81" s="38" t="n"/>
      <c r="AF81" s="61">
        <f>IF(COUNTIF($B$5:B81,B81)=1,1,0)</f>
        <v/>
      </c>
      <c r="AG81" s="62" t="inlineStr">
        <is>
          <t>https://www.eltiempo.com/politica/congreso/en-los-ultimos-ocho-anos-solo-se-aprobo-uno-de-cada-siete-proyectos-de-ley-en-el-congreso-lo-que-revelan-las-cifras-3583664</t>
        </is>
      </c>
    </row>
    <row r="82" ht="15" customHeight="1" s="31">
      <c r="A82" s="38" t="inlineStr">
        <is>
          <t>https://www.eltiempo.com/politica/congreso/en-los-ultimos-ocho-anos-solo-se-aprobo-uno-de-cada-siete-proyectos-de-ley-en-el-congreso-lo-que-revelan-las-cifras-3583664</t>
        </is>
      </c>
      <c r="B82" s="38" t="inlineStr">
        <is>
          <t>https://www.eltiempo.com/politica/congreso/en-los-ultimos-ocho-anos-solo-se-aprobo-uno-de-cada-siete-proyectos-de-ley-en-el-congreso-lo-que-revelan-las-cifras-3583664_S07</t>
        </is>
      </c>
      <c r="C82" s="38" t="inlineStr">
        <is>
          <t>El Tiempo</t>
        </is>
      </c>
      <c r="D82" s="38" t="inlineStr">
        <is>
          <t>Reformas sociales en disputa (pensional/tributaria)</t>
        </is>
      </c>
      <c r="E82" s="38" t="inlineStr">
        <is>
          <t>Noticia dura</t>
        </is>
      </c>
      <c r="F82" s="38" t="inlineStr">
        <is>
          <t>2026-09-04T15:12:57-05:00</t>
        </is>
      </c>
      <c r="G82" s="62" t="inlineStr">
        <is>
          <t>Ni siquiera las reformas de mayor peso político logran cerrar ese ciclo con rapidez.</t>
        </is>
      </c>
      <c r="H82" s="62" t="inlineStr">
        <is>
          <t>El resto se repartió entre el archivo (2.435 proyectos, 61 %), el retiro por parte de sus propios autores (279) y un limbo de trámite sin resolver (724).</t>
        </is>
      </c>
      <c r="I82" s="62" t="inlineStr">
        <is>
          <t>La reforma pensional del gobierno Petro, radicada hace tres años, todavía no tiene la última palabra: la Corte Constitucional devolvió nueve de sus artículos a la Cámara de Representantes para que se subsanen vicios de procedimiento.</t>
        </is>
      </c>
      <c r="J82" s="38" t="n"/>
      <c r="K82" s="62" t="n"/>
      <c r="L82" s="38" t="n"/>
      <c r="M82" s="62" t="n"/>
      <c r="N82" s="38" t="n"/>
      <c r="O82" s="62" t="n"/>
      <c r="P82" s="38" t="n"/>
      <c r="Q82" s="62" t="n"/>
      <c r="R82" s="38" t="n"/>
      <c r="S82" s="62" t="n"/>
      <c r="T82" s="38" t="n"/>
      <c r="U82" s="62" t="n"/>
      <c r="V82" s="38" t="n"/>
      <c r="W82" s="62" t="n"/>
      <c r="X82" s="38" t="n"/>
      <c r="Y82" s="62" t="n"/>
      <c r="Z82" s="38" t="n"/>
      <c r="AA82" s="62" t="n"/>
      <c r="AB82" s="38" t="n"/>
      <c r="AC82" s="62" t="n"/>
      <c r="AD82" s="38" t="n"/>
      <c r="AE82" s="38" t="n"/>
      <c r="AF82" s="61">
        <f>IF(COUNTIF($B$5:B82,B82)=1,1,0)</f>
        <v/>
      </c>
      <c r="AG82" s="62" t="inlineStr">
        <is>
          <t>https://www.eltiempo.com/politica/congreso/en-los-ultimos-ocho-anos-solo-se-aprobo-uno-de-cada-siete-proyectos-de-ley-en-el-congreso-lo-que-revelan-las-cifras-3583664</t>
        </is>
      </c>
    </row>
    <row r="83" ht="15" customHeight="1" s="31">
      <c r="A83" s="38" t="inlineStr">
        <is>
          <t>https://www.eltiempo.com/politica/congreso/en-los-ultimos-ocho-anos-solo-se-aprobo-uno-de-cada-siete-proyectos-de-ley-en-el-congreso-lo-que-revelan-las-cifras-3583664</t>
        </is>
      </c>
      <c r="B83" s="38" t="inlineStr">
        <is>
          <t>https://www.eltiempo.com/politica/congreso/en-los-ultimos-ocho-anos-solo-se-aprobo-uno-de-cada-siete-proyectos-de-ley-en-el-congreso-lo-que-revelan-las-cifras-3583664_S08</t>
        </is>
      </c>
      <c r="C83" s="38" t="inlineStr">
        <is>
          <t>El Tiempo</t>
        </is>
      </c>
      <c r="D83" s="38" t="inlineStr">
        <is>
          <t>Reformas sociales en disputa (pensional/tributaria)</t>
        </is>
      </c>
      <c r="E83" s="38" t="inlineStr">
        <is>
          <t>Noticia dura</t>
        </is>
      </c>
      <c r="F83" s="38" t="inlineStr">
        <is>
          <t>2026-09-04T15:12:57-05:00</t>
        </is>
      </c>
      <c r="G83" s="62" t="inlineStr">
        <is>
          <t>La reforma pensional del gobierno Petro, radicada hace tres años, todavía no tiene la última palabra: la Corte Constitucional devolvió nueve de sus artículos a la Cámara de Representantes para que se subsanen vicios de procedimiento.</t>
        </is>
      </c>
      <c r="H83" s="62" t="inlineStr">
        <is>
          <t>Ni siquiera las reformas de mayor peso político logran cerrar ese ciclo con rapidez.</t>
        </is>
      </c>
      <c r="I83" s="62" t="inlineStr">
        <is>
          <t>Ni aprobada del todo ni hundida, sigue en una zona gris que resulta más habitual de lo que parece.</t>
        </is>
      </c>
      <c r="J83" s="38" t="n"/>
      <c r="K83" s="62" t="n"/>
      <c r="L83" s="38" t="n"/>
      <c r="M83" s="62" t="n"/>
      <c r="N83" s="38" t="n"/>
      <c r="O83" s="62" t="n"/>
      <c r="P83" s="38" t="n"/>
      <c r="Q83" s="62" t="n"/>
      <c r="R83" s="38" t="n"/>
      <c r="S83" s="62" t="n"/>
      <c r="T83" s="38" t="n"/>
      <c r="U83" s="62" t="n"/>
      <c r="V83" s="38" t="n"/>
      <c r="W83" s="62" t="n"/>
      <c r="X83" s="38" t="n"/>
      <c r="Y83" s="62" t="n"/>
      <c r="Z83" s="38" t="n"/>
      <c r="AA83" s="62" t="n"/>
      <c r="AB83" s="38" t="n"/>
      <c r="AC83" s="62" t="n"/>
      <c r="AD83" s="38" t="n"/>
      <c r="AE83" s="38" t="n"/>
      <c r="AF83" s="61">
        <f>IF(COUNTIF($B$5:B83,B83)=1,1,0)</f>
        <v/>
      </c>
      <c r="AG83" s="62" t="inlineStr">
        <is>
          <t>https://www.eltiempo.com/politica/congreso/en-los-ultimos-ocho-anos-solo-se-aprobo-uno-de-cada-siete-proyectos-de-ley-en-el-congreso-lo-que-revelan-las-cifras-3583664</t>
        </is>
      </c>
    </row>
    <row r="84" ht="15" customHeight="1" s="31">
      <c r="A84" s="38" t="inlineStr">
        <is>
          <t>https://www.eltiempo.com/politica/congreso/en-los-ultimos-ocho-anos-solo-se-aprobo-uno-de-cada-siete-proyectos-de-ley-en-el-congreso-lo-que-revelan-las-cifras-3583664</t>
        </is>
      </c>
      <c r="B84" s="38" t="inlineStr">
        <is>
          <t>https://www.eltiempo.com/politica/congreso/en-los-ultimos-ocho-anos-solo-se-aprobo-uno-de-cada-siete-proyectos-de-ley-en-el-congreso-lo-que-revelan-las-cifras-3583664_S09</t>
        </is>
      </c>
      <c r="C84" s="38" t="inlineStr">
        <is>
          <t>El Tiempo</t>
        </is>
      </c>
      <c r="D84" s="38" t="inlineStr">
        <is>
          <t>Reformas sociales en disputa (pensional/tributaria)</t>
        </is>
      </c>
      <c r="E84" s="38" t="inlineStr">
        <is>
          <t>Noticia dura</t>
        </is>
      </c>
      <c r="F84" s="38" t="inlineStr">
        <is>
          <t>2026-09-04T15:12:57-05:00</t>
        </is>
      </c>
      <c r="G84" s="62" t="inlineStr">
        <is>
          <t>Ni aprobada del todo ni hundida, sigue en una zona gris que resulta más habitual de lo que parece.</t>
        </is>
      </c>
      <c r="H84" s="62" t="inlineStr">
        <is>
          <t>La reforma pensional del gobierno Petro, radicada hace tres años, todavía no tiene la última palabra: la Corte Constitucional devolvió nueve de sus artículos a la Cámara de Representantes para que se subsanen vicios de procedimiento.</t>
        </is>
      </c>
      <c r="I84" s="62" t="inlineStr">
        <is>
          <t>El Congreso 2018-2022, con una mayoría de centroderecha, cerró con una tasa de aprobación acumulada de 15,9 % (302 leyes de 1.900 proyectos).</t>
        </is>
      </c>
      <c r="J84" s="38" t="n"/>
      <c r="K84" s="62" t="n"/>
      <c r="L84" s="38" t="n"/>
      <c r="M84" s="62" t="n"/>
      <c r="N84" s="38" t="n"/>
      <c r="O84" s="62" t="n"/>
      <c r="P84" s="38" t="n"/>
      <c r="Q84" s="62" t="n"/>
      <c r="R84" s="38" t="n"/>
      <c r="S84" s="62" t="n"/>
      <c r="T84" s="38" t="n"/>
      <c r="U84" s="62" t="n"/>
      <c r="V84" s="38" t="n"/>
      <c r="W84" s="62" t="n"/>
      <c r="X84" s="38" t="n"/>
      <c r="Y84" s="62" t="n"/>
      <c r="Z84" s="38" t="n"/>
      <c r="AA84" s="62" t="n"/>
      <c r="AB84" s="38" t="n"/>
      <c r="AC84" s="62" t="n"/>
      <c r="AD84" s="38" t="n"/>
      <c r="AE84" s="38" t="n"/>
      <c r="AF84" s="61">
        <f>IF(COUNTIF($B$5:B84,B84)=1,1,0)</f>
        <v/>
      </c>
      <c r="AG84" s="62" t="inlineStr">
        <is>
          <t>https://www.eltiempo.com/politica/congreso/en-los-ultimos-ocho-anos-solo-se-aprobo-uno-de-cada-siete-proyectos-de-ley-en-el-congreso-lo-que-revelan-las-cifras-3583664</t>
        </is>
      </c>
    </row>
    <row r="85" ht="15" customHeight="1" s="31">
      <c r="A85" s="38" t="inlineStr">
        <is>
          <t>https://www.eltiempo.com/politica/congreso/en-los-ultimos-ocho-anos-solo-se-aprobo-uno-de-cada-siete-proyectos-de-ley-en-el-congreso-lo-que-revelan-las-cifras-3583664</t>
        </is>
      </c>
      <c r="B85" s="38" t="inlineStr">
        <is>
          <t>https://www.eltiempo.com/politica/congreso/en-los-ultimos-ocho-anos-solo-se-aprobo-uno-de-cada-siete-proyectos-de-ley-en-el-congreso-lo-que-revelan-las-cifras-3583664_S10</t>
        </is>
      </c>
      <c r="C85" s="38" t="inlineStr">
        <is>
          <t>El Tiempo</t>
        </is>
      </c>
      <c r="D85" s="38" t="inlineStr">
        <is>
          <t>Reformas sociales en disputa (pensional/tributaria)</t>
        </is>
      </c>
      <c r="E85" s="38" t="inlineStr">
        <is>
          <t>Noticia dura</t>
        </is>
      </c>
      <c r="F85" s="38" t="inlineStr">
        <is>
          <t>2026-09-04T15:12:57-05:00</t>
        </is>
      </c>
      <c r="G85" s="62" t="inlineStr">
        <is>
          <t>El Congreso 2018-2022, con una mayoría de centroderecha, cerró con una tasa de aprobación acumulada de 15,9 % (302 leyes de 1.900 proyectos).</t>
        </is>
      </c>
      <c r="H85" s="62" t="inlineStr">
        <is>
          <t>Ni aprobada del todo ni hundida, sigue en una zona gris que resulta más habitual de lo que parece.</t>
        </is>
      </c>
      <c r="I85" s="62" t="inlineStr">
        <is>
          <t>El Congreso 2022-2026, donde las fuerzas de izquierda tomaron mayor protagonismo, cerró en 12,5 % (264 de 2.104).</t>
        </is>
      </c>
      <c r="J85" s="38" t="n"/>
      <c r="K85" s="62" t="n"/>
      <c r="L85" s="38" t="n"/>
      <c r="M85" s="62" t="n"/>
      <c r="N85" s="38" t="n"/>
      <c r="O85" s="62" t="n"/>
      <c r="P85" s="38" t="n"/>
      <c r="Q85" s="62" t="n"/>
      <c r="R85" s="38" t="n"/>
      <c r="S85" s="62" t="n"/>
      <c r="T85" s="38" t="n"/>
      <c r="U85" s="62" t="n"/>
      <c r="V85" s="38" t="n"/>
      <c r="W85" s="62" t="n"/>
      <c r="X85" s="38" t="n"/>
      <c r="Y85" s="62" t="n"/>
      <c r="Z85" s="38" t="n"/>
      <c r="AA85" s="62" t="n"/>
      <c r="AB85" s="38" t="n"/>
      <c r="AC85" s="62" t="n"/>
      <c r="AD85" s="38" t="n"/>
      <c r="AE85" s="38" t="n"/>
      <c r="AF85" s="61">
        <f>IF(COUNTIF($B$5:B85,B85)=1,1,0)</f>
        <v/>
      </c>
      <c r="AG85" s="62" t="inlineStr">
        <is>
          <t>https://www.eltiempo.com/politica/congreso/en-los-ultimos-ocho-anos-solo-se-aprobo-uno-de-cada-siete-proyectos-de-ley-en-el-congreso-lo-que-revelan-las-cifras-3583664</t>
        </is>
      </c>
    </row>
    <row r="86" ht="15" customHeight="1" s="31">
      <c r="A86" s="38" t="inlineStr">
        <is>
          <t>https://www.eltiempo.com/politica/congreso/en-los-ultimos-ocho-anos-solo-se-aprobo-uno-de-cada-siete-proyectos-de-ley-en-el-congreso-lo-que-revelan-las-cifras-3583664</t>
        </is>
      </c>
      <c r="B86" s="38" t="inlineStr">
        <is>
          <t>https://www.eltiempo.com/politica/congreso/en-los-ultimos-ocho-anos-solo-se-aprobo-uno-de-cada-siete-proyectos-de-ley-en-el-congreso-lo-que-revelan-las-cifras-3583664_S11</t>
        </is>
      </c>
      <c r="C86" s="38" t="inlineStr">
        <is>
          <t>El Tiempo</t>
        </is>
      </c>
      <c r="D86" s="38" t="inlineStr">
        <is>
          <t>Reformas sociales en disputa (pensional/tributaria)</t>
        </is>
      </c>
      <c r="E86" s="38" t="inlineStr">
        <is>
          <t>Noticia dura</t>
        </is>
      </c>
      <c r="F86" s="38" t="inlineStr">
        <is>
          <t>2026-09-04T15:12:57-05:00</t>
        </is>
      </c>
      <c r="G86" s="62" t="inlineStr">
        <is>
          <t>El Congreso 2022-2026, donde las fuerzas de izquierda tomaron mayor protagonismo, cerró en 12,5 % (264 de 2.104).</t>
        </is>
      </c>
      <c r="H86" s="62" t="inlineStr">
        <is>
          <t>El Congreso 2018-2022, con una mayoría de centroderecha, cerró con una tasa de aprobación acumulada de 15,9 % (302 leyes de 1.900 proyectos).</t>
        </is>
      </c>
      <c r="I86" s="62" t="inlineStr">
        <is>
          <t>Pero el promedio esconde una trayectoria más interesante: entre 2018 y 2022 la tasa sube casi sin pausa, de 12,4 % en 2018-2019 a 18,5 % en 2020-2021, y cierra en 16,3 %.</t>
        </is>
      </c>
      <c r="J86" s="38" t="n"/>
      <c r="K86" s="62" t="n"/>
      <c r="L86" s="38" t="n"/>
      <c r="M86" s="62" t="n"/>
      <c r="N86" s="38" t="n"/>
      <c r="O86" s="62" t="n"/>
      <c r="P86" s="38" t="n"/>
      <c r="Q86" s="62" t="n"/>
      <c r="R86" s="38" t="n"/>
      <c r="S86" s="62" t="n"/>
      <c r="T86" s="38" t="n"/>
      <c r="U86" s="62" t="n"/>
      <c r="V86" s="38" t="n"/>
      <c r="W86" s="62" t="n"/>
      <c r="X86" s="38" t="n"/>
      <c r="Y86" s="62" t="n"/>
      <c r="Z86" s="38" t="n"/>
      <c r="AA86" s="62" t="n"/>
      <c r="AB86" s="38" t="n"/>
      <c r="AC86" s="62" t="n"/>
      <c r="AD86" s="38" t="n"/>
      <c r="AE86" s="38" t="n"/>
      <c r="AF86" s="61">
        <f>IF(COUNTIF($B$5:B86,B86)=1,1,0)</f>
        <v/>
      </c>
      <c r="AG86" s="62" t="inlineStr">
        <is>
          <t>https://www.eltiempo.com/politica/congreso/en-los-ultimos-ocho-anos-solo-se-aprobo-uno-de-cada-siete-proyectos-de-ley-en-el-congreso-lo-que-revelan-las-cifras-3583664</t>
        </is>
      </c>
    </row>
    <row r="87" ht="15" customHeight="1" s="31">
      <c r="A87" s="38" t="inlineStr">
        <is>
          <t>https://www.eltiempo.com/politica/congreso/en-los-ultimos-ocho-anos-solo-se-aprobo-uno-de-cada-siete-proyectos-de-ley-en-el-congreso-lo-que-revelan-las-cifras-3583664</t>
        </is>
      </c>
      <c r="B87" s="38" t="inlineStr">
        <is>
          <t>https://www.eltiempo.com/politica/congreso/en-los-ultimos-ocho-anos-solo-se-aprobo-uno-de-cada-siete-proyectos-de-ley-en-el-congreso-lo-que-revelan-las-cifras-3583664_S12</t>
        </is>
      </c>
      <c r="C87" s="38" t="inlineStr">
        <is>
          <t>El Tiempo</t>
        </is>
      </c>
      <c r="D87" s="38" t="inlineStr">
        <is>
          <t>Reformas sociales en disputa (pensional/tributaria)</t>
        </is>
      </c>
      <c r="E87" s="38" t="inlineStr">
        <is>
          <t>Noticia dura</t>
        </is>
      </c>
      <c r="F87" s="38" t="inlineStr">
        <is>
          <t>2026-09-04T15:12:57-05:00</t>
        </is>
      </c>
      <c r="G87" s="62" t="inlineStr">
        <is>
          <t>Pero el promedio esconde una trayectoria más interesante: entre 2018 y 2022 la tasa sube casi sin pausa, de 12,4 % en 2018-2019 a 18,5 % en 2020-2021, y cierra en 16,3 %.</t>
        </is>
      </c>
      <c r="H87" s="62" t="inlineStr">
        <is>
          <t>El Congreso 2022-2026, donde las fuerzas de izquierda tomaron mayor protagonismo, cerró en 12,5 % (264 de 2.104).</t>
        </is>
      </c>
      <c r="I87" s="62" t="n"/>
      <c r="J87" s="38" t="n"/>
      <c r="K87" s="62" t="n"/>
      <c r="L87" s="38" t="n"/>
      <c r="M87" s="62" t="n"/>
      <c r="N87" s="38" t="n"/>
      <c r="O87" s="62" t="n"/>
      <c r="P87" s="38" t="n"/>
      <c r="Q87" s="62" t="n"/>
      <c r="R87" s="38" t="n"/>
      <c r="S87" s="62" t="n"/>
      <c r="T87" s="38" t="n"/>
      <c r="U87" s="62" t="n"/>
      <c r="V87" s="38" t="n"/>
      <c r="W87" s="62" t="n"/>
      <c r="X87" s="38" t="n"/>
      <c r="Y87" s="62" t="n"/>
      <c r="Z87" s="38" t="n"/>
      <c r="AA87" s="62" t="n"/>
      <c r="AB87" s="38" t="n"/>
      <c r="AC87" s="62" t="n"/>
      <c r="AD87" s="38" t="n"/>
      <c r="AE87" s="38" t="n"/>
      <c r="AF87" s="61">
        <f>IF(COUNTIF($B$5:B87,B87)=1,1,0)</f>
        <v/>
      </c>
      <c r="AG87" s="62" t="inlineStr">
        <is>
          <t>https://www.eltiempo.com/politica/congreso/en-los-ultimos-ocho-anos-solo-se-aprobo-uno-de-cada-siete-proyectos-de-ley-en-el-congreso-lo-que-revelan-las-cifras-3583664</t>
        </is>
      </c>
    </row>
    <row r="88" ht="15" customHeight="1" s="31">
      <c r="A88" s="38" t="inlineStr">
        <is>
          <t>https://www.eltiempo.com/politica/abelardo-de-la-espriella/presidente-abelardo-de-la-espriella-y-su-contundente-frase-tras-la-muerte-de-bendito-menor-este-miserable-ahora-esta-a-buen-recaudo-del-infierno-3583557</t>
        </is>
      </c>
      <c r="B88" s="38" t="inlineStr">
        <is>
          <t>https://www.eltiempo.com/politica/abelardo-de-la-espriella/presidente-abelardo-de-la-espriella-y-su-contundente-frase-tras-la-muerte-de-bendito-menor-este-miserable-ahora-esta-a-buen-recaudo-del-infierno-3583557_S01</t>
        </is>
      </c>
      <c r="C88" s="38" t="inlineStr">
        <is>
          <t>El Tiempo</t>
        </is>
      </c>
      <c r="D88" s="38" t="inlineStr">
        <is>
          <t>Transición de gobierno y relación con la oposición</t>
        </is>
      </c>
      <c r="E88" s="38" t="inlineStr">
        <is>
          <t>Noticia dura</t>
        </is>
      </c>
      <c r="F88" s="38" t="inlineStr">
        <is>
          <t>2026-09-04T10:51:14-05:00</t>
        </is>
      </c>
      <c r="G88" s="62" t="inlineStr">
        <is>
          <t>El presidente Abelardo De La Espriella y su cúpula militar confirmaron en Riohacha la muerte de Naín Andrés Pérez Toncel, alias 'Bendito menor', señalado cabecilla de las Autodefensas Conquistadoras de la Sierra Nevada, durante un operativo de la Policía denominado 'Centinela de la patria'.</t>
        </is>
      </c>
      <c r="H88" s="62" t="n"/>
      <c r="I88" s="62" t="inlineStr">
        <is>
          <t>Según detalló el mandatario, junto al cabecilla de las Acsn también murieron su pareja, Rosa Angélica Tarazona, alias ‘La Bebecita’, y dos escoltas.</t>
        </is>
      </c>
      <c r="J88" s="38" t="n"/>
      <c r="K88" s="62" t="n"/>
      <c r="L88" s="38" t="n"/>
      <c r="M88" s="62" t="n"/>
      <c r="N88" s="38" t="n"/>
      <c r="O88" s="62" t="n"/>
      <c r="P88" s="38" t="n"/>
      <c r="Q88" s="62" t="n"/>
      <c r="R88" s="38" t="n"/>
      <c r="S88" s="62" t="n"/>
      <c r="T88" s="38" t="n"/>
      <c r="U88" s="62" t="n"/>
      <c r="V88" s="38" t="n"/>
      <c r="W88" s="62" t="n"/>
      <c r="X88" s="38" t="n"/>
      <c r="Y88" s="62" t="n"/>
      <c r="Z88" s="38" t="n"/>
      <c r="AA88" s="62" t="n"/>
      <c r="AB88" s="38" t="n"/>
      <c r="AC88" s="62" t="n"/>
      <c r="AD88" s="38" t="n"/>
      <c r="AE88" s="38" t="n"/>
      <c r="AF88" s="61">
        <f>IF(COUNTIF($B$5:B88,B88)=1,1,0)</f>
        <v/>
      </c>
      <c r="AG88" s="62" t="inlineStr">
        <is>
          <t>https://www.eltiempo.com/politica/abelardo-de-la-espriella/presidente-abelardo-de-la-espriella-y-su-contundente-frase-tras-la-muerte-de-bendito-menor-este-miserable-ahora-esta-a-buen-recaudo-del-infierno-3583557</t>
        </is>
      </c>
    </row>
    <row r="89" ht="15" customHeight="1" s="31">
      <c r="A89" s="38" t="inlineStr">
        <is>
          <t>https://www.eltiempo.com/politica/abelardo-de-la-espriella/presidente-abelardo-de-la-espriella-y-su-contundente-frase-tras-la-muerte-de-bendito-menor-este-miserable-ahora-esta-a-buen-recaudo-del-infierno-3583557</t>
        </is>
      </c>
      <c r="B89" s="38" t="inlineStr">
        <is>
          <t>https://www.eltiempo.com/politica/abelardo-de-la-espriella/presidente-abelardo-de-la-espriella-y-su-contundente-frase-tras-la-muerte-de-bendito-menor-este-miserable-ahora-esta-a-buen-recaudo-del-infierno-3583557_S02</t>
        </is>
      </c>
      <c r="C89" s="38" t="inlineStr">
        <is>
          <t>El Tiempo</t>
        </is>
      </c>
      <c r="D89" s="38" t="inlineStr">
        <is>
          <t>Transición de gobierno y relación con la oposición</t>
        </is>
      </c>
      <c r="E89" s="38" t="inlineStr">
        <is>
          <t>Noticia dura</t>
        </is>
      </c>
      <c r="F89" s="38" t="inlineStr">
        <is>
          <t>2026-09-04T10:51:14-05:00</t>
        </is>
      </c>
      <c r="G89" s="62" t="inlineStr">
        <is>
          <t>Según detalló el mandatario, junto al cabecilla de las Acsn también murieron su pareja, Rosa Angélica Tarazona, alias ‘La Bebecita’, y dos escoltas.</t>
        </is>
      </c>
      <c r="H89" s="62" t="inlineStr">
        <is>
          <t>El presidente Abelardo De La Espriella y su cúpula militar confirmaron en Riohacha la muerte de Naín Andrés Pérez Toncel, alias 'Bendito menor', señalado cabecilla de las Autodefensas Conquistadoras de la Sierra Nevada, durante un operativo de la Policía denominado 'Centinela de la patria'.</t>
        </is>
      </c>
      <c r="I89" s="62" t="n"/>
      <c r="J89" s="38" t="n"/>
      <c r="K89" s="62" t="n"/>
      <c r="L89" s="38" t="n"/>
      <c r="M89" s="62" t="n"/>
      <c r="N89" s="38" t="n"/>
      <c r="O89" s="62" t="n"/>
      <c r="P89" s="38" t="n"/>
      <c r="Q89" s="62" t="n"/>
      <c r="R89" s="38" t="n"/>
      <c r="S89" s="62" t="n"/>
      <c r="T89" s="38" t="n"/>
      <c r="U89" s="62" t="n"/>
      <c r="V89" s="38" t="n"/>
      <c r="W89" s="62" t="n"/>
      <c r="X89" s="38" t="n"/>
      <c r="Y89" s="62" t="n"/>
      <c r="Z89" s="38" t="n"/>
      <c r="AA89" s="62" t="n"/>
      <c r="AB89" s="38" t="n"/>
      <c r="AC89" s="62" t="n"/>
      <c r="AD89" s="38" t="n"/>
      <c r="AE89" s="38" t="n"/>
      <c r="AF89" s="61">
        <f>IF(COUNTIF($B$5:B89,B89)=1,1,0)</f>
        <v/>
      </c>
      <c r="AG89" s="62" t="inlineStr">
        <is>
          <t>https://www.eltiempo.com/politica/abelardo-de-la-espriella/presidente-abelardo-de-la-espriella-y-su-contundente-frase-tras-la-muerte-de-bendito-menor-este-miserable-ahora-esta-a-buen-recaudo-del-infierno-3583557</t>
        </is>
      </c>
    </row>
    <row r="90" ht="15" customHeight="1" s="31">
      <c r="A90" s="38" t="inlineStr">
        <is>
          <t>https://www.eltiempo.com/politica/proceso-de-paz/calarca-priorizo-la-guerra-con-mordisco-a-cualquier-posibilidad-de-paz-tropezamos-con-nuestras-propias-ilusiones-camilo-gonzalez-posso-3583506</t>
        </is>
      </c>
      <c r="B90" s="38" t="inlineStr">
        <is>
          <t>https://www.eltiempo.com/politica/proceso-de-paz/calarca-priorizo-la-guerra-con-mordisco-a-cualquier-posibilidad-de-paz-tropezamos-con-nuestras-propias-ilusiones-camilo-gonzalez-posso-3583506_S01</t>
        </is>
      </c>
      <c r="C90" s="38" t="inlineStr">
        <is>
          <t>El Tiempo</t>
        </is>
      </c>
      <c r="D90" s="38" t="inlineStr">
        <is>
          <t>Seguridad y orden público</t>
        </is>
      </c>
      <c r="E90" s="38" t="inlineStr">
        <is>
          <t>Noticia dura</t>
        </is>
      </c>
      <c r="F90" s="38" t="inlineStr">
        <is>
          <t>2026-09-04T07:42:18-05:00</t>
        </is>
      </c>
      <c r="G90" s="62" t="inlineStr">
        <is>
          <t>Camilo González Posso presenció por dentro y por fuera los tropiezos de la 'paz total'.</t>
        </is>
      </c>
      <c r="H90" s="62" t="n"/>
      <c r="I90" s="62" t="inlineStr">
        <is>
          <t>A mediados de 2023, el entonces gobierno de Gustavo Petro lo nombró negociador ante las disidencias de las Farc que se encontraban agrupadas bajo el nombre del Estado Mayor Central y, posteriormente, cuando esta estructura se dividió, continuó al frente de las conversaciones con el Estado Mayor de Bloques y Frentes, bajo el mando de ‘Calarcá’, hasta que renunció en junio de 2025.</t>
        </is>
      </c>
      <c r="J90" s="38" t="n"/>
      <c r="K90" s="62" t="n"/>
      <c r="L90" s="38" t="n"/>
      <c r="M90" s="62" t="n"/>
      <c r="N90" s="38" t="n"/>
      <c r="O90" s="62" t="n"/>
      <c r="P90" s="38" t="n"/>
      <c r="Q90" s="62" t="n"/>
      <c r="R90" s="38" t="n"/>
      <c r="S90" s="62" t="n"/>
      <c r="T90" s="38" t="n"/>
      <c r="U90" s="62" t="n"/>
      <c r="V90" s="38" t="n"/>
      <c r="W90" s="62" t="n"/>
      <c r="X90" s="38" t="n"/>
      <c r="Y90" s="62" t="n"/>
      <c r="Z90" s="38" t="n"/>
      <c r="AA90" s="62" t="n"/>
      <c r="AB90" s="38" t="n"/>
      <c r="AC90" s="62" t="n"/>
      <c r="AD90" s="38" t="n"/>
      <c r="AE90" s="38" t="n"/>
      <c r="AF90" s="61">
        <f>IF(COUNTIF($B$5:B90,B90)=1,1,0)</f>
        <v/>
      </c>
      <c r="AG90" s="62" t="inlineStr">
        <is>
          <t>https://www.eltiempo.com/politica/proceso-de-paz/calarca-priorizo-la-guerra-con-mordisco-a-cualquier-posibilidad-de-paz-tropezamos-con-nuestras-propias-ilusiones-camilo-gonzalez-posso-3583506</t>
        </is>
      </c>
    </row>
    <row r="91" ht="15" customHeight="1" s="31">
      <c r="A91" s="38" t="inlineStr">
        <is>
          <t>https://www.eltiempo.com/politica/proceso-de-paz/calarca-priorizo-la-guerra-con-mordisco-a-cualquier-posibilidad-de-paz-tropezamos-con-nuestras-propias-ilusiones-camilo-gonzalez-posso-3583506</t>
        </is>
      </c>
      <c r="B91" s="38" t="inlineStr">
        <is>
          <t>https://www.eltiempo.com/politica/proceso-de-paz/calarca-priorizo-la-guerra-con-mordisco-a-cualquier-posibilidad-de-paz-tropezamos-con-nuestras-propias-ilusiones-camilo-gonzalez-posso-3583506_S02</t>
        </is>
      </c>
      <c r="C91" s="38" t="inlineStr">
        <is>
          <t>El Tiempo</t>
        </is>
      </c>
      <c r="D91" s="38" t="inlineStr">
        <is>
          <t>Seguridad y orden público</t>
        </is>
      </c>
      <c r="E91" s="38" t="inlineStr">
        <is>
          <t>Noticia dura</t>
        </is>
      </c>
      <c r="F91" s="38" t="inlineStr">
        <is>
          <t>2026-09-04T07:42:18-05:00</t>
        </is>
      </c>
      <c r="G91" s="62" t="inlineStr">
        <is>
          <t>A mediados de 2023, el entonces gobierno de Gustavo Petro lo nombró negociador ante las disidencias de las Farc que se encontraban agrupadas bajo el nombre del Estado Mayor Central y, posteriormente, cuando esta estructura se dividió, continuó al frente de las conversaciones con el Estado Mayor de Bloques y Frentes, bajo el mando de ‘Calarcá’, hasta que renunció en junio de 2025.</t>
        </is>
      </c>
      <c r="H91" s="62" t="inlineStr">
        <is>
          <t>Camilo González Posso presenció por dentro y por fuera los tropiezos de la 'paz total'.</t>
        </is>
      </c>
      <c r="I91" s="62" t="inlineStr">
        <is>
          <t>Bajo su coordinación se lograron acuerdos como el cese bilateral del fuego -que se extendió por 18 meses-, la instalación formal de la mesa y una agenda enfocada en las transformaciones territoriales.</t>
        </is>
      </c>
      <c r="J91" s="38" t="n"/>
      <c r="K91" s="62" t="n"/>
      <c r="L91" s="38" t="n"/>
      <c r="M91" s="62" t="n"/>
      <c r="N91" s="38" t="n"/>
      <c r="O91" s="62" t="n"/>
      <c r="P91" s="38" t="n"/>
      <c r="Q91" s="62" t="n"/>
      <c r="R91" s="38" t="n"/>
      <c r="S91" s="62" t="n"/>
      <c r="T91" s="38" t="n"/>
      <c r="U91" s="62" t="n"/>
      <c r="V91" s="38" t="n"/>
      <c r="W91" s="62" t="n"/>
      <c r="X91" s="38" t="n"/>
      <c r="Y91" s="62" t="n"/>
      <c r="Z91" s="38" t="n"/>
      <c r="AA91" s="62" t="n"/>
      <c r="AB91" s="38" t="n"/>
      <c r="AC91" s="62" t="n"/>
      <c r="AD91" s="38" t="n"/>
      <c r="AE91" s="38" t="n"/>
      <c r="AF91" s="61">
        <f>IF(COUNTIF($B$5:B91,B91)=1,1,0)</f>
        <v/>
      </c>
      <c r="AG91" s="62" t="inlineStr">
        <is>
          <t>https://www.eltiempo.com/politica/proceso-de-paz/calarca-priorizo-la-guerra-con-mordisco-a-cualquier-posibilidad-de-paz-tropezamos-con-nuestras-propias-ilusiones-camilo-gonzalez-posso-3583506</t>
        </is>
      </c>
    </row>
    <row r="92" ht="15" customHeight="1" s="31">
      <c r="A92" s="38" t="inlineStr">
        <is>
          <t>https://www.eltiempo.com/politica/proceso-de-paz/calarca-priorizo-la-guerra-con-mordisco-a-cualquier-posibilidad-de-paz-tropezamos-con-nuestras-propias-ilusiones-camilo-gonzalez-posso-3583506</t>
        </is>
      </c>
      <c r="B92" s="38" t="inlineStr">
        <is>
          <t>https://www.eltiempo.com/politica/proceso-de-paz/calarca-priorizo-la-guerra-con-mordisco-a-cualquier-posibilidad-de-paz-tropezamos-con-nuestras-propias-ilusiones-camilo-gonzalez-posso-3583506_S03</t>
        </is>
      </c>
      <c r="C92" s="38" t="inlineStr">
        <is>
          <t>El Tiempo</t>
        </is>
      </c>
      <c r="D92" s="38" t="inlineStr">
        <is>
          <t>Seguridad y orden público</t>
        </is>
      </c>
      <c r="E92" s="38" t="inlineStr">
        <is>
          <t>Noticia dura</t>
        </is>
      </c>
      <c r="F92" s="38" t="inlineStr">
        <is>
          <t>2026-09-04T07:42:18-05:00</t>
        </is>
      </c>
      <c r="G92" s="62" t="inlineStr">
        <is>
          <t>Bajo su coordinación se lograron acuerdos como el cese bilateral del fuego -que se extendió por 18 meses-, la instalación formal de la mesa y una agenda enfocada en las transformaciones territoriales.</t>
        </is>
      </c>
      <c r="H92" s="62" t="inlineStr">
        <is>
          <t>A mediados de 2023, el entonces gobierno de Gustavo Petro lo nombró negociador ante las disidencias de las Farc que se encontraban agrupadas bajo el nombre del Estado Mayor Central y, posteriormente, cuando esta estructura se dividió, continuó al frente de las conversaciones con el Estado Mayor de Bloques y Frentes, bajo el mando de ‘Calarcá’, hasta que renunció en junio de 2025.</t>
        </is>
      </c>
      <c r="I92" s="62" t="inlineStr">
        <is>
          <t>También fue testigo de la fragmentación interna de las disidencias, ocurrida después de la ofensiva armada en la que fue asesinada la lideresa indígena Carmelita Yule Paví.</t>
        </is>
      </c>
      <c r="J92" s="38" t="n"/>
      <c r="K92" s="62" t="n"/>
      <c r="L92" s="38" t="n"/>
      <c r="M92" s="62" t="n"/>
      <c r="N92" s="38" t="n"/>
      <c r="O92" s="62" t="n"/>
      <c r="P92" s="38" t="n"/>
      <c r="Q92" s="62" t="n"/>
      <c r="R92" s="38" t="n"/>
      <c r="S92" s="62" t="n"/>
      <c r="T92" s="38" t="n"/>
      <c r="U92" s="62" t="n"/>
      <c r="V92" s="38" t="n"/>
      <c r="W92" s="62" t="n"/>
      <c r="X92" s="38" t="n"/>
      <c r="Y92" s="62" t="n"/>
      <c r="Z92" s="38" t="n"/>
      <c r="AA92" s="62" t="n"/>
      <c r="AB92" s="38" t="n"/>
      <c r="AC92" s="62" t="n"/>
      <c r="AD92" s="38" t="n"/>
      <c r="AE92" s="38" t="n"/>
      <c r="AF92" s="61">
        <f>IF(COUNTIF($B$5:B92,B92)=1,1,0)</f>
        <v/>
      </c>
      <c r="AG92" s="62" t="inlineStr">
        <is>
          <t>https://www.eltiempo.com/politica/proceso-de-paz/calarca-priorizo-la-guerra-con-mordisco-a-cualquier-posibilidad-de-paz-tropezamos-con-nuestras-propias-ilusiones-camilo-gonzalez-posso-3583506</t>
        </is>
      </c>
    </row>
    <row r="93" ht="15" customHeight="1" s="31">
      <c r="A93" s="38" t="inlineStr">
        <is>
          <t>https://www.eltiempo.com/politica/proceso-de-paz/calarca-priorizo-la-guerra-con-mordisco-a-cualquier-posibilidad-de-paz-tropezamos-con-nuestras-propias-ilusiones-camilo-gonzalez-posso-3583506</t>
        </is>
      </c>
      <c r="B93" s="38" t="inlineStr">
        <is>
          <t>https://www.eltiempo.com/politica/proceso-de-paz/calarca-priorizo-la-guerra-con-mordisco-a-cualquier-posibilidad-de-paz-tropezamos-con-nuestras-propias-ilusiones-camilo-gonzalez-posso-3583506_S04</t>
        </is>
      </c>
      <c r="C93" s="38" t="inlineStr">
        <is>
          <t>El Tiempo</t>
        </is>
      </c>
      <c r="D93" s="38" t="inlineStr">
        <is>
          <t>Seguridad y orden público</t>
        </is>
      </c>
      <c r="E93" s="38" t="inlineStr">
        <is>
          <t>Noticia dura</t>
        </is>
      </c>
      <c r="F93" s="38" t="inlineStr">
        <is>
          <t>2026-09-04T07:42:18-05:00</t>
        </is>
      </c>
      <c r="G93" s="62" t="inlineStr">
        <is>
          <t>También fue testigo de la fragmentación interna de las disidencias, ocurrida después de la ofensiva armada en la que fue asesinada la lideresa indígena Carmelita Yule Paví.</t>
        </is>
      </c>
      <c r="H93" s="62" t="inlineStr">
        <is>
          <t>Bajo su coordinación se lograron acuerdos como el cese bilateral del fuego -que se extendió por 18 meses-, la instalación formal de la mesa y una agenda enfocada en las transformaciones territoriales.</t>
        </is>
      </c>
      <c r="I93" s="62" t="inlineStr">
        <is>
          <t>Luego de renunciar, tras señalar que su salida obedeció a un cambio en las condiciones de la negociación, regresó a la dirección del Instituto de Estudios para el Desarrollo y la Paz (Indepaz).</t>
        </is>
      </c>
      <c r="J93" s="38" t="n"/>
      <c r="K93" s="62" t="n"/>
      <c r="L93" s="38" t="n"/>
      <c r="M93" s="62" t="n"/>
      <c r="N93" s="38" t="n"/>
      <c r="O93" s="62" t="n"/>
      <c r="P93" s="38" t="n"/>
      <c r="Q93" s="62" t="n"/>
      <c r="R93" s="38" t="n"/>
      <c r="S93" s="62" t="n"/>
      <c r="T93" s="38" t="n"/>
      <c r="U93" s="62" t="n"/>
      <c r="V93" s="38" t="n"/>
      <c r="W93" s="62" t="n"/>
      <c r="X93" s="38" t="n"/>
      <c r="Y93" s="62" t="n"/>
      <c r="Z93" s="38" t="n"/>
      <c r="AA93" s="62" t="n"/>
      <c r="AB93" s="38" t="n"/>
      <c r="AC93" s="62" t="n"/>
      <c r="AD93" s="38" t="n"/>
      <c r="AE93" s="38" t="n"/>
      <c r="AF93" s="61">
        <f>IF(COUNTIF($B$5:B93,B93)=1,1,0)</f>
        <v/>
      </c>
      <c r="AG93" s="62" t="inlineStr">
        <is>
          <t>https://www.eltiempo.com/politica/proceso-de-paz/calarca-priorizo-la-guerra-con-mordisco-a-cualquier-posibilidad-de-paz-tropezamos-con-nuestras-propias-ilusiones-camilo-gonzalez-posso-3583506</t>
        </is>
      </c>
    </row>
    <row r="94" ht="15" customHeight="1" s="31">
      <c r="A94" s="38" t="inlineStr">
        <is>
          <t>https://www.eltiempo.com/politica/proceso-de-paz/calarca-priorizo-la-guerra-con-mordisco-a-cualquier-posibilidad-de-paz-tropezamos-con-nuestras-propias-ilusiones-camilo-gonzalez-posso-3583506</t>
        </is>
      </c>
      <c r="B94" s="38" t="inlineStr">
        <is>
          <t>https://www.eltiempo.com/politica/proceso-de-paz/calarca-priorizo-la-guerra-con-mordisco-a-cualquier-posibilidad-de-paz-tropezamos-con-nuestras-propias-ilusiones-camilo-gonzalez-posso-3583506_S05</t>
        </is>
      </c>
      <c r="C94" s="38" t="inlineStr">
        <is>
          <t>El Tiempo</t>
        </is>
      </c>
      <c r="D94" s="38" t="inlineStr">
        <is>
          <t>Seguridad y orden público</t>
        </is>
      </c>
      <c r="E94" s="38" t="inlineStr">
        <is>
          <t>Noticia dura</t>
        </is>
      </c>
      <c r="F94" s="38" t="inlineStr">
        <is>
          <t>2026-09-04T07:42:18-05:00</t>
        </is>
      </c>
      <c r="G94" s="62" t="inlineStr">
        <is>
          <t>Luego de renunciar, tras señalar que su salida obedeció a un cambio en las condiciones de la negociación, regresó a la dirección del Instituto de Estudios para el Desarrollo y la Paz (Indepaz).</t>
        </is>
      </c>
      <c r="H94" s="62" t="inlineStr">
        <is>
          <t>También fue testigo de la fragmentación interna de las disidencias, ocurrida después de la ofensiva armada en la que fue asesinada la lideresa indígena Carmelita Yule Paví.</t>
        </is>
      </c>
      <c r="I94" s="62" t="inlineStr">
        <is>
          <t>En diálogo con EL TIEMPO, el exnegociador del Gobierno analizó los fallos de la política de paz de la anterior administración y el desmonte que de esta adelanta hoy el presidente Abelardo De La Espriella.</t>
        </is>
      </c>
      <c r="J94" s="38" t="n"/>
      <c r="K94" s="62" t="n"/>
      <c r="L94" s="38" t="n"/>
      <c r="M94" s="62" t="n"/>
      <c r="N94" s="38" t="n"/>
      <c r="O94" s="62" t="n"/>
      <c r="P94" s="38" t="n"/>
      <c r="Q94" s="62" t="n"/>
      <c r="R94" s="38" t="n"/>
      <c r="S94" s="62" t="n"/>
      <c r="T94" s="38" t="n"/>
      <c r="U94" s="62" t="n"/>
      <c r="V94" s="38" t="n"/>
      <c r="W94" s="62" t="n"/>
      <c r="X94" s="38" t="n"/>
      <c r="Y94" s="62" t="n"/>
      <c r="Z94" s="38" t="n"/>
      <c r="AA94" s="62" t="n"/>
      <c r="AB94" s="38" t="n"/>
      <c r="AC94" s="62" t="n"/>
      <c r="AD94" s="38" t="n"/>
      <c r="AE94" s="38" t="n"/>
      <c r="AF94" s="61">
        <f>IF(COUNTIF($B$5:B94,B94)=1,1,0)</f>
        <v/>
      </c>
      <c r="AG94" s="62" t="inlineStr">
        <is>
          <t>https://www.eltiempo.com/politica/proceso-de-paz/calarca-priorizo-la-guerra-con-mordisco-a-cualquier-posibilidad-de-paz-tropezamos-con-nuestras-propias-ilusiones-camilo-gonzalez-posso-3583506</t>
        </is>
      </c>
    </row>
    <row r="95" ht="15" customHeight="1" s="31">
      <c r="A95" s="38" t="inlineStr">
        <is>
          <t>https://www.eltiempo.com/politica/proceso-de-paz/calarca-priorizo-la-guerra-con-mordisco-a-cualquier-posibilidad-de-paz-tropezamos-con-nuestras-propias-ilusiones-camilo-gonzalez-posso-3583506</t>
        </is>
      </c>
      <c r="B95" s="38" t="inlineStr">
        <is>
          <t>https://www.eltiempo.com/politica/proceso-de-paz/calarca-priorizo-la-guerra-con-mordisco-a-cualquier-posibilidad-de-paz-tropezamos-con-nuestras-propias-ilusiones-camilo-gonzalez-posso-3583506_S06</t>
        </is>
      </c>
      <c r="C95" s="38" t="inlineStr">
        <is>
          <t>El Tiempo</t>
        </is>
      </c>
      <c r="D95" s="38" t="inlineStr">
        <is>
          <t>Seguridad y orden público</t>
        </is>
      </c>
      <c r="E95" s="38" t="inlineStr">
        <is>
          <t>Noticia dura</t>
        </is>
      </c>
      <c r="F95" s="38" t="inlineStr">
        <is>
          <t>2026-09-04T07:42:18-05:00</t>
        </is>
      </c>
      <c r="G95" s="62" t="inlineStr">
        <is>
          <t>En diálogo con EL TIEMPO, el exnegociador del Gobierno analizó los fallos de la política de paz de la anterior administración y el desmonte que de esta adelanta hoy el presidente Abelardo De La Espriella.</t>
        </is>
      </c>
      <c r="H95" s="62" t="inlineStr">
        <is>
          <t>Luego de renunciar, tras señalar que su salida obedeció a un cambio en las condiciones de la negociación, regresó a la dirección del Instituto de Estudios para el Desarrollo y la Paz (Indepaz).</t>
        </is>
      </c>
      <c r="I95" s="62" t="inlineStr">
        <is>
          <t>Hay logros y hay otras situaciones.</t>
        </is>
      </c>
      <c r="J95" s="38" t="n"/>
      <c r="K95" s="62" t="n"/>
      <c r="L95" s="38" t="n"/>
      <c r="M95" s="62" t="n"/>
      <c r="N95" s="38" t="n"/>
      <c r="O95" s="62" t="n"/>
      <c r="P95" s="38" t="n"/>
      <c r="Q95" s="62" t="n"/>
      <c r="R95" s="38" t="n"/>
      <c r="S95" s="62" t="n"/>
      <c r="T95" s="38" t="n"/>
      <c r="U95" s="62" t="n"/>
      <c r="V95" s="38" t="n"/>
      <c r="W95" s="62" t="n"/>
      <c r="X95" s="38" t="n"/>
      <c r="Y95" s="62" t="n"/>
      <c r="Z95" s="38" t="n"/>
      <c r="AA95" s="62" t="n"/>
      <c r="AB95" s="38" t="n"/>
      <c r="AC95" s="62" t="n"/>
      <c r="AD95" s="38" t="n"/>
      <c r="AE95" s="38" t="n"/>
      <c r="AF95" s="61">
        <f>IF(COUNTIF($B$5:B95,B95)=1,1,0)</f>
        <v/>
      </c>
      <c r="AG95" s="62" t="inlineStr">
        <is>
          <t>https://www.eltiempo.com/politica/proceso-de-paz/calarca-priorizo-la-guerra-con-mordisco-a-cualquier-posibilidad-de-paz-tropezamos-con-nuestras-propias-ilusiones-camilo-gonzalez-posso-3583506</t>
        </is>
      </c>
    </row>
    <row r="96" ht="15" customHeight="1" s="31">
      <c r="A96" s="38" t="inlineStr">
        <is>
          <t>https://www.eltiempo.com/politica/proceso-de-paz/calarca-priorizo-la-guerra-con-mordisco-a-cualquier-posibilidad-de-paz-tropezamos-con-nuestras-propias-ilusiones-camilo-gonzalez-posso-3583506</t>
        </is>
      </c>
      <c r="B96" s="38" t="inlineStr">
        <is>
          <t>https://www.eltiempo.com/politica/proceso-de-paz/calarca-priorizo-la-guerra-con-mordisco-a-cualquier-posibilidad-de-paz-tropezamos-con-nuestras-propias-ilusiones-camilo-gonzalez-posso-3583506_S07</t>
        </is>
      </c>
      <c r="C96" s="38" t="inlineStr">
        <is>
          <t>El Tiempo</t>
        </is>
      </c>
      <c r="D96" s="38" t="inlineStr">
        <is>
          <t>Seguridad y orden público</t>
        </is>
      </c>
      <c r="E96" s="38" t="inlineStr">
        <is>
          <t>Noticia dura</t>
        </is>
      </c>
      <c r="F96" s="38" t="inlineStr">
        <is>
          <t>2026-09-04T07:42:18-05:00</t>
        </is>
      </c>
      <c r="G96" s="62" t="inlineStr">
        <is>
          <t>Hay logros y hay otras situaciones.</t>
        </is>
      </c>
      <c r="H96" s="62" t="inlineStr">
        <is>
          <t>En diálogo con EL TIEMPO, el exnegociador del Gobierno analizó los fallos de la política de paz de la anterior administración y el desmonte que de esta adelanta hoy el presidente Abelardo De La Espriella.</t>
        </is>
      </c>
      <c r="I96" s="62" t="inlineStr">
        <is>
          <t>La mayor frustración es que no se logró culminar ningún proceso para la terminación de estos grupos armados, que era una meta visible.</t>
        </is>
      </c>
      <c r="J96" s="38" t="n"/>
      <c r="K96" s="62" t="n"/>
      <c r="L96" s="38" t="n"/>
      <c r="M96" s="62" t="n"/>
      <c r="N96" s="38" t="n"/>
      <c r="O96" s="62" t="n"/>
      <c r="P96" s="38" t="n"/>
      <c r="Q96" s="62" t="n"/>
      <c r="R96" s="38" t="n"/>
      <c r="S96" s="62" t="n"/>
      <c r="T96" s="38" t="n"/>
      <c r="U96" s="62" t="n"/>
      <c r="V96" s="38" t="n"/>
      <c r="W96" s="62" t="n"/>
      <c r="X96" s="38" t="n"/>
      <c r="Y96" s="62" t="n"/>
      <c r="Z96" s="38" t="n"/>
      <c r="AA96" s="62" t="n"/>
      <c r="AB96" s="38" t="n"/>
      <c r="AC96" s="62" t="n"/>
      <c r="AD96" s="38" t="n"/>
      <c r="AE96" s="38" t="n"/>
      <c r="AF96" s="61">
        <f>IF(COUNTIF($B$5:B96,B96)=1,1,0)</f>
        <v/>
      </c>
      <c r="AG96" s="62" t="inlineStr">
        <is>
          <t>https://www.eltiempo.com/politica/proceso-de-paz/calarca-priorizo-la-guerra-con-mordisco-a-cualquier-posibilidad-de-paz-tropezamos-con-nuestras-propias-ilusiones-camilo-gonzalez-posso-3583506</t>
        </is>
      </c>
    </row>
    <row r="97" ht="15" customHeight="1" s="31">
      <c r="A97" s="38" t="inlineStr">
        <is>
          <t>https://www.eltiempo.com/politica/proceso-de-paz/calarca-priorizo-la-guerra-con-mordisco-a-cualquier-posibilidad-de-paz-tropezamos-con-nuestras-propias-ilusiones-camilo-gonzalez-posso-3583506</t>
        </is>
      </c>
      <c r="B97" s="38" t="inlineStr">
        <is>
          <t>https://www.eltiempo.com/politica/proceso-de-paz/calarca-priorizo-la-guerra-con-mordisco-a-cualquier-posibilidad-de-paz-tropezamos-con-nuestras-propias-ilusiones-camilo-gonzalez-posso-3583506_S08</t>
        </is>
      </c>
      <c r="C97" s="38" t="inlineStr">
        <is>
          <t>El Tiempo</t>
        </is>
      </c>
      <c r="D97" s="38" t="inlineStr">
        <is>
          <t>Seguridad y orden público</t>
        </is>
      </c>
      <c r="E97" s="38" t="inlineStr">
        <is>
          <t>Noticia dura</t>
        </is>
      </c>
      <c r="F97" s="38" t="inlineStr">
        <is>
          <t>2026-09-04T07:42:18-05:00</t>
        </is>
      </c>
      <c r="G97" s="62" t="inlineStr">
        <is>
          <t>La mayor frustración es que no se logró culminar ningún proceso para la terminación de estos grupos armados, que era una meta visible.</t>
        </is>
      </c>
      <c r="H97" s="62" t="inlineStr">
        <is>
          <t>Hay logros y hay otras situaciones.</t>
        </is>
      </c>
      <c r="I97" s="62" t="inlineStr">
        <is>
          <t>Es el símbolo de que las cosas tuvieron un trayecto accidentado.</t>
        </is>
      </c>
      <c r="J97" s="38" t="n"/>
      <c r="K97" s="62" t="n"/>
      <c r="L97" s="38" t="n"/>
      <c r="M97" s="62" t="n"/>
      <c r="N97" s="38" t="n"/>
      <c r="O97" s="62" t="n"/>
      <c r="P97" s="38" t="n"/>
      <c r="Q97" s="62" t="n"/>
      <c r="R97" s="38" t="n"/>
      <c r="S97" s="62" t="n"/>
      <c r="T97" s="38" t="n"/>
      <c r="U97" s="62" t="n"/>
      <c r="V97" s="38" t="n"/>
      <c r="W97" s="62" t="n"/>
      <c r="X97" s="38" t="n"/>
      <c r="Y97" s="62" t="n"/>
      <c r="Z97" s="38" t="n"/>
      <c r="AA97" s="62" t="n"/>
      <c r="AB97" s="38" t="n"/>
      <c r="AC97" s="62" t="n"/>
      <c r="AD97" s="38" t="n"/>
      <c r="AE97" s="38" t="n"/>
      <c r="AF97" s="61">
        <f>IF(COUNTIF($B$5:B97,B97)=1,1,0)</f>
        <v/>
      </c>
      <c r="AG97" s="62" t="inlineStr">
        <is>
          <t>https://www.eltiempo.com/politica/proceso-de-paz/calarca-priorizo-la-guerra-con-mordisco-a-cualquier-posibilidad-de-paz-tropezamos-con-nuestras-propias-ilusiones-camilo-gonzalez-posso-3583506</t>
        </is>
      </c>
    </row>
    <row r="98" ht="15" customHeight="1" s="31">
      <c r="A98" s="38" t="inlineStr">
        <is>
          <t>https://www.eltiempo.com/politica/proceso-de-paz/calarca-priorizo-la-guerra-con-mordisco-a-cualquier-posibilidad-de-paz-tropezamos-con-nuestras-propias-ilusiones-camilo-gonzalez-posso-3583506</t>
        </is>
      </c>
      <c r="B98" s="38" t="inlineStr">
        <is>
          <t>https://www.eltiempo.com/politica/proceso-de-paz/calarca-priorizo-la-guerra-con-mordisco-a-cualquier-posibilidad-de-paz-tropezamos-con-nuestras-propias-ilusiones-camilo-gonzalez-posso-3583506_S09</t>
        </is>
      </c>
      <c r="C98" s="38" t="inlineStr">
        <is>
          <t>El Tiempo</t>
        </is>
      </c>
      <c r="D98" s="38" t="inlineStr">
        <is>
          <t>Seguridad y orden público</t>
        </is>
      </c>
      <c r="E98" s="38" t="inlineStr">
        <is>
          <t>Noticia dura</t>
        </is>
      </c>
      <c r="F98" s="38" t="inlineStr">
        <is>
          <t>2026-09-04T07:42:18-05:00</t>
        </is>
      </c>
      <c r="G98" s="62" t="inlineStr">
        <is>
          <t>Es el símbolo de que las cosas tuvieron un trayecto accidentado.</t>
        </is>
      </c>
      <c r="H98" s="62" t="inlineStr">
        <is>
          <t>La mayor frustración es que no se logró culminar ningún proceso para la terminación de estos grupos armados, que era una meta visible.</t>
        </is>
      </c>
      <c r="I98" s="62" t="inlineStr">
        <is>
          <t>Ahora, yo creo que el logro más importante tiene que ver con la relación entre la institucionalidad y las comunidades.</t>
        </is>
      </c>
      <c r="J98" s="38" t="n"/>
      <c r="K98" s="62" t="n"/>
      <c r="L98" s="38" t="n"/>
      <c r="M98" s="62" t="n"/>
      <c r="N98" s="38" t="n"/>
      <c r="O98" s="62" t="n"/>
      <c r="P98" s="38" t="n"/>
      <c r="Q98" s="62" t="n"/>
      <c r="R98" s="38" t="n"/>
      <c r="S98" s="62" t="n"/>
      <c r="T98" s="38" t="n"/>
      <c r="U98" s="62" t="n"/>
      <c r="V98" s="38" t="n"/>
      <c r="W98" s="62" t="n"/>
      <c r="X98" s="38" t="n"/>
      <c r="Y98" s="62" t="n"/>
      <c r="Z98" s="38" t="n"/>
      <c r="AA98" s="62" t="n"/>
      <c r="AB98" s="38" t="n"/>
      <c r="AC98" s="62" t="n"/>
      <c r="AD98" s="38" t="n"/>
      <c r="AE98" s="38" t="n"/>
      <c r="AF98" s="61">
        <f>IF(COUNTIF($B$5:B98,B98)=1,1,0)</f>
        <v/>
      </c>
      <c r="AG98" s="62" t="inlineStr">
        <is>
          <t>https://www.eltiempo.com/politica/proceso-de-paz/calarca-priorizo-la-guerra-con-mordisco-a-cualquier-posibilidad-de-paz-tropezamos-con-nuestras-propias-ilusiones-camilo-gonzalez-posso-3583506</t>
        </is>
      </c>
    </row>
    <row r="99" ht="15" customHeight="1" s="31">
      <c r="A99" s="38" t="inlineStr">
        <is>
          <t>https://www.eltiempo.com/politica/proceso-de-paz/calarca-priorizo-la-guerra-con-mordisco-a-cualquier-posibilidad-de-paz-tropezamos-con-nuestras-propias-ilusiones-camilo-gonzalez-posso-3583506</t>
        </is>
      </c>
      <c r="B99" s="38" t="inlineStr">
        <is>
          <t>https://www.eltiempo.com/politica/proceso-de-paz/calarca-priorizo-la-guerra-con-mordisco-a-cualquier-posibilidad-de-paz-tropezamos-con-nuestras-propias-ilusiones-camilo-gonzalez-posso-3583506_S10</t>
        </is>
      </c>
      <c r="C99" s="38" t="inlineStr">
        <is>
          <t>El Tiempo</t>
        </is>
      </c>
      <c r="D99" s="38" t="inlineStr">
        <is>
          <t>Seguridad y orden público</t>
        </is>
      </c>
      <c r="E99" s="38" t="inlineStr">
        <is>
          <t>Noticia dura</t>
        </is>
      </c>
      <c r="F99" s="38" t="inlineStr">
        <is>
          <t>2026-09-04T07:42:18-05:00</t>
        </is>
      </c>
      <c r="G99" s="62" t="inlineStr">
        <is>
          <t>Ahora, yo creo que el logro más importante tiene que ver con la relación entre la institucionalidad y las comunidades.</t>
        </is>
      </c>
      <c r="H99" s="62" t="inlineStr">
        <is>
          <t>Es el símbolo de que las cosas tuvieron un trayecto accidentado.</t>
        </is>
      </c>
      <c r="I99" s="62" t="inlineStr">
        <is>
          <t>Es decir, la relación entre el estado y la sociedad en esas zonas de conflictos tan crónicos.</t>
        </is>
      </c>
      <c r="J99" s="38" t="n"/>
      <c r="K99" s="62" t="n"/>
      <c r="L99" s="38" t="n"/>
      <c r="M99" s="62" t="n"/>
      <c r="N99" s="38" t="n"/>
      <c r="O99" s="62" t="n"/>
      <c r="P99" s="38" t="n"/>
      <c r="Q99" s="62" t="n"/>
      <c r="R99" s="38" t="n"/>
      <c r="S99" s="62" t="n"/>
      <c r="T99" s="38" t="n"/>
      <c r="U99" s="62" t="n"/>
      <c r="V99" s="38" t="n"/>
      <c r="W99" s="62" t="n"/>
      <c r="X99" s="38" t="n"/>
      <c r="Y99" s="62" t="n"/>
      <c r="Z99" s="38" t="n"/>
      <c r="AA99" s="62" t="n"/>
      <c r="AB99" s="38" t="n"/>
      <c r="AC99" s="62" t="n"/>
      <c r="AD99" s="38" t="n"/>
      <c r="AE99" s="38" t="n"/>
      <c r="AF99" s="61">
        <f>IF(COUNTIF($B$5:B99,B99)=1,1,0)</f>
        <v/>
      </c>
      <c r="AG99" s="62" t="inlineStr">
        <is>
          <t>https://www.eltiempo.com/politica/proceso-de-paz/calarca-priorizo-la-guerra-con-mordisco-a-cualquier-posibilidad-de-paz-tropezamos-con-nuestras-propias-ilusiones-camilo-gonzalez-posso-3583506</t>
        </is>
      </c>
    </row>
    <row r="100" ht="15" customHeight="1" s="31">
      <c r="A100" s="38" t="inlineStr">
        <is>
          <t>https://www.eltiempo.com/politica/proceso-de-paz/calarca-priorizo-la-guerra-con-mordisco-a-cualquier-posibilidad-de-paz-tropezamos-con-nuestras-propias-ilusiones-camilo-gonzalez-posso-3583506</t>
        </is>
      </c>
      <c r="B100" s="38" t="inlineStr">
        <is>
          <t>https://www.eltiempo.com/politica/proceso-de-paz/calarca-priorizo-la-guerra-con-mordisco-a-cualquier-posibilidad-de-paz-tropezamos-con-nuestras-propias-ilusiones-camilo-gonzalez-posso-3583506_S11</t>
        </is>
      </c>
      <c r="C100" s="38" t="inlineStr">
        <is>
          <t>El Tiempo</t>
        </is>
      </c>
      <c r="D100" s="38" t="inlineStr">
        <is>
          <t>Seguridad y orden público</t>
        </is>
      </c>
      <c r="E100" s="38" t="inlineStr">
        <is>
          <t>Noticia dura</t>
        </is>
      </c>
      <c r="F100" s="38" t="inlineStr">
        <is>
          <t>2026-09-04T07:42:18-05:00</t>
        </is>
      </c>
      <c r="G100" s="62" t="inlineStr">
        <is>
          <t>Es decir, la relación entre el estado y la sociedad en esas zonas de conflictos tan crónicos.</t>
        </is>
      </c>
      <c r="H100" s="62" t="inlineStr">
        <is>
          <t>Ahora, yo creo que el logro más importante tiene que ver con la relación entre la institucionalidad y las comunidades.</t>
        </is>
      </c>
      <c r="I100" s="62" t="inlineStr">
        <is>
          <t>Ahí lo que se mostró fue un avance extraordinario en la manifestación de las comunidades en rechazar la violencia e ir a hacia una superación de la presencia de violencias armadas.</t>
        </is>
      </c>
      <c r="J100" s="38" t="n"/>
      <c r="K100" s="62" t="n"/>
      <c r="L100" s="38" t="n"/>
      <c r="M100" s="62" t="n"/>
      <c r="N100" s="38" t="n"/>
      <c r="O100" s="62" t="n"/>
      <c r="P100" s="38" t="n"/>
      <c r="Q100" s="62" t="n"/>
      <c r="R100" s="38" t="n"/>
      <c r="S100" s="62" t="n"/>
      <c r="T100" s="38" t="n"/>
      <c r="U100" s="62" t="n"/>
      <c r="V100" s="38" t="n"/>
      <c r="W100" s="62" t="n"/>
      <c r="X100" s="38" t="n"/>
      <c r="Y100" s="62" t="n"/>
      <c r="Z100" s="38" t="n"/>
      <c r="AA100" s="62" t="n"/>
      <c r="AB100" s="38" t="n"/>
      <c r="AC100" s="62" t="n"/>
      <c r="AD100" s="38" t="n"/>
      <c r="AE100" s="38" t="n"/>
      <c r="AF100" s="61">
        <f>IF(COUNTIF($B$5:B100,B100)=1,1,0)</f>
        <v/>
      </c>
      <c r="AG100" s="62" t="inlineStr">
        <is>
          <t>https://www.eltiempo.com/politica/proceso-de-paz/calarca-priorizo-la-guerra-con-mordisco-a-cualquier-posibilidad-de-paz-tropezamos-con-nuestras-propias-ilusiones-camilo-gonzalez-posso-3583506</t>
        </is>
      </c>
    </row>
    <row r="101" ht="15" customHeight="1" s="31">
      <c r="A101" s="38" t="inlineStr">
        <is>
          <t>https://www.eltiempo.com/politica/proceso-de-paz/calarca-priorizo-la-guerra-con-mordisco-a-cualquier-posibilidad-de-paz-tropezamos-con-nuestras-propias-ilusiones-camilo-gonzalez-posso-3583506</t>
        </is>
      </c>
      <c r="B101" s="38" t="inlineStr">
        <is>
          <t>https://www.eltiempo.com/politica/proceso-de-paz/calarca-priorizo-la-guerra-con-mordisco-a-cualquier-posibilidad-de-paz-tropezamos-con-nuestras-propias-ilusiones-camilo-gonzalez-posso-3583506_S12</t>
        </is>
      </c>
      <c r="C101" s="38" t="inlineStr">
        <is>
          <t>El Tiempo</t>
        </is>
      </c>
      <c r="D101" s="38" t="inlineStr">
        <is>
          <t>Seguridad y orden público</t>
        </is>
      </c>
      <c r="E101" s="38" t="inlineStr">
        <is>
          <t>Noticia dura</t>
        </is>
      </c>
      <c r="F101" s="38" t="inlineStr">
        <is>
          <t>2026-09-04T07:42:18-05:00</t>
        </is>
      </c>
      <c r="G101" s="62" t="inlineStr">
        <is>
          <t>Ahí lo que se mostró fue un avance extraordinario en la manifestación de las comunidades en rechazar la violencia e ir a hacia una superación de la presencia de violencias armadas.</t>
        </is>
      </c>
      <c r="H101" s="62" t="inlineStr">
        <is>
          <t>Es decir, la relación entre el estado y la sociedad en esas zonas de conflictos tan crónicos.</t>
        </is>
      </c>
      <c r="I101" s="62" t="n"/>
      <c r="J101" s="38" t="n"/>
      <c r="K101" s="62" t="n"/>
      <c r="L101" s="38" t="n"/>
      <c r="M101" s="62" t="n"/>
      <c r="N101" s="38" t="n"/>
      <c r="O101" s="62" t="n"/>
      <c r="P101" s="38" t="n"/>
      <c r="Q101" s="62" t="n"/>
      <c r="R101" s="38" t="n"/>
      <c r="S101" s="62" t="n"/>
      <c r="T101" s="38" t="n"/>
      <c r="U101" s="62" t="n"/>
      <c r="V101" s="38" t="n"/>
      <c r="W101" s="62" t="n"/>
      <c r="X101" s="38" t="n"/>
      <c r="Y101" s="62" t="n"/>
      <c r="Z101" s="38" t="n"/>
      <c r="AA101" s="62" t="n"/>
      <c r="AB101" s="38" t="n"/>
      <c r="AC101" s="62" t="n"/>
      <c r="AD101" s="38" t="n"/>
      <c r="AE101" s="38" t="n"/>
      <c r="AF101" s="61">
        <f>IF(COUNTIF($B$5:B101,B101)=1,1,0)</f>
        <v/>
      </c>
      <c r="AG101" s="62" t="inlineStr">
        <is>
          <t>https://www.eltiempo.com/politica/proceso-de-paz/calarca-priorizo-la-guerra-con-mordisco-a-cualquier-posibilidad-de-paz-tropezamos-con-nuestras-propias-ilusiones-camilo-gonzalez-posso-3583506</t>
        </is>
      </c>
    </row>
    <row r="102" ht="15" customHeight="1" s="31">
      <c r="A102" s="38" t="inlineStr">
        <is>
          <t>https://www.eltiempo.com/politica/gobierno/embajadores-ante-ee-uu-y-naciones-unidas-se-preparan-para-asumir-los-destinos-clave-para-la-diplomacia-del-presidente-abelardo-de-la-espriella-3583494</t>
        </is>
      </c>
      <c r="B102" s="38" t="inlineStr">
        <is>
          <t>https://www.eltiempo.com/politica/gobierno/embajadores-ante-ee-uu-y-naciones-unidas-se-preparan-para-asumir-los-destinos-clave-para-la-diplomacia-del-presidente-abelardo-de-la-espriella-3583494_S01</t>
        </is>
      </c>
      <c r="C102" s="38" t="inlineStr">
        <is>
          <t>El Tiempo</t>
        </is>
      </c>
      <c r="D102" s="38" t="inlineStr">
        <is>
          <t>Relación con Estados Unidos</t>
        </is>
      </c>
      <c r="E102" s="38" t="inlineStr">
        <is>
          <t>Noticia dura</t>
        </is>
      </c>
      <c r="F102" s="38" t="inlineStr">
        <is>
          <t>2026-09-04T07:46:26-05:00</t>
        </is>
      </c>
      <c r="G102" s="62" t="inlineStr">
        <is>
          <t>Washington y Nueva York serán los dos escenarios que marcarán el ritmo de la política exterior del gobierno de Abelardo De La Espriella.</t>
        </is>
      </c>
      <c r="H102" s="62" t="n"/>
      <c r="I102" s="62" t="inlineStr">
        <is>
          <t>Por eso, los embajadores designados ante Estados Unidos y Naciones Unidas, María Consuelo Araújo y el jurista Mauricio Gaona, sostuvieron reuniones clave en el Palacio de San Carlos y la Casa de Nariño para afinar la hoja de ruta que seguirán al frente de sus misiones diplomáticas.</t>
        </is>
      </c>
      <c r="J102" s="38" t="n"/>
      <c r="K102" s="62" t="n"/>
      <c r="L102" s="38" t="n"/>
      <c r="M102" s="62" t="n"/>
      <c r="N102" s="38" t="n"/>
      <c r="O102" s="62" t="n"/>
      <c r="P102" s="38" t="n"/>
      <c r="Q102" s="62" t="n"/>
      <c r="R102" s="38" t="n"/>
      <c r="S102" s="62" t="n"/>
      <c r="T102" s="38" t="n"/>
      <c r="U102" s="62" t="n"/>
      <c r="V102" s="38" t="n"/>
      <c r="W102" s="62" t="n"/>
      <c r="X102" s="38" t="n"/>
      <c r="Y102" s="62" t="n"/>
      <c r="Z102" s="38" t="n"/>
      <c r="AA102" s="62" t="n"/>
      <c r="AB102" s="38" t="n"/>
      <c r="AC102" s="62" t="n"/>
      <c r="AD102" s="38" t="n"/>
      <c r="AE102" s="38" t="n"/>
      <c r="AF102" s="61">
        <f>IF(COUNTIF($B$5:B102,B102)=1,1,0)</f>
        <v/>
      </c>
      <c r="AG102" s="62" t="inlineStr">
        <is>
          <t>https://www.eltiempo.com/politica/gobierno/embajadores-ante-ee-uu-y-naciones-unidas-se-preparan-para-asumir-los-destinos-clave-para-la-diplomacia-del-presidente-abelardo-de-la-espriella-3583494</t>
        </is>
      </c>
    </row>
    <row r="103" ht="15" customHeight="1" s="31">
      <c r="A103" s="38" t="inlineStr">
        <is>
          <t>https://www.eltiempo.com/politica/gobierno/embajadores-ante-ee-uu-y-naciones-unidas-se-preparan-para-asumir-los-destinos-clave-para-la-diplomacia-del-presidente-abelardo-de-la-espriella-3583494</t>
        </is>
      </c>
      <c r="B103" s="38" t="inlineStr">
        <is>
          <t>https://www.eltiempo.com/politica/gobierno/embajadores-ante-ee-uu-y-naciones-unidas-se-preparan-para-asumir-los-destinos-clave-para-la-diplomacia-del-presidente-abelardo-de-la-espriella-3583494_S02</t>
        </is>
      </c>
      <c r="C103" s="38" t="inlineStr">
        <is>
          <t>El Tiempo</t>
        </is>
      </c>
      <c r="D103" s="38" t="inlineStr">
        <is>
          <t>Relación con Estados Unidos</t>
        </is>
      </c>
      <c r="E103" s="38" t="inlineStr">
        <is>
          <t>Noticia dura</t>
        </is>
      </c>
      <c r="F103" s="38" t="inlineStr">
        <is>
          <t>2026-09-04T07:46:26-05:00</t>
        </is>
      </c>
      <c r="G103" s="62" t="inlineStr">
        <is>
          <t>Por eso, los embajadores designados ante Estados Unidos y Naciones Unidas, María Consuelo Araújo y el jurista Mauricio Gaona, sostuvieron reuniones clave en el Palacio de San Carlos y la Casa de Nariño para afinar la hoja de ruta que seguirán al frente de sus misiones diplomáticas.</t>
        </is>
      </c>
      <c r="H103" s="62" t="inlineStr">
        <is>
          <t>Washington y Nueva York serán los dos escenarios que marcarán el ritmo de la política exterior del gobierno de Abelardo De La Espriella.</t>
        </is>
      </c>
      <c r="I103" s="62" t="inlineStr">
        <is>
          <t>Sobre la mesa están, además, dos eventos que marcarán el inicio de su gestión: la visita del secretario de Estado de Estados Unidos, Marco Rubio, y la Asamblea General de Naciones Unidas, prevista para finales de septiembre.</t>
        </is>
      </c>
      <c r="J103" s="38" t="n"/>
      <c r="K103" s="62" t="n"/>
      <c r="L103" s="38" t="n"/>
      <c r="M103" s="62" t="n"/>
      <c r="N103" s="38" t="n"/>
      <c r="O103" s="62" t="n"/>
      <c r="P103" s="38" t="n"/>
      <c r="Q103" s="62" t="n"/>
      <c r="R103" s="38" t="n"/>
      <c r="S103" s="62" t="n"/>
      <c r="T103" s="38" t="n"/>
      <c r="U103" s="62" t="n"/>
      <c r="V103" s="38" t="n"/>
      <c r="W103" s="62" t="n"/>
      <c r="X103" s="38" t="n"/>
      <c r="Y103" s="62" t="n"/>
      <c r="Z103" s="38" t="n"/>
      <c r="AA103" s="62" t="n"/>
      <c r="AB103" s="38" t="n"/>
      <c r="AC103" s="62" t="n"/>
      <c r="AD103" s="38" t="n"/>
      <c r="AE103" s="38" t="n"/>
      <c r="AF103" s="61">
        <f>IF(COUNTIF($B$5:B103,B103)=1,1,0)</f>
        <v/>
      </c>
      <c r="AG103" s="62" t="inlineStr">
        <is>
          <t>https://www.eltiempo.com/politica/gobierno/embajadores-ante-ee-uu-y-naciones-unidas-se-preparan-para-asumir-los-destinos-clave-para-la-diplomacia-del-presidente-abelardo-de-la-espriella-3583494</t>
        </is>
      </c>
    </row>
    <row r="104" ht="15" customHeight="1" s="31">
      <c r="A104" s="38" t="inlineStr">
        <is>
          <t>https://www.eltiempo.com/politica/gobierno/embajadores-ante-ee-uu-y-naciones-unidas-se-preparan-para-asumir-los-destinos-clave-para-la-diplomacia-del-presidente-abelardo-de-la-espriella-3583494</t>
        </is>
      </c>
      <c r="B104" s="38" t="inlineStr">
        <is>
          <t>https://www.eltiempo.com/politica/gobierno/embajadores-ante-ee-uu-y-naciones-unidas-se-preparan-para-asumir-los-destinos-clave-para-la-diplomacia-del-presidente-abelardo-de-la-espriella-3583494_S03</t>
        </is>
      </c>
      <c r="C104" s="38" t="inlineStr">
        <is>
          <t>El Tiempo</t>
        </is>
      </c>
      <c r="D104" s="38" t="inlineStr">
        <is>
          <t>Relación con Estados Unidos</t>
        </is>
      </c>
      <c r="E104" s="38" t="inlineStr">
        <is>
          <t>Noticia dura</t>
        </is>
      </c>
      <c r="F104" s="38" t="inlineStr">
        <is>
          <t>2026-09-04T07:46:26-05:00</t>
        </is>
      </c>
      <c r="G104" s="62" t="inlineStr">
        <is>
          <t>Sobre la mesa están, además, dos eventos que marcarán el inicio de su gestión: la visita del secretario de Estado de Estados Unidos, Marco Rubio, y la Asamblea General de Naciones Unidas, prevista para finales de septiembre.</t>
        </is>
      </c>
      <c r="H104" s="62" t="inlineStr">
        <is>
          <t>Por eso, los embajadores designados ante Estados Unidos y Naciones Unidas, María Consuelo Araújo y el jurista Mauricio Gaona, sostuvieron reuniones clave en el Palacio de San Carlos y la Casa de Nariño para afinar la hoja de ruta que seguirán al frente de sus misiones diplomáticas.</t>
        </is>
      </c>
      <c r="I104" s="62" t="inlineStr">
        <is>
          <t>El miércoles se llevó a cabo un cónclave en la sede de la Cancillería, al que asistieron los embajadores designados, el canciller Omar Bula Escobar y el vicepresidente José Manuel Restrepo.</t>
        </is>
      </c>
      <c r="J104" s="38" t="n"/>
      <c r="K104" s="62" t="n"/>
      <c r="L104" s="38" t="n"/>
      <c r="M104" s="62" t="n"/>
      <c r="N104" s="38" t="n"/>
      <c r="O104" s="62" t="n"/>
      <c r="P104" s="38" t="n"/>
      <c r="Q104" s="62" t="n"/>
      <c r="R104" s="38" t="n"/>
      <c r="S104" s="62" t="n"/>
      <c r="T104" s="38" t="n"/>
      <c r="U104" s="62" t="n"/>
      <c r="V104" s="38" t="n"/>
      <c r="W104" s="62" t="n"/>
      <c r="X104" s="38" t="n"/>
      <c r="Y104" s="62" t="n"/>
      <c r="Z104" s="38" t="n"/>
      <c r="AA104" s="62" t="n"/>
      <c r="AB104" s="38" t="n"/>
      <c r="AC104" s="62" t="n"/>
      <c r="AD104" s="38" t="n"/>
      <c r="AE104" s="38" t="n"/>
      <c r="AF104" s="61">
        <f>IF(COUNTIF($B$5:B104,B104)=1,1,0)</f>
        <v/>
      </c>
      <c r="AG104" s="62" t="inlineStr">
        <is>
          <t>https://www.eltiempo.com/politica/gobierno/embajadores-ante-ee-uu-y-naciones-unidas-se-preparan-para-asumir-los-destinos-clave-para-la-diplomacia-del-presidente-abelardo-de-la-espriella-3583494</t>
        </is>
      </c>
    </row>
    <row r="105" ht="15" customHeight="1" s="31">
      <c r="A105" s="38" t="inlineStr">
        <is>
          <t>https://www.eltiempo.com/politica/gobierno/embajadores-ante-ee-uu-y-naciones-unidas-se-preparan-para-asumir-los-destinos-clave-para-la-diplomacia-del-presidente-abelardo-de-la-espriella-3583494</t>
        </is>
      </c>
      <c r="B105" s="38" t="inlineStr">
        <is>
          <t>https://www.eltiempo.com/politica/gobierno/embajadores-ante-ee-uu-y-naciones-unidas-se-preparan-para-asumir-los-destinos-clave-para-la-diplomacia-del-presidente-abelardo-de-la-espriella-3583494_S04</t>
        </is>
      </c>
      <c r="C105" s="38" t="inlineStr">
        <is>
          <t>El Tiempo</t>
        </is>
      </c>
      <c r="D105" s="38" t="inlineStr">
        <is>
          <t>Relación con Estados Unidos</t>
        </is>
      </c>
      <c r="E105" s="38" t="inlineStr">
        <is>
          <t>Noticia dura</t>
        </is>
      </c>
      <c r="F105" s="38" t="inlineStr">
        <is>
          <t>2026-09-04T07:46:26-05:00</t>
        </is>
      </c>
      <c r="G105" s="62" t="inlineStr">
        <is>
          <t>El miércoles se llevó a cabo un cónclave en la sede de la Cancillería, al que asistieron los embajadores designados, el canciller Omar Bula Escobar y el vicepresidente José Manuel Restrepo.</t>
        </is>
      </c>
      <c r="H105" s="62" t="inlineStr">
        <is>
          <t>Sobre la mesa están, además, dos eventos que marcarán el inicio de su gestión: la visita del secretario de Estado de Estados Unidos, Marco Rubio, y la Asamblea General de Naciones Unidas, prevista para finales de septiembre.</t>
        </is>
      </c>
      <c r="I105" s="62" t="inlineStr">
        <is>
          <t>Este último tendrá un papel protagónico en los asuntos internacionales, pues una de las apuestas del Ejecutivo es que el presidente De La Espriella priorice la agenda nacional y regional, mientras Restrepo asume la representación del Gobierno en varios eventos en el exterior.</t>
        </is>
      </c>
      <c r="J105" s="38" t="n"/>
      <c r="K105" s="62" t="n"/>
      <c r="L105" s="38" t="n"/>
      <c r="M105" s="62" t="n"/>
      <c r="N105" s="38" t="n"/>
      <c r="O105" s="62" t="n"/>
      <c r="P105" s="38" t="n"/>
      <c r="Q105" s="62" t="n"/>
      <c r="R105" s="38" t="n"/>
      <c r="S105" s="62" t="n"/>
      <c r="T105" s="38" t="n"/>
      <c r="U105" s="62" t="n"/>
      <c r="V105" s="38" t="n"/>
      <c r="W105" s="62" t="n"/>
      <c r="X105" s="38" t="n"/>
      <c r="Y105" s="62" t="n"/>
      <c r="Z105" s="38" t="n"/>
      <c r="AA105" s="62" t="n"/>
      <c r="AB105" s="38" t="n"/>
      <c r="AC105" s="62" t="n"/>
      <c r="AD105" s="38" t="n"/>
      <c r="AE105" s="38" t="n"/>
      <c r="AF105" s="61">
        <f>IF(COUNTIF($B$5:B105,B105)=1,1,0)</f>
        <v/>
      </c>
      <c r="AG105" s="62" t="inlineStr">
        <is>
          <t>https://www.eltiempo.com/politica/gobierno/embajadores-ante-ee-uu-y-naciones-unidas-se-preparan-para-asumir-los-destinos-clave-para-la-diplomacia-del-presidente-abelardo-de-la-espriella-3583494</t>
        </is>
      </c>
    </row>
    <row r="106" ht="15" customHeight="1" s="31">
      <c r="A106" s="38" t="inlineStr">
        <is>
          <t>https://www.eltiempo.com/politica/gobierno/embajadores-ante-ee-uu-y-naciones-unidas-se-preparan-para-asumir-los-destinos-clave-para-la-diplomacia-del-presidente-abelardo-de-la-espriella-3583494</t>
        </is>
      </c>
      <c r="B106" s="38" t="inlineStr">
        <is>
          <t>https://www.eltiempo.com/politica/gobierno/embajadores-ante-ee-uu-y-naciones-unidas-se-preparan-para-asumir-los-destinos-clave-para-la-diplomacia-del-presidente-abelardo-de-la-espriella-3583494_S05</t>
        </is>
      </c>
      <c r="C106" s="38" t="inlineStr">
        <is>
          <t>El Tiempo</t>
        </is>
      </c>
      <c r="D106" s="38" t="inlineStr">
        <is>
          <t>Relación con Estados Unidos</t>
        </is>
      </c>
      <c r="E106" s="38" t="inlineStr">
        <is>
          <t>Noticia dura</t>
        </is>
      </c>
      <c r="F106" s="38" t="inlineStr">
        <is>
          <t>2026-09-04T07:46:26-05:00</t>
        </is>
      </c>
      <c r="G106" s="62" t="inlineStr">
        <is>
          <t>Este último tendrá un papel protagónico en los asuntos internacionales, pues una de las apuestas del Ejecutivo es que el presidente De La Espriella priorice la agenda nacional y regional, mientras Restrepo asume la representación del Gobierno en varios eventos en el exterior.</t>
        </is>
      </c>
      <c r="H106" s="62" t="inlineStr">
        <is>
          <t>El miércoles se llevó a cabo un cónclave en la sede de la Cancillería, al que asistieron los embajadores designados, el canciller Omar Bula Escobar y el vicepresidente José Manuel Restrepo.</t>
        </is>
      </c>
      <c r="I106" s="62" t="inlineStr">
        <is>
          <t>El objetivo de la cita fue afinar la visión internacional que esta administración busca proyectar frente a los grandes debates de la agenda global.</t>
        </is>
      </c>
      <c r="J106" s="38" t="n"/>
      <c r="K106" s="62" t="n"/>
      <c r="L106" s="38" t="n"/>
      <c r="M106" s="62" t="n"/>
      <c r="N106" s="38" t="n"/>
      <c r="O106" s="62" t="n"/>
      <c r="P106" s="38" t="n"/>
      <c r="Q106" s="62" t="n"/>
      <c r="R106" s="38" t="n"/>
      <c r="S106" s="62" t="n"/>
      <c r="T106" s="38" t="n"/>
      <c r="U106" s="62" t="n"/>
      <c r="V106" s="38" t="n"/>
      <c r="W106" s="62" t="n"/>
      <c r="X106" s="38" t="n"/>
      <c r="Y106" s="62" t="n"/>
      <c r="Z106" s="38" t="n"/>
      <c r="AA106" s="62" t="n"/>
      <c r="AB106" s="38" t="n"/>
      <c r="AC106" s="62" t="n"/>
      <c r="AD106" s="38" t="n"/>
      <c r="AE106" s="38" t="n"/>
      <c r="AF106" s="61">
        <f>IF(COUNTIF($B$5:B106,B106)=1,1,0)</f>
        <v/>
      </c>
      <c r="AG106" s="62" t="inlineStr">
        <is>
          <t>https://www.eltiempo.com/politica/gobierno/embajadores-ante-ee-uu-y-naciones-unidas-se-preparan-para-asumir-los-destinos-clave-para-la-diplomacia-del-presidente-abelardo-de-la-espriella-3583494</t>
        </is>
      </c>
    </row>
    <row r="107" ht="15" customHeight="1" s="31">
      <c r="A107" s="38" t="inlineStr">
        <is>
          <t>https://www.eltiempo.com/politica/gobierno/embajadores-ante-ee-uu-y-naciones-unidas-se-preparan-para-asumir-los-destinos-clave-para-la-diplomacia-del-presidente-abelardo-de-la-espriella-3583494</t>
        </is>
      </c>
      <c r="B107" s="38" t="inlineStr">
        <is>
          <t>https://www.eltiempo.com/politica/gobierno/embajadores-ante-ee-uu-y-naciones-unidas-se-preparan-para-asumir-los-destinos-clave-para-la-diplomacia-del-presidente-abelardo-de-la-espriella-3583494_S06</t>
        </is>
      </c>
      <c r="C107" s="38" t="inlineStr">
        <is>
          <t>El Tiempo</t>
        </is>
      </c>
      <c r="D107" s="38" t="inlineStr">
        <is>
          <t>Relación con Estados Unidos</t>
        </is>
      </c>
      <c r="E107" s="38" t="inlineStr">
        <is>
          <t>Noticia dura</t>
        </is>
      </c>
      <c r="F107" s="38" t="inlineStr">
        <is>
          <t>2026-09-04T07:46:26-05:00</t>
        </is>
      </c>
      <c r="G107" s="62" t="inlineStr">
        <is>
          <t>El objetivo de la cita fue afinar la visión internacional que esta administración busca proyectar frente a los grandes debates de la agenda global.</t>
        </is>
      </c>
      <c r="H107" s="62" t="inlineStr">
        <is>
          <t>Este último tendrá un papel protagónico en los asuntos internacionales, pues una de las apuestas del Ejecutivo es que el presidente De La Espriella priorice la agenda nacional y regional, mientras Restrepo asume la representación del Gobierno en varios eventos en el exterior.</t>
        </is>
      </c>
      <c r="I107" s="62" t="inlineStr">
        <is>
          <t>“Preparamos la participación del país en uno de los escenarios más importantes de la diplomacia internacional”, dijo Restrepo.</t>
        </is>
      </c>
      <c r="J107" s="38" t="n"/>
      <c r="K107" s="62" t="n"/>
      <c r="L107" s="38" t="n"/>
      <c r="M107" s="62" t="n"/>
      <c r="N107" s="38" t="n"/>
      <c r="O107" s="62" t="n"/>
      <c r="P107" s="38" t="n"/>
      <c r="Q107" s="62" t="n"/>
      <c r="R107" s="38" t="n"/>
      <c r="S107" s="62" t="n"/>
      <c r="T107" s="38" t="n"/>
      <c r="U107" s="62" t="n"/>
      <c r="V107" s="38" t="n"/>
      <c r="W107" s="62" t="n"/>
      <c r="X107" s="38" t="n"/>
      <c r="Y107" s="62" t="n"/>
      <c r="Z107" s="38" t="n"/>
      <c r="AA107" s="62" t="n"/>
      <c r="AB107" s="38" t="n"/>
      <c r="AC107" s="62" t="n"/>
      <c r="AD107" s="38" t="n"/>
      <c r="AE107" s="38" t="n"/>
      <c r="AF107" s="61">
        <f>IF(COUNTIF($B$5:B107,B107)=1,1,0)</f>
        <v/>
      </c>
      <c r="AG107" s="62" t="inlineStr">
        <is>
          <t>https://www.eltiempo.com/politica/gobierno/embajadores-ante-ee-uu-y-naciones-unidas-se-preparan-para-asumir-los-destinos-clave-para-la-diplomacia-del-presidente-abelardo-de-la-espriella-3583494</t>
        </is>
      </c>
    </row>
    <row r="108" ht="15" customHeight="1" s="31">
      <c r="A108" s="38" t="inlineStr">
        <is>
          <t>https://www.eltiempo.com/politica/gobierno/embajadores-ante-ee-uu-y-naciones-unidas-se-preparan-para-asumir-los-destinos-clave-para-la-diplomacia-del-presidente-abelardo-de-la-espriella-3583494</t>
        </is>
      </c>
      <c r="B108" s="38" t="inlineStr">
        <is>
          <t>https://www.eltiempo.com/politica/gobierno/embajadores-ante-ee-uu-y-naciones-unidas-se-preparan-para-asumir-los-destinos-clave-para-la-diplomacia-del-presidente-abelardo-de-la-espriella-3583494_S07</t>
        </is>
      </c>
      <c r="C108" s="38" t="inlineStr">
        <is>
          <t>El Tiempo</t>
        </is>
      </c>
      <c r="D108" s="38" t="inlineStr">
        <is>
          <t>Relación con Estados Unidos</t>
        </is>
      </c>
      <c r="E108" s="38" t="inlineStr">
        <is>
          <t>Noticia dura</t>
        </is>
      </c>
      <c r="F108" s="38" t="inlineStr">
        <is>
          <t>2026-09-04T07:46:26-05:00</t>
        </is>
      </c>
      <c r="G108" s="62" t="inlineStr">
        <is>
          <t>“Preparamos la participación del país en uno de los escenarios más importantes de la diplomacia internacional”, dijo Restrepo.</t>
        </is>
      </c>
      <c r="H108" s="62" t="inlineStr">
        <is>
          <t>El objetivo de la cita fue afinar la visión internacional que esta administración busca proyectar frente a los grandes debates de la agenda global.</t>
        </is>
      </c>
      <c r="I108" s="62" t="inlineStr">
        <is>
          <t>Gaona representará a Colombia ante el Consejo de Seguridad de Naciones Unidas, donde al país le queda un año como miembro no permanente.</t>
        </is>
      </c>
      <c r="J108" s="38" t="n"/>
      <c r="K108" s="62" t="n"/>
      <c r="L108" s="38" t="n"/>
      <c r="M108" s="62" t="n"/>
      <c r="N108" s="38" t="n"/>
      <c r="O108" s="62" t="n"/>
      <c r="P108" s="38" t="n"/>
      <c r="Q108" s="62" t="n"/>
      <c r="R108" s="38" t="n"/>
      <c r="S108" s="62" t="n"/>
      <c r="T108" s="38" t="n"/>
      <c r="U108" s="62" t="n"/>
      <c r="V108" s="38" t="n"/>
      <c r="W108" s="62" t="n"/>
      <c r="X108" s="38" t="n"/>
      <c r="Y108" s="62" t="n"/>
      <c r="Z108" s="38" t="n"/>
      <c r="AA108" s="62" t="n"/>
      <c r="AB108" s="38" t="n"/>
      <c r="AC108" s="62" t="n"/>
      <c r="AD108" s="38" t="n"/>
      <c r="AE108" s="38" t="n"/>
      <c r="AF108" s="61">
        <f>IF(COUNTIF($B$5:B108,B108)=1,1,0)</f>
        <v/>
      </c>
      <c r="AG108" s="62" t="inlineStr">
        <is>
          <t>https://www.eltiempo.com/politica/gobierno/embajadores-ante-ee-uu-y-naciones-unidas-se-preparan-para-asumir-los-destinos-clave-para-la-diplomacia-del-presidente-abelardo-de-la-espriella-3583494</t>
        </is>
      </c>
    </row>
    <row r="109" ht="15" customHeight="1" s="31">
      <c r="A109" s="38" t="inlineStr">
        <is>
          <t>https://www.eltiempo.com/politica/gobierno/embajadores-ante-ee-uu-y-naciones-unidas-se-preparan-para-asumir-los-destinos-clave-para-la-diplomacia-del-presidente-abelardo-de-la-espriella-3583494</t>
        </is>
      </c>
      <c r="B109" s="38" t="inlineStr">
        <is>
          <t>https://www.eltiempo.com/politica/gobierno/embajadores-ante-ee-uu-y-naciones-unidas-se-preparan-para-asumir-los-destinos-clave-para-la-diplomacia-del-presidente-abelardo-de-la-espriella-3583494_S08</t>
        </is>
      </c>
      <c r="C109" s="38" t="inlineStr">
        <is>
          <t>El Tiempo</t>
        </is>
      </c>
      <c r="D109" s="38" t="inlineStr">
        <is>
          <t>Relación con Estados Unidos</t>
        </is>
      </c>
      <c r="E109" s="38" t="inlineStr">
        <is>
          <t>Noticia dura</t>
        </is>
      </c>
      <c r="F109" s="38" t="inlineStr">
        <is>
          <t>2026-09-04T07:46:26-05:00</t>
        </is>
      </c>
      <c r="G109" s="62" t="inlineStr">
        <is>
          <t>Gaona representará a Colombia ante el Consejo de Seguridad de Naciones Unidas, donde al país le queda un año como miembro no permanente.</t>
        </is>
      </c>
      <c r="H109" s="62" t="inlineStr">
        <is>
          <t>“Preparamos la participación del país en uno de los escenarios más importantes de la diplomacia internacional”, dijo Restrepo.</t>
        </is>
      </c>
      <c r="I109" s="62" t="inlineStr">
        <is>
          <t>A esto se suma el 81.º período de sesiones de la Asamblea General de Naciones Unidas, que reunirá nuevamente a líderes mundiales entre el 18 y el 28 de septiembre.</t>
        </is>
      </c>
      <c r="J109" s="38" t="n"/>
      <c r="K109" s="62" t="n"/>
      <c r="L109" s="38" t="n"/>
      <c r="M109" s="62" t="n"/>
      <c r="N109" s="38" t="n"/>
      <c r="O109" s="62" t="n"/>
      <c r="P109" s="38" t="n"/>
      <c r="Q109" s="62" t="n"/>
      <c r="R109" s="38" t="n"/>
      <c r="S109" s="62" t="n"/>
      <c r="T109" s="38" t="n"/>
      <c r="U109" s="62" t="n"/>
      <c r="V109" s="38" t="n"/>
      <c r="W109" s="62" t="n"/>
      <c r="X109" s="38" t="n"/>
      <c r="Y109" s="62" t="n"/>
      <c r="Z109" s="38" t="n"/>
      <c r="AA109" s="62" t="n"/>
      <c r="AB109" s="38" t="n"/>
      <c r="AC109" s="62" t="n"/>
      <c r="AD109" s="38" t="n"/>
      <c r="AE109" s="38" t="n"/>
      <c r="AF109" s="61">
        <f>IF(COUNTIF($B$5:B109,B109)=1,1,0)</f>
        <v/>
      </c>
      <c r="AG109" s="62" t="inlineStr">
        <is>
          <t>https://www.eltiempo.com/politica/gobierno/embajadores-ante-ee-uu-y-naciones-unidas-se-preparan-para-asumir-los-destinos-clave-para-la-diplomacia-del-presidente-abelardo-de-la-espriella-3583494</t>
        </is>
      </c>
    </row>
    <row r="110" ht="15" customHeight="1" s="31">
      <c r="A110" s="38" t="inlineStr">
        <is>
          <t>https://www.eltiempo.com/politica/gobierno/embajadores-ante-ee-uu-y-naciones-unidas-se-preparan-para-asumir-los-destinos-clave-para-la-diplomacia-del-presidente-abelardo-de-la-espriella-3583494</t>
        </is>
      </c>
      <c r="B110" s="38" t="inlineStr">
        <is>
          <t>https://www.eltiempo.com/politica/gobierno/embajadores-ante-ee-uu-y-naciones-unidas-se-preparan-para-asumir-los-destinos-clave-para-la-diplomacia-del-presidente-abelardo-de-la-espriella-3583494_S09</t>
        </is>
      </c>
      <c r="C110" s="38" t="inlineStr">
        <is>
          <t>El Tiempo</t>
        </is>
      </c>
      <c r="D110" s="38" t="inlineStr">
        <is>
          <t>Relación con Estados Unidos</t>
        </is>
      </c>
      <c r="E110" s="38" t="inlineStr">
        <is>
          <t>Noticia dura</t>
        </is>
      </c>
      <c r="F110" s="38" t="inlineStr">
        <is>
          <t>2026-09-04T07:46:26-05:00</t>
        </is>
      </c>
      <c r="G110" s="62" t="inlineStr">
        <is>
          <t>A esto se suma el 81.º período de sesiones de la Asamblea General de Naciones Unidas, que reunirá nuevamente a líderes mundiales entre el 18 y el 28 de septiembre.</t>
        </is>
      </c>
      <c r="H110" s="62" t="inlineStr">
        <is>
          <t>Gaona representará a Colombia ante el Consejo de Seguridad de Naciones Unidas, donde al país le queda un año como miembro no permanente.</t>
        </is>
      </c>
      <c r="I110" s="62" t="inlineStr">
        <is>
          <t>Ambos escenarios serán relevantes para conocer el papel que el nuevo Gobierno busca darle al multilateralismo, particularmente después de que durante la campaña el presidente De La Espriella planteara un eventual distanciamiento de Colombia.</t>
        </is>
      </c>
      <c r="J110" s="38" t="n"/>
      <c r="K110" s="62" t="n"/>
      <c r="L110" s="38" t="n"/>
      <c r="M110" s="62" t="n"/>
      <c r="N110" s="38" t="n"/>
      <c r="O110" s="62" t="n"/>
      <c r="P110" s="38" t="n"/>
      <c r="Q110" s="62" t="n"/>
      <c r="R110" s="38" t="n"/>
      <c r="S110" s="62" t="n"/>
      <c r="T110" s="38" t="n"/>
      <c r="U110" s="62" t="n"/>
      <c r="V110" s="38" t="n"/>
      <c r="W110" s="62" t="n"/>
      <c r="X110" s="38" t="n"/>
      <c r="Y110" s="62" t="n"/>
      <c r="Z110" s="38" t="n"/>
      <c r="AA110" s="62" t="n"/>
      <c r="AB110" s="38" t="n"/>
      <c r="AC110" s="62" t="n"/>
      <c r="AD110" s="38" t="n"/>
      <c r="AE110" s="38" t="n"/>
      <c r="AF110" s="61">
        <f>IF(COUNTIF($B$5:B110,B110)=1,1,0)</f>
        <v/>
      </c>
      <c r="AG110" s="62" t="inlineStr">
        <is>
          <t>https://www.eltiempo.com/politica/gobierno/embajadores-ante-ee-uu-y-naciones-unidas-se-preparan-para-asumir-los-destinos-clave-para-la-diplomacia-del-presidente-abelardo-de-la-espriella-3583494</t>
        </is>
      </c>
    </row>
    <row r="111" ht="15" customHeight="1" s="31">
      <c r="A111" s="38" t="inlineStr">
        <is>
          <t>https://www.eltiempo.com/politica/gobierno/embajadores-ante-ee-uu-y-naciones-unidas-se-preparan-para-asumir-los-destinos-clave-para-la-diplomacia-del-presidente-abelardo-de-la-espriella-3583494</t>
        </is>
      </c>
      <c r="B111" s="38" t="inlineStr">
        <is>
          <t>https://www.eltiempo.com/politica/gobierno/embajadores-ante-ee-uu-y-naciones-unidas-se-preparan-para-asumir-los-destinos-clave-para-la-diplomacia-del-presidente-abelardo-de-la-espriella-3583494_S10</t>
        </is>
      </c>
      <c r="C111" s="38" t="inlineStr">
        <is>
          <t>El Tiempo</t>
        </is>
      </c>
      <c r="D111" s="38" t="inlineStr">
        <is>
          <t>Relación con Estados Unidos</t>
        </is>
      </c>
      <c r="E111" s="38" t="inlineStr">
        <is>
          <t>Noticia dura</t>
        </is>
      </c>
      <c r="F111" s="38" t="inlineStr">
        <is>
          <t>2026-09-04T07:46:26-05:00</t>
        </is>
      </c>
      <c r="G111" s="62" t="inlineStr">
        <is>
          <t>Ambos escenarios serán relevantes para conocer el papel que el nuevo Gobierno busca darle al multilateralismo, particularmente después de que durante la campaña el presidente De La Espriella planteara un eventual distanciamiento de Colombia.</t>
        </is>
      </c>
      <c r="H111" s="62" t="inlineStr">
        <is>
          <t>A esto se suma el 81.º período de sesiones de la Asamblea General de Naciones Unidas, que reunirá nuevamente a líderes mundiales entre el 18 y el 28 de septiembre.</t>
        </is>
      </c>
      <c r="I111" s="62" t="inlineStr">
        <is>
          <t>"Va a ser una agenda muy movida, muy dinámica.</t>
        </is>
      </c>
      <c r="J111" s="38" t="n"/>
      <c r="K111" s="62" t="n"/>
      <c r="L111" s="38" t="n"/>
      <c r="M111" s="62" t="n"/>
      <c r="N111" s="38" t="n"/>
      <c r="O111" s="62" t="n"/>
      <c r="P111" s="38" t="n"/>
      <c r="Q111" s="62" t="n"/>
      <c r="R111" s="38" t="n"/>
      <c r="S111" s="62" t="n"/>
      <c r="T111" s="38" t="n"/>
      <c r="U111" s="62" t="n"/>
      <c r="V111" s="38" t="n"/>
      <c r="W111" s="62" t="n"/>
      <c r="X111" s="38" t="n"/>
      <c r="Y111" s="62" t="n"/>
      <c r="Z111" s="38" t="n"/>
      <c r="AA111" s="62" t="n"/>
      <c r="AB111" s="38" t="n"/>
      <c r="AC111" s="62" t="n"/>
      <c r="AD111" s="38" t="n"/>
      <c r="AE111" s="38" t="n"/>
      <c r="AF111" s="61">
        <f>IF(COUNTIF($B$5:B111,B111)=1,1,0)</f>
        <v/>
      </c>
      <c r="AG111" s="62" t="inlineStr">
        <is>
          <t>https://www.eltiempo.com/politica/gobierno/embajadores-ante-ee-uu-y-naciones-unidas-se-preparan-para-asumir-los-destinos-clave-para-la-diplomacia-del-presidente-abelardo-de-la-espriella-3583494</t>
        </is>
      </c>
    </row>
    <row r="112" ht="15" customHeight="1" s="31">
      <c r="A112" s="38" t="inlineStr">
        <is>
          <t>https://www.eltiempo.com/politica/gobierno/embajadores-ante-ee-uu-y-naciones-unidas-se-preparan-para-asumir-los-destinos-clave-para-la-diplomacia-del-presidente-abelardo-de-la-espriella-3583494</t>
        </is>
      </c>
      <c r="B112" s="38" t="inlineStr">
        <is>
          <t>https://www.eltiempo.com/politica/gobierno/embajadores-ante-ee-uu-y-naciones-unidas-se-preparan-para-asumir-los-destinos-clave-para-la-diplomacia-del-presidente-abelardo-de-la-espriella-3583494_S11</t>
        </is>
      </c>
      <c r="C112" s="38" t="inlineStr">
        <is>
          <t>El Tiempo</t>
        </is>
      </c>
      <c r="D112" s="38" t="inlineStr">
        <is>
          <t>Relación con Estados Unidos</t>
        </is>
      </c>
      <c r="E112" s="38" t="inlineStr">
        <is>
          <t>Noticia dura</t>
        </is>
      </c>
      <c r="F112" s="38" t="inlineStr">
        <is>
          <t>2026-09-04T07:46:26-05:00</t>
        </is>
      </c>
      <c r="G112" s="62" t="inlineStr">
        <is>
          <t>"Va a ser una agenda muy movida, muy dinámica.</t>
        </is>
      </c>
      <c r="H112" s="62" t="inlineStr">
        <is>
          <t>Ambos escenarios serán relevantes para conocer el papel que el nuevo Gobierno busca darle al multilateralismo, particularmente después de que durante la campaña el presidente De La Espriella planteara un eventual distanciamiento de Colombia.</t>
        </is>
      </c>
      <c r="I112" s="62" t="inlineStr">
        <is>
          <t>Esperamos contar con la participación naturalmente del gobierno y del vicepresidente", expresó el embajador Gaona, quien fue posesionado ese mismo día.</t>
        </is>
      </c>
      <c r="J112" s="38" t="n"/>
      <c r="K112" s="62" t="n"/>
      <c r="L112" s="38" t="n"/>
      <c r="M112" s="62" t="n"/>
      <c r="N112" s="38" t="n"/>
      <c r="O112" s="62" t="n"/>
      <c r="P112" s="38" t="n"/>
      <c r="Q112" s="62" t="n"/>
      <c r="R112" s="38" t="n"/>
      <c r="S112" s="62" t="n"/>
      <c r="T112" s="38" t="n"/>
      <c r="U112" s="62" t="n"/>
      <c r="V112" s="38" t="n"/>
      <c r="W112" s="62" t="n"/>
      <c r="X112" s="38" t="n"/>
      <c r="Y112" s="62" t="n"/>
      <c r="Z112" s="38" t="n"/>
      <c r="AA112" s="62" t="n"/>
      <c r="AB112" s="38" t="n"/>
      <c r="AC112" s="62" t="n"/>
      <c r="AD112" s="38" t="n"/>
      <c r="AE112" s="38" t="n"/>
      <c r="AF112" s="61">
        <f>IF(COUNTIF($B$5:B112,B112)=1,1,0)</f>
        <v/>
      </c>
      <c r="AG112" s="62" t="inlineStr">
        <is>
          <t>https://www.eltiempo.com/politica/gobierno/embajadores-ante-ee-uu-y-naciones-unidas-se-preparan-para-asumir-los-destinos-clave-para-la-diplomacia-del-presidente-abelardo-de-la-espriella-3583494</t>
        </is>
      </c>
    </row>
    <row r="113" ht="15" customHeight="1" s="31">
      <c r="A113" s="38" t="inlineStr">
        <is>
          <t>https://www.eltiempo.com/politica/gobierno/embajadores-ante-ee-uu-y-naciones-unidas-se-preparan-para-asumir-los-destinos-clave-para-la-diplomacia-del-presidente-abelardo-de-la-espriella-3583494</t>
        </is>
      </c>
      <c r="B113" s="38" t="inlineStr">
        <is>
          <t>https://www.eltiempo.com/politica/gobierno/embajadores-ante-ee-uu-y-naciones-unidas-se-preparan-para-asumir-los-destinos-clave-para-la-diplomacia-del-presidente-abelardo-de-la-espriella-3583494_S12</t>
        </is>
      </c>
      <c r="C113" s="38" t="inlineStr">
        <is>
          <t>El Tiempo</t>
        </is>
      </c>
      <c r="D113" s="38" t="inlineStr">
        <is>
          <t>Relación con Estados Unidos</t>
        </is>
      </c>
      <c r="E113" s="38" t="inlineStr">
        <is>
          <t>Noticia dura</t>
        </is>
      </c>
      <c r="F113" s="38" t="inlineStr">
        <is>
          <t>2026-09-04T07:46:26-05:00</t>
        </is>
      </c>
      <c r="G113" s="62" t="inlineStr">
        <is>
          <t>Esperamos contar con la participación naturalmente del gobierno y del vicepresidente", expresó el embajador Gaona, quien fue posesionado ese mismo día.</t>
        </is>
      </c>
      <c r="H113" s="62" t="inlineStr">
        <is>
          <t>"Va a ser una agenda muy movida, muy dinámica.</t>
        </is>
      </c>
      <c r="I113" s="62" t="n"/>
      <c r="J113" s="38" t="n"/>
      <c r="K113" s="62" t="n"/>
      <c r="L113" s="38" t="n"/>
      <c r="M113" s="62" t="n"/>
      <c r="N113" s="38" t="n"/>
      <c r="O113" s="62" t="n"/>
      <c r="P113" s="38" t="n"/>
      <c r="Q113" s="62" t="n"/>
      <c r="R113" s="38" t="n"/>
      <c r="S113" s="62" t="n"/>
      <c r="T113" s="38" t="n"/>
      <c r="U113" s="62" t="n"/>
      <c r="V113" s="38" t="n"/>
      <c r="W113" s="62" t="n"/>
      <c r="X113" s="38" t="n"/>
      <c r="Y113" s="62" t="n"/>
      <c r="Z113" s="38" t="n"/>
      <c r="AA113" s="62" t="n"/>
      <c r="AB113" s="38" t="n"/>
      <c r="AC113" s="62" t="n"/>
      <c r="AD113" s="38" t="n"/>
      <c r="AE113" s="38" t="n"/>
      <c r="AF113" s="61">
        <f>IF(COUNTIF($B$5:B113,B113)=1,1,0)</f>
        <v/>
      </c>
      <c r="AG113" s="62" t="inlineStr">
        <is>
          <t>https://www.eltiempo.com/politica/gobierno/embajadores-ante-ee-uu-y-naciones-unidas-se-preparan-para-asumir-los-destinos-clave-para-la-diplomacia-del-presidente-abelardo-de-la-espriella-3583494</t>
        </is>
      </c>
    </row>
    <row r="114" ht="15" customHeight="1" s="31">
      <c r="A114" s="38" t="inlineStr">
        <is>
          <t>https://www.elespectador.com/opinion/columnistas/columnista-invitado/la-tierra-no-clama-venganza-juan-diego-soler/</t>
        </is>
      </c>
      <c r="B114" s="38" t="inlineStr">
        <is>
          <t>https://www.elespectador.com/opinion/columnistas/columnista-invitado/la-tierra-no-clama-venganza-juan-diego-soler/_S01</t>
        </is>
      </c>
      <c r="C114" s="38" t="inlineStr">
        <is>
          <t>El Espectador</t>
        </is>
      </c>
      <c r="D114" s="38" t="inlineStr">
        <is>
          <t>Respuesta a la emergencia del terremoto</t>
        </is>
      </c>
      <c r="E114" s="38" t="inlineStr">
        <is>
          <t>Opinión-análisis</t>
        </is>
      </c>
      <c r="F114" s="38" t="inlineStr">
        <is>
          <t>Fri, 04 Sep 2026 14:39:29 +0000</t>
        </is>
      </c>
      <c r="G114" s="62" t="inlineStr">
        <is>
          <t>En la madrugada del 27 de agosto, la oficina del primer ministro de Nepal, Balendra Shah, confirmó que el número de fallecidos ya superaba el centenar.</t>
        </is>
      </c>
      <c r="H114" s="62" t="n"/>
      <c r="I114" s="62" t="inlineStr">
        <is>
          <t>Hoy llegan a más de mil.</t>
        </is>
      </c>
      <c r="J114" s="38" t="n"/>
      <c r="K114" s="62" t="n"/>
      <c r="L114" s="38" t="n"/>
      <c r="M114" s="62" t="n"/>
      <c r="N114" s="38" t="n"/>
      <c r="O114" s="62" t="n"/>
      <c r="P114" s="38" t="n"/>
      <c r="Q114" s="62" t="n"/>
      <c r="R114" s="38" t="n"/>
      <c r="S114" s="62" t="n"/>
      <c r="T114" s="38" t="n"/>
      <c r="U114" s="62" t="n"/>
      <c r="V114" s="38" t="n"/>
      <c r="W114" s="62" t="n"/>
      <c r="X114" s="38" t="n"/>
      <c r="Y114" s="62" t="n"/>
      <c r="Z114" s="38" t="n"/>
      <c r="AA114" s="62" t="n"/>
      <c r="AB114" s="38" t="n"/>
      <c r="AC114" s="62" t="n"/>
      <c r="AD114" s="38" t="n"/>
      <c r="AE114" s="38" t="n"/>
      <c r="AF114" s="61">
        <f>IF(COUNTIF($B$5:B114,B114)=1,1,0)</f>
        <v/>
      </c>
      <c r="AG114" s="62" t="inlineStr">
        <is>
          <t>https://www.elespectador.com/opinion/columnistas/columnista-invitado/la-tierra-no-clama-venganza-juan-diego-soler/</t>
        </is>
      </c>
    </row>
    <row r="115" ht="15" customHeight="1" s="31">
      <c r="A115" s="38" t="inlineStr">
        <is>
          <t>https://www.elespectador.com/opinion/columnistas/columnista-invitado/la-tierra-no-clama-venganza-juan-diego-soler/</t>
        </is>
      </c>
      <c r="B115" s="38" t="inlineStr">
        <is>
          <t>https://www.elespectador.com/opinion/columnistas/columnista-invitado/la-tierra-no-clama-venganza-juan-diego-soler/_S02</t>
        </is>
      </c>
      <c r="C115" s="38" t="inlineStr">
        <is>
          <t>El Espectador</t>
        </is>
      </c>
      <c r="D115" s="38" t="inlineStr">
        <is>
          <t>Respuesta a la emergencia del terremoto</t>
        </is>
      </c>
      <c r="E115" s="38" t="inlineStr">
        <is>
          <t>Opinión-análisis</t>
        </is>
      </c>
      <c r="F115" s="38" t="inlineStr">
        <is>
          <t>Fri, 04 Sep 2026 14:39:29 +0000</t>
        </is>
      </c>
      <c r="G115" s="62" t="inlineStr">
        <is>
          <t>Hoy llegan a más de mil.</t>
        </is>
      </c>
      <c r="H115" s="62" t="inlineStr">
        <is>
          <t>En la madrugada del 27 de agosto, la oficina del primer ministro de Nepal, Balendra Shah, confirmó que el número de fallecidos ya superaba el centenar.</t>
        </is>
      </c>
      <c r="I115" s="62" t="inlineStr">
        <is>
          <t>Son terroríficas las escenas de inundaciones repentinas y deslizamientos de tierra en los distritos nepalíes de Rasuwa y Nuwakot, así como en el condado chino de Gyirong.</t>
        </is>
      </c>
      <c r="J115" s="38" t="n"/>
      <c r="K115" s="62" t="n"/>
      <c r="L115" s="38" t="n"/>
      <c r="M115" s="62" t="n"/>
      <c r="N115" s="38" t="n"/>
      <c r="O115" s="62" t="n"/>
      <c r="P115" s="38" t="n"/>
      <c r="Q115" s="62" t="n"/>
      <c r="R115" s="38" t="n"/>
      <c r="S115" s="62" t="n"/>
      <c r="T115" s="38" t="n"/>
      <c r="U115" s="62" t="n"/>
      <c r="V115" s="38" t="n"/>
      <c r="W115" s="62" t="n"/>
      <c r="X115" s="38" t="n"/>
      <c r="Y115" s="62" t="n"/>
      <c r="Z115" s="38" t="n"/>
      <c r="AA115" s="62" t="n"/>
      <c r="AB115" s="38" t="n"/>
      <c r="AC115" s="62" t="n"/>
      <c r="AD115" s="38" t="n"/>
      <c r="AE115" s="38" t="n"/>
      <c r="AF115" s="61">
        <f>IF(COUNTIF($B$5:B115,B115)=1,1,0)</f>
        <v/>
      </c>
      <c r="AG115" s="62" t="inlineStr">
        <is>
          <t>https://www.elespectador.com/opinion/columnistas/columnista-invitado/la-tierra-no-clama-venganza-juan-diego-soler/</t>
        </is>
      </c>
    </row>
    <row r="116" ht="15" customHeight="1" s="31">
      <c r="A116" s="38" t="inlineStr">
        <is>
          <t>https://www.elespectador.com/opinion/columnistas/columnista-invitado/la-tierra-no-clama-venganza-juan-diego-soler/</t>
        </is>
      </c>
      <c r="B116" s="38" t="inlineStr">
        <is>
          <t>https://www.elespectador.com/opinion/columnistas/columnista-invitado/la-tierra-no-clama-venganza-juan-diego-soler/_S03</t>
        </is>
      </c>
      <c r="C116" s="38" t="inlineStr">
        <is>
          <t>El Espectador</t>
        </is>
      </c>
      <c r="D116" s="38" t="inlineStr">
        <is>
          <t>Respuesta a la emergencia del terremoto</t>
        </is>
      </c>
      <c r="E116" s="38" t="inlineStr">
        <is>
          <t>Opinión-análisis</t>
        </is>
      </c>
      <c r="F116" s="38" t="inlineStr">
        <is>
          <t>Fri, 04 Sep 2026 14:39:29 +0000</t>
        </is>
      </c>
      <c r="G116" s="62" t="inlineStr">
        <is>
          <t>Son terroríficas las escenas de inundaciones repentinas y deslizamientos de tierra en los distritos nepalíes de Rasuwa y Nuwakot, así como en el condado chino de Gyirong.</t>
        </is>
      </c>
      <c r="H116" s="62" t="inlineStr">
        <is>
          <t>Hoy llegan a más de mil.</t>
        </is>
      </c>
      <c r="I116" s="62" t="inlineStr">
        <is>
          <t>Impresionado por una secuencia del muro de agua que arrasa todo a su paso en medio de un valle tranquilo y bajo un cielo despejado, la reproduje en la red social que antes se llamaba Twitter, junto al mensaje: “La Tierra no está gritando, simplemente es indiferente a nuestra existencia”, la última línea de mi más reciente columna.</t>
        </is>
      </c>
      <c r="J116" s="38" t="n"/>
      <c r="K116" s="62" t="n"/>
      <c r="L116" s="38" t="n"/>
      <c r="M116" s="62" t="n"/>
      <c r="N116" s="38" t="n"/>
      <c r="O116" s="62" t="n"/>
      <c r="P116" s="38" t="n"/>
      <c r="Q116" s="62" t="n"/>
      <c r="R116" s="38" t="n"/>
      <c r="S116" s="62" t="n"/>
      <c r="T116" s="38" t="n"/>
      <c r="U116" s="62" t="n"/>
      <c r="V116" s="38" t="n"/>
      <c r="W116" s="62" t="n"/>
      <c r="X116" s="38" t="n"/>
      <c r="Y116" s="62" t="n"/>
      <c r="Z116" s="38" t="n"/>
      <c r="AA116" s="62" t="n"/>
      <c r="AB116" s="38" t="n"/>
      <c r="AC116" s="62" t="n"/>
      <c r="AD116" s="38" t="n"/>
      <c r="AE116" s="38" t="n"/>
      <c r="AF116" s="61">
        <f>IF(COUNTIF($B$5:B116,B116)=1,1,0)</f>
        <v/>
      </c>
      <c r="AG116" s="62" t="inlineStr">
        <is>
          <t>https://www.elespectador.com/opinion/columnistas/columnista-invitado/la-tierra-no-clama-venganza-juan-diego-soler/</t>
        </is>
      </c>
    </row>
    <row r="117" ht="15" customHeight="1" s="31">
      <c r="A117" s="38" t="inlineStr">
        <is>
          <t>https://www.elespectador.com/opinion/columnistas/columnista-invitado/la-tierra-no-clama-venganza-juan-diego-soler/</t>
        </is>
      </c>
      <c r="B117" s="38" t="inlineStr">
        <is>
          <t>https://www.elespectador.com/opinion/columnistas/columnista-invitado/la-tierra-no-clama-venganza-juan-diego-soler/_S04</t>
        </is>
      </c>
      <c r="C117" s="38" t="inlineStr">
        <is>
          <t>El Espectador</t>
        </is>
      </c>
      <c r="D117" s="38" t="inlineStr">
        <is>
          <t>Respuesta a la emergencia del terremoto</t>
        </is>
      </c>
      <c r="E117" s="38" t="inlineStr">
        <is>
          <t>Opinión-análisis</t>
        </is>
      </c>
      <c r="F117" s="38" t="inlineStr">
        <is>
          <t>Fri, 04 Sep 2026 14:39:29 +0000</t>
        </is>
      </c>
      <c r="G117" s="62" t="inlineStr">
        <is>
          <t>Impresionado por una secuencia del muro de agua que arrasa todo a su paso en medio de un valle tranquilo y bajo un cielo despejado, la reproduje en la red social que antes se llamaba Twitter, junto al mensaje: “La Tierra no está gritando, simplemente es indiferente a nuestra existencia”, la última línea de mi más reciente columna.</t>
        </is>
      </c>
      <c r="H117" s="62" t="inlineStr">
        <is>
          <t>Son terroríficas las escenas de inundaciones repentinas y deslizamientos de tierra en los distritos nepalíes de Rasuwa y Nuwakot, así como en el condado chino de Gyirong.</t>
        </is>
      </c>
      <c r="I117" s="62" t="inlineStr">
        <is>
          <t>Con ella desaté la tormenta en mi vaso de agua.</t>
        </is>
      </c>
      <c r="J117" s="38" t="n"/>
      <c r="K117" s="62" t="n"/>
      <c r="L117" s="38" t="n"/>
      <c r="M117" s="62" t="n"/>
      <c r="N117" s="38" t="n"/>
      <c r="O117" s="62" t="n"/>
      <c r="P117" s="38" t="n"/>
      <c r="Q117" s="62" t="n"/>
      <c r="R117" s="38" t="n"/>
      <c r="S117" s="62" t="n"/>
      <c r="T117" s="38" t="n"/>
      <c r="U117" s="62" t="n"/>
      <c r="V117" s="38" t="n"/>
      <c r="W117" s="62" t="n"/>
      <c r="X117" s="38" t="n"/>
      <c r="Y117" s="62" t="n"/>
      <c r="Z117" s="38" t="n"/>
      <c r="AA117" s="62" t="n"/>
      <c r="AB117" s="38" t="n"/>
      <c r="AC117" s="62" t="n"/>
      <c r="AD117" s="38" t="n"/>
      <c r="AE117" s="38" t="n"/>
      <c r="AF117" s="61">
        <f>IF(COUNTIF($B$5:B117,B117)=1,1,0)</f>
        <v/>
      </c>
      <c r="AG117" s="62" t="inlineStr">
        <is>
          <t>https://www.elespectador.com/opinion/columnistas/columnista-invitado/la-tierra-no-clama-venganza-juan-diego-soler/</t>
        </is>
      </c>
    </row>
    <row r="118" ht="15" customHeight="1" s="31">
      <c r="A118" s="38" t="inlineStr">
        <is>
          <t>https://www.elespectador.com/opinion/columnistas/columnista-invitado/la-tierra-no-clama-venganza-juan-diego-soler/</t>
        </is>
      </c>
      <c r="B118" s="38" t="inlineStr">
        <is>
          <t>https://www.elespectador.com/opinion/columnistas/columnista-invitado/la-tierra-no-clama-venganza-juan-diego-soler/_S05</t>
        </is>
      </c>
      <c r="C118" s="38" t="inlineStr">
        <is>
          <t>El Espectador</t>
        </is>
      </c>
      <c r="D118" s="38" t="inlineStr">
        <is>
          <t>Respuesta a la emergencia del terremoto</t>
        </is>
      </c>
      <c r="E118" s="38" t="inlineStr">
        <is>
          <t>Opinión-análisis</t>
        </is>
      </c>
      <c r="F118" s="38" t="inlineStr">
        <is>
          <t>Fri, 04 Sep 2026 14:39:29 +0000</t>
        </is>
      </c>
      <c r="G118" s="62" t="inlineStr">
        <is>
          <t>Con ella desaté la tormenta en mi vaso de agua.</t>
        </is>
      </c>
      <c r="H118" s="62" t="inlineStr">
        <is>
          <t>Impresionado por una secuencia del muro de agua que arrasa todo a su paso en medio de un valle tranquilo y bajo un cielo despejado, la reproduje en la red social que antes se llamaba Twitter, junto al mensaje: “La Tierra no está gritando, simplemente es indiferente a nuestra existencia”, la última línea de mi más reciente columna.</t>
        </is>
      </c>
      <c r="I118" s="62" t="inlineStr">
        <is>
          <t>Era claramente una provocación.</t>
        </is>
      </c>
      <c r="J118" s="38" t="n"/>
      <c r="K118" s="62" t="n"/>
      <c r="L118" s="38" t="n"/>
      <c r="M118" s="62" t="n"/>
      <c r="N118" s="38" t="n"/>
      <c r="O118" s="62" t="n"/>
      <c r="P118" s="38" t="n"/>
      <c r="Q118" s="62" t="n"/>
      <c r="R118" s="38" t="n"/>
      <c r="S118" s="62" t="n"/>
      <c r="T118" s="38" t="n"/>
      <c r="U118" s="62" t="n"/>
      <c r="V118" s="38" t="n"/>
      <c r="W118" s="62" t="n"/>
      <c r="X118" s="38" t="n"/>
      <c r="Y118" s="62" t="n"/>
      <c r="Z118" s="38" t="n"/>
      <c r="AA118" s="62" t="n"/>
      <c r="AB118" s="38" t="n"/>
      <c r="AC118" s="62" t="n"/>
      <c r="AD118" s="38" t="n"/>
      <c r="AE118" s="38" t="n"/>
      <c r="AF118" s="61">
        <f>IF(COUNTIF($B$5:B118,B118)=1,1,0)</f>
        <v/>
      </c>
      <c r="AG118" s="62" t="inlineStr">
        <is>
          <t>https://www.elespectador.com/opinion/columnistas/columnista-invitado/la-tierra-no-clama-venganza-juan-diego-soler/</t>
        </is>
      </c>
    </row>
    <row r="119" ht="15" customHeight="1" s="31">
      <c r="A119" s="38" t="inlineStr">
        <is>
          <t>https://www.elespectador.com/opinion/columnistas/columnista-invitado/la-tierra-no-clama-venganza-juan-diego-soler/</t>
        </is>
      </c>
      <c r="B119" s="38" t="inlineStr">
        <is>
          <t>https://www.elespectador.com/opinion/columnistas/columnista-invitado/la-tierra-no-clama-venganza-juan-diego-soler/_S06</t>
        </is>
      </c>
      <c r="C119" s="38" t="inlineStr">
        <is>
          <t>El Espectador</t>
        </is>
      </c>
      <c r="D119" s="38" t="inlineStr">
        <is>
          <t>Respuesta a la emergencia del terremoto</t>
        </is>
      </c>
      <c r="E119" s="38" t="inlineStr">
        <is>
          <t>Opinión-análisis</t>
        </is>
      </c>
      <c r="F119" s="38" t="inlineStr">
        <is>
          <t>Fri, 04 Sep 2026 14:39:29 +0000</t>
        </is>
      </c>
      <c r="G119" s="62" t="inlineStr">
        <is>
          <t>Era claramente una provocación.</t>
        </is>
      </c>
      <c r="H119" s="62" t="inlineStr">
        <is>
          <t>Con ella desaté la tormenta en mi vaso de agua.</t>
        </is>
      </c>
      <c r="I119" s="62" t="inlineStr">
        <is>
          <t>Usaba la frase con la que Gustavo Petro había reaccionado al sismo que el pasado 10 de agosto azotó el territorio de nuestro país, dejando 331 personas muertas, más de 4500 heridas y extensos daños materiales en los departamentos de Chocó, Risaralda, Quindío, Caldas y Valle del Cauca.</t>
        </is>
      </c>
      <c r="J119" s="38" t="n"/>
      <c r="K119" s="62" t="n"/>
      <c r="L119" s="38" t="n"/>
      <c r="M119" s="62" t="n"/>
      <c r="N119" s="38" t="n"/>
      <c r="O119" s="62" t="n"/>
      <c r="P119" s="38" t="n"/>
      <c r="Q119" s="62" t="n"/>
      <c r="R119" s="38" t="n"/>
      <c r="S119" s="62" t="n"/>
      <c r="T119" s="38" t="n"/>
      <c r="U119" s="62" t="n"/>
      <c r="V119" s="38" t="n"/>
      <c r="W119" s="62" t="n"/>
      <c r="X119" s="38" t="n"/>
      <c r="Y119" s="62" t="n"/>
      <c r="Z119" s="38" t="n"/>
      <c r="AA119" s="62" t="n"/>
      <c r="AB119" s="38" t="n"/>
      <c r="AC119" s="62" t="n"/>
      <c r="AD119" s="38" t="n"/>
      <c r="AE119" s="38" t="n"/>
      <c r="AF119" s="61">
        <f>IF(COUNTIF($B$5:B119,B119)=1,1,0)</f>
        <v/>
      </c>
      <c r="AG119" s="62" t="inlineStr">
        <is>
          <t>https://www.elespectador.com/opinion/columnistas/columnista-invitado/la-tierra-no-clama-venganza-juan-diego-soler/</t>
        </is>
      </c>
    </row>
    <row r="120" ht="15" customHeight="1" s="31">
      <c r="A120" s="38" t="inlineStr">
        <is>
          <t>https://www.elespectador.com/opinion/columnistas/columnista-invitado/la-tierra-no-clama-venganza-juan-diego-soler/</t>
        </is>
      </c>
      <c r="B120" s="38" t="inlineStr">
        <is>
          <t>https://www.elespectador.com/opinion/columnistas/columnista-invitado/la-tierra-no-clama-venganza-juan-diego-soler/_S07</t>
        </is>
      </c>
      <c r="C120" s="38" t="inlineStr">
        <is>
          <t>El Espectador</t>
        </is>
      </c>
      <c r="D120" s="38" t="inlineStr">
        <is>
          <t>Respuesta a la emergencia del terremoto</t>
        </is>
      </c>
      <c r="E120" s="38" t="inlineStr">
        <is>
          <t>Opinión-análisis</t>
        </is>
      </c>
      <c r="F120" s="38" t="inlineStr">
        <is>
          <t>Fri, 04 Sep 2026 14:39:29 +0000</t>
        </is>
      </c>
      <c r="G120" s="62" t="inlineStr">
        <is>
          <t>Usaba la frase con la que Gustavo Petro había reaccionado al sismo que el pasado 10 de agosto azotó el territorio de nuestro país, dejando 331 personas muertas, más de 4500 heridas y extensos daños materiales en los departamentos de Chocó, Risaralda, Quindío, Caldas y Valle del Cauca.</t>
        </is>
      </c>
      <c r="H120" s="62" t="inlineStr">
        <is>
          <t>Era claramente una provocación.</t>
        </is>
      </c>
      <c r="I120" s="62" t="inlineStr">
        <is>
          <t>Sus airados defensores (y detractores) no tardaron en aparecer, arrastrando consigo cualquier mensaje coherente o posibilidad de conversación.</t>
        </is>
      </c>
      <c r="J120" s="38" t="n"/>
      <c r="K120" s="62" t="n"/>
      <c r="L120" s="38" t="n"/>
      <c r="M120" s="62" t="n"/>
      <c r="N120" s="38" t="n"/>
      <c r="O120" s="62" t="n"/>
      <c r="P120" s="38" t="n"/>
      <c r="Q120" s="62" t="n"/>
      <c r="R120" s="38" t="n"/>
      <c r="S120" s="62" t="n"/>
      <c r="T120" s="38" t="n"/>
      <c r="U120" s="62" t="n"/>
      <c r="V120" s="38" t="n"/>
      <c r="W120" s="62" t="n"/>
      <c r="X120" s="38" t="n"/>
      <c r="Y120" s="62" t="n"/>
      <c r="Z120" s="38" t="n"/>
      <c r="AA120" s="62" t="n"/>
      <c r="AB120" s="38" t="n"/>
      <c r="AC120" s="62" t="n"/>
      <c r="AD120" s="38" t="n"/>
      <c r="AE120" s="38" t="n"/>
      <c r="AF120" s="61">
        <f>IF(COUNTIF($B$5:B120,B120)=1,1,0)</f>
        <v/>
      </c>
      <c r="AG120" s="62" t="inlineStr">
        <is>
          <t>https://www.elespectador.com/opinion/columnistas/columnista-invitado/la-tierra-no-clama-venganza-juan-diego-soler/</t>
        </is>
      </c>
    </row>
    <row r="121" ht="15" customHeight="1" s="31">
      <c r="A121" s="38" t="inlineStr">
        <is>
          <t>https://www.elespectador.com/opinion/columnistas/columnista-invitado/la-tierra-no-clama-venganza-juan-diego-soler/</t>
        </is>
      </c>
      <c r="B121" s="38" t="inlineStr">
        <is>
          <t>https://www.elespectador.com/opinion/columnistas/columnista-invitado/la-tierra-no-clama-venganza-juan-diego-soler/_S08</t>
        </is>
      </c>
      <c r="C121" s="38" t="inlineStr">
        <is>
          <t>El Espectador</t>
        </is>
      </c>
      <c r="D121" s="38" t="inlineStr">
        <is>
          <t>Respuesta a la emergencia del terremoto</t>
        </is>
      </c>
      <c r="E121" s="38" t="inlineStr">
        <is>
          <t>Opinión-análisis</t>
        </is>
      </c>
      <c r="F121" s="38" t="inlineStr">
        <is>
          <t>Fri, 04 Sep 2026 14:39:29 +0000</t>
        </is>
      </c>
      <c r="G121" s="62" t="inlineStr">
        <is>
          <t>Sus airados defensores (y detractores) no tardaron en aparecer, arrastrando consigo cualquier mensaje coherente o posibilidad de conversación.</t>
        </is>
      </c>
      <c r="H121" s="62" t="inlineStr">
        <is>
          <t>Usaba la frase con la que Gustavo Petro había reaccionado al sismo que el pasado 10 de agosto azotó el territorio de nuestro país, dejando 331 personas muertas, más de 4500 heridas y extensos daños materiales en los departamentos de Chocó, Risaralda, Quindío, Caldas y Valle del Cauca.</t>
        </is>
      </c>
      <c r="I121" s="62" t="inlineStr">
        <is>
          <t>Es difícil aclarar en 280 caracteres que esa Tierra justiciera y vengativa no existe y que no aceptar una personificación moral del sistema planetario no implica desconocer los efectos del cambio climático ni su posible papel en esta tragedia.</t>
        </is>
      </c>
      <c r="J121" s="38" t="n"/>
      <c r="K121" s="62" t="n"/>
      <c r="L121" s="38" t="n"/>
      <c r="M121" s="62" t="n"/>
      <c r="N121" s="38" t="n"/>
      <c r="O121" s="62" t="n"/>
      <c r="P121" s="38" t="n"/>
      <c r="Q121" s="62" t="n"/>
      <c r="R121" s="38" t="n"/>
      <c r="S121" s="62" t="n"/>
      <c r="T121" s="38" t="n"/>
      <c r="U121" s="62" t="n"/>
      <c r="V121" s="38" t="n"/>
      <c r="W121" s="62" t="n"/>
      <c r="X121" s="38" t="n"/>
      <c r="Y121" s="62" t="n"/>
      <c r="Z121" s="38" t="n"/>
      <c r="AA121" s="62" t="n"/>
      <c r="AB121" s="38" t="n"/>
      <c r="AC121" s="62" t="n"/>
      <c r="AD121" s="38" t="n"/>
      <c r="AE121" s="38" t="n"/>
      <c r="AF121" s="61">
        <f>IF(COUNTIF($B$5:B121,B121)=1,1,0)</f>
        <v/>
      </c>
      <c r="AG121" s="62" t="inlineStr">
        <is>
          <t>https://www.elespectador.com/opinion/columnistas/columnista-invitado/la-tierra-no-clama-venganza-juan-diego-soler/</t>
        </is>
      </c>
    </row>
    <row r="122" ht="15" customHeight="1" s="31">
      <c r="A122" s="38" t="inlineStr">
        <is>
          <t>https://www.elespectador.com/opinion/columnistas/columnista-invitado/la-tierra-no-clama-venganza-juan-diego-soler/</t>
        </is>
      </c>
      <c r="B122" s="38" t="inlineStr">
        <is>
          <t>https://www.elespectador.com/opinion/columnistas/columnista-invitado/la-tierra-no-clama-venganza-juan-diego-soler/_S09</t>
        </is>
      </c>
      <c r="C122" s="38" t="inlineStr">
        <is>
          <t>El Espectador</t>
        </is>
      </c>
      <c r="D122" s="38" t="inlineStr">
        <is>
          <t>Respuesta a la emergencia del terremoto</t>
        </is>
      </c>
      <c r="E122" s="38" t="inlineStr">
        <is>
          <t>Opinión-análisis</t>
        </is>
      </c>
      <c r="F122" s="38" t="inlineStr">
        <is>
          <t>Fri, 04 Sep 2026 14:39:29 +0000</t>
        </is>
      </c>
      <c r="G122" s="62" t="inlineStr">
        <is>
          <t>Es difícil aclarar en 280 caracteres que esa Tierra justiciera y vengativa no existe y que no aceptar una personificación moral del sistema planetario no implica desconocer los efectos del cambio climático ni su posible papel en esta tragedia.</t>
        </is>
      </c>
      <c r="H122" s="62" t="inlineStr">
        <is>
          <t>Sus airados defensores (y detractores) no tardaron en aparecer, arrastrando consigo cualquier mensaje coherente o posibilidad de conversación.</t>
        </is>
      </c>
      <c r="I122" s="62" t="inlineStr">
        <is>
          <t>Aunque se entienda como una metáfora, presentar la catástrofe como una represalia del planeta oscurece más de lo que explica.</t>
        </is>
      </c>
      <c r="J122" s="38" t="n"/>
      <c r="K122" s="62" t="n"/>
      <c r="L122" s="38" t="n"/>
      <c r="M122" s="62" t="n"/>
      <c r="N122" s="38" t="n"/>
      <c r="O122" s="62" t="n"/>
      <c r="P122" s="38" t="n"/>
      <c r="Q122" s="62" t="n"/>
      <c r="R122" s="38" t="n"/>
      <c r="S122" s="62" t="n"/>
      <c r="T122" s="38" t="n"/>
      <c r="U122" s="62" t="n"/>
      <c r="V122" s="38" t="n"/>
      <c r="W122" s="62" t="n"/>
      <c r="X122" s="38" t="n"/>
      <c r="Y122" s="62" t="n"/>
      <c r="Z122" s="38" t="n"/>
      <c r="AA122" s="62" t="n"/>
      <c r="AB122" s="38" t="n"/>
      <c r="AC122" s="62" t="n"/>
      <c r="AD122" s="38" t="n"/>
      <c r="AE122" s="38" t="n"/>
      <c r="AF122" s="61">
        <f>IF(COUNTIF($B$5:B122,B122)=1,1,0)</f>
        <v/>
      </c>
      <c r="AG122" s="62" t="inlineStr">
        <is>
          <t>https://www.elespectador.com/opinion/columnistas/columnista-invitado/la-tierra-no-clama-venganza-juan-diego-soler/</t>
        </is>
      </c>
    </row>
    <row r="123" ht="15" customHeight="1" s="31">
      <c r="A123" s="38" t="inlineStr">
        <is>
          <t>https://www.elespectador.com/opinion/columnistas/columnista-invitado/la-tierra-no-clama-venganza-juan-diego-soler/</t>
        </is>
      </c>
      <c r="B123" s="38" t="inlineStr">
        <is>
          <t>https://www.elespectador.com/opinion/columnistas/columnista-invitado/la-tierra-no-clama-venganza-juan-diego-soler/_S10</t>
        </is>
      </c>
      <c r="C123" s="38" t="inlineStr">
        <is>
          <t>El Espectador</t>
        </is>
      </c>
      <c r="D123" s="38" t="inlineStr">
        <is>
          <t>Respuesta a la emergencia del terremoto</t>
        </is>
      </c>
      <c r="E123" s="38" t="inlineStr">
        <is>
          <t>Opinión-análisis</t>
        </is>
      </c>
      <c r="F123" s="38" t="inlineStr">
        <is>
          <t>Fri, 04 Sep 2026 14:39:29 +0000</t>
        </is>
      </c>
      <c r="G123" s="62" t="inlineStr">
        <is>
          <t>Aunque se entienda como una metáfora, presentar la catástrofe como una represalia del planeta oscurece más de lo que explica.</t>
        </is>
      </c>
      <c r="H123" s="62" t="inlineStr">
        <is>
          <t>Es difícil aclarar en 280 caracteres que esa Tierra justiciera y vengativa no existe y que no aceptar una personificación moral del sistema planetario no implica desconocer los efectos del cambio climático ni su posible papel en esta tragedia.</t>
        </is>
      </c>
      <c r="I123" s="62" t="inlineStr">
        <is>
          <t>La emisión de gases de efecto invernadero por el uso de combustibles fósiles no es el sacrificio de un ciervo sagrado.</t>
        </is>
      </c>
      <c r="J123" s="38" t="n"/>
      <c r="K123" s="62" t="n"/>
      <c r="L123" s="38" t="n"/>
      <c r="M123" s="62" t="n"/>
      <c r="N123" s="38" t="n"/>
      <c r="O123" s="62" t="n"/>
      <c r="P123" s="38" t="n"/>
      <c r="Q123" s="62" t="n"/>
      <c r="R123" s="38" t="n"/>
      <c r="S123" s="62" t="n"/>
      <c r="T123" s="38" t="n"/>
      <c r="U123" s="62" t="n"/>
      <c r="V123" s="38" t="n"/>
      <c r="W123" s="62" t="n"/>
      <c r="X123" s="38" t="n"/>
      <c r="Y123" s="62" t="n"/>
      <c r="Z123" s="38" t="n"/>
      <c r="AA123" s="62" t="n"/>
      <c r="AB123" s="38" t="n"/>
      <c r="AC123" s="62" t="n"/>
      <c r="AD123" s="38" t="n"/>
      <c r="AE123" s="38" t="n"/>
      <c r="AF123" s="61">
        <f>IF(COUNTIF($B$5:B123,B123)=1,1,0)</f>
        <v/>
      </c>
      <c r="AG123" s="62" t="inlineStr">
        <is>
          <t>https://www.elespectador.com/opinion/columnistas/columnista-invitado/la-tierra-no-clama-venganza-juan-diego-soler/</t>
        </is>
      </c>
    </row>
    <row r="124" ht="15" customHeight="1" s="31">
      <c r="A124" s="38" t="inlineStr">
        <is>
          <t>https://www.elespectador.com/opinion/columnistas/columnista-invitado/la-tierra-no-clama-venganza-juan-diego-soler/</t>
        </is>
      </c>
      <c r="B124" s="38" t="inlineStr">
        <is>
          <t>https://www.elespectador.com/opinion/columnistas/columnista-invitado/la-tierra-no-clama-venganza-juan-diego-soler/_S11</t>
        </is>
      </c>
      <c r="C124" s="38" t="inlineStr">
        <is>
          <t>El Espectador</t>
        </is>
      </c>
      <c r="D124" s="38" t="inlineStr">
        <is>
          <t>Respuesta a la emergencia del terremoto</t>
        </is>
      </c>
      <c r="E124" s="38" t="inlineStr">
        <is>
          <t>Opinión-análisis</t>
        </is>
      </c>
      <c r="F124" s="38" t="inlineStr">
        <is>
          <t>Fri, 04 Sep 2026 14:39:29 +0000</t>
        </is>
      </c>
      <c r="G124" s="62" t="inlineStr">
        <is>
          <t>La emisión de gases de efecto invernadero por el uso de combustibles fósiles no es el sacrificio de un ciervo sagrado.</t>
        </is>
      </c>
      <c r="H124" s="62" t="inlineStr">
        <is>
          <t>Aunque se entienda como una metáfora, presentar la catástrofe como una represalia del planeta oscurece más de lo que explica.</t>
        </is>
      </c>
      <c r="I124" s="62" t="inlineStr">
        <is>
          <t>Para bien o para mal, no existe una implacable justicia divina que persiga a los responsables directos.</t>
        </is>
      </c>
      <c r="J124" s="38" t="n"/>
      <c r="K124" s="62" t="n"/>
      <c r="L124" s="38" t="n"/>
      <c r="M124" s="62" t="n"/>
      <c r="N124" s="38" t="n"/>
      <c r="O124" s="62" t="n"/>
      <c r="P124" s="38" t="n"/>
      <c r="Q124" s="62" t="n"/>
      <c r="R124" s="38" t="n"/>
      <c r="S124" s="62" t="n"/>
      <c r="T124" s="38" t="n"/>
      <c r="U124" s="62" t="n"/>
      <c r="V124" s="38" t="n"/>
      <c r="W124" s="62" t="n"/>
      <c r="X124" s="38" t="n"/>
      <c r="Y124" s="62" t="n"/>
      <c r="Z124" s="38" t="n"/>
      <c r="AA124" s="62" t="n"/>
      <c r="AB124" s="38" t="n"/>
      <c r="AC124" s="62" t="n"/>
      <c r="AD124" s="38" t="n"/>
      <c r="AE124" s="38" t="n"/>
      <c r="AF124" s="61">
        <f>IF(COUNTIF($B$5:B124,B124)=1,1,0)</f>
        <v/>
      </c>
      <c r="AG124" s="62" t="inlineStr">
        <is>
          <t>https://www.elespectador.com/opinion/columnistas/columnista-invitado/la-tierra-no-clama-venganza-juan-diego-soler/</t>
        </is>
      </c>
    </row>
    <row r="125" ht="15" customHeight="1" s="31">
      <c r="A125" s="38" t="inlineStr">
        <is>
          <t>https://www.elespectador.com/opinion/columnistas/columnista-invitado/la-tierra-no-clama-venganza-juan-diego-soler/</t>
        </is>
      </c>
      <c r="B125" s="38" t="inlineStr">
        <is>
          <t>https://www.elespectador.com/opinion/columnistas/columnista-invitado/la-tierra-no-clama-venganza-juan-diego-soler/_S12</t>
        </is>
      </c>
      <c r="C125" s="38" t="inlineStr">
        <is>
          <t>El Espectador</t>
        </is>
      </c>
      <c r="D125" s="38" t="inlineStr">
        <is>
          <t>Respuesta a la emergencia del terremoto</t>
        </is>
      </c>
      <c r="E125" s="38" t="inlineStr">
        <is>
          <t>Opinión-análisis</t>
        </is>
      </c>
      <c r="F125" s="38" t="inlineStr">
        <is>
          <t>Fri, 04 Sep 2026 14:39:29 +0000</t>
        </is>
      </c>
      <c r="G125" s="62" t="inlineStr">
        <is>
          <t>Para bien o para mal, no existe una implacable justicia divina que persiga a los responsables directos.</t>
        </is>
      </c>
      <c r="H125" s="62" t="inlineStr">
        <is>
          <t>La emisión de gases de efecto invernadero por el uso de combustibles fósiles no es el sacrificio de un ciervo sagrado.</t>
        </is>
      </c>
      <c r="I125" s="62" t="inlineStr">
        <is>
          <t>¿Qué culpa tiene una familia campesina en las zonas afectadas de Nepal, uno de los países más pobres de Asia, donde tantos viven de la agricultura a pequeña escala o del dinero que les envían sus familiares que trabajan en otros países?</t>
        </is>
      </c>
      <c r="J125" s="38" t="n"/>
      <c r="K125" s="62" t="n"/>
      <c r="L125" s="38" t="n"/>
      <c r="M125" s="62" t="n"/>
      <c r="N125" s="38" t="n"/>
      <c r="O125" s="62" t="n"/>
      <c r="P125" s="38" t="n"/>
      <c r="Q125" s="62" t="n"/>
      <c r="R125" s="38" t="n"/>
      <c r="S125" s="62" t="n"/>
      <c r="T125" s="38" t="n"/>
      <c r="U125" s="62" t="n"/>
      <c r="V125" s="38" t="n"/>
      <c r="W125" s="62" t="n"/>
      <c r="X125" s="38" t="n"/>
      <c r="Y125" s="62" t="n"/>
      <c r="Z125" s="38" t="n"/>
      <c r="AA125" s="62" t="n"/>
      <c r="AB125" s="38" t="n"/>
      <c r="AC125" s="62" t="n"/>
      <c r="AD125" s="38" t="n"/>
      <c r="AE125" s="38" t="n"/>
      <c r="AF125" s="61">
        <f>IF(COUNTIF($B$5:B125,B125)=1,1,0)</f>
        <v/>
      </c>
      <c r="AG125" s="62" t="inlineStr">
        <is>
          <t>https://www.elespectador.com/opinion/columnistas/columnista-invitado/la-tierra-no-clama-venganza-juan-diego-soler/</t>
        </is>
      </c>
    </row>
    <row r="126" ht="15" customHeight="1" s="31">
      <c r="A126" s="38" t="inlineStr">
        <is>
          <t>https://www.elespectador.com/opinion/columnistas/columnista-invitado/la-tierra-no-clama-venganza-juan-diego-soler/</t>
        </is>
      </c>
      <c r="B126" s="38" t="inlineStr">
        <is>
          <t>https://www.elespectador.com/opinion/columnistas/columnista-invitado/la-tierra-no-clama-venganza-juan-diego-soler/_S13</t>
        </is>
      </c>
      <c r="C126" s="38" t="inlineStr">
        <is>
          <t>El Espectador</t>
        </is>
      </c>
      <c r="D126" s="38" t="inlineStr">
        <is>
          <t>Respuesta a la emergencia del terremoto</t>
        </is>
      </c>
      <c r="E126" s="38" t="inlineStr">
        <is>
          <t>Opinión-análisis</t>
        </is>
      </c>
      <c r="F126" s="38" t="inlineStr">
        <is>
          <t>Fri, 04 Sep 2026 14:39:29 +0000</t>
        </is>
      </c>
      <c r="G126" s="62" t="inlineStr">
        <is>
          <t>¿Qué culpa tiene una familia campesina en las zonas afectadas de Nepal, uno de los países más pobres de Asia, donde tantos viven de la agricultura a pequeña escala o del dinero que les envían sus familiares que trabajan en otros países?</t>
        </is>
      </c>
      <c r="H126" s="62" t="inlineStr">
        <is>
          <t>Para bien o para mal, no existe una implacable justicia divina que persiga a los responsables directos.</t>
        </is>
      </c>
      <c r="I126" s="62" t="inlineStr">
        <is>
          <t>¿Acaso estamos pagando por un pecado cometido desde hace décadas, cuando la mayoría de nosotros no habíamos llegado al mundo?</t>
        </is>
      </c>
      <c r="J126" s="38" t="n"/>
      <c r="K126" s="62" t="n"/>
      <c r="L126" s="38" t="n"/>
      <c r="M126" s="62" t="n"/>
      <c r="N126" s="38" t="n"/>
      <c r="O126" s="62" t="n"/>
      <c r="P126" s="38" t="n"/>
      <c r="Q126" s="62" t="n"/>
      <c r="R126" s="38" t="n"/>
      <c r="S126" s="62" t="n"/>
      <c r="T126" s="38" t="n"/>
      <c r="U126" s="62" t="n"/>
      <c r="V126" s="38" t="n"/>
      <c r="W126" s="62" t="n"/>
      <c r="X126" s="38" t="n"/>
      <c r="Y126" s="62" t="n"/>
      <c r="Z126" s="38" t="n"/>
      <c r="AA126" s="62" t="n"/>
      <c r="AB126" s="38" t="n"/>
      <c r="AC126" s="62" t="n"/>
      <c r="AD126" s="38" t="n"/>
      <c r="AE126" s="38" t="n"/>
      <c r="AF126" s="61">
        <f>IF(COUNTIF($B$5:B126,B126)=1,1,0)</f>
        <v/>
      </c>
      <c r="AG126" s="62" t="inlineStr">
        <is>
          <t>https://www.elespectador.com/opinion/columnistas/columnista-invitado/la-tierra-no-clama-venganza-juan-diego-soler/</t>
        </is>
      </c>
    </row>
    <row r="127" ht="15" customHeight="1" s="31">
      <c r="A127" s="38" t="inlineStr">
        <is>
          <t>https://www.elespectador.com/opinion/columnistas/columnista-invitado/la-tierra-no-clama-venganza-juan-diego-soler/</t>
        </is>
      </c>
      <c r="B127" s="38" t="inlineStr">
        <is>
          <t>https://www.elespectador.com/opinion/columnistas/columnista-invitado/la-tierra-no-clama-venganza-juan-diego-soler/_S14</t>
        </is>
      </c>
      <c r="C127" s="38" t="inlineStr">
        <is>
          <t>El Espectador</t>
        </is>
      </c>
      <c r="D127" s="38" t="inlineStr">
        <is>
          <t>Respuesta a la emergencia del terremoto</t>
        </is>
      </c>
      <c r="E127" s="38" t="inlineStr">
        <is>
          <t>Opinión-análisis</t>
        </is>
      </c>
      <c r="F127" s="38" t="inlineStr">
        <is>
          <t>Fri, 04 Sep 2026 14:39:29 +0000</t>
        </is>
      </c>
      <c r="G127" s="62" t="inlineStr">
        <is>
          <t>¿Acaso estamos pagando por un pecado cometido desde hace décadas, cuando la mayoría de nosotros no habíamos llegado al mundo?</t>
        </is>
      </c>
      <c r="H127" s="62" t="inlineStr">
        <is>
          <t>¿Qué culpa tiene una familia campesina en las zonas afectadas de Nepal, uno de los países más pobres de Asia, donde tantos viven de la agricultura a pequeña escala o del dinero que les envían sus familiares que trabajan en otros países?</t>
        </is>
      </c>
      <c r="I127" s="62" t="n"/>
      <c r="J127" s="38" t="n"/>
      <c r="K127" s="62" t="n"/>
      <c r="L127" s="38" t="n"/>
      <c r="M127" s="62" t="n"/>
      <c r="N127" s="38" t="n"/>
      <c r="O127" s="62" t="n"/>
      <c r="P127" s="38" t="n"/>
      <c r="Q127" s="62" t="n"/>
      <c r="R127" s="38" t="n"/>
      <c r="S127" s="62" t="n"/>
      <c r="T127" s="38" t="n"/>
      <c r="U127" s="62" t="n"/>
      <c r="V127" s="38" t="n"/>
      <c r="W127" s="62" t="n"/>
      <c r="X127" s="38" t="n"/>
      <c r="Y127" s="62" t="n"/>
      <c r="Z127" s="38" t="n"/>
      <c r="AA127" s="62" t="n"/>
      <c r="AB127" s="38" t="n"/>
      <c r="AC127" s="62" t="n"/>
      <c r="AD127" s="38" t="n"/>
      <c r="AE127" s="38" t="n"/>
      <c r="AF127" s="61">
        <f>IF(COUNTIF($B$5:B127,B127)=1,1,0)</f>
        <v/>
      </c>
      <c r="AG127" s="62" t="inlineStr">
        <is>
          <t>https://www.elespectador.com/opinion/columnistas/columnista-invitado/la-tierra-no-clama-venganza-juan-diego-soler/</t>
        </is>
      </c>
    </row>
    <row r="128" ht="15" customHeight="1" s="31">
      <c r="A128" s="38" t="inlineStr">
        <is>
          <t>https://www.elespectador.com/opinion/columnistas/francisco-gutierrez-sanin/la-metamorfosis/</t>
        </is>
      </c>
      <c r="B128" s="38" t="inlineStr">
        <is>
          <t>https://www.elespectador.com/opinion/columnistas/francisco-gutierrez-sanin/la-metamorfosis/_S01</t>
        </is>
      </c>
      <c r="C128" s="38" t="inlineStr">
        <is>
          <t>El Espectador</t>
        </is>
      </c>
      <c r="D128" s="38" t="inlineStr">
        <is>
          <t>Relación con Estados Unidos</t>
        </is>
      </c>
      <c r="E128" s="38" t="inlineStr">
        <is>
          <t>Opinión-análisis</t>
        </is>
      </c>
      <c r="F128" s="38" t="inlineStr">
        <is>
          <t>Fri, 04 Sep 2026 14:46:43 +0000</t>
        </is>
      </c>
      <c r="G128" s="62" t="inlineStr">
        <is>
          <t>Nada como la tragedia venezolana, que se desarrolla ante nuestros ojos, para recordarnos que el mundo cambió de maneras fundamentales, algo que buena parte de nuestros actores, en todos los lugares del espectro político, aún no ha podido asimilar.</t>
        </is>
      </c>
      <c r="H128" s="62" t="n"/>
      <c r="I128" s="62" t="inlineStr">
        <is>
          <t>Hace no más de un par de años, las cosas con respecto al hermano país parecían absolutamente claras.</t>
        </is>
      </c>
      <c r="J128" s="38" t="n"/>
      <c r="K128" s="62" t="n"/>
      <c r="L128" s="38" t="n"/>
      <c r="M128" s="62" t="n"/>
      <c r="N128" s="38" t="n"/>
      <c r="O128" s="62" t="n"/>
      <c r="P128" s="38" t="n"/>
      <c r="Q128" s="62" t="n"/>
      <c r="R128" s="38" t="n"/>
      <c r="S128" s="62" t="n"/>
      <c r="T128" s="38" t="n"/>
      <c r="U128" s="62" t="n"/>
      <c r="V128" s="38" t="n"/>
      <c r="W128" s="62" t="n"/>
      <c r="X128" s="38" t="n"/>
      <c r="Y128" s="62" t="n"/>
      <c r="Z128" s="38" t="n"/>
      <c r="AA128" s="62" t="n"/>
      <c r="AB128" s="38" t="n"/>
      <c r="AC128" s="62" t="n"/>
      <c r="AD128" s="38" t="n"/>
      <c r="AE128" s="38" t="n"/>
      <c r="AF128" s="61">
        <f>IF(COUNTIF($B$5:B128,B128)=1,1,0)</f>
        <v/>
      </c>
      <c r="AG128" s="62" t="inlineStr">
        <is>
          <t>https://www.elespectador.com/opinion/columnistas/francisco-gutierrez-sanin/la-metamorfosis/</t>
        </is>
      </c>
    </row>
    <row r="129" ht="15" customHeight="1" s="31">
      <c r="A129" s="38" t="inlineStr">
        <is>
          <t>https://www.elespectador.com/opinion/columnistas/francisco-gutierrez-sanin/la-metamorfosis/</t>
        </is>
      </c>
      <c r="B129" s="38" t="inlineStr">
        <is>
          <t>https://www.elespectador.com/opinion/columnistas/francisco-gutierrez-sanin/la-metamorfosis/_S02</t>
        </is>
      </c>
      <c r="C129" s="38" t="inlineStr">
        <is>
          <t>El Espectador</t>
        </is>
      </c>
      <c r="D129" s="38" t="inlineStr">
        <is>
          <t>Relación con Estados Unidos</t>
        </is>
      </c>
      <c r="E129" s="38" t="inlineStr">
        <is>
          <t>Opinión-análisis</t>
        </is>
      </c>
      <c r="F129" s="38" t="inlineStr">
        <is>
          <t>Fri, 04 Sep 2026 14:46:43 +0000</t>
        </is>
      </c>
      <c r="G129" s="62" t="inlineStr">
        <is>
          <t>Hace no más de un par de años, las cosas con respecto al hermano país parecían absolutamente claras.</t>
        </is>
      </c>
      <c r="H129" s="62" t="inlineStr">
        <is>
          <t>Nada como la tragedia venezolana, que se desarrolla ante nuestros ojos, para recordarnos que el mundo cambió de maneras fundamentales, algo que buena parte de nuestros actores, en todos los lugares del espectro político, aún no ha podido asimilar.</t>
        </is>
      </c>
      <c r="I129" s="62" t="inlineStr">
        <is>
          <t>Para unos, se trataba del gran proyecto transformador latinoamericano.</t>
        </is>
      </c>
      <c r="J129" s="38" t="n"/>
      <c r="K129" s="62" t="n"/>
      <c r="L129" s="38" t="n"/>
      <c r="M129" s="62" t="n"/>
      <c r="N129" s="38" t="n"/>
      <c r="O129" s="62" t="n"/>
      <c r="P129" s="38" t="n"/>
      <c r="Q129" s="62" t="n"/>
      <c r="R129" s="38" t="n"/>
      <c r="S129" s="62" t="n"/>
      <c r="T129" s="38" t="n"/>
      <c r="U129" s="62" t="n"/>
      <c r="V129" s="38" t="n"/>
      <c r="W129" s="62" t="n"/>
      <c r="X129" s="38" t="n"/>
      <c r="Y129" s="62" t="n"/>
      <c r="Z129" s="38" t="n"/>
      <c r="AA129" s="62" t="n"/>
      <c r="AB129" s="38" t="n"/>
      <c r="AC129" s="62" t="n"/>
      <c r="AD129" s="38" t="n"/>
      <c r="AE129" s="38" t="n"/>
      <c r="AF129" s="61">
        <f>IF(COUNTIF($B$5:B129,B129)=1,1,0)</f>
        <v/>
      </c>
      <c r="AG129" s="62" t="inlineStr">
        <is>
          <t>https://www.elespectador.com/opinion/columnistas/francisco-gutierrez-sanin/la-metamorfosis/</t>
        </is>
      </c>
    </row>
    <row r="130" ht="15" customHeight="1" s="31">
      <c r="A130" s="38" t="inlineStr">
        <is>
          <t>https://www.elespectador.com/opinion/columnistas/francisco-gutierrez-sanin/la-metamorfosis/</t>
        </is>
      </c>
      <c r="B130" s="38" t="inlineStr">
        <is>
          <t>https://www.elespectador.com/opinion/columnistas/francisco-gutierrez-sanin/la-metamorfosis/_S03</t>
        </is>
      </c>
      <c r="C130" s="38" t="inlineStr">
        <is>
          <t>El Espectador</t>
        </is>
      </c>
      <c r="D130" s="38" t="inlineStr">
        <is>
          <t>Relación con Estados Unidos</t>
        </is>
      </c>
      <c r="E130" s="38" t="inlineStr">
        <is>
          <t>Opinión-análisis</t>
        </is>
      </c>
      <c r="F130" s="38" t="inlineStr">
        <is>
          <t>Fri, 04 Sep 2026 14:46:43 +0000</t>
        </is>
      </c>
      <c r="G130" s="62" t="inlineStr">
        <is>
          <t>Para unos, se trataba del gran proyecto transformador latinoamericano.</t>
        </is>
      </c>
      <c r="H130" s="62" t="inlineStr">
        <is>
          <t>Hace no más de un par de años, las cosas con respecto al hermano país parecían absolutamente claras.</t>
        </is>
      </c>
      <c r="I130" s="62" t="inlineStr">
        <is>
          <t>Para otros, que constituían en Colombia la corriente principal, era una dictadura monstruosa e inédita a la que necesitábamos echar por tierra.</t>
        </is>
      </c>
      <c r="J130" s="38" t="n"/>
      <c r="K130" s="62" t="n"/>
      <c r="L130" s="38" t="n"/>
      <c r="M130" s="62" t="n"/>
      <c r="N130" s="38" t="n"/>
      <c r="O130" s="62" t="n"/>
      <c r="P130" s="38" t="n"/>
      <c r="Q130" s="62" t="n"/>
      <c r="R130" s="38" t="n"/>
      <c r="S130" s="62" t="n"/>
      <c r="T130" s="38" t="n"/>
      <c r="U130" s="62" t="n"/>
      <c r="V130" s="38" t="n"/>
      <c r="W130" s="62" t="n"/>
      <c r="X130" s="38" t="n"/>
      <c r="Y130" s="62" t="n"/>
      <c r="Z130" s="38" t="n"/>
      <c r="AA130" s="62" t="n"/>
      <c r="AB130" s="38" t="n"/>
      <c r="AC130" s="62" t="n"/>
      <c r="AD130" s="38" t="n"/>
      <c r="AE130" s="38" t="n"/>
      <c r="AF130" s="61">
        <f>IF(COUNTIF($B$5:B130,B130)=1,1,0)</f>
        <v/>
      </c>
      <c r="AG130" s="62" t="inlineStr">
        <is>
          <t>https://www.elespectador.com/opinion/columnistas/francisco-gutierrez-sanin/la-metamorfosis/</t>
        </is>
      </c>
    </row>
    <row r="131" ht="15" customHeight="1" s="31">
      <c r="A131" s="38" t="inlineStr">
        <is>
          <t>https://www.elespectador.com/opinion/columnistas/francisco-gutierrez-sanin/la-metamorfosis/</t>
        </is>
      </c>
      <c r="B131" s="38" t="inlineStr">
        <is>
          <t>https://www.elespectador.com/opinion/columnistas/francisco-gutierrez-sanin/la-metamorfosis/_S04</t>
        </is>
      </c>
      <c r="C131" s="38" t="inlineStr">
        <is>
          <t>El Espectador</t>
        </is>
      </c>
      <c r="D131" s="38" t="inlineStr">
        <is>
          <t>Relación con Estados Unidos</t>
        </is>
      </c>
      <c r="E131" s="38" t="inlineStr">
        <is>
          <t>Opinión-análisis</t>
        </is>
      </c>
      <c r="F131" s="38" t="inlineStr">
        <is>
          <t>Fri, 04 Sep 2026 14:46:43 +0000</t>
        </is>
      </c>
      <c r="G131" s="62" t="inlineStr">
        <is>
          <t>Para otros, que constituían en Colombia la corriente principal, era una dictadura monstruosa e inédita a la que necesitábamos echar por tierra.</t>
        </is>
      </c>
      <c r="H131" s="62" t="inlineStr">
        <is>
          <t>Para unos, se trataba del gran proyecto transformador latinoamericano.</t>
        </is>
      </c>
      <c r="I131" s="62" t="inlineStr">
        <is>
          <t>Iván Duque, de hecho, intentó hacerlo con conciertos de música para planchar en nuestra larga frontera (una de las poquísimas cosas de su gobierno que recuerdo con regocijo).</t>
        </is>
      </c>
      <c r="J131" s="38" t="n"/>
      <c r="K131" s="62" t="n"/>
      <c r="L131" s="38" t="n"/>
      <c r="M131" s="62" t="n"/>
      <c r="N131" s="38" t="n"/>
      <c r="O131" s="62" t="n"/>
      <c r="P131" s="38" t="n"/>
      <c r="Q131" s="62" t="n"/>
      <c r="R131" s="38" t="n"/>
      <c r="S131" s="62" t="n"/>
      <c r="T131" s="38" t="n"/>
      <c r="U131" s="62" t="n"/>
      <c r="V131" s="38" t="n"/>
      <c r="W131" s="62" t="n"/>
      <c r="X131" s="38" t="n"/>
      <c r="Y131" s="62" t="n"/>
      <c r="Z131" s="38" t="n"/>
      <c r="AA131" s="62" t="n"/>
      <c r="AB131" s="38" t="n"/>
      <c r="AC131" s="62" t="n"/>
      <c r="AD131" s="38" t="n"/>
      <c r="AE131" s="38" t="n"/>
      <c r="AF131" s="61">
        <f>IF(COUNTIF($B$5:B131,B131)=1,1,0)</f>
        <v/>
      </c>
      <c r="AG131" s="62" t="inlineStr">
        <is>
          <t>https://www.elespectador.com/opinion/columnistas/francisco-gutierrez-sanin/la-metamorfosis/</t>
        </is>
      </c>
    </row>
    <row r="132" ht="15" customHeight="1" s="31">
      <c r="A132" s="38" t="inlineStr">
        <is>
          <t>https://www.elespectador.com/opinion/columnistas/francisco-gutierrez-sanin/la-metamorfosis/</t>
        </is>
      </c>
      <c r="B132" s="38" t="inlineStr">
        <is>
          <t>https://www.elespectador.com/opinion/columnistas/francisco-gutierrez-sanin/la-metamorfosis/_S05</t>
        </is>
      </c>
      <c r="C132" s="38" t="inlineStr">
        <is>
          <t>El Espectador</t>
        </is>
      </c>
      <c r="D132" s="38" t="inlineStr">
        <is>
          <t>Relación con Estados Unidos</t>
        </is>
      </c>
      <c r="E132" s="38" t="inlineStr">
        <is>
          <t>Opinión-análisis</t>
        </is>
      </c>
      <c r="F132" s="38" t="inlineStr">
        <is>
          <t>Fri, 04 Sep 2026 14:46:43 +0000</t>
        </is>
      </c>
      <c r="G132" s="62" t="inlineStr">
        <is>
          <t>Iván Duque, de hecho, intentó hacerlo con conciertos de música para planchar en nuestra larga frontera (una de las poquísimas cosas de su gobierno que recuerdo con regocijo).</t>
        </is>
      </c>
      <c r="H132" s="62" t="inlineStr">
        <is>
          <t>Para otros, que constituían en Colombia la corriente principal, era una dictadura monstruosa e inédita a la que necesitábamos echar por tierra.</t>
        </is>
      </c>
      <c r="I132" s="62" t="inlineStr">
        <is>
          <t>Y, mientras eso sucedía, al menos, afirmaban importantes voceros de opinión de distintas tendencias, tocaba romper relaciones diplomáticas con ella.</t>
        </is>
      </c>
      <c r="J132" s="38" t="n"/>
      <c r="K132" s="62" t="n"/>
      <c r="L132" s="38" t="n"/>
      <c r="M132" s="62" t="n"/>
      <c r="N132" s="38" t="n"/>
      <c r="O132" s="62" t="n"/>
      <c r="P132" s="38" t="n"/>
      <c r="Q132" s="62" t="n"/>
      <c r="R132" s="38" t="n"/>
      <c r="S132" s="62" t="n"/>
      <c r="T132" s="38" t="n"/>
      <c r="U132" s="62" t="n"/>
      <c r="V132" s="38" t="n"/>
      <c r="W132" s="62" t="n"/>
      <c r="X132" s="38" t="n"/>
      <c r="Y132" s="62" t="n"/>
      <c r="Z132" s="38" t="n"/>
      <c r="AA132" s="62" t="n"/>
      <c r="AB132" s="38" t="n"/>
      <c r="AC132" s="62" t="n"/>
      <c r="AD132" s="38" t="n"/>
      <c r="AE132" s="38" t="n"/>
      <c r="AF132" s="61">
        <f>IF(COUNTIF($B$5:B132,B132)=1,1,0)</f>
        <v/>
      </c>
      <c r="AG132" s="62" t="inlineStr">
        <is>
          <t>https://www.elespectador.com/opinion/columnistas/francisco-gutierrez-sanin/la-metamorfosis/</t>
        </is>
      </c>
    </row>
    <row r="133" ht="15" customHeight="1" s="31">
      <c r="A133" s="38" t="inlineStr">
        <is>
          <t>https://www.elespectador.com/opinion/columnistas/francisco-gutierrez-sanin/la-metamorfosis/</t>
        </is>
      </c>
      <c r="B133" s="38" t="inlineStr">
        <is>
          <t>https://www.elespectador.com/opinion/columnistas/francisco-gutierrez-sanin/la-metamorfosis/_S06</t>
        </is>
      </c>
      <c r="C133" s="38" t="inlineStr">
        <is>
          <t>El Espectador</t>
        </is>
      </c>
      <c r="D133" s="38" t="inlineStr">
        <is>
          <t>Relación con Estados Unidos</t>
        </is>
      </c>
      <c r="E133" s="38" t="inlineStr">
        <is>
          <t>Opinión-análisis</t>
        </is>
      </c>
      <c r="F133" s="38" t="inlineStr">
        <is>
          <t>Fri, 04 Sep 2026 14:46:43 +0000</t>
        </is>
      </c>
      <c r="G133" s="62" t="inlineStr">
        <is>
          <t>Y, mientras eso sucedía, al menos, afirmaban importantes voceros de opinión de distintas tendencias, tocaba romper relaciones diplomáticas con ella.</t>
        </is>
      </c>
      <c r="H133" s="62" t="inlineStr">
        <is>
          <t>Iván Duque, de hecho, intentó hacerlo con conciertos de música para planchar en nuestra larga frontera (una de las poquísimas cosas de su gobierno que recuerdo con regocijo).</t>
        </is>
      </c>
      <c r="I133" s="62" t="inlineStr">
        <is>
          <t>Hoy, mientras el dueto Trump-Rubio acaba de firmar con la delfín del “castrochavismo”, Delcy Rodríguez, un acuerdo neocolonial para succionar el petróleo venezolano, el silencio analítico sobre lo que está pasando es abrumador.</t>
        </is>
      </c>
      <c r="J133" s="38" t="n"/>
      <c r="K133" s="62" t="n"/>
      <c r="L133" s="38" t="n"/>
      <c r="M133" s="62" t="n"/>
      <c r="N133" s="38" t="n"/>
      <c r="O133" s="62" t="n"/>
      <c r="P133" s="38" t="n"/>
      <c r="Q133" s="62" t="n"/>
      <c r="R133" s="38" t="n"/>
      <c r="S133" s="62" t="n"/>
      <c r="T133" s="38" t="n"/>
      <c r="U133" s="62" t="n"/>
      <c r="V133" s="38" t="n"/>
      <c r="W133" s="62" t="n"/>
      <c r="X133" s="38" t="n"/>
      <c r="Y133" s="62" t="n"/>
      <c r="Z133" s="38" t="n"/>
      <c r="AA133" s="62" t="n"/>
      <c r="AB133" s="38" t="n"/>
      <c r="AC133" s="62" t="n"/>
      <c r="AD133" s="38" t="n"/>
      <c r="AE133" s="38" t="n"/>
      <c r="AF133" s="61">
        <f>IF(COUNTIF($B$5:B133,B133)=1,1,0)</f>
        <v/>
      </c>
      <c r="AG133" s="62" t="inlineStr">
        <is>
          <t>https://www.elespectador.com/opinion/columnistas/francisco-gutierrez-sanin/la-metamorfosis/</t>
        </is>
      </c>
    </row>
    <row r="134" ht="15" customHeight="1" s="31">
      <c r="A134" s="38" t="inlineStr">
        <is>
          <t>https://www.elespectador.com/opinion/columnistas/francisco-gutierrez-sanin/la-metamorfosis/</t>
        </is>
      </c>
      <c r="B134" s="38" t="inlineStr">
        <is>
          <t>https://www.elespectador.com/opinion/columnistas/francisco-gutierrez-sanin/la-metamorfosis/_S07</t>
        </is>
      </c>
      <c r="C134" s="38" t="inlineStr">
        <is>
          <t>El Espectador</t>
        </is>
      </c>
      <c r="D134" s="38" t="inlineStr">
        <is>
          <t>Relación con Estados Unidos</t>
        </is>
      </c>
      <c r="E134" s="38" t="inlineStr">
        <is>
          <t>Opinión-análisis</t>
        </is>
      </c>
      <c r="F134" s="38" t="inlineStr">
        <is>
          <t>Fri, 04 Sep 2026 14:46:43 +0000</t>
        </is>
      </c>
      <c r="G134" s="62" t="inlineStr">
        <is>
          <t>Hoy, mientras el dueto Trump-Rubio acaba de firmar con la delfín del “castrochavismo”, Delcy Rodríguez, un acuerdo neocolonial para succionar el petróleo venezolano, el silencio analítico sobre lo que está pasando es abrumador.</t>
        </is>
      </c>
      <c r="H134" s="62" t="inlineStr">
        <is>
          <t>Y, mientras eso sucedía, al menos, afirmaban importantes voceros de opinión de distintas tendencias, tocaba romper relaciones diplomáticas con ella.</t>
        </is>
      </c>
      <c r="I134" s="62" t="inlineStr">
        <is>
          <t>Podría deleitarme con el sinfín de preguntas sin contestar y de contabilidades por partida doble que ha generado entre nosotros el episodio.</t>
        </is>
      </c>
      <c r="J134" s="38" t="n"/>
      <c r="K134" s="62" t="n"/>
      <c r="L134" s="38" t="n"/>
      <c r="M134" s="62" t="n"/>
      <c r="N134" s="38" t="n"/>
      <c r="O134" s="62" t="n"/>
      <c r="P134" s="38" t="n"/>
      <c r="Q134" s="62" t="n"/>
      <c r="R134" s="38" t="n"/>
      <c r="S134" s="62" t="n"/>
      <c r="T134" s="38" t="n"/>
      <c r="U134" s="62" t="n"/>
      <c r="V134" s="38" t="n"/>
      <c r="W134" s="62" t="n"/>
      <c r="X134" s="38" t="n"/>
      <c r="Y134" s="62" t="n"/>
      <c r="Z134" s="38" t="n"/>
      <c r="AA134" s="62" t="n"/>
      <c r="AB134" s="38" t="n"/>
      <c r="AC134" s="62" t="n"/>
      <c r="AD134" s="38" t="n"/>
      <c r="AE134" s="38" t="n"/>
      <c r="AF134" s="61">
        <f>IF(COUNTIF($B$5:B134,B134)=1,1,0)</f>
        <v/>
      </c>
      <c r="AG134" s="62" t="inlineStr">
        <is>
          <t>https://www.elespectador.com/opinion/columnistas/francisco-gutierrez-sanin/la-metamorfosis/</t>
        </is>
      </c>
    </row>
    <row r="135" ht="15" customHeight="1" s="31">
      <c r="A135" s="38" t="inlineStr">
        <is>
          <t>https://www.elespectador.com/opinion/columnistas/francisco-gutierrez-sanin/la-metamorfosis/</t>
        </is>
      </c>
      <c r="B135" s="38" t="inlineStr">
        <is>
          <t>https://www.elespectador.com/opinion/columnistas/francisco-gutierrez-sanin/la-metamorfosis/_S08</t>
        </is>
      </c>
      <c r="C135" s="38" t="inlineStr">
        <is>
          <t>El Espectador</t>
        </is>
      </c>
      <c r="D135" s="38" t="inlineStr">
        <is>
          <t>Relación con Estados Unidos</t>
        </is>
      </c>
      <c r="E135" s="38" t="inlineStr">
        <is>
          <t>Opinión-análisis</t>
        </is>
      </c>
      <c r="F135" s="38" t="inlineStr">
        <is>
          <t>Fri, 04 Sep 2026 14:46:43 +0000</t>
        </is>
      </c>
      <c r="G135" s="62" t="inlineStr">
        <is>
          <t>Podría deleitarme con el sinfín de preguntas sin contestar y de contabilidades por partida doble que ha generado entre nosotros el episodio.</t>
        </is>
      </c>
      <c r="H135" s="62" t="inlineStr">
        <is>
          <t>Hoy, mientras el dueto Trump-Rubio acaba de firmar con la delfín del “castrochavismo”, Delcy Rodríguez, un acuerdo neocolonial para succionar el petróleo venezolano, el silencio analítico sobre lo que está pasando es abrumador.</t>
        </is>
      </c>
      <c r="I135" s="62" t="inlineStr">
        <is>
          <t>¿Cómo explicar que el gran proyecto terminó como administrador del control neocolonial estadounidense?</t>
        </is>
      </c>
      <c r="J135" s="38" t="n"/>
      <c r="K135" s="62" t="n"/>
      <c r="L135" s="38" t="n"/>
      <c r="M135" s="62" t="n"/>
      <c r="N135" s="38" t="n"/>
      <c r="O135" s="62" t="n"/>
      <c r="P135" s="38" t="n"/>
      <c r="Q135" s="62" t="n"/>
      <c r="R135" s="38" t="n"/>
      <c r="S135" s="62" t="n"/>
      <c r="T135" s="38" t="n"/>
      <c r="U135" s="62" t="n"/>
      <c r="V135" s="38" t="n"/>
      <c r="W135" s="62" t="n"/>
      <c r="X135" s="38" t="n"/>
      <c r="Y135" s="62" t="n"/>
      <c r="Z135" s="38" t="n"/>
      <c r="AA135" s="62" t="n"/>
      <c r="AB135" s="38" t="n"/>
      <c r="AC135" s="62" t="n"/>
      <c r="AD135" s="38" t="n"/>
      <c r="AE135" s="38" t="n"/>
      <c r="AF135" s="61">
        <f>IF(COUNTIF($B$5:B135,B135)=1,1,0)</f>
        <v/>
      </c>
      <c r="AG135" s="62" t="inlineStr">
        <is>
          <t>https://www.elespectador.com/opinion/columnistas/francisco-gutierrez-sanin/la-metamorfosis/</t>
        </is>
      </c>
    </row>
    <row r="136" ht="15" customHeight="1" s="31">
      <c r="A136" s="38" t="inlineStr">
        <is>
          <t>https://www.elespectador.com/opinion/columnistas/francisco-gutierrez-sanin/la-metamorfosis/</t>
        </is>
      </c>
      <c r="B136" s="38" t="inlineStr">
        <is>
          <t>https://www.elespectador.com/opinion/columnistas/francisco-gutierrez-sanin/la-metamorfosis/_S09</t>
        </is>
      </c>
      <c r="C136" s="38" t="inlineStr">
        <is>
          <t>El Espectador</t>
        </is>
      </c>
      <c r="D136" s="38" t="inlineStr">
        <is>
          <t>Relación con Estados Unidos</t>
        </is>
      </c>
      <c r="E136" s="38" t="inlineStr">
        <is>
          <t>Opinión-análisis</t>
        </is>
      </c>
      <c r="F136" s="38" t="inlineStr">
        <is>
          <t>Fri, 04 Sep 2026 14:46:43 +0000</t>
        </is>
      </c>
      <c r="G136" s="62" t="inlineStr">
        <is>
          <t>¿Cómo explicar que el gran proyecto terminó como administrador del control neocolonial estadounidense?</t>
        </is>
      </c>
      <c r="H136" s="62" t="inlineStr">
        <is>
          <t>Podría deleitarme con el sinfín de preguntas sin contestar y de contabilidades por partida doble que ha generado entre nosotros el episodio.</t>
        </is>
      </c>
      <c r="I136" s="62" t="inlineStr">
        <is>
          <t>¿Por qué la lucha por la democracia y los llamados patéticos a romper con la intolerable dictadura llegaron repentinamente a su fin una vez que ella se volvió aliada de la potencia del norte?</t>
        </is>
      </c>
      <c r="J136" s="38" t="n"/>
      <c r="K136" s="62" t="n"/>
      <c r="L136" s="38" t="n"/>
      <c r="M136" s="62" t="n"/>
      <c r="N136" s="38" t="n"/>
      <c r="O136" s="62" t="n"/>
      <c r="P136" s="38" t="n"/>
      <c r="Q136" s="62" t="n"/>
      <c r="R136" s="38" t="n"/>
      <c r="S136" s="62" t="n"/>
      <c r="T136" s="38" t="n"/>
      <c r="U136" s="62" t="n"/>
      <c r="V136" s="38" t="n"/>
      <c r="W136" s="62" t="n"/>
      <c r="X136" s="38" t="n"/>
      <c r="Y136" s="62" t="n"/>
      <c r="Z136" s="38" t="n"/>
      <c r="AA136" s="62" t="n"/>
      <c r="AB136" s="38" t="n"/>
      <c r="AC136" s="62" t="n"/>
      <c r="AD136" s="38" t="n"/>
      <c r="AE136" s="38" t="n"/>
      <c r="AF136" s="61">
        <f>IF(COUNTIF($B$5:B136,B136)=1,1,0)</f>
        <v/>
      </c>
      <c r="AG136" s="62" t="inlineStr">
        <is>
          <t>https://www.elespectador.com/opinion/columnistas/francisco-gutierrez-sanin/la-metamorfosis/</t>
        </is>
      </c>
    </row>
    <row r="137" ht="15" customHeight="1" s="31">
      <c r="A137" s="38" t="inlineStr">
        <is>
          <t>https://www.elespectador.com/opinion/columnistas/francisco-gutierrez-sanin/la-metamorfosis/</t>
        </is>
      </c>
      <c r="B137" s="38" t="inlineStr">
        <is>
          <t>https://www.elespectador.com/opinion/columnistas/francisco-gutierrez-sanin/la-metamorfosis/_S10</t>
        </is>
      </c>
      <c r="C137" s="38" t="inlineStr">
        <is>
          <t>El Espectador</t>
        </is>
      </c>
      <c r="D137" s="38" t="inlineStr">
        <is>
          <t>Relación con Estados Unidos</t>
        </is>
      </c>
      <c r="E137" s="38" t="inlineStr">
        <is>
          <t>Opinión-análisis</t>
        </is>
      </c>
      <c r="F137" s="38" t="inlineStr">
        <is>
          <t>Fri, 04 Sep 2026 14:46:43 +0000</t>
        </is>
      </c>
      <c r="G137" s="62" t="inlineStr">
        <is>
          <t>¿Por qué la lucha por la democracia y los llamados patéticos a romper con la intolerable dictadura llegaron repentinamente a su fin una vez que ella se volvió aliada de la potencia del norte?</t>
        </is>
      </c>
      <c r="H137" s="62" t="inlineStr">
        <is>
          <t>¿Cómo explicar que el gran proyecto terminó como administrador del control neocolonial estadounidense?</t>
        </is>
      </c>
      <c r="I137" s="62" t="inlineStr">
        <is>
          <t>¿Dónde quedaron las exigencias urgentes de ruptura diplomática?</t>
        </is>
      </c>
      <c r="J137" s="38" t="n"/>
      <c r="K137" s="62" t="n"/>
      <c r="L137" s="38" t="n"/>
      <c r="M137" s="62" t="n"/>
      <c r="N137" s="38" t="n"/>
      <c r="O137" s="62" t="n"/>
      <c r="P137" s="38" t="n"/>
      <c r="Q137" s="62" t="n"/>
      <c r="R137" s="38" t="n"/>
      <c r="S137" s="62" t="n"/>
      <c r="T137" s="38" t="n"/>
      <c r="U137" s="62" t="n"/>
      <c r="V137" s="38" t="n"/>
      <c r="W137" s="62" t="n"/>
      <c r="X137" s="38" t="n"/>
      <c r="Y137" s="62" t="n"/>
      <c r="Z137" s="38" t="n"/>
      <c r="AA137" s="62" t="n"/>
      <c r="AB137" s="38" t="n"/>
      <c r="AC137" s="62" t="n"/>
      <c r="AD137" s="38" t="n"/>
      <c r="AE137" s="38" t="n"/>
      <c r="AF137" s="61">
        <f>IF(COUNTIF($B$5:B137,B137)=1,1,0)</f>
        <v/>
      </c>
      <c r="AG137" s="62" t="inlineStr">
        <is>
          <t>https://www.elespectador.com/opinion/columnistas/francisco-gutierrez-sanin/la-metamorfosis/</t>
        </is>
      </c>
    </row>
    <row r="138" ht="15" customHeight="1" s="31">
      <c r="A138" s="38" t="inlineStr">
        <is>
          <t>https://www.elespectador.com/opinion/columnistas/francisco-gutierrez-sanin/la-metamorfosis/</t>
        </is>
      </c>
      <c r="B138" s="38" t="inlineStr">
        <is>
          <t>https://www.elespectador.com/opinion/columnistas/francisco-gutierrez-sanin/la-metamorfosis/_S11</t>
        </is>
      </c>
      <c r="C138" s="38" t="inlineStr">
        <is>
          <t>El Espectador</t>
        </is>
      </c>
      <c r="D138" s="38" t="inlineStr">
        <is>
          <t>Relación con Estados Unidos</t>
        </is>
      </c>
      <c r="E138" s="38" t="inlineStr">
        <is>
          <t>Opinión-análisis</t>
        </is>
      </c>
      <c r="F138" s="38" t="inlineStr">
        <is>
          <t>Fri, 04 Sep 2026 14:46:43 +0000</t>
        </is>
      </c>
      <c r="G138" s="62" t="inlineStr">
        <is>
          <t>¿Dónde quedaron las exigencias urgentes de ruptura diplomática?</t>
        </is>
      </c>
      <c r="H138" s="62" t="inlineStr">
        <is>
          <t>¿Por qué la lucha por la democracia y los llamados patéticos a romper con la intolerable dictadura llegaron repentinamente a su fin una vez que ella se volvió aliada de la potencia del norte?</t>
        </is>
      </c>
      <c r="I138" s="62" t="inlineStr">
        <is>
          <t>Pero la situación es demasiado seria –y demasiado interesante– como para darle mucho tiempo y gusto a la tentación de trollear (uno de los buenos neologismos de nuestro tiempo).</t>
        </is>
      </c>
      <c r="J138" s="38" t="n"/>
      <c r="K138" s="62" t="n"/>
      <c r="L138" s="38" t="n"/>
      <c r="M138" s="62" t="n"/>
      <c r="N138" s="38" t="n"/>
      <c r="O138" s="62" t="n"/>
      <c r="P138" s="38" t="n"/>
      <c r="Q138" s="62" t="n"/>
      <c r="R138" s="38" t="n"/>
      <c r="S138" s="62" t="n"/>
      <c r="T138" s="38" t="n"/>
      <c r="U138" s="62" t="n"/>
      <c r="V138" s="38" t="n"/>
      <c r="W138" s="62" t="n"/>
      <c r="X138" s="38" t="n"/>
      <c r="Y138" s="62" t="n"/>
      <c r="Z138" s="38" t="n"/>
      <c r="AA138" s="62" t="n"/>
      <c r="AB138" s="38" t="n"/>
      <c r="AC138" s="62" t="n"/>
      <c r="AD138" s="38" t="n"/>
      <c r="AE138" s="38" t="n"/>
      <c r="AF138" s="61">
        <f>IF(COUNTIF($B$5:B138,B138)=1,1,0)</f>
        <v/>
      </c>
      <c r="AG138" s="62" t="inlineStr">
        <is>
          <t>https://www.elespectador.com/opinion/columnistas/francisco-gutierrez-sanin/la-metamorfosis/</t>
        </is>
      </c>
    </row>
    <row r="139" ht="15" customHeight="1" s="31">
      <c r="A139" s="38" t="inlineStr">
        <is>
          <t>https://www.elespectador.com/opinion/columnistas/francisco-gutierrez-sanin/la-metamorfosis/</t>
        </is>
      </c>
      <c r="B139" s="38" t="inlineStr">
        <is>
          <t>https://www.elespectador.com/opinion/columnistas/francisco-gutierrez-sanin/la-metamorfosis/_S12</t>
        </is>
      </c>
      <c r="C139" s="38" t="inlineStr">
        <is>
          <t>El Espectador</t>
        </is>
      </c>
      <c r="D139" s="38" t="inlineStr">
        <is>
          <t>Relación con Estados Unidos</t>
        </is>
      </c>
      <c r="E139" s="38" t="inlineStr">
        <is>
          <t>Opinión-análisis</t>
        </is>
      </c>
      <c r="F139" s="38" t="inlineStr">
        <is>
          <t>Fri, 04 Sep 2026 14:46:43 +0000</t>
        </is>
      </c>
      <c r="G139" s="62" t="inlineStr">
        <is>
          <t>Pero la situación es demasiado seria –y demasiado interesante– como para darle mucho tiempo y gusto a la tentación de trollear (uno de los buenos neologismos de nuestro tiempo).</t>
        </is>
      </c>
      <c r="H139" s="62" t="inlineStr">
        <is>
          <t>¿Dónde quedaron las exigencias urgentes de ruptura diplomática?</t>
        </is>
      </c>
      <c r="I139" s="62" t="inlineStr">
        <is>
          <t>Sería fundamental tratar de entender por qué estamos frente a este episodio, inimaginable hasta hace tan poco.</t>
        </is>
      </c>
      <c r="J139" s="38" t="n"/>
      <c r="K139" s="62" t="n"/>
      <c r="L139" s="38" t="n"/>
      <c r="M139" s="62" t="n"/>
      <c r="N139" s="38" t="n"/>
      <c r="O139" s="62" t="n"/>
      <c r="P139" s="38" t="n"/>
      <c r="Q139" s="62" t="n"/>
      <c r="R139" s="38" t="n"/>
      <c r="S139" s="62" t="n"/>
      <c r="T139" s="38" t="n"/>
      <c r="U139" s="62" t="n"/>
      <c r="V139" s="38" t="n"/>
      <c r="W139" s="62" t="n"/>
      <c r="X139" s="38" t="n"/>
      <c r="Y139" s="62" t="n"/>
      <c r="Z139" s="38" t="n"/>
      <c r="AA139" s="62" t="n"/>
      <c r="AB139" s="38" t="n"/>
      <c r="AC139" s="62" t="n"/>
      <c r="AD139" s="38" t="n"/>
      <c r="AE139" s="38" t="n"/>
      <c r="AF139" s="61">
        <f>IF(COUNTIF($B$5:B139,B139)=1,1,0)</f>
        <v/>
      </c>
      <c r="AG139" s="62" t="inlineStr">
        <is>
          <t>https://www.elespectador.com/opinion/columnistas/francisco-gutierrez-sanin/la-metamorfosis/</t>
        </is>
      </c>
    </row>
    <row r="140" ht="15" customHeight="1" s="31">
      <c r="A140" s="38" t="inlineStr">
        <is>
          <t>https://www.elespectador.com/opinion/columnistas/francisco-gutierrez-sanin/la-metamorfosis/</t>
        </is>
      </c>
      <c r="B140" s="38" t="inlineStr">
        <is>
          <t>https://www.elespectador.com/opinion/columnistas/francisco-gutierrez-sanin/la-metamorfosis/_S13</t>
        </is>
      </c>
      <c r="C140" s="38" t="inlineStr">
        <is>
          <t>El Espectador</t>
        </is>
      </c>
      <c r="D140" s="38" t="inlineStr">
        <is>
          <t>Relación con Estados Unidos</t>
        </is>
      </c>
      <c r="E140" s="38" t="inlineStr">
        <is>
          <t>Opinión-análisis</t>
        </is>
      </c>
      <c r="F140" s="38" t="inlineStr">
        <is>
          <t>Fri, 04 Sep 2026 14:46:43 +0000</t>
        </is>
      </c>
      <c r="G140" s="62" t="inlineStr">
        <is>
          <t>Sería fundamental tratar de entender por qué estamos frente a este episodio, inimaginable hasta hace tan poco.</t>
        </is>
      </c>
      <c r="H140" s="62" t="inlineStr">
        <is>
          <t>Pero la situación es demasiado seria –y demasiado interesante– como para darle mucho tiempo y gusto a la tentación de trollear (uno de los buenos neologismos de nuestro tiempo).</t>
        </is>
      </c>
      <c r="I140" s="62" t="inlineStr">
        <is>
          <t>La explicación de los incentivos inmediatos de los actores principales de este drama es relativamente rectilínea.</t>
        </is>
      </c>
      <c r="J140" s="38" t="n"/>
      <c r="K140" s="62" t="n"/>
      <c r="L140" s="38" t="n"/>
      <c r="M140" s="62" t="n"/>
      <c r="N140" s="38" t="n"/>
      <c r="O140" s="62" t="n"/>
      <c r="P140" s="38" t="n"/>
      <c r="Q140" s="62" t="n"/>
      <c r="R140" s="38" t="n"/>
      <c r="S140" s="62" t="n"/>
      <c r="T140" s="38" t="n"/>
      <c r="U140" s="62" t="n"/>
      <c r="V140" s="38" t="n"/>
      <c r="W140" s="62" t="n"/>
      <c r="X140" s="38" t="n"/>
      <c r="Y140" s="62" t="n"/>
      <c r="Z140" s="38" t="n"/>
      <c r="AA140" s="62" t="n"/>
      <c r="AB140" s="38" t="n"/>
      <c r="AC140" s="62" t="n"/>
      <c r="AD140" s="38" t="n"/>
      <c r="AE140" s="38" t="n"/>
      <c r="AF140" s="61">
        <f>IF(COUNTIF($B$5:B140,B140)=1,1,0)</f>
        <v/>
      </c>
      <c r="AG140" s="62" t="inlineStr">
        <is>
          <t>https://www.elespectador.com/opinion/columnistas/francisco-gutierrez-sanin/la-metamorfosis/</t>
        </is>
      </c>
    </row>
    <row r="141" ht="15" customHeight="1" s="31">
      <c r="A141" s="38" t="inlineStr">
        <is>
          <t>https://www.elespectador.com/opinion/columnistas/francisco-gutierrez-sanin/la-metamorfosis/</t>
        </is>
      </c>
      <c r="B141" s="38" t="inlineStr">
        <is>
          <t>https://www.elespectador.com/opinion/columnistas/francisco-gutierrez-sanin/la-metamorfosis/_S14</t>
        </is>
      </c>
      <c r="C141" s="38" t="inlineStr">
        <is>
          <t>El Espectador</t>
        </is>
      </c>
      <c r="D141" s="38" t="inlineStr">
        <is>
          <t>Relación con Estados Unidos</t>
        </is>
      </c>
      <c r="E141" s="38" t="inlineStr">
        <is>
          <t>Opinión-análisis</t>
        </is>
      </c>
      <c r="F141" s="38" t="inlineStr">
        <is>
          <t>Fri, 04 Sep 2026 14:46:43 +0000</t>
        </is>
      </c>
      <c r="G141" s="62" t="inlineStr">
        <is>
          <t>La explicación de los incentivos inmediatos de los actores principales de este drama es relativamente rectilínea.</t>
        </is>
      </c>
      <c r="H141" s="62" t="inlineStr">
        <is>
          <t>Sería fundamental tratar de entender por qué estamos frente a este episodio, inimaginable hasta hace tan poco.</t>
        </is>
      </c>
      <c r="I141" s="62" t="n"/>
      <c r="J141" s="38" t="n"/>
      <c r="K141" s="62" t="n"/>
      <c r="L141" s="38" t="n"/>
      <c r="M141" s="62" t="n"/>
      <c r="N141" s="38" t="n"/>
      <c r="O141" s="62" t="n"/>
      <c r="P141" s="38" t="n"/>
      <c r="Q141" s="62" t="n"/>
      <c r="R141" s="38" t="n"/>
      <c r="S141" s="62" t="n"/>
      <c r="T141" s="38" t="n"/>
      <c r="U141" s="62" t="n"/>
      <c r="V141" s="38" t="n"/>
      <c r="W141" s="62" t="n"/>
      <c r="X141" s="38" t="n"/>
      <c r="Y141" s="62" t="n"/>
      <c r="Z141" s="38" t="n"/>
      <c r="AA141" s="62" t="n"/>
      <c r="AB141" s="38" t="n"/>
      <c r="AC141" s="62" t="n"/>
      <c r="AD141" s="38" t="n"/>
      <c r="AE141" s="38" t="n"/>
      <c r="AF141" s="61">
        <f>IF(COUNTIF($B$5:B141,B141)=1,1,0)</f>
        <v/>
      </c>
      <c r="AG141" s="62" t="inlineStr">
        <is>
          <t>https://www.elespectador.com/opinion/columnistas/francisco-gutierrez-sanin/la-metamorfosis/</t>
        </is>
      </c>
    </row>
    <row r="142" ht="15" customHeight="1" s="31">
      <c r="A142" s="38" t="inlineStr">
        <is>
          <t>https://www.elespectador.com/opinion/editorial/editorial-el-estado-colombiano-no-puede-ser-cruel/</t>
        </is>
      </c>
      <c r="B142" s="38" t="inlineStr">
        <is>
          <t>https://www.elespectador.com/opinion/editorial/editorial-el-estado-colombiano-no-puede-ser-cruel/_S01</t>
        </is>
      </c>
      <c r="C142" s="38" t="inlineStr">
        <is>
          <t>El Espectador</t>
        </is>
      </c>
      <c r="D142" s="38" t="inlineStr">
        <is>
          <t>Transición de gobierno y relación con la oposición</t>
        </is>
      </c>
      <c r="E142" s="38" t="inlineStr">
        <is>
          <t>Opinión-análisis</t>
        </is>
      </c>
      <c r="F142" s="38" t="inlineStr">
        <is>
          <t>Fri, 04 Sep 2026 05:05:00 +0000</t>
        </is>
      </c>
      <c r="G142" s="62" t="inlineStr">
        <is>
          <t>El presidente de la República, Abelardo de la Espriella, dio unas declaraciones frente a dos decenas de bolsas blancas donde había, según nos contó el mandatario, cuerpos de combatientes abatidos en un bombardeo de la Fuerza Pública.</t>
        </is>
      </c>
      <c r="H142" s="62" t="n"/>
      <c r="I142" s="62" t="inlineStr">
        <is>
          <t>En el video, difundido por las redes oficiales de Presidencia, el presidente se refiere a alias Tigre, uno de los cabecillas de las disidencias lideradas por Iván Mordisco, e informa que “ese miserable que hoy hemos sacado de circulación perpetró ataques contra hombres del Ejército y de la Armada Nacional”.</t>
        </is>
      </c>
      <c r="J142" s="38" t="n"/>
      <c r="K142" s="62" t="n"/>
      <c r="L142" s="38" t="n"/>
      <c r="M142" s="62" t="n"/>
      <c r="N142" s="38" t="n"/>
      <c r="O142" s="62" t="n"/>
      <c r="P142" s="38" t="n"/>
      <c r="Q142" s="62" t="n"/>
      <c r="R142" s="38" t="n"/>
      <c r="S142" s="62" t="n"/>
      <c r="T142" s="38" t="n"/>
      <c r="U142" s="62" t="n"/>
      <c r="V142" s="38" t="n"/>
      <c r="W142" s="62" t="n"/>
      <c r="X142" s="38" t="n"/>
      <c r="Y142" s="62" t="n"/>
      <c r="Z142" s="38" t="n"/>
      <c r="AA142" s="62" t="n"/>
      <c r="AB142" s="38" t="n"/>
      <c r="AC142" s="62" t="n"/>
      <c r="AD142" s="38" t="n"/>
      <c r="AE142" s="38" t="n"/>
      <c r="AF142" s="61">
        <f>IF(COUNTIF($B$5:B142,B142)=1,1,0)</f>
        <v/>
      </c>
      <c r="AG142" s="62" t="inlineStr">
        <is>
          <t>https://www.elespectador.com/opinion/editorial/editorial-el-estado-colombiano-no-puede-ser-cruel/</t>
        </is>
      </c>
    </row>
    <row r="143" ht="15" customHeight="1" s="31">
      <c r="A143" s="38" t="inlineStr">
        <is>
          <t>https://www.elespectador.com/opinion/editorial/editorial-el-estado-colombiano-no-puede-ser-cruel/</t>
        </is>
      </c>
      <c r="B143" s="38" t="inlineStr">
        <is>
          <t>https://www.elespectador.com/opinion/editorial/editorial-el-estado-colombiano-no-puede-ser-cruel/_S02</t>
        </is>
      </c>
      <c r="C143" s="38" t="inlineStr">
        <is>
          <t>El Espectador</t>
        </is>
      </c>
      <c r="D143" s="38" t="inlineStr">
        <is>
          <t>Transición de gobierno y relación con la oposición</t>
        </is>
      </c>
      <c r="E143" s="38" t="inlineStr">
        <is>
          <t>Opinión-análisis</t>
        </is>
      </c>
      <c r="F143" s="38" t="inlineStr">
        <is>
          <t>Fri, 04 Sep 2026 05:05:00 +0000</t>
        </is>
      </c>
      <c r="G143" s="62" t="inlineStr">
        <is>
          <t>En el video, difundido por las redes oficiales de Presidencia, el presidente se refiere a alias Tigre, uno de los cabecillas de las disidencias lideradas por Iván Mordisco, e informa que “ese miserable que hoy hemos sacado de circulación perpetró ataques contra hombres del Ejército y de la Armada Nacional”.</t>
        </is>
      </c>
      <c r="H143" s="62" t="inlineStr">
        <is>
          <t>El presidente de la República, Abelardo de la Espriella, dio unas declaraciones frente a dos decenas de bolsas blancas donde había, según nos contó el mandatario, cuerpos de combatientes abatidos en un bombardeo de la Fuerza Pública.</t>
        </is>
      </c>
      <c r="I143" s="62" t="inlineStr">
        <is>
          <t>La cámara enfoca las bolsas.</t>
        </is>
      </c>
      <c r="J143" s="38" t="n"/>
      <c r="K143" s="62" t="n"/>
      <c r="L143" s="38" t="n"/>
      <c r="M143" s="62" t="n"/>
      <c r="N143" s="38" t="n"/>
      <c r="O143" s="62" t="n"/>
      <c r="P143" s="38" t="n"/>
      <c r="Q143" s="62" t="n"/>
      <c r="R143" s="38" t="n"/>
      <c r="S143" s="62" t="n"/>
      <c r="T143" s="38" t="n"/>
      <c r="U143" s="62" t="n"/>
      <c r="V143" s="38" t="n"/>
      <c r="W143" s="62" t="n"/>
      <c r="X143" s="38" t="n"/>
      <c r="Y143" s="62" t="n"/>
      <c r="Z143" s="38" t="n"/>
      <c r="AA143" s="62" t="n"/>
      <c r="AB143" s="38" t="n"/>
      <c r="AC143" s="62" t="n"/>
      <c r="AD143" s="38" t="n"/>
      <c r="AE143" s="38" t="n"/>
      <c r="AF143" s="61">
        <f>IF(COUNTIF($B$5:B143,B143)=1,1,0)</f>
        <v/>
      </c>
      <c r="AG143" s="62" t="inlineStr">
        <is>
          <t>https://www.elespectador.com/opinion/editorial/editorial-el-estado-colombiano-no-puede-ser-cruel/</t>
        </is>
      </c>
    </row>
    <row r="144" ht="15" customHeight="1" s="31">
      <c r="A144" s="38" t="inlineStr">
        <is>
          <t>https://www.elespectador.com/opinion/editorial/editorial-el-estado-colombiano-no-puede-ser-cruel/</t>
        </is>
      </c>
      <c r="B144" s="38" t="inlineStr">
        <is>
          <t>https://www.elespectador.com/opinion/editorial/editorial-el-estado-colombiano-no-puede-ser-cruel/_S03</t>
        </is>
      </c>
      <c r="C144" s="38" t="inlineStr">
        <is>
          <t>El Espectador</t>
        </is>
      </c>
      <c r="D144" s="38" t="inlineStr">
        <is>
          <t>Transición de gobierno y relación con la oposición</t>
        </is>
      </c>
      <c r="E144" s="38" t="inlineStr">
        <is>
          <t>Opinión-análisis</t>
        </is>
      </c>
      <c r="F144" s="38" t="inlineStr">
        <is>
          <t>Fri, 04 Sep 2026 05:05:00 +0000</t>
        </is>
      </c>
      <c r="G144" s="62" t="inlineStr">
        <is>
          <t>La cámara enfoca las bolsas.</t>
        </is>
      </c>
      <c r="H144" s="62" t="inlineStr">
        <is>
          <t>En el video, difundido por las redes oficiales de Presidencia, el presidente se refiere a alias Tigre, uno de los cabecillas de las disidencias lideradas por Iván Mordisco, e informa que “ese miserable que hoy hemos sacado de circulación perpetró ataques contra hombres del Ejército y de la Armada Nacional”.</t>
        </is>
      </c>
      <c r="I144" s="62" t="inlineStr">
        <is>
          <t>El mensaje es elocuente, contundente y profundamente preocupante.</t>
        </is>
      </c>
      <c r="J144" s="38" t="n"/>
      <c r="K144" s="62" t="n"/>
      <c r="L144" s="38" t="n"/>
      <c r="M144" s="62" t="n"/>
      <c r="N144" s="38" t="n"/>
      <c r="O144" s="62" t="n"/>
      <c r="P144" s="38" t="n"/>
      <c r="Q144" s="62" t="n"/>
      <c r="R144" s="38" t="n"/>
      <c r="S144" s="62" t="n"/>
      <c r="T144" s="38" t="n"/>
      <c r="U144" s="62" t="n"/>
      <c r="V144" s="38" t="n"/>
      <c r="W144" s="62" t="n"/>
      <c r="X144" s="38" t="n"/>
      <c r="Y144" s="62" t="n"/>
      <c r="Z144" s="38" t="n"/>
      <c r="AA144" s="62" t="n"/>
      <c r="AB144" s="38" t="n"/>
      <c r="AC144" s="62" t="n"/>
      <c r="AD144" s="38" t="n"/>
      <c r="AE144" s="38" t="n"/>
      <c r="AF144" s="61">
        <f>IF(COUNTIF($B$5:B144,B144)=1,1,0)</f>
        <v/>
      </c>
      <c r="AG144" s="62" t="inlineStr">
        <is>
          <t>https://www.elespectador.com/opinion/editorial/editorial-el-estado-colombiano-no-puede-ser-cruel/</t>
        </is>
      </c>
    </row>
    <row r="145" ht="15" customHeight="1" s="31">
      <c r="A145" s="38" t="inlineStr">
        <is>
          <t>https://www.elespectador.com/opinion/editorial/editorial-el-estado-colombiano-no-puede-ser-cruel/</t>
        </is>
      </c>
      <c r="B145" s="38" t="inlineStr">
        <is>
          <t>https://www.elespectador.com/opinion/editorial/editorial-el-estado-colombiano-no-puede-ser-cruel/_S04</t>
        </is>
      </c>
      <c r="C145" s="38" t="inlineStr">
        <is>
          <t>El Espectador</t>
        </is>
      </c>
      <c r="D145" s="38" t="inlineStr">
        <is>
          <t>Transición de gobierno y relación con la oposición</t>
        </is>
      </c>
      <c r="E145" s="38" t="inlineStr">
        <is>
          <t>Opinión-análisis</t>
        </is>
      </c>
      <c r="F145" s="38" t="inlineStr">
        <is>
          <t>Fri, 04 Sep 2026 05:05:00 +0000</t>
        </is>
      </c>
      <c r="G145" s="62" t="inlineStr">
        <is>
          <t>El mensaje es elocuente, contundente y profundamente preocupante.</t>
        </is>
      </c>
      <c r="H145" s="62" t="inlineStr">
        <is>
          <t>La cámara enfoca las bolsas.</t>
        </is>
      </c>
      <c r="I145" s="62" t="inlineStr">
        <is>
          <t>Colombia no es ajena a lo cruel que es la guerra.</t>
        </is>
      </c>
      <c r="J145" s="38" t="n"/>
      <c r="K145" s="62" t="n"/>
      <c r="L145" s="38" t="n"/>
      <c r="M145" s="62" t="n"/>
      <c r="N145" s="38" t="n"/>
      <c r="O145" s="62" t="n"/>
      <c r="P145" s="38" t="n"/>
      <c r="Q145" s="62" t="n"/>
      <c r="R145" s="38" t="n"/>
      <c r="S145" s="62" t="n"/>
      <c r="T145" s="38" t="n"/>
      <c r="U145" s="62" t="n"/>
      <c r="V145" s="38" t="n"/>
      <c r="W145" s="62" t="n"/>
      <c r="X145" s="38" t="n"/>
      <c r="Y145" s="62" t="n"/>
      <c r="Z145" s="38" t="n"/>
      <c r="AA145" s="62" t="n"/>
      <c r="AB145" s="38" t="n"/>
      <c r="AC145" s="62" t="n"/>
      <c r="AD145" s="38" t="n"/>
      <c r="AE145" s="38" t="n"/>
      <c r="AF145" s="61">
        <f>IF(COUNTIF($B$5:B145,B145)=1,1,0)</f>
        <v/>
      </c>
      <c r="AG145" s="62" t="inlineStr">
        <is>
          <t>https://www.elespectador.com/opinion/editorial/editorial-el-estado-colombiano-no-puede-ser-cruel/</t>
        </is>
      </c>
    </row>
    <row r="146" ht="15" customHeight="1" s="31">
      <c r="A146" s="38" t="inlineStr">
        <is>
          <t>https://www.elespectador.com/opinion/editorial/editorial-el-estado-colombiano-no-puede-ser-cruel/</t>
        </is>
      </c>
      <c r="B146" s="38" t="inlineStr">
        <is>
          <t>https://www.elespectador.com/opinion/editorial/editorial-el-estado-colombiano-no-puede-ser-cruel/_S05</t>
        </is>
      </c>
      <c r="C146" s="38" t="inlineStr">
        <is>
          <t>El Espectador</t>
        </is>
      </c>
      <c r="D146" s="38" t="inlineStr">
        <is>
          <t>Transición de gobierno y relación con la oposición</t>
        </is>
      </c>
      <c r="E146" s="38" t="inlineStr">
        <is>
          <t>Opinión-análisis</t>
        </is>
      </c>
      <c r="F146" s="38" t="inlineStr">
        <is>
          <t>Fri, 04 Sep 2026 05:05:00 +0000</t>
        </is>
      </c>
      <c r="G146" s="62" t="inlineStr">
        <is>
          <t>Colombia no es ajena a lo cruel que es la guerra.</t>
        </is>
      </c>
      <c r="H146" s="62" t="inlineStr">
        <is>
          <t>El mensaje es elocuente, contundente y profundamente preocupante.</t>
        </is>
      </c>
      <c r="I146" s="62" t="inlineStr">
        <is>
          <t>Nuestra historia está llena de sangre, violencia irracional y de imágenes que se quedan grabadas en la memoria colectiva, como aquella de paramilitares jugando fútbol con la cabeza de una de sus víctimas.</t>
        </is>
      </c>
      <c r="J146" s="38" t="n"/>
      <c r="K146" s="62" t="n"/>
      <c r="L146" s="38" t="n"/>
      <c r="M146" s="62" t="n"/>
      <c r="N146" s="38" t="n"/>
      <c r="O146" s="62" t="n"/>
      <c r="P146" s="38" t="n"/>
      <c r="Q146" s="62" t="n"/>
      <c r="R146" s="38" t="n"/>
      <c r="S146" s="62" t="n"/>
      <c r="T146" s="38" t="n"/>
      <c r="U146" s="62" t="n"/>
      <c r="V146" s="38" t="n"/>
      <c r="W146" s="62" t="n"/>
      <c r="X146" s="38" t="n"/>
      <c r="Y146" s="62" t="n"/>
      <c r="Z146" s="38" t="n"/>
      <c r="AA146" s="62" t="n"/>
      <c r="AB146" s="38" t="n"/>
      <c r="AC146" s="62" t="n"/>
      <c r="AD146" s="38" t="n"/>
      <c r="AE146" s="38" t="n"/>
      <c r="AF146" s="61">
        <f>IF(COUNTIF($B$5:B146,B146)=1,1,0)</f>
        <v/>
      </c>
      <c r="AG146" s="62" t="inlineStr">
        <is>
          <t>https://www.elespectador.com/opinion/editorial/editorial-el-estado-colombiano-no-puede-ser-cruel/</t>
        </is>
      </c>
    </row>
    <row r="147" ht="15" customHeight="1" s="31">
      <c r="A147" s="38" t="inlineStr">
        <is>
          <t>https://www.elespectador.com/opinion/editorial/editorial-el-estado-colombiano-no-puede-ser-cruel/</t>
        </is>
      </c>
      <c r="B147" s="38" t="inlineStr">
        <is>
          <t>https://www.elespectador.com/opinion/editorial/editorial-el-estado-colombiano-no-puede-ser-cruel/_S06</t>
        </is>
      </c>
      <c r="C147" s="38" t="inlineStr">
        <is>
          <t>El Espectador</t>
        </is>
      </c>
      <c r="D147" s="38" t="inlineStr">
        <is>
          <t>Transición de gobierno y relación con la oposición</t>
        </is>
      </c>
      <c r="E147" s="38" t="inlineStr">
        <is>
          <t>Opinión-análisis</t>
        </is>
      </c>
      <c r="F147" s="38" t="inlineStr">
        <is>
          <t>Fri, 04 Sep 2026 05:05:00 +0000</t>
        </is>
      </c>
      <c r="G147" s="62" t="inlineStr">
        <is>
          <t>Nuestra historia está llena de sangre, violencia irracional y de imágenes que se quedan grabadas en la memoria colectiva, como aquella de paramilitares jugando fútbol con la cabeza de una de sus víctimas.</t>
        </is>
      </c>
      <c r="H147" s="62" t="inlineStr">
        <is>
          <t>Colombia no es ajena a lo cruel que es la guerra.</t>
        </is>
      </c>
      <c r="I147" s="62" t="inlineStr">
        <is>
          <t>No hay colombiano que pueda decir que no ha estado expuesto a la crudeza y al dolor, al duelo de tantas personas en todos los rincones del país.</t>
        </is>
      </c>
      <c r="J147" s="38" t="n"/>
      <c r="K147" s="62" t="n"/>
      <c r="L147" s="38" t="n"/>
      <c r="M147" s="62" t="n"/>
      <c r="N147" s="38" t="n"/>
      <c r="O147" s="62" t="n"/>
      <c r="P147" s="38" t="n"/>
      <c r="Q147" s="62" t="n"/>
      <c r="R147" s="38" t="n"/>
      <c r="S147" s="62" t="n"/>
      <c r="T147" s="38" t="n"/>
      <c r="U147" s="62" t="n"/>
      <c r="V147" s="38" t="n"/>
      <c r="W147" s="62" t="n"/>
      <c r="X147" s="38" t="n"/>
      <c r="Y147" s="62" t="n"/>
      <c r="Z147" s="38" t="n"/>
      <c r="AA147" s="62" t="n"/>
      <c r="AB147" s="38" t="n"/>
      <c r="AC147" s="62" t="n"/>
      <c r="AD147" s="38" t="n"/>
      <c r="AE147" s="38" t="n"/>
      <c r="AF147" s="61">
        <f>IF(COUNTIF($B$5:B147,B147)=1,1,0)</f>
        <v/>
      </c>
      <c r="AG147" s="62" t="inlineStr">
        <is>
          <t>https://www.elespectador.com/opinion/editorial/editorial-el-estado-colombiano-no-puede-ser-cruel/</t>
        </is>
      </c>
    </row>
    <row r="148" ht="15" customHeight="1" s="31">
      <c r="A148" s="38" t="inlineStr">
        <is>
          <t>https://www.elespectador.com/opinion/editorial/editorial-el-estado-colombiano-no-puede-ser-cruel/</t>
        </is>
      </c>
      <c r="B148" s="38" t="inlineStr">
        <is>
          <t>https://www.elespectador.com/opinion/editorial/editorial-el-estado-colombiano-no-puede-ser-cruel/_S07</t>
        </is>
      </c>
      <c r="C148" s="38" t="inlineStr">
        <is>
          <t>El Espectador</t>
        </is>
      </c>
      <c r="D148" s="38" t="inlineStr">
        <is>
          <t>Transición de gobierno y relación con la oposición</t>
        </is>
      </c>
      <c r="E148" s="38" t="inlineStr">
        <is>
          <t>Opinión-análisis</t>
        </is>
      </c>
      <c r="F148" s="38" t="inlineStr">
        <is>
          <t>Fri, 04 Sep 2026 05:05:00 +0000</t>
        </is>
      </c>
      <c r="G148" s="62" t="inlineStr">
        <is>
          <t>No hay colombiano que pueda decir que no ha estado expuesto a la crudeza y al dolor, al duelo de tantas personas en todos los rincones del país.</t>
        </is>
      </c>
      <c r="H148" s="62" t="inlineStr">
        <is>
          <t>Nuestra historia está llena de sangre, violencia irracional y de imágenes que se quedan grabadas en la memoria colectiva, como aquella de paramilitares jugando fútbol con la cabeza de una de sus víctimas.</t>
        </is>
      </c>
      <c r="I148" s="62" t="inlineStr">
        <is>
          <t>Lo que sí es nuevo en ese video difundido por la Presidencia es que es la primera vez que un Gobierno Nacional expone con tal orgullo un acto de deshumanización que viola la dignidad de los muertos, que vulnera a sus familias y que pesa sobre la conciencia nacional.</t>
        </is>
      </c>
      <c r="J148" s="38" t="n"/>
      <c r="K148" s="62" t="n"/>
      <c r="L148" s="38" t="n"/>
      <c r="M148" s="62" t="n"/>
      <c r="N148" s="38" t="n"/>
      <c r="O148" s="62" t="n"/>
      <c r="P148" s="38" t="n"/>
      <c r="Q148" s="62" t="n"/>
      <c r="R148" s="38" t="n"/>
      <c r="S148" s="62" t="n"/>
      <c r="T148" s="38" t="n"/>
      <c r="U148" s="62" t="n"/>
      <c r="V148" s="38" t="n"/>
      <c r="W148" s="62" t="n"/>
      <c r="X148" s="38" t="n"/>
      <c r="Y148" s="62" t="n"/>
      <c r="Z148" s="38" t="n"/>
      <c r="AA148" s="62" t="n"/>
      <c r="AB148" s="38" t="n"/>
      <c r="AC148" s="62" t="n"/>
      <c r="AD148" s="38" t="n"/>
      <c r="AE148" s="38" t="n"/>
      <c r="AF148" s="61">
        <f>IF(COUNTIF($B$5:B148,B148)=1,1,0)</f>
        <v/>
      </c>
      <c r="AG148" s="62" t="inlineStr">
        <is>
          <t>https://www.elespectador.com/opinion/editorial/editorial-el-estado-colombiano-no-puede-ser-cruel/</t>
        </is>
      </c>
    </row>
    <row r="149" ht="15" customHeight="1" s="31">
      <c r="A149" s="38" t="inlineStr">
        <is>
          <t>https://www.elespectador.com/opinion/editorial/editorial-el-estado-colombiano-no-puede-ser-cruel/</t>
        </is>
      </c>
      <c r="B149" s="38" t="inlineStr">
        <is>
          <t>https://www.elespectador.com/opinion/editorial/editorial-el-estado-colombiano-no-puede-ser-cruel/_S08</t>
        </is>
      </c>
      <c r="C149" s="38" t="inlineStr">
        <is>
          <t>El Espectador</t>
        </is>
      </c>
      <c r="D149" s="38" t="inlineStr">
        <is>
          <t>Transición de gobierno y relación con la oposición</t>
        </is>
      </c>
      <c r="E149" s="38" t="inlineStr">
        <is>
          <t>Opinión-análisis</t>
        </is>
      </c>
      <c r="F149" s="38" t="inlineStr">
        <is>
          <t>Fri, 04 Sep 2026 05:05:00 +0000</t>
        </is>
      </c>
      <c r="G149" s="62" t="inlineStr">
        <is>
          <t>Lo que sí es nuevo en ese video difundido por la Presidencia es que es la primera vez que un Gobierno Nacional expone con tal orgullo un acto de deshumanización que viola la dignidad de los muertos, que vulnera a sus familias y que pesa sobre la conciencia nacional.</t>
        </is>
      </c>
      <c r="H149" s="62" t="inlineStr">
        <is>
          <t>No hay colombiano que pueda decir que no ha estado expuesto a la crudeza y al dolor, al duelo de tantas personas en todos los rincones del país.</t>
        </is>
      </c>
      <c r="I149" s="62" t="inlineStr">
        <is>
          <t>No se trata, como hemos leído en estos días, de cuestionar el actuar del Gobierno en materia de seguridad.</t>
        </is>
      </c>
      <c r="J149" s="38" t="n"/>
      <c r="K149" s="62" t="n"/>
      <c r="L149" s="38" t="n"/>
      <c r="M149" s="62" t="n"/>
      <c r="N149" s="38" t="n"/>
      <c r="O149" s="62" t="n"/>
      <c r="P149" s="38" t="n"/>
      <c r="Q149" s="62" t="n"/>
      <c r="R149" s="38" t="n"/>
      <c r="S149" s="62" t="n"/>
      <c r="T149" s="38" t="n"/>
      <c r="U149" s="62" t="n"/>
      <c r="V149" s="38" t="n"/>
      <c r="W149" s="62" t="n"/>
      <c r="X149" s="38" t="n"/>
      <c r="Y149" s="62" t="n"/>
      <c r="Z149" s="38" t="n"/>
      <c r="AA149" s="62" t="n"/>
      <c r="AB149" s="38" t="n"/>
      <c r="AC149" s="62" t="n"/>
      <c r="AD149" s="38" t="n"/>
      <c r="AE149" s="38" t="n"/>
      <c r="AF149" s="61">
        <f>IF(COUNTIF($B$5:B149,B149)=1,1,0)</f>
        <v/>
      </c>
      <c r="AG149" s="62" t="inlineStr">
        <is>
          <t>https://www.elespectador.com/opinion/editorial/editorial-el-estado-colombiano-no-puede-ser-cruel/</t>
        </is>
      </c>
    </row>
    <row r="150" ht="15" customHeight="1" s="31">
      <c r="A150" s="38" t="inlineStr">
        <is>
          <t>https://www.elespectador.com/opinion/editorial/editorial-el-estado-colombiano-no-puede-ser-cruel/</t>
        </is>
      </c>
      <c r="B150" s="38" t="inlineStr">
        <is>
          <t>https://www.elespectador.com/opinion/editorial/editorial-el-estado-colombiano-no-puede-ser-cruel/_S09</t>
        </is>
      </c>
      <c r="C150" s="38" t="inlineStr">
        <is>
          <t>El Espectador</t>
        </is>
      </c>
      <c r="D150" s="38" t="inlineStr">
        <is>
          <t>Transición de gobierno y relación con la oposición</t>
        </is>
      </c>
      <c r="E150" s="38" t="inlineStr">
        <is>
          <t>Opinión-análisis</t>
        </is>
      </c>
      <c r="F150" s="38" t="inlineStr">
        <is>
          <t>Fri, 04 Sep 2026 05:05:00 +0000</t>
        </is>
      </c>
      <c r="G150" s="62" t="inlineStr">
        <is>
          <t>No se trata, como hemos leído en estos días, de cuestionar el actuar del Gobierno en materia de seguridad.</t>
        </is>
      </c>
      <c r="H150" s="62" t="inlineStr">
        <is>
          <t>Lo que sí es nuevo en ese video difundido por la Presidencia es que es la primera vez que un Gobierno Nacional expone con tal orgullo un acto de deshumanización que viola la dignidad de los muertos, que vulnera a sus familias y que pesa sobre la conciencia nacional.</t>
        </is>
      </c>
      <c r="I150" s="62" t="inlineStr">
        <is>
          <t>Hemos dedicado varios editoriales a la necesidad de que la Fuerza Pública muestre sus capacidades operativas y recupere el terreno perdido por años de congelamiento y falta de estrategia.</t>
        </is>
      </c>
      <c r="J150" s="38" t="n"/>
      <c r="K150" s="62" t="n"/>
      <c r="L150" s="38" t="n"/>
      <c r="M150" s="62" t="n"/>
      <c r="N150" s="38" t="n"/>
      <c r="O150" s="62" t="n"/>
      <c r="P150" s="38" t="n"/>
      <c r="Q150" s="62" t="n"/>
      <c r="R150" s="38" t="n"/>
      <c r="S150" s="62" t="n"/>
      <c r="T150" s="38" t="n"/>
      <c r="U150" s="62" t="n"/>
      <c r="V150" s="38" t="n"/>
      <c r="W150" s="62" t="n"/>
      <c r="X150" s="38" t="n"/>
      <c r="Y150" s="62" t="n"/>
      <c r="Z150" s="38" t="n"/>
      <c r="AA150" s="62" t="n"/>
      <c r="AB150" s="38" t="n"/>
      <c r="AC150" s="62" t="n"/>
      <c r="AD150" s="38" t="n"/>
      <c r="AE150" s="38" t="n"/>
      <c r="AF150" s="61">
        <f>IF(COUNTIF($B$5:B150,B150)=1,1,0)</f>
        <v/>
      </c>
      <c r="AG150" s="62" t="inlineStr">
        <is>
          <t>https://www.elespectador.com/opinion/editorial/editorial-el-estado-colombiano-no-puede-ser-cruel/</t>
        </is>
      </c>
    </row>
    <row r="151" ht="15" customHeight="1" s="31">
      <c r="A151" s="38" t="inlineStr">
        <is>
          <t>https://www.elespectador.com/opinion/editorial/editorial-el-estado-colombiano-no-puede-ser-cruel/</t>
        </is>
      </c>
      <c r="B151" s="38" t="inlineStr">
        <is>
          <t>https://www.elespectador.com/opinion/editorial/editorial-el-estado-colombiano-no-puede-ser-cruel/_S10</t>
        </is>
      </c>
      <c r="C151" s="38" t="inlineStr">
        <is>
          <t>El Espectador</t>
        </is>
      </c>
      <c r="D151" s="38" t="inlineStr">
        <is>
          <t>Transición de gobierno y relación con la oposición</t>
        </is>
      </c>
      <c r="E151" s="38" t="inlineStr">
        <is>
          <t>Opinión-análisis</t>
        </is>
      </c>
      <c r="F151" s="38" t="inlineStr">
        <is>
          <t>Fri, 04 Sep 2026 05:05:00 +0000</t>
        </is>
      </c>
      <c r="G151" s="62" t="inlineStr">
        <is>
          <t>Hemos dedicado varios editoriales a la necesidad de que la Fuerza Pública muestre sus capacidades operativas y recupere el terreno perdido por años de congelamiento y falta de estrategia.</t>
        </is>
      </c>
      <c r="H151" s="62" t="inlineStr">
        <is>
          <t>No se trata, como hemos leído en estos días, de cuestionar el actuar del Gobierno en materia de seguridad.</t>
        </is>
      </c>
      <c r="I151" s="62" t="inlineStr">
        <is>
          <t>También reconocemos que los criminales han cometido hechos atroces, como el reclutamiento forzado de menores de edad a quienes usan como “escudos humanos” para buscar obstaculizar el trabajo de las autoridades.</t>
        </is>
      </c>
      <c r="J151" s="38" t="n"/>
      <c r="K151" s="62" t="n"/>
      <c r="L151" s="38" t="n"/>
      <c r="M151" s="62" t="n"/>
      <c r="N151" s="38" t="n"/>
      <c r="O151" s="62" t="n"/>
      <c r="P151" s="38" t="n"/>
      <c r="Q151" s="62" t="n"/>
      <c r="R151" s="38" t="n"/>
      <c r="S151" s="62" t="n"/>
      <c r="T151" s="38" t="n"/>
      <c r="U151" s="62" t="n"/>
      <c r="V151" s="38" t="n"/>
      <c r="W151" s="62" t="n"/>
      <c r="X151" s="38" t="n"/>
      <c r="Y151" s="62" t="n"/>
      <c r="Z151" s="38" t="n"/>
      <c r="AA151" s="62" t="n"/>
      <c r="AB151" s="38" t="n"/>
      <c r="AC151" s="62" t="n"/>
      <c r="AD151" s="38" t="n"/>
      <c r="AE151" s="38" t="n"/>
      <c r="AF151" s="61">
        <f>IF(COUNTIF($B$5:B151,B151)=1,1,0)</f>
        <v/>
      </c>
      <c r="AG151" s="62" t="inlineStr">
        <is>
          <t>https://www.elespectador.com/opinion/editorial/editorial-el-estado-colombiano-no-puede-ser-cruel/</t>
        </is>
      </c>
    </row>
    <row r="152" ht="15" customHeight="1" s="31">
      <c r="A152" s="38" t="inlineStr">
        <is>
          <t>https://www.elespectador.com/opinion/editorial/editorial-el-estado-colombiano-no-puede-ser-cruel/</t>
        </is>
      </c>
      <c r="B152" s="38" t="inlineStr">
        <is>
          <t>https://www.elespectador.com/opinion/editorial/editorial-el-estado-colombiano-no-puede-ser-cruel/_S11</t>
        </is>
      </c>
      <c r="C152" s="38" t="inlineStr">
        <is>
          <t>El Espectador</t>
        </is>
      </c>
      <c r="D152" s="38" t="inlineStr">
        <is>
          <t>Transición de gobierno y relación con la oposición</t>
        </is>
      </c>
      <c r="E152" s="38" t="inlineStr">
        <is>
          <t>Opinión-análisis</t>
        </is>
      </c>
      <c r="F152" s="38" t="inlineStr">
        <is>
          <t>Fri, 04 Sep 2026 05:05:00 +0000</t>
        </is>
      </c>
      <c r="G152" s="62" t="inlineStr">
        <is>
          <t>También reconocemos que los criminales han cometido hechos atroces, como el reclutamiento forzado de menores de edad a quienes usan como “escudos humanos” para buscar obstaculizar el trabajo de las autoridades.</t>
        </is>
      </c>
      <c r="H152" s="62" t="inlineStr">
        <is>
          <t>Hemos dedicado varios editoriales a la necesidad de que la Fuerza Pública muestre sus capacidades operativas y recupere el terreno perdido por años de congelamiento y falta de estrategia.</t>
        </is>
      </c>
      <c r="I152" s="62" t="inlineStr">
        <is>
          <t>La ofensiva anunciada por el presidente De la Espriella es urgente.</t>
        </is>
      </c>
      <c r="J152" s="38" t="n"/>
      <c r="K152" s="62" t="n"/>
      <c r="L152" s="38" t="n"/>
      <c r="M152" s="62" t="n"/>
      <c r="N152" s="38" t="n"/>
      <c r="O152" s="62" t="n"/>
      <c r="P152" s="38" t="n"/>
      <c r="Q152" s="62" t="n"/>
      <c r="R152" s="38" t="n"/>
      <c r="S152" s="62" t="n"/>
      <c r="T152" s="38" t="n"/>
      <c r="U152" s="62" t="n"/>
      <c r="V152" s="38" t="n"/>
      <c r="W152" s="62" t="n"/>
      <c r="X152" s="38" t="n"/>
      <c r="Y152" s="62" t="n"/>
      <c r="Z152" s="38" t="n"/>
      <c r="AA152" s="62" t="n"/>
      <c r="AB152" s="38" t="n"/>
      <c r="AC152" s="62" t="n"/>
      <c r="AD152" s="38" t="n"/>
      <c r="AE152" s="38" t="n"/>
      <c r="AF152" s="61">
        <f>IF(COUNTIF($B$5:B152,B152)=1,1,0)</f>
        <v/>
      </c>
      <c r="AG152" s="62" t="inlineStr">
        <is>
          <t>https://www.elespectador.com/opinion/editorial/editorial-el-estado-colombiano-no-puede-ser-cruel/</t>
        </is>
      </c>
    </row>
    <row r="153" ht="15" customHeight="1" s="31">
      <c r="A153" s="38" t="inlineStr">
        <is>
          <t>https://www.elespectador.com/opinion/editorial/editorial-el-estado-colombiano-no-puede-ser-cruel/</t>
        </is>
      </c>
      <c r="B153" s="38" t="inlineStr">
        <is>
          <t>https://www.elespectador.com/opinion/editorial/editorial-el-estado-colombiano-no-puede-ser-cruel/_S12</t>
        </is>
      </c>
      <c r="C153" s="38" t="inlineStr">
        <is>
          <t>El Espectador</t>
        </is>
      </c>
      <c r="D153" s="38" t="inlineStr">
        <is>
          <t>Transición de gobierno y relación con la oposición</t>
        </is>
      </c>
      <c r="E153" s="38" t="inlineStr">
        <is>
          <t>Opinión-análisis</t>
        </is>
      </c>
      <c r="F153" s="38" t="inlineStr">
        <is>
          <t>Fri, 04 Sep 2026 05:05:00 +0000</t>
        </is>
      </c>
      <c r="G153" s="62" t="inlineStr">
        <is>
          <t>La ofensiva anunciada por el presidente De la Espriella es urgente.</t>
        </is>
      </c>
      <c r="H153" s="62" t="inlineStr">
        <is>
          <t>También reconocemos que los criminales han cometido hechos atroces, como el reclutamiento forzado de menores de edad a quienes usan como “escudos humanos” para buscar obstaculizar el trabajo de las autoridades.</t>
        </is>
      </c>
      <c r="I153" s="62" t="inlineStr">
        <is>
          <t>Lo que ocurre es que el Estado colombiano no puede justificarse en los actos de los criminales para incurrir en actuaciones deshumanizantes.</t>
        </is>
      </c>
      <c r="J153" s="38" t="n"/>
      <c r="K153" s="62" t="n"/>
      <c r="L153" s="38" t="n"/>
      <c r="M153" s="62" t="n"/>
      <c r="N153" s="38" t="n"/>
      <c r="O153" s="62" t="n"/>
      <c r="P153" s="38" t="n"/>
      <c r="Q153" s="62" t="n"/>
      <c r="R153" s="38" t="n"/>
      <c r="S153" s="62" t="n"/>
      <c r="T153" s="38" t="n"/>
      <c r="U153" s="62" t="n"/>
      <c r="V153" s="38" t="n"/>
      <c r="W153" s="62" t="n"/>
      <c r="X153" s="38" t="n"/>
      <c r="Y153" s="62" t="n"/>
      <c r="Z153" s="38" t="n"/>
      <c r="AA153" s="62" t="n"/>
      <c r="AB153" s="38" t="n"/>
      <c r="AC153" s="62" t="n"/>
      <c r="AD153" s="38" t="n"/>
      <c r="AE153" s="38" t="n"/>
      <c r="AF153" s="61">
        <f>IF(COUNTIF($B$5:B153,B153)=1,1,0)</f>
        <v/>
      </c>
      <c r="AG153" s="62" t="inlineStr">
        <is>
          <t>https://www.elespectador.com/opinion/editorial/editorial-el-estado-colombiano-no-puede-ser-cruel/</t>
        </is>
      </c>
    </row>
    <row r="154" ht="15" customHeight="1" s="31">
      <c r="A154" s="38" t="inlineStr">
        <is>
          <t>https://www.elespectador.com/opinion/editorial/editorial-el-estado-colombiano-no-puede-ser-cruel/</t>
        </is>
      </c>
      <c r="B154" s="38" t="inlineStr">
        <is>
          <t>https://www.elespectador.com/opinion/editorial/editorial-el-estado-colombiano-no-puede-ser-cruel/_S13</t>
        </is>
      </c>
      <c r="C154" s="38" t="inlineStr">
        <is>
          <t>El Espectador</t>
        </is>
      </c>
      <c r="D154" s="38" t="inlineStr">
        <is>
          <t>Transición de gobierno y relación con la oposición</t>
        </is>
      </c>
      <c r="E154" s="38" t="inlineStr">
        <is>
          <t>Opinión-análisis</t>
        </is>
      </c>
      <c r="F154" s="38" t="inlineStr">
        <is>
          <t>Fri, 04 Sep 2026 05:05:00 +0000</t>
        </is>
      </c>
      <c r="G154" s="62" t="inlineStr">
        <is>
          <t>Lo que ocurre es que el Estado colombiano no puede justificarse en los actos de los criminales para incurrir en actuaciones deshumanizantes.</t>
        </is>
      </c>
      <c r="H154" s="62" t="inlineStr">
        <is>
          <t>La ofensiva anunciada por el presidente De la Espriella es urgente.</t>
        </is>
      </c>
      <c r="I154" s="62" t="inlineStr">
        <is>
          <t>La puesta en escena de los cadáveres producto del bombardeo es tétrica, los expone ante los colombianos y dice que el Gobierno no les concedió dignidad, ni siquiera en la muerte.</t>
        </is>
      </c>
      <c r="J154" s="38" t="n"/>
      <c r="K154" s="62" t="n"/>
      <c r="L154" s="38" t="n"/>
      <c r="M154" s="62" t="n"/>
      <c r="N154" s="38" t="n"/>
      <c r="O154" s="62" t="n"/>
      <c r="P154" s="38" t="n"/>
      <c r="Q154" s="62" t="n"/>
      <c r="R154" s="38" t="n"/>
      <c r="S154" s="62" t="n"/>
      <c r="T154" s="38" t="n"/>
      <c r="U154" s="62" t="n"/>
      <c r="V154" s="38" t="n"/>
      <c r="W154" s="62" t="n"/>
      <c r="X154" s="38" t="n"/>
      <c r="Y154" s="62" t="n"/>
      <c r="Z154" s="38" t="n"/>
      <c r="AA154" s="62" t="n"/>
      <c r="AB154" s="38" t="n"/>
      <c r="AC154" s="62" t="n"/>
      <c r="AD154" s="38" t="n"/>
      <c r="AE154" s="38" t="n"/>
      <c r="AF154" s="61">
        <f>IF(COUNTIF($B$5:B154,B154)=1,1,0)</f>
        <v/>
      </c>
      <c r="AG154" s="62" t="inlineStr">
        <is>
          <t>https://www.elespectador.com/opinion/editorial/editorial-el-estado-colombiano-no-puede-ser-cruel/</t>
        </is>
      </c>
    </row>
    <row r="155" ht="15" customHeight="1" s="31">
      <c r="A155" s="38" t="inlineStr">
        <is>
          <t>https://www.elespectador.com/opinion/editorial/editorial-el-estado-colombiano-no-puede-ser-cruel/</t>
        </is>
      </c>
      <c r="B155" s="38" t="inlineStr">
        <is>
          <t>https://www.elespectador.com/opinion/editorial/editorial-el-estado-colombiano-no-puede-ser-cruel/_S14</t>
        </is>
      </c>
      <c r="C155" s="38" t="inlineStr">
        <is>
          <t>El Espectador</t>
        </is>
      </c>
      <c r="D155" s="38" t="inlineStr">
        <is>
          <t>Transición de gobierno y relación con la oposición</t>
        </is>
      </c>
      <c r="E155" s="38" t="inlineStr">
        <is>
          <t>Opinión-análisis</t>
        </is>
      </c>
      <c r="F155" s="38" t="inlineStr">
        <is>
          <t>Fri, 04 Sep 2026 05:05:00 +0000</t>
        </is>
      </c>
      <c r="G155" s="62" t="inlineStr">
        <is>
          <t>La puesta en escena de los cadáveres producto del bombardeo es tétrica, los expone ante los colombianos y dice que el Gobierno no les concedió dignidad, ni siquiera en la muerte.</t>
        </is>
      </c>
      <c r="H155" s="62" t="inlineStr">
        <is>
          <t>Lo que ocurre es que el Estado colombiano no puede justificarse en los actos de los criminales para incurrir en actuaciones deshumanizantes.</t>
        </is>
      </c>
      <c r="I155" s="62" t="n"/>
      <c r="J155" s="38" t="n"/>
      <c r="K155" s="62" t="n"/>
      <c r="L155" s="38" t="n"/>
      <c r="M155" s="62" t="n"/>
      <c r="N155" s="38" t="n"/>
      <c r="O155" s="62" t="n"/>
      <c r="P155" s="38" t="n"/>
      <c r="Q155" s="62" t="n"/>
      <c r="R155" s="38" t="n"/>
      <c r="S155" s="62" t="n"/>
      <c r="T155" s="38" t="n"/>
      <c r="U155" s="62" t="n"/>
      <c r="V155" s="38" t="n"/>
      <c r="W155" s="62" t="n"/>
      <c r="X155" s="38" t="n"/>
      <c r="Y155" s="62" t="n"/>
      <c r="Z155" s="38" t="n"/>
      <c r="AA155" s="62" t="n"/>
      <c r="AB155" s="38" t="n"/>
      <c r="AC155" s="62" t="n"/>
      <c r="AD155" s="38" t="n"/>
      <c r="AE155" s="38" t="n"/>
      <c r="AF155" s="61">
        <f>IF(COUNTIF($B$5:B155,B155)=1,1,0)</f>
        <v/>
      </c>
      <c r="AG155" s="62" t="inlineStr">
        <is>
          <t>https://www.elespectador.com/opinion/editorial/editorial-el-estado-colombiano-no-puede-ser-cruel/</t>
        </is>
      </c>
    </row>
    <row r="156" ht="15" customHeight="1" s="31">
      <c r="A156" s="38" t="inlineStr">
        <is>
          <t>https://www.lasillavacia.com/?p=443446</t>
        </is>
      </c>
      <c r="B156" s="38" t="inlineStr">
        <is>
          <t>https://www.lasillavacia.com/?p=443446_S01</t>
        </is>
      </c>
      <c r="C156" s="38" t="inlineStr">
        <is>
          <t>La Silla Vacía</t>
        </is>
      </c>
      <c r="D156" s="38" t="inlineStr">
        <is>
          <t>Transición de gobierno y relación con la oposición</t>
        </is>
      </c>
      <c r="E156" s="38" t="inlineStr">
        <is>
          <t>Noticia dura</t>
        </is>
      </c>
      <c r="F156" s="38" t="inlineStr">
        <is>
          <t>Fri, 04 Sep 2026 20:47:35 +0000</t>
        </is>
      </c>
      <c r="G156" s="62" t="inlineStr">
        <is>
          <t>Las Autodefensas Conquistadoras de la Sierra Nevada (Acsn) aseguraron que “no habrá retaliaciones” tras la muerte de uno de sus cabecillas, Naín Andrés Pérez, alias “Naín” o “Bendito Menor”.</t>
        </is>
      </c>
      <c r="H156" s="62" t="n"/>
      <c r="I156" s="62" t="inlineStr">
        <is>
          <t>Fue abatido en las últimas horas como resultado de un operativo conjunto entre el Ejército y la Policía en Riohacha (La Guajira) .</t>
        </is>
      </c>
      <c r="J156" s="38" t="n"/>
      <c r="K156" s="62" t="n"/>
      <c r="L156" s="38" t="n"/>
      <c r="M156" s="62" t="n"/>
      <c r="N156" s="38" t="n"/>
      <c r="O156" s="62" t="n"/>
      <c r="P156" s="38" t="n"/>
      <c r="Q156" s="62" t="n"/>
      <c r="R156" s="38" t="n"/>
      <c r="S156" s="62" t="n"/>
      <c r="T156" s="38" t="n"/>
      <c r="U156" s="62" t="n"/>
      <c r="V156" s="38" t="n"/>
      <c r="W156" s="62" t="n"/>
      <c r="X156" s="38" t="n"/>
      <c r="Y156" s="62" t="n"/>
      <c r="Z156" s="38" t="n"/>
      <c r="AA156" s="62" t="n"/>
      <c r="AB156" s="38" t="n"/>
      <c r="AC156" s="62" t="n"/>
      <c r="AD156" s="38" t="n"/>
      <c r="AE156" s="38" t="n"/>
      <c r="AF156" s="61">
        <f>IF(COUNTIF($B$5:B156,B156)=1,1,0)</f>
        <v/>
      </c>
      <c r="AG156" s="62" t="inlineStr">
        <is>
          <t>https://www.lasillavacia.com/en-vivo/no-habra-retaliaciones-acsn-tras-muerte-de-bendito-menor-en-operativo/</t>
        </is>
      </c>
    </row>
    <row r="157" ht="15" customHeight="1" s="31">
      <c r="A157" s="38" t="inlineStr">
        <is>
          <t>https://www.lasillavacia.com/?p=443446</t>
        </is>
      </c>
      <c r="B157" s="38" t="inlineStr">
        <is>
          <t>https://www.lasillavacia.com/?p=443446_S02</t>
        </is>
      </c>
      <c r="C157" s="38" t="inlineStr">
        <is>
          <t>La Silla Vacía</t>
        </is>
      </c>
      <c r="D157" s="38" t="inlineStr">
        <is>
          <t>Transición de gobierno y relación con la oposición</t>
        </is>
      </c>
      <c r="E157" s="38" t="inlineStr">
        <is>
          <t>Noticia dura</t>
        </is>
      </c>
      <c r="F157" s="38" t="inlineStr">
        <is>
          <t>Fri, 04 Sep 2026 20:47:35 +0000</t>
        </is>
      </c>
      <c r="G157" s="62" t="inlineStr">
        <is>
          <t>Fue abatido en las últimas horas como resultado de un operativo conjunto entre el Ejército y la Policía en Riohacha (La Guajira) .</t>
        </is>
      </c>
      <c r="H157" s="62" t="inlineStr">
        <is>
          <t>Las Autodefensas Conquistadoras de la Sierra Nevada (Acsn) aseguraron que “no habrá retaliaciones” tras la muerte de uno de sus cabecillas, Naín Andrés Pérez, alias “Naín” o “Bendito Menor”.</t>
        </is>
      </c>
      <c r="I157" s="62" t="inlineStr">
        <is>
          <t>“Hacemos un llamado a la población civil de la Sierra Nevada de Santa Marta y de los departamentos del Magdalena, La Guajira y Cesar a mantener la calma”, añadió en un comunicado el Estado Mayor de las Acsn.</t>
        </is>
      </c>
      <c r="J157" s="38" t="n"/>
      <c r="K157" s="62" t="n"/>
      <c r="L157" s="38" t="n"/>
      <c r="M157" s="62" t="n"/>
      <c r="N157" s="38" t="n"/>
      <c r="O157" s="62" t="n"/>
      <c r="P157" s="38" t="n"/>
      <c r="Q157" s="62" t="n"/>
      <c r="R157" s="38" t="n"/>
      <c r="S157" s="62" t="n"/>
      <c r="T157" s="38" t="n"/>
      <c r="U157" s="62" t="n"/>
      <c r="V157" s="38" t="n"/>
      <c r="W157" s="62" t="n"/>
      <c r="X157" s="38" t="n"/>
      <c r="Y157" s="62" t="n"/>
      <c r="Z157" s="38" t="n"/>
      <c r="AA157" s="62" t="n"/>
      <c r="AB157" s="38" t="n"/>
      <c r="AC157" s="62" t="n"/>
      <c r="AD157" s="38" t="n"/>
      <c r="AE157" s="38" t="n"/>
      <c r="AF157" s="61">
        <f>IF(COUNTIF($B$5:B157,B157)=1,1,0)</f>
        <v/>
      </c>
      <c r="AG157" s="62" t="inlineStr">
        <is>
          <t>https://www.lasillavacia.com/en-vivo/no-habra-retaliaciones-acsn-tras-muerte-de-bendito-menor-en-operativo/</t>
        </is>
      </c>
    </row>
    <row r="158" ht="15" customHeight="1" s="31">
      <c r="A158" s="38" t="inlineStr">
        <is>
          <t>https://www.lasillavacia.com/?p=443446</t>
        </is>
      </c>
      <c r="B158" s="38" t="inlineStr">
        <is>
          <t>https://www.lasillavacia.com/?p=443446_S03</t>
        </is>
      </c>
      <c r="C158" s="38" t="inlineStr">
        <is>
          <t>La Silla Vacía</t>
        </is>
      </c>
      <c r="D158" s="38" t="inlineStr">
        <is>
          <t>Transición de gobierno y relación con la oposición</t>
        </is>
      </c>
      <c r="E158" s="38" t="inlineStr">
        <is>
          <t>Noticia dura</t>
        </is>
      </c>
      <c r="F158" s="38" t="inlineStr">
        <is>
          <t>Fri, 04 Sep 2026 20:47:35 +0000</t>
        </is>
      </c>
      <c r="G158" s="62" t="inlineStr">
        <is>
          <t>“Hacemos un llamado a la población civil de la Sierra Nevada de Santa Marta y de los departamentos del Magdalena, La Guajira y Cesar a mantener la calma”, añadió en un comunicado el Estado Mayor de las Acsn.</t>
        </is>
      </c>
      <c r="H158" s="62" t="inlineStr">
        <is>
          <t>Fue abatido en las últimas horas como resultado de un operativo conjunto entre el Ejército y la Policía en Riohacha (La Guajira) .</t>
        </is>
      </c>
      <c r="I158" s="62" t="inlineStr">
        <is>
          <t>Sostuvo que el operativo supuso un “golpe a nuestra organización”, pero que no habrá respuesta.</t>
        </is>
      </c>
      <c r="J158" s="38" t="n"/>
      <c r="K158" s="62" t="n"/>
      <c r="L158" s="38" t="n"/>
      <c r="M158" s="62" t="n"/>
      <c r="N158" s="38" t="n"/>
      <c r="O158" s="62" t="n"/>
      <c r="P158" s="38" t="n"/>
      <c r="Q158" s="62" t="n"/>
      <c r="R158" s="38" t="n"/>
      <c r="S158" s="62" t="n"/>
      <c r="T158" s="38" t="n"/>
      <c r="U158" s="62" t="n"/>
      <c r="V158" s="38" t="n"/>
      <c r="W158" s="62" t="n"/>
      <c r="X158" s="38" t="n"/>
      <c r="Y158" s="62" t="n"/>
      <c r="Z158" s="38" t="n"/>
      <c r="AA158" s="62" t="n"/>
      <c r="AB158" s="38" t="n"/>
      <c r="AC158" s="62" t="n"/>
      <c r="AD158" s="38" t="n"/>
      <c r="AE158" s="38" t="n"/>
      <c r="AF158" s="61">
        <f>IF(COUNTIF($B$5:B158,B158)=1,1,0)</f>
        <v/>
      </c>
      <c r="AG158" s="62" t="inlineStr">
        <is>
          <t>https://www.lasillavacia.com/en-vivo/no-habra-retaliaciones-acsn-tras-muerte-de-bendito-menor-en-operativo/</t>
        </is>
      </c>
    </row>
    <row r="159" ht="15" customHeight="1" s="31">
      <c r="A159" s="38" t="inlineStr">
        <is>
          <t>https://www.lasillavacia.com/?p=443446</t>
        </is>
      </c>
      <c r="B159" s="38" t="inlineStr">
        <is>
          <t>https://www.lasillavacia.com/?p=443446_S04</t>
        </is>
      </c>
      <c r="C159" s="38" t="inlineStr">
        <is>
          <t>La Silla Vacía</t>
        </is>
      </c>
      <c r="D159" s="38" t="inlineStr">
        <is>
          <t>Transición de gobierno y relación con la oposición</t>
        </is>
      </c>
      <c r="E159" s="38" t="inlineStr">
        <is>
          <t>Noticia dura</t>
        </is>
      </c>
      <c r="F159" s="38" t="inlineStr">
        <is>
          <t>Fri, 04 Sep 2026 20:47:35 +0000</t>
        </is>
      </c>
      <c r="G159" s="62" t="inlineStr">
        <is>
          <t>Sostuvo que el operativo supuso un “golpe a nuestra organización”, pero que no habrá respuesta.</t>
        </is>
      </c>
      <c r="H159" s="62" t="inlineStr">
        <is>
          <t>“Hacemos un llamado a la población civil de la Sierra Nevada de Santa Marta y de los departamentos del Magdalena, La Guajira y Cesar a mantener la calma”, añadió en un comunicado el Estado Mayor de las Acsn.</t>
        </is>
      </c>
      <c r="I159" s="62" t="inlineStr">
        <is>
          <t>Comunicado a la opinión pública en general… pic.twitter.com/QQKq7X58mv</t>
        </is>
      </c>
      <c r="J159" s="38" t="n"/>
      <c r="K159" s="62" t="n"/>
      <c r="L159" s="38" t="n"/>
      <c r="M159" s="62" t="n"/>
      <c r="N159" s="38" t="n"/>
      <c r="O159" s="62" t="n"/>
      <c r="P159" s="38" t="n"/>
      <c r="Q159" s="62" t="n"/>
      <c r="R159" s="38" t="n"/>
      <c r="S159" s="62" t="n"/>
      <c r="T159" s="38" t="n"/>
      <c r="U159" s="62" t="n"/>
      <c r="V159" s="38" t="n"/>
      <c r="W159" s="62" t="n"/>
      <c r="X159" s="38" t="n"/>
      <c r="Y159" s="62" t="n"/>
      <c r="Z159" s="38" t="n"/>
      <c r="AA159" s="62" t="n"/>
      <c r="AB159" s="38" t="n"/>
      <c r="AC159" s="62" t="n"/>
      <c r="AD159" s="38" t="n"/>
      <c r="AE159" s="38" t="n"/>
      <c r="AF159" s="61">
        <f>IF(COUNTIF($B$5:B159,B159)=1,1,0)</f>
        <v/>
      </c>
      <c r="AG159" s="62" t="inlineStr">
        <is>
          <t>https://www.lasillavacia.com/en-vivo/no-habra-retaliaciones-acsn-tras-muerte-de-bendito-menor-en-operativo/</t>
        </is>
      </c>
    </row>
    <row r="160" ht="15" customHeight="1" s="31">
      <c r="A160" s="38" t="inlineStr">
        <is>
          <t>https://www.lasillavacia.com/?p=443446</t>
        </is>
      </c>
      <c r="B160" s="38" t="inlineStr">
        <is>
          <t>https://www.lasillavacia.com/?p=443446_S05</t>
        </is>
      </c>
      <c r="C160" s="38" t="inlineStr">
        <is>
          <t>La Silla Vacía</t>
        </is>
      </c>
      <c r="D160" s="38" t="inlineStr">
        <is>
          <t>Transición de gobierno y relación con la oposición</t>
        </is>
      </c>
      <c r="E160" s="38" t="inlineStr">
        <is>
          <t>Noticia dura</t>
        </is>
      </c>
      <c r="F160" s="38" t="inlineStr">
        <is>
          <t>Fri, 04 Sep 2026 20:47:35 +0000</t>
        </is>
      </c>
      <c r="G160" s="62" t="inlineStr">
        <is>
          <t>Comunicado a la opinión pública en general… pic.twitter.com/QQKq7X58mv</t>
        </is>
      </c>
      <c r="H160" s="62" t="inlineStr">
        <is>
          <t>Sostuvo que el operativo supuso un “golpe a nuestra organización”, pero que no habrá respuesta.</t>
        </is>
      </c>
      <c r="I160" s="62" t="inlineStr">
        <is>
          <t>¿Quién era alias Bendito Menor?</t>
        </is>
      </c>
      <c r="J160" s="38" t="n"/>
      <c r="K160" s="62" t="n"/>
      <c r="L160" s="38" t="n"/>
      <c r="M160" s="62" t="n"/>
      <c r="N160" s="38" t="n"/>
      <c r="O160" s="62" t="n"/>
      <c r="P160" s="38" t="n"/>
      <c r="Q160" s="62" t="n"/>
      <c r="R160" s="38" t="n"/>
      <c r="S160" s="62" t="n"/>
      <c r="T160" s="38" t="n"/>
      <c r="U160" s="62" t="n"/>
      <c r="V160" s="38" t="n"/>
      <c r="W160" s="62" t="n"/>
      <c r="X160" s="38" t="n"/>
      <c r="Y160" s="62" t="n"/>
      <c r="Z160" s="38" t="n"/>
      <c r="AA160" s="62" t="n"/>
      <c r="AB160" s="38" t="n"/>
      <c r="AC160" s="62" t="n"/>
      <c r="AD160" s="38" t="n"/>
      <c r="AE160" s="38" t="n"/>
      <c r="AF160" s="61">
        <f>IF(COUNTIF($B$5:B160,B160)=1,1,0)</f>
        <v/>
      </c>
      <c r="AG160" s="62" t="inlineStr">
        <is>
          <t>https://www.lasillavacia.com/en-vivo/no-habra-retaliaciones-acsn-tras-muerte-de-bendito-menor-en-operativo/</t>
        </is>
      </c>
    </row>
    <row r="161" ht="15" customHeight="1" s="31">
      <c r="A161" s="38" t="inlineStr">
        <is>
          <t>https://www.lasillavacia.com/?p=443446</t>
        </is>
      </c>
      <c r="B161" s="38" t="inlineStr">
        <is>
          <t>https://www.lasillavacia.com/?p=443446_S06</t>
        </is>
      </c>
      <c r="C161" s="38" t="inlineStr">
        <is>
          <t>La Silla Vacía</t>
        </is>
      </c>
      <c r="D161" s="38" t="inlineStr">
        <is>
          <t>Transición de gobierno y relación con la oposición</t>
        </is>
      </c>
      <c r="E161" s="38" t="inlineStr">
        <is>
          <t>Noticia dura</t>
        </is>
      </c>
      <c r="F161" s="38" t="inlineStr">
        <is>
          <t>Fri, 04 Sep 2026 20:47:35 +0000</t>
        </is>
      </c>
      <c r="G161" s="62" t="inlineStr">
        <is>
          <t>¿Quién era alias Bendito Menor?</t>
        </is>
      </c>
      <c r="H161" s="62" t="inlineStr">
        <is>
          <t>Comunicado a la opinión pública en general… pic.twitter.com/QQKq7X58mv</t>
        </is>
      </c>
      <c r="I161" s="62" t="inlineStr">
        <is>
          <t>Naín Pérez Toncel tenía 26 años y las autoridades lo relacionaban con desplazamientos, paros armados y varios delitos.</t>
        </is>
      </c>
      <c r="J161" s="38" t="n"/>
      <c r="K161" s="62" t="n"/>
      <c r="L161" s="38" t="n"/>
      <c r="M161" s="62" t="n"/>
      <c r="N161" s="38" t="n"/>
      <c r="O161" s="62" t="n"/>
      <c r="P161" s="38" t="n"/>
      <c r="Q161" s="62" t="n"/>
      <c r="R161" s="38" t="n"/>
      <c r="S161" s="62" t="n"/>
      <c r="T161" s="38" t="n"/>
      <c r="U161" s="62" t="n"/>
      <c r="V161" s="38" t="n"/>
      <c r="W161" s="62" t="n"/>
      <c r="X161" s="38" t="n"/>
      <c r="Y161" s="62" t="n"/>
      <c r="Z161" s="38" t="n"/>
      <c r="AA161" s="62" t="n"/>
      <c r="AB161" s="38" t="n"/>
      <c r="AC161" s="62" t="n"/>
      <c r="AD161" s="38" t="n"/>
      <c r="AE161" s="38" t="n"/>
      <c r="AF161" s="61">
        <f>IF(COUNTIF($B$5:B161,B161)=1,1,0)</f>
        <v/>
      </c>
      <c r="AG161" s="62" t="inlineStr">
        <is>
          <t>https://www.lasillavacia.com/en-vivo/no-habra-retaliaciones-acsn-tras-muerte-de-bendito-menor-en-operativo/</t>
        </is>
      </c>
    </row>
    <row r="162" ht="15" customHeight="1" s="31">
      <c r="A162" s="38" t="inlineStr">
        <is>
          <t>https://www.lasillavacia.com/?p=443446</t>
        </is>
      </c>
      <c r="B162" s="38" t="inlineStr">
        <is>
          <t>https://www.lasillavacia.com/?p=443446_S07</t>
        </is>
      </c>
      <c r="C162" s="38" t="inlineStr">
        <is>
          <t>La Silla Vacía</t>
        </is>
      </c>
      <c r="D162" s="38" t="inlineStr">
        <is>
          <t>Transición de gobierno y relación con la oposición</t>
        </is>
      </c>
      <c r="E162" s="38" t="inlineStr">
        <is>
          <t>Noticia dura</t>
        </is>
      </c>
      <c r="F162" s="38" t="inlineStr">
        <is>
          <t>Fri, 04 Sep 2026 20:47:35 +0000</t>
        </is>
      </c>
      <c r="G162" s="62" t="inlineStr">
        <is>
          <t>Naín Pérez Toncel tenía 26 años y las autoridades lo relacionaban con desplazamientos, paros armados y varios delitos.</t>
        </is>
      </c>
      <c r="H162" s="62" t="inlineStr">
        <is>
          <t>¿Quién era alias Bendito Menor?</t>
        </is>
      </c>
      <c r="I162" s="62" t="inlineStr">
        <is>
          <t>Uno de los casos más graves fue la masacre de Maicao, a comienzos de 2025, en la que cinco personas fueron asesinadas.</t>
        </is>
      </c>
      <c r="J162" s="38" t="n"/>
      <c r="K162" s="62" t="n"/>
      <c r="L162" s="38" t="n"/>
      <c r="M162" s="62" t="n"/>
      <c r="N162" s="38" t="n"/>
      <c r="O162" s="62" t="n"/>
      <c r="P162" s="38" t="n"/>
      <c r="Q162" s="62" t="n"/>
      <c r="R162" s="38" t="n"/>
      <c r="S162" s="62" t="n"/>
      <c r="T162" s="38" t="n"/>
      <c r="U162" s="62" t="n"/>
      <c r="V162" s="38" t="n"/>
      <c r="W162" s="62" t="n"/>
      <c r="X162" s="38" t="n"/>
      <c r="Y162" s="62" t="n"/>
      <c r="Z162" s="38" t="n"/>
      <c r="AA162" s="62" t="n"/>
      <c r="AB162" s="38" t="n"/>
      <c r="AC162" s="62" t="n"/>
      <c r="AD162" s="38" t="n"/>
      <c r="AE162" s="38" t="n"/>
      <c r="AF162" s="61">
        <f>IF(COUNTIF($B$5:B162,B162)=1,1,0)</f>
        <v/>
      </c>
      <c r="AG162" s="62" t="inlineStr">
        <is>
          <t>https://www.lasillavacia.com/en-vivo/no-habra-retaliaciones-acsn-tras-muerte-de-bendito-menor-en-operativo/</t>
        </is>
      </c>
    </row>
    <row r="163" ht="15" customHeight="1" s="31">
      <c r="A163" s="38" t="inlineStr">
        <is>
          <t>https://www.lasillavacia.com/?p=443446</t>
        </is>
      </c>
      <c r="B163" s="38" t="inlineStr">
        <is>
          <t>https://www.lasillavacia.com/?p=443446_S08</t>
        </is>
      </c>
      <c r="C163" s="38" t="inlineStr">
        <is>
          <t>La Silla Vacía</t>
        </is>
      </c>
      <c r="D163" s="38" t="inlineStr">
        <is>
          <t>Transición de gobierno y relación con la oposición</t>
        </is>
      </c>
      <c r="E163" s="38" t="inlineStr">
        <is>
          <t>Noticia dura</t>
        </is>
      </c>
      <c r="F163" s="38" t="inlineStr">
        <is>
          <t>Fri, 04 Sep 2026 20:47:35 +0000</t>
        </is>
      </c>
      <c r="G163" s="62" t="inlineStr">
        <is>
          <t>Uno de los casos más graves fue la masacre de Maicao, a comienzos de 2025, en la que cinco personas fueron asesinadas.</t>
        </is>
      </c>
      <c r="H163" s="62" t="inlineStr">
        <is>
          <t>Naín Pérez Toncel tenía 26 años y las autoridades lo relacionaban con desplazamientos, paros armados y varios delitos.</t>
        </is>
      </c>
      <c r="I163" s="62" t="n"/>
      <c r="J163" s="38" t="n"/>
      <c r="K163" s="62" t="n"/>
      <c r="L163" s="38" t="n"/>
      <c r="M163" s="62" t="n"/>
      <c r="N163" s="38" t="n"/>
      <c r="O163" s="62" t="n"/>
      <c r="P163" s="38" t="n"/>
      <c r="Q163" s="62" t="n"/>
      <c r="R163" s="38" t="n"/>
      <c r="S163" s="62" t="n"/>
      <c r="T163" s="38" t="n"/>
      <c r="U163" s="62" t="n"/>
      <c r="V163" s="38" t="n"/>
      <c r="W163" s="62" t="n"/>
      <c r="X163" s="38" t="n"/>
      <c r="Y163" s="62" t="n"/>
      <c r="Z163" s="38" t="n"/>
      <c r="AA163" s="62" t="n"/>
      <c r="AB163" s="38" t="n"/>
      <c r="AC163" s="62" t="n"/>
      <c r="AD163" s="38" t="n"/>
      <c r="AE163" s="38" t="n"/>
      <c r="AF163" s="61">
        <f>IF(COUNTIF($B$5:B163,B163)=1,1,0)</f>
        <v/>
      </c>
      <c r="AG163" s="62" t="inlineStr">
        <is>
          <t>https://www.lasillavacia.com/en-vivo/no-habra-retaliaciones-acsn-tras-muerte-de-bendito-menor-en-operativo/</t>
        </is>
      </c>
    </row>
    <row r="164" ht="15" customHeight="1" s="31">
      <c r="A164" s="38" t="inlineStr">
        <is>
          <t>https://www.lasillavacia.com/?p=443201</t>
        </is>
      </c>
      <c r="B164" s="38" t="inlineStr">
        <is>
          <t>https://www.lasillavacia.com/?p=443201_S02</t>
        </is>
      </c>
      <c r="C164" s="38" t="inlineStr">
        <is>
          <t>La Silla Vacía</t>
        </is>
      </c>
      <c r="D164" s="38" t="inlineStr">
        <is>
          <t>Transición de gobierno y relación con la oposición</t>
        </is>
      </c>
      <c r="E164" s="38" t="inlineStr">
        <is>
          <t>Opinión-análisis</t>
        </is>
      </c>
      <c r="F164" s="38" t="inlineStr">
        <is>
          <t>Fri, 04 Sep 2026 19:00:00 +0000</t>
        </is>
      </c>
      <c r="G164" s="62" t="inlineStr">
        <is>
          <t>Yannai Kadamani, exministra de las Culturas, las Artes y los Saberes, escribió en X apenas se conoció el proyecto de presupuesto para 2027, que al Ministerio “le quitan la mitad del presupuesto” y que “hay batallas que se pierden antes de empezar”, en respuesta a la promesa que Abelardo de la Espriella había hecho en su posesión, en el Batallón Pichincha de Cali, cuando dijo que “el renacer de la patria milagro también deberá ser cultural”.</t>
        </is>
      </c>
      <c r="H164" s="62" t="inlineStr">
        <is>
          <t>Este es un espacio de debate que no compromete la opinión de La Silla Vacía ni de sus aliados.</t>
        </is>
      </c>
      <c r="I164" s="62" t="inlineStr">
        <is>
          <t>El dato que circuló después en medios de comunicación y redes sociales, un recorte de 29,5%, parecía confirmar la tesis de que la «batalla cultural» era desmentida por el presupuesto; el problema acá es que esa cifra sale de restar dos cosas que no se pueden restar entre sí.</t>
        </is>
      </c>
      <c r="J164" s="38" t="n"/>
      <c r="K164" s="62" t="n"/>
      <c r="L164" s="38" t="n"/>
      <c r="M164" s="62" t="n"/>
      <c r="N164" s="38" t="n"/>
      <c r="O164" s="62" t="n"/>
      <c r="P164" s="38" t="n"/>
      <c r="Q164" s="62" t="n"/>
      <c r="R164" s="38" t="n"/>
      <c r="S164" s="62" t="n"/>
      <c r="T164" s="38" t="n"/>
      <c r="U164" s="62" t="n"/>
      <c r="V164" s="38" t="n"/>
      <c r="W164" s="62" t="n"/>
      <c r="X164" s="38" t="n"/>
      <c r="Y164" s="62" t="n"/>
      <c r="Z164" s="38" t="n"/>
      <c r="AA164" s="62" t="n"/>
      <c r="AB164" s="38" t="n"/>
      <c r="AC164" s="62" t="n"/>
      <c r="AD164" s="38" t="n"/>
      <c r="AE164" s="38" t="n"/>
      <c r="AF164" s="61">
        <f>IF(COUNTIF($B$5:B164,B164)=1,1,0)</f>
        <v/>
      </c>
      <c r="AG164" s="62" t="inlineStr">
        <is>
          <t>https://www.lasillavacia.com/red-de-expertos/red-social/el-presupuesto-de-cultura-bajo-pero-no-por-la-cifra-que-dicen/</t>
        </is>
      </c>
    </row>
    <row r="165" ht="15" customHeight="1" s="31">
      <c r="A165" s="38" t="inlineStr">
        <is>
          <t>https://www.lasillavacia.com/?p=443201</t>
        </is>
      </c>
      <c r="B165" s="38" t="inlineStr">
        <is>
          <t>https://www.lasillavacia.com/?p=443201_S03</t>
        </is>
      </c>
      <c r="C165" s="38" t="inlineStr">
        <is>
          <t>La Silla Vacía</t>
        </is>
      </c>
      <c r="D165" s="38" t="inlineStr">
        <is>
          <t>Transición de gobierno y relación con la oposición</t>
        </is>
      </c>
      <c r="E165" s="38" t="inlineStr">
        <is>
          <t>Opinión-análisis</t>
        </is>
      </c>
      <c r="F165" s="38" t="inlineStr">
        <is>
          <t>Fri, 04 Sep 2026 19:00:00 +0000</t>
        </is>
      </c>
      <c r="G165" s="62" t="inlineStr">
        <is>
          <t>El dato que circuló después en medios de comunicación y redes sociales, un recorte de 29,5%, parecía confirmar la tesis de que la «batalla cultural» era desmentida por el presupuesto; el problema acá es que esa cifra sale de restar dos cosas que no se pueden restar entre sí.</t>
        </is>
      </c>
      <c r="H165" s="62" t="inlineStr">
        <is>
          <t>Yannai Kadamani, exministra de las Culturas, las Artes y los Saberes, escribió en X apenas se conoció el proyecto de presupuesto para 2027, que al Ministerio “le quitan la mitad del presupuesto” y que “hay batallas que se pierden antes de empezar”, en respuesta a la promesa que Abelardo de la Espriella había hecho en su posesión, en el Batallón Pichincha de Cali, cuando dijo que “el renacer de la patria milagro también deberá ser cultural”.</t>
        </is>
      </c>
      <c r="I165" s="62" t="inlineStr">
        <is>
          <t>La crítica a este gobierno, si quiere sostenerse, necesita otro número: la comparación que sí corresponde es evaluar la propuesta frente al proyecto de ley que venía del gobierno anterior.</t>
        </is>
      </c>
      <c r="J165" s="38" t="n"/>
      <c r="K165" s="62" t="n"/>
      <c r="L165" s="38" t="n"/>
      <c r="M165" s="62" t="n"/>
      <c r="N165" s="38" t="n"/>
      <c r="O165" s="62" t="n"/>
      <c r="P165" s="38" t="n"/>
      <c r="Q165" s="62" t="n"/>
      <c r="R165" s="38" t="n"/>
      <c r="S165" s="62" t="n"/>
      <c r="T165" s="38" t="n"/>
      <c r="U165" s="62" t="n"/>
      <c r="V165" s="38" t="n"/>
      <c r="W165" s="62" t="n"/>
      <c r="X165" s="38" t="n"/>
      <c r="Y165" s="62" t="n"/>
      <c r="Z165" s="38" t="n"/>
      <c r="AA165" s="62" t="n"/>
      <c r="AB165" s="38" t="n"/>
      <c r="AC165" s="62" t="n"/>
      <c r="AD165" s="38" t="n"/>
      <c r="AE165" s="38" t="n"/>
      <c r="AF165" s="61">
        <f>IF(COUNTIF($B$5:B165,B165)=1,1,0)</f>
        <v/>
      </c>
      <c r="AG165" s="62" t="inlineStr">
        <is>
          <t>https://www.lasillavacia.com/red-de-expertos/red-social/el-presupuesto-de-cultura-bajo-pero-no-por-la-cifra-que-dicen/</t>
        </is>
      </c>
    </row>
    <row r="166" ht="15" customHeight="1" s="31">
      <c r="A166" s="38" t="inlineStr">
        <is>
          <t>https://www.lasillavacia.com/?p=443201</t>
        </is>
      </c>
      <c r="B166" s="38" t="inlineStr">
        <is>
          <t>https://www.lasillavacia.com/?p=443201_S04</t>
        </is>
      </c>
      <c r="C166" s="38" t="inlineStr">
        <is>
          <t>La Silla Vacía</t>
        </is>
      </c>
      <c r="D166" s="38" t="inlineStr">
        <is>
          <t>Transición de gobierno y relación con la oposición</t>
        </is>
      </c>
      <c r="E166" s="38" t="inlineStr">
        <is>
          <t>Opinión-análisis</t>
        </is>
      </c>
      <c r="F166" s="38" t="inlineStr">
        <is>
          <t>Fri, 04 Sep 2026 19:00:00 +0000</t>
        </is>
      </c>
      <c r="G166" s="62" t="inlineStr">
        <is>
          <t>La crítica a este gobierno, si quiere sostenerse, necesita otro número: la comparación que sí corresponde es evaluar la propuesta frente al proyecto de ley que venía del gobierno anterior.</t>
        </is>
      </c>
      <c r="H166" s="62" t="inlineStr">
        <is>
          <t>El dato que circuló después en medios de comunicación y redes sociales, un recorte de 29,5%, parecía confirmar la tesis de que la «batalla cultural» era desmentida por el presupuesto; el problema acá es que esa cifra sale de restar dos cosas que no se pueden restar entre sí.</t>
        </is>
      </c>
      <c r="I166" s="62" t="inlineStr">
        <is>
          <t>El porcentaje de 29,5% surge de comparar el presupuesto aprobado para 2026 —1.001.388 millones de pesos— contra la propuesta que De la Espriella radicó para 2027 —706.196 millones—, dos cifras que no pertenecen a la misma categoría: un presupuesto aprobado es plata que el Congreso ya autorizó gastar, mientras que un proyecto de Ley apenas empieza su trámite y todavía puede cambiar en debates y ponencias antes de convertirse en gasto real.</t>
        </is>
      </c>
      <c r="J166" s="38" t="n"/>
      <c r="K166" s="62" t="n"/>
      <c r="L166" s="38" t="n"/>
      <c r="M166" s="62" t="n"/>
      <c r="N166" s="38" t="n"/>
      <c r="O166" s="62" t="n"/>
      <c r="P166" s="38" t="n"/>
      <c r="Q166" s="62" t="n"/>
      <c r="R166" s="38" t="n"/>
      <c r="S166" s="62" t="n"/>
      <c r="T166" s="38" t="n"/>
      <c r="U166" s="62" t="n"/>
      <c r="V166" s="38" t="n"/>
      <c r="W166" s="62" t="n"/>
      <c r="X166" s="38" t="n"/>
      <c r="Y166" s="62" t="n"/>
      <c r="Z166" s="38" t="n"/>
      <c r="AA166" s="62" t="n"/>
      <c r="AB166" s="38" t="n"/>
      <c r="AC166" s="62" t="n"/>
      <c r="AD166" s="38" t="n"/>
      <c r="AE166" s="38" t="n"/>
      <c r="AF166" s="61">
        <f>IF(COUNTIF($B$5:B166,B166)=1,1,0)</f>
        <v/>
      </c>
      <c r="AG166" s="62" t="inlineStr">
        <is>
          <t>https://www.lasillavacia.com/red-de-expertos/red-social/el-presupuesto-de-cultura-bajo-pero-no-por-la-cifra-que-dicen/</t>
        </is>
      </c>
    </row>
    <row r="167" ht="15" customHeight="1" s="31">
      <c r="A167" s="38" t="inlineStr">
        <is>
          <t>https://www.lasillavacia.com/?p=443201</t>
        </is>
      </c>
      <c r="B167" s="38" t="inlineStr">
        <is>
          <t>https://www.lasillavacia.com/?p=443201_S05</t>
        </is>
      </c>
      <c r="C167" s="38" t="inlineStr">
        <is>
          <t>La Silla Vacía</t>
        </is>
      </c>
      <c r="D167" s="38" t="inlineStr">
        <is>
          <t>Transición de gobierno y relación con la oposición</t>
        </is>
      </c>
      <c r="E167" s="38" t="inlineStr">
        <is>
          <t>Opinión-análisis</t>
        </is>
      </c>
      <c r="F167" s="38" t="inlineStr">
        <is>
          <t>Fri, 04 Sep 2026 19:00:00 +0000</t>
        </is>
      </c>
      <c r="G167" s="62" t="inlineStr">
        <is>
          <t>El porcentaje de 29,5% surge de comparar el presupuesto aprobado para 2026 —1.001.388 millones de pesos— contra la propuesta que De la Espriella radicó para 2027 —706.196 millones—, dos cifras que no pertenecen a la misma categoría: un presupuesto aprobado es plata que el Congreso ya autorizó gastar, mientras que un proyecto de Ley apenas empieza su trámite y todavía puede cambiar en debates y ponencias antes de convertirse en gasto real.</t>
        </is>
      </c>
      <c r="H167" s="62" t="inlineStr">
        <is>
          <t>La crítica a este gobierno, si quiere sostenerse, necesita otro número: la comparación que sí corresponde es evaluar la propuesta frente al proyecto de ley que venía del gobierno anterior.</t>
        </is>
      </c>
      <c r="I167" s="62" t="inlineStr">
        <is>
          <t>Restar la una de la otra no mide un recorte, mide la distancia entre lo ejecutable y una intención; mi abuela lo resumía mejor: no se pueden comparar peras con manzanas.</t>
        </is>
      </c>
      <c r="J167" s="38" t="n"/>
      <c r="K167" s="62" t="n"/>
      <c r="L167" s="38" t="n"/>
      <c r="M167" s="62" t="n"/>
      <c r="N167" s="38" t="n"/>
      <c r="O167" s="62" t="n"/>
      <c r="P167" s="38" t="n"/>
      <c r="Q167" s="62" t="n"/>
      <c r="R167" s="38" t="n"/>
      <c r="S167" s="62" t="n"/>
      <c r="T167" s="38" t="n"/>
      <c r="U167" s="62" t="n"/>
      <c r="V167" s="38" t="n"/>
      <c r="W167" s="62" t="n"/>
      <c r="X167" s="38" t="n"/>
      <c r="Y167" s="62" t="n"/>
      <c r="Z167" s="38" t="n"/>
      <c r="AA167" s="62" t="n"/>
      <c r="AB167" s="38" t="n"/>
      <c r="AC167" s="62" t="n"/>
      <c r="AD167" s="38" t="n"/>
      <c r="AE167" s="38" t="n"/>
      <c r="AF167" s="61">
        <f>IF(COUNTIF($B$5:B167,B167)=1,1,0)</f>
        <v/>
      </c>
      <c r="AG167" s="62" t="inlineStr">
        <is>
          <t>https://www.lasillavacia.com/red-de-expertos/red-social/el-presupuesto-de-cultura-bajo-pero-no-por-la-cifra-que-dicen/</t>
        </is>
      </c>
    </row>
    <row r="168" ht="15" customHeight="1" s="31">
      <c r="A168" s="38" t="inlineStr">
        <is>
          <t>https://www.lasillavacia.com/?p=443201</t>
        </is>
      </c>
      <c r="B168" s="38" t="inlineStr">
        <is>
          <t>https://www.lasillavacia.com/?p=443201_S06</t>
        </is>
      </c>
      <c r="C168" s="38" t="inlineStr">
        <is>
          <t>La Silla Vacía</t>
        </is>
      </c>
      <c r="D168" s="38" t="inlineStr">
        <is>
          <t>Transición de gobierno y relación con la oposición</t>
        </is>
      </c>
      <c r="E168" s="38" t="inlineStr">
        <is>
          <t>Opinión-análisis</t>
        </is>
      </c>
      <c r="F168" s="38" t="inlineStr">
        <is>
          <t>Fri, 04 Sep 2026 19:00:00 +0000</t>
        </is>
      </c>
      <c r="G168" s="62" t="inlineStr">
        <is>
          <t>Restar la una de la otra no mide un recorte, mide la distancia entre lo ejecutable y una intención; mi abuela lo resumía mejor: no se pueden comparar peras con manzanas.</t>
        </is>
      </c>
      <c r="H168" s="62" t="inlineStr">
        <is>
          <t>El porcentaje de 29,5% surge de comparar el presupuesto aprobado para 2026 —1.001.388 millones de pesos— contra la propuesta que De la Espriella radicó para 2027 —706.196 millones—, dos cifras que no pertenecen a la misma categoría: un presupuesto aprobado es plata que el Congreso ya autorizó gastar, mientras que un proyecto de Ley apenas empieza su trámite y todavía puede cambiar en debates y ponencias antes de convertirse en gasto real.</t>
        </is>
      </c>
      <c r="I168" s="62" t="inlineStr">
        <is>
          <t>Antes de que De la Espriella presentara su proyecto de presupuesto para 2027, el gobierno de Petro ya había radicado el suyo mediante el proyecto de Ley 152/2026C del 29 de julio, asignando 746.556 millones para el Ministerio, un 25,4% menos que en 2026; ese es el punto de partida real.</t>
        </is>
      </c>
      <c r="J168" s="38" t="n"/>
      <c r="K168" s="62" t="n"/>
      <c r="L168" s="38" t="n"/>
      <c r="M168" s="62" t="n"/>
      <c r="N168" s="38" t="n"/>
      <c r="O168" s="62" t="n"/>
      <c r="P168" s="38" t="n"/>
      <c r="Q168" s="62" t="n"/>
      <c r="R168" s="38" t="n"/>
      <c r="S168" s="62" t="n"/>
      <c r="T168" s="38" t="n"/>
      <c r="U168" s="62" t="n"/>
      <c r="V168" s="38" t="n"/>
      <c r="W168" s="62" t="n"/>
      <c r="X168" s="38" t="n"/>
      <c r="Y168" s="62" t="n"/>
      <c r="Z168" s="38" t="n"/>
      <c r="AA168" s="62" t="n"/>
      <c r="AB168" s="38" t="n"/>
      <c r="AC168" s="62" t="n"/>
      <c r="AD168" s="38" t="n"/>
      <c r="AE168" s="38" t="n"/>
      <c r="AF168" s="61">
        <f>IF(COUNTIF($B$5:B168,B168)=1,1,0)</f>
        <v/>
      </c>
      <c r="AG168" s="62" t="inlineStr">
        <is>
          <t>https://www.lasillavacia.com/red-de-expertos/red-social/el-presupuesto-de-cultura-bajo-pero-no-por-la-cifra-que-dicen/</t>
        </is>
      </c>
    </row>
    <row r="169" ht="15" customHeight="1" s="31">
      <c r="A169" s="38" t="inlineStr">
        <is>
          <t>https://www.lasillavacia.com/?p=443201</t>
        </is>
      </c>
      <c r="B169" s="38" t="inlineStr">
        <is>
          <t>https://www.lasillavacia.com/?p=443201_S07</t>
        </is>
      </c>
      <c r="C169" s="38" t="inlineStr">
        <is>
          <t>La Silla Vacía</t>
        </is>
      </c>
      <c r="D169" s="38" t="inlineStr">
        <is>
          <t>Transición de gobierno y relación con la oposición</t>
        </is>
      </c>
      <c r="E169" s="38" t="inlineStr">
        <is>
          <t>Opinión-análisis</t>
        </is>
      </c>
      <c r="F169" s="38" t="inlineStr">
        <is>
          <t>Fri, 04 Sep 2026 19:00:00 +0000</t>
        </is>
      </c>
      <c r="G169" s="62" t="inlineStr">
        <is>
          <t>Antes de que De la Espriella presentara su proyecto de presupuesto para 2027, el gobierno de Petro ya había radicado el suyo mediante el proyecto de Ley 152/2026C del 29 de julio, asignando 746.556 millones para el Ministerio, un 25,4% menos que en 2026; ese es el punto de partida real.</t>
        </is>
      </c>
      <c r="H169" s="62" t="inlineStr">
        <is>
          <t>Restar la una de la otra no mide un recorte, mide la distancia entre lo ejecutable y una intención; mi abuela lo resumía mejor: no se pueden comparar peras con manzanas.</t>
        </is>
      </c>
      <c r="I169" s="62" t="inlineStr">
        <is>
          <t>Frente a este panorama, el ajuste que introdujo De la Espriella es de 40.360 millones, un 5,4% de toda la sección del Ministerio, y una parte de ese ajuste corresponde a un recorte concreto en el rubro de promoción y acceso efectivo a procesos culturales y artísticos, que financia festivales y programas de formación y acceso, el cual cayó de 305.585 a 265.585 millones, un 13,1% menos, el más grande en pesos de todo el sector.</t>
        </is>
      </c>
      <c r="J169" s="38" t="n"/>
      <c r="K169" s="62" t="n"/>
      <c r="L169" s="38" t="n"/>
      <c r="M169" s="62" t="n"/>
      <c r="N169" s="38" t="n"/>
      <c r="O169" s="62" t="n"/>
      <c r="P169" s="38" t="n"/>
      <c r="Q169" s="62" t="n"/>
      <c r="R169" s="38" t="n"/>
      <c r="S169" s="62" t="n"/>
      <c r="T169" s="38" t="n"/>
      <c r="U169" s="62" t="n"/>
      <c r="V169" s="38" t="n"/>
      <c r="W169" s="62" t="n"/>
      <c r="X169" s="38" t="n"/>
      <c r="Y169" s="62" t="n"/>
      <c r="Z169" s="38" t="n"/>
      <c r="AA169" s="62" t="n"/>
      <c r="AB169" s="38" t="n"/>
      <c r="AC169" s="62" t="n"/>
      <c r="AD169" s="38" t="n"/>
      <c r="AE169" s="38" t="n"/>
      <c r="AF169" s="61">
        <f>IF(COUNTIF($B$5:B169,B169)=1,1,0)</f>
        <v/>
      </c>
      <c r="AG169" s="62" t="inlineStr">
        <is>
          <t>https://www.lasillavacia.com/red-de-expertos/red-social/el-presupuesto-de-cultura-bajo-pero-no-por-la-cifra-que-dicen/</t>
        </is>
      </c>
    </row>
    <row r="170" ht="15" customHeight="1" s="31">
      <c r="A170" s="38" t="inlineStr">
        <is>
          <t>https://www.lasillavacia.com/?p=443201</t>
        </is>
      </c>
      <c r="B170" s="38" t="inlineStr">
        <is>
          <t>https://www.lasillavacia.com/?p=443201_S08</t>
        </is>
      </c>
      <c r="C170" s="38" t="inlineStr">
        <is>
          <t>La Silla Vacía</t>
        </is>
      </c>
      <c r="D170" s="38" t="inlineStr">
        <is>
          <t>Transición de gobierno y relación con la oposición</t>
        </is>
      </c>
      <c r="E170" s="38" t="inlineStr">
        <is>
          <t>Opinión-análisis</t>
        </is>
      </c>
      <c r="F170" s="38" t="inlineStr">
        <is>
          <t>Fri, 04 Sep 2026 19:00:00 +0000</t>
        </is>
      </c>
      <c r="G170" s="62" t="inlineStr">
        <is>
          <t>Frente a este panorama, el ajuste que introdujo De la Espriella es de 40.360 millones, un 5,4% de toda la sección del Ministerio, y una parte de ese ajuste corresponde a un recorte concreto en el rubro de promoción y acceso efectivo a procesos culturales y artísticos, que financia festivales y programas de formación y acceso, el cual cayó de 305.585 a 265.585 millones, un 13,1% menos, el más grande en pesos de todo el sector.</t>
        </is>
      </c>
      <c r="H170" s="62" t="inlineStr">
        <is>
          <t>Antes de que De la Espriella presentara su proyecto de presupuesto para 2027, el gobierno de Petro ya había radicado el suyo mediante el proyecto de Ley 152/2026C del 29 de julio, asignando 746.556 millones para el Ministerio, un 25,4% menos que en 2026; ese es el punto de partida real.</t>
        </is>
      </c>
      <c r="I170" s="62" t="inlineStr">
        <is>
          <t>Esta disminución sí es de este gobierno y ninguna corrección aritmética lo borra.</t>
        </is>
      </c>
      <c r="J170" s="38" t="n"/>
      <c r="K170" s="62" t="n"/>
      <c r="L170" s="38" t="n"/>
      <c r="M170" s="62" t="n"/>
      <c r="N170" s="38" t="n"/>
      <c r="O170" s="62" t="n"/>
      <c r="P170" s="38" t="n"/>
      <c r="Q170" s="62" t="n"/>
      <c r="R170" s="38" t="n"/>
      <c r="S170" s="62" t="n"/>
      <c r="T170" s="38" t="n"/>
      <c r="U170" s="62" t="n"/>
      <c r="V170" s="38" t="n"/>
      <c r="W170" s="62" t="n"/>
      <c r="X170" s="38" t="n"/>
      <c r="Y170" s="62" t="n"/>
      <c r="Z170" s="38" t="n"/>
      <c r="AA170" s="62" t="n"/>
      <c r="AB170" s="38" t="n"/>
      <c r="AC170" s="62" t="n"/>
      <c r="AD170" s="38" t="n"/>
      <c r="AE170" s="38" t="n"/>
      <c r="AF170" s="61">
        <f>IF(COUNTIF($B$5:B170,B170)=1,1,0)</f>
        <v/>
      </c>
      <c r="AG170" s="62" t="inlineStr">
        <is>
          <t>https://www.lasillavacia.com/red-de-expertos/red-social/el-presupuesto-de-cultura-bajo-pero-no-por-la-cifra-que-dicen/</t>
        </is>
      </c>
    </row>
    <row r="171" ht="15" customHeight="1" s="31">
      <c r="A171" s="38" t="inlineStr">
        <is>
          <t>https://www.lasillavacia.com/?p=443201</t>
        </is>
      </c>
      <c r="B171" s="38" t="inlineStr">
        <is>
          <t>https://www.lasillavacia.com/?p=443201_S09</t>
        </is>
      </c>
      <c r="C171" s="38" t="inlineStr">
        <is>
          <t>La Silla Vacía</t>
        </is>
      </c>
      <c r="D171" s="38" t="inlineStr">
        <is>
          <t>Transición de gobierno y relación con la oposición</t>
        </is>
      </c>
      <c r="E171" s="38" t="inlineStr">
        <is>
          <t>Opinión-análisis</t>
        </is>
      </c>
      <c r="F171" s="38" t="inlineStr">
        <is>
          <t>Fri, 04 Sep 2026 19:00:00 +0000</t>
        </is>
      </c>
      <c r="G171" s="62" t="inlineStr">
        <is>
          <t>Esta disminución sí es de este gobierno y ninguna corrección aritmética lo borra.</t>
        </is>
      </c>
      <c r="H171" s="62" t="inlineStr">
        <is>
          <t>Frente a este panorama, el ajuste que introdujo De la Espriella es de 40.360 millones, un 5,4% de toda la sección del Ministerio, y una parte de ese ajuste corresponde a un recorte concreto en el rubro de promoción y acceso efectivo a procesos culturales y artísticos, que financia festivales y programas de formación y acceso, el cual cayó de 305.585 a 265.585 millones, un 13,1% menos, el más grande en pesos de todo el sector.</t>
        </is>
      </c>
      <c r="I171" s="62" t="inlineStr">
        <is>
          <t>Pero la caída empezó antes, y la firmó el mismo gobierno que hoy la denuncia: Petro había propuesto inicialmente 1.140.000 millones para 2026 y el Congreso aprobó 1.001.388 millones; cuando presentó su proyecto para 2027 la cifra ya venía en 746.556 millones, tres momentos consecutivos de reducción dentro de la misma administración, antes de que Abelardo de la Espriella tocara una sola línea del presupuesto.</t>
        </is>
      </c>
      <c r="J171" s="38" t="n"/>
      <c r="K171" s="62" t="n"/>
      <c r="L171" s="38" t="n"/>
      <c r="M171" s="62" t="n"/>
      <c r="N171" s="38" t="n"/>
      <c r="O171" s="62" t="n"/>
      <c r="P171" s="38" t="n"/>
      <c r="Q171" s="62" t="n"/>
      <c r="R171" s="38" t="n"/>
      <c r="S171" s="62" t="n"/>
      <c r="T171" s="38" t="n"/>
      <c r="U171" s="62" t="n"/>
      <c r="V171" s="38" t="n"/>
      <c r="W171" s="62" t="n"/>
      <c r="X171" s="38" t="n"/>
      <c r="Y171" s="62" t="n"/>
      <c r="Z171" s="38" t="n"/>
      <c r="AA171" s="62" t="n"/>
      <c r="AB171" s="38" t="n"/>
      <c r="AC171" s="62" t="n"/>
      <c r="AD171" s="38" t="n"/>
      <c r="AE171" s="38" t="n"/>
      <c r="AF171" s="61">
        <f>IF(COUNTIF($B$5:B171,B171)=1,1,0)</f>
        <v/>
      </c>
      <c r="AG171" s="62" t="inlineStr">
        <is>
          <t>https://www.lasillavacia.com/red-de-expertos/red-social/el-presupuesto-de-cultura-bajo-pero-no-por-la-cifra-que-dicen/</t>
        </is>
      </c>
    </row>
    <row r="172" ht="15" customHeight="1" s="31">
      <c r="A172" s="38" t="inlineStr">
        <is>
          <t>https://www.lasillavacia.com/?p=443201</t>
        </is>
      </c>
      <c r="B172" s="38" t="inlineStr">
        <is>
          <t>https://www.lasillavacia.com/?p=443201_S10</t>
        </is>
      </c>
      <c r="C172" s="38" t="inlineStr">
        <is>
          <t>La Silla Vacía</t>
        </is>
      </c>
      <c r="D172" s="38" t="inlineStr">
        <is>
          <t>Transición de gobierno y relación con la oposición</t>
        </is>
      </c>
      <c r="E172" s="38" t="inlineStr">
        <is>
          <t>Opinión-análisis</t>
        </is>
      </c>
      <c r="F172" s="38" t="inlineStr">
        <is>
          <t>Fri, 04 Sep 2026 19:00:00 +0000</t>
        </is>
      </c>
      <c r="G172" s="62" t="inlineStr">
        <is>
          <t>Pero la caída empezó antes, y la firmó el mismo gobierno que hoy la denuncia: Petro había propuesto inicialmente 1.140.000 millones para 2026 y el Congreso aprobó 1.001.388 millones; cuando presentó su proyecto para 2027 la cifra ya venía en 746.556 millones, tres momentos consecutivos de reducción dentro de la misma administración, antes de que Abelardo de la Espriella tocara una sola línea del presupuesto.</t>
        </is>
      </c>
      <c r="H172" s="62" t="inlineStr">
        <is>
          <t>Esta disminución sí es de este gobierno y ninguna corrección aritmética lo borra.</t>
        </is>
      </c>
      <c r="I172" s="62" t="inlineStr">
        <is>
          <t>Atribuirle a este gobierno la caída del 29,5% le borra al anterior una tendencia que él mismo trazó, y le regala al actual una defensa que no debería necesitar.</t>
        </is>
      </c>
      <c r="J172" s="38" t="n"/>
      <c r="K172" s="62" t="n"/>
      <c r="L172" s="38" t="n"/>
      <c r="M172" s="62" t="n"/>
      <c r="N172" s="38" t="n"/>
      <c r="O172" s="62" t="n"/>
      <c r="P172" s="38" t="n"/>
      <c r="Q172" s="62" t="n"/>
      <c r="R172" s="38" t="n"/>
      <c r="S172" s="62" t="n"/>
      <c r="T172" s="38" t="n"/>
      <c r="U172" s="62" t="n"/>
      <c r="V172" s="38" t="n"/>
      <c r="W172" s="62" t="n"/>
      <c r="X172" s="38" t="n"/>
      <c r="Y172" s="62" t="n"/>
      <c r="Z172" s="38" t="n"/>
      <c r="AA172" s="62" t="n"/>
      <c r="AB172" s="38" t="n"/>
      <c r="AC172" s="62" t="n"/>
      <c r="AD172" s="38" t="n"/>
      <c r="AE172" s="38" t="n"/>
      <c r="AF172" s="61">
        <f>IF(COUNTIF($B$5:B172,B172)=1,1,0)</f>
        <v/>
      </c>
      <c r="AG172" s="62" t="inlineStr">
        <is>
          <t>https://www.lasillavacia.com/red-de-expertos/red-social/el-presupuesto-de-cultura-bajo-pero-no-por-la-cifra-que-dicen/</t>
        </is>
      </c>
    </row>
    <row r="173" ht="15" customHeight="1" s="31">
      <c r="A173" s="38" t="inlineStr">
        <is>
          <t>https://www.lasillavacia.com/?p=443201</t>
        </is>
      </c>
      <c r="B173" s="38" t="inlineStr">
        <is>
          <t>https://www.lasillavacia.com/?p=443201_S11</t>
        </is>
      </c>
      <c r="C173" s="38" t="inlineStr">
        <is>
          <t>La Silla Vacía</t>
        </is>
      </c>
      <c r="D173" s="38" t="inlineStr">
        <is>
          <t>Transición de gobierno y relación con la oposición</t>
        </is>
      </c>
      <c r="E173" s="38" t="inlineStr">
        <is>
          <t>Opinión-análisis</t>
        </is>
      </c>
      <c r="F173" s="38" t="inlineStr">
        <is>
          <t>Fri, 04 Sep 2026 19:00:00 +0000</t>
        </is>
      </c>
      <c r="G173" s="62" t="inlineStr">
        <is>
          <t>Atribuirle a este gobierno la caída del 29,5% le borra al anterior una tendencia que él mismo trazó, y le regala al actual una defensa que no debería necesitar.</t>
        </is>
      </c>
      <c r="H173" s="62" t="inlineStr">
        <is>
          <t>Pero la caída empezó antes, y la firmó el mismo gobierno que hoy la denuncia: Petro había propuesto inicialmente 1.140.000 millones para 2026 y el Congreso aprobó 1.001.388 millones; cuando presentó su proyecto para 2027 la cifra ya venía en 746.556 millones, tres momentos consecutivos de reducción dentro de la misma administración, antes de que Abelardo de la Espriella tocara una sola línea del presupuesto.</t>
        </is>
      </c>
      <c r="I173" s="62" t="inlineStr">
        <is>
          <t>El resto del ajuste repite el mismo patrón en las otras tres entidades del sector: en el Archivo General de la Nación el presupuesto total pasó de 48.675 a 44.036 millones, una caída del 9,5% concentrada casi por completo en el rubro de fortalecimiento institucional, que bajó de 15.513 a 9.757 millones; en el Instituto Colombiano de Antropología e Historia la caída total fue de apenas el 2,8%, de 49.535 a 48.160 millones, con el mismo recorte a la mitad en ese rubro institucional, de 5.696 a 2.848 millones; y en el Instituto Caro y Cuervo, el más pequeño de los cuatro, la pérdida fue solo del 1,1%, de 31.315 a 30.960 millones.</t>
        </is>
      </c>
      <c r="J173" s="38" t="n"/>
      <c r="K173" s="62" t="n"/>
      <c r="L173" s="38" t="n"/>
      <c r="M173" s="62" t="n"/>
      <c r="N173" s="38" t="n"/>
      <c r="O173" s="62" t="n"/>
      <c r="P173" s="38" t="n"/>
      <c r="Q173" s="62" t="n"/>
      <c r="R173" s="38" t="n"/>
      <c r="S173" s="62" t="n"/>
      <c r="T173" s="38" t="n"/>
      <c r="U173" s="62" t="n"/>
      <c r="V173" s="38" t="n"/>
      <c r="W173" s="62" t="n"/>
      <c r="X173" s="38" t="n"/>
      <c r="Y173" s="62" t="n"/>
      <c r="Z173" s="38" t="n"/>
      <c r="AA173" s="62" t="n"/>
      <c r="AB173" s="38" t="n"/>
      <c r="AC173" s="62" t="n"/>
      <c r="AD173" s="38" t="n"/>
      <c r="AE173" s="38" t="n"/>
      <c r="AF173" s="61">
        <f>IF(COUNTIF($B$5:B173,B173)=1,1,0)</f>
        <v/>
      </c>
      <c r="AG173" s="62" t="inlineStr">
        <is>
          <t>https://www.lasillavacia.com/red-de-expertos/red-social/el-presupuesto-de-cultura-bajo-pero-no-por-la-cifra-que-dicen/</t>
        </is>
      </c>
    </row>
    <row r="174" ht="15" customHeight="1" s="31">
      <c r="A174" s="38" t="inlineStr">
        <is>
          <t>https://www.lasillavacia.com/?p=443201</t>
        </is>
      </c>
      <c r="B174" s="38" t="inlineStr">
        <is>
          <t>https://www.lasillavacia.com/?p=443201_S12</t>
        </is>
      </c>
      <c r="C174" s="38" t="inlineStr">
        <is>
          <t>La Silla Vacía</t>
        </is>
      </c>
      <c r="D174" s="38" t="inlineStr">
        <is>
          <t>Transición de gobierno y relación con la oposición</t>
        </is>
      </c>
      <c r="E174" s="38" t="inlineStr">
        <is>
          <t>Opinión-análisis</t>
        </is>
      </c>
      <c r="F174" s="38" t="inlineStr">
        <is>
          <t>Fri, 04 Sep 2026 19:00:00 +0000</t>
        </is>
      </c>
      <c r="G174" s="62" t="inlineStr">
        <is>
          <t>El resto del ajuste repite el mismo patrón en las otras tres entidades del sector: en el Archivo General de la Nación el presupuesto total pasó de 48.675 a 44.036 millones, una caída del 9,5% concentrada casi por completo en el rubro de fortalecimiento institucional, que bajó de 15.513 a 9.757 millones; en el Instituto Colombiano de Antropología e Historia la caída total fue de apenas el 2,8%, de 49.535 a 48.160 millones, con el mismo recorte a la mitad en ese rubro institucional, de 5.696 a 2.848 millones; y en el Instituto Caro y Cuervo, el más pequeño de los cuatro, la pérdida fue solo del 1,1%, de 31.315 a 30.960 millones.</t>
        </is>
      </c>
      <c r="H174" s="62" t="inlineStr">
        <is>
          <t>Atribuirle a este gobierno la caída del 29,5% le borra al anterior una tendencia que él mismo trazó, y le regala al actual una defensa que no debería necesitar.</t>
        </is>
      </c>
      <c r="I174" s="62" t="n"/>
      <c r="J174" s="38" t="n"/>
      <c r="K174" s="62" t="n"/>
      <c r="L174" s="38" t="n"/>
      <c r="M174" s="62" t="n"/>
      <c r="N174" s="38" t="n"/>
      <c r="O174" s="62" t="n"/>
      <c r="P174" s="38" t="n"/>
      <c r="Q174" s="62" t="n"/>
      <c r="R174" s="38" t="n"/>
      <c r="S174" s="62" t="n"/>
      <c r="T174" s="38" t="n"/>
      <c r="U174" s="62" t="n"/>
      <c r="V174" s="38" t="n"/>
      <c r="W174" s="62" t="n"/>
      <c r="X174" s="38" t="n"/>
      <c r="Y174" s="62" t="n"/>
      <c r="Z174" s="38" t="n"/>
      <c r="AA174" s="62" t="n"/>
      <c r="AB174" s="38" t="n"/>
      <c r="AC174" s="62" t="n"/>
      <c r="AD174" s="38" t="n"/>
      <c r="AE174" s="38" t="n"/>
      <c r="AF174" s="61">
        <f>IF(COUNTIF($B$5:B174,B174)=1,1,0)</f>
        <v/>
      </c>
      <c r="AG174" s="62" t="inlineStr">
        <is>
          <t>https://www.lasillavacia.com/red-de-expertos/red-social/el-presupuesto-de-cultura-bajo-pero-no-por-la-cifra-que-dicen/</t>
        </is>
      </c>
    </row>
    <row r="175" ht="15" customHeight="1" s="31">
      <c r="A175" s="38" t="inlineStr">
        <is>
          <t>https://www.semana.com/mundo/articulo/reino-unido-sienta-su-posicion-sobre-las-malvinas-tras-polemicas-declaraciones-de-javier-milei/202654/</t>
        </is>
      </c>
      <c r="B175" s="38" t="inlineStr">
        <is>
          <t>https://www.semana.com/mundo/articulo/reino-unido-sienta-su-posicion-sobre-las-malvinas-tras-polemicas-declaraciones-de-javier-milei/202654/_S01</t>
        </is>
      </c>
      <c r="C175" s="38" t="inlineStr">
        <is>
          <t>Semana</t>
        </is>
      </c>
      <c r="D175" s="38" t="inlineStr">
        <is>
          <t>Relación con Estados Unidos</t>
        </is>
      </c>
      <c r="E175" s="38" t="inlineStr">
        <is>
          <t>Noticia dura</t>
        </is>
      </c>
      <c r="F175" s="38" t="inlineStr">
        <is>
          <t>Fri, 04 Sep 2026 20:53:54 +0000</t>
        </is>
      </c>
      <c r="G175" s="62" t="inlineStr">
        <is>
          <t>Reino Unido y Argentina volvieron a confrontar sus posiciones sobre las Islas Malvinas luego de que el presidente argentino Javier Milei hablara de condiciones internacionales favorables para avanzar en la reivindicación de soberanía sobre el archipiélago del Atlántico Sur.</t>
        </is>
      </c>
      <c r="H175" s="62" t="n"/>
      <c r="I175" s="62" t="inlineStr">
        <is>
          <t>El jefe de la diplomacia británica, Ed Miliband, afirmó este viernes en X (antes Twitter) que “las islas son británicas y seguirán siéndolo, porque es la voluntad abrumadora de sus habitantes”.</t>
        </is>
      </c>
      <c r="J175" s="38" t="n"/>
      <c r="K175" s="62" t="n"/>
      <c r="L175" s="38" t="n"/>
      <c r="M175" s="62" t="n"/>
      <c r="N175" s="38" t="n"/>
      <c r="O175" s="62" t="n"/>
      <c r="P175" s="38" t="n"/>
      <c r="Q175" s="62" t="n"/>
      <c r="R175" s="38" t="n"/>
      <c r="S175" s="62" t="n"/>
      <c r="T175" s="38" t="n"/>
      <c r="U175" s="62" t="n"/>
      <c r="V175" s="38" t="n"/>
      <c r="W175" s="62" t="n"/>
      <c r="X175" s="38" t="n"/>
      <c r="Y175" s="62" t="n"/>
      <c r="Z175" s="38" t="n"/>
      <c r="AA175" s="62" t="n"/>
      <c r="AB175" s="38" t="n"/>
      <c r="AC175" s="62" t="n"/>
      <c r="AD175" s="38" t="n"/>
      <c r="AE175" s="38" t="n"/>
      <c r="AF175" s="61">
        <f>IF(COUNTIF($B$5:B175,B175)=1,1,0)</f>
        <v/>
      </c>
      <c r="AG175" s="62" t="inlineStr">
        <is>
          <t>https://www.semana.com/mundo/articulo/reino-unido-sienta-su-posicion-sobre-las-malvinas-tras-polemicas-declaraciones-de-javier-milei/202654/</t>
        </is>
      </c>
    </row>
    <row r="176" ht="15" customHeight="1" s="31">
      <c r="A176" s="38" t="inlineStr">
        <is>
          <t>https://www.semana.com/mundo/articulo/reino-unido-sienta-su-posicion-sobre-las-malvinas-tras-polemicas-declaraciones-de-javier-milei/202654/</t>
        </is>
      </c>
      <c r="B176" s="38" t="inlineStr">
        <is>
          <t>https://www.semana.com/mundo/articulo/reino-unido-sienta-su-posicion-sobre-las-malvinas-tras-polemicas-declaraciones-de-javier-milei/202654/_S02</t>
        </is>
      </c>
      <c r="C176" s="38" t="inlineStr">
        <is>
          <t>Semana</t>
        </is>
      </c>
      <c r="D176" s="38" t="inlineStr">
        <is>
          <t>Relación con Estados Unidos</t>
        </is>
      </c>
      <c r="E176" s="38" t="inlineStr">
        <is>
          <t>Noticia dura</t>
        </is>
      </c>
      <c r="F176" s="38" t="inlineStr">
        <is>
          <t>Fri, 04 Sep 2026 20:53:54 +0000</t>
        </is>
      </c>
      <c r="G176" s="62" t="inlineStr">
        <is>
          <t>El jefe de la diplomacia británica, Ed Miliband, afirmó este viernes en X (antes Twitter) que “las islas son británicas y seguirán siéndolo, porque es la voluntad abrumadora de sus habitantes”.</t>
        </is>
      </c>
      <c r="H176" s="62" t="inlineStr">
        <is>
          <t>Reino Unido y Argentina volvieron a confrontar sus posiciones sobre las Islas Malvinas luego de que el presidente argentino Javier Milei hablara de condiciones internacionales favorables para avanzar en la reivindicación de soberanía sobre el archipiélago del Atlántico Sur.</t>
        </is>
      </c>
      <c r="I176" s="62" t="inlineStr">
        <is>
          <t>Además, calificó de “inquebrantable” la postura del Reino Unido frente a la soberanía de las islas.</t>
        </is>
      </c>
      <c r="J176" s="38" t="n"/>
      <c r="K176" s="62" t="n"/>
      <c r="L176" s="38" t="n"/>
      <c r="M176" s="62" t="n"/>
      <c r="N176" s="38" t="n"/>
      <c r="O176" s="62" t="n"/>
      <c r="P176" s="38" t="n"/>
      <c r="Q176" s="62" t="n"/>
      <c r="R176" s="38" t="n"/>
      <c r="S176" s="62" t="n"/>
      <c r="T176" s="38" t="n"/>
      <c r="U176" s="62" t="n"/>
      <c r="V176" s="38" t="n"/>
      <c r="W176" s="62" t="n"/>
      <c r="X176" s="38" t="n"/>
      <c r="Y176" s="62" t="n"/>
      <c r="Z176" s="38" t="n"/>
      <c r="AA176" s="62" t="n"/>
      <c r="AB176" s="38" t="n"/>
      <c r="AC176" s="62" t="n"/>
      <c r="AD176" s="38" t="n"/>
      <c r="AE176" s="38" t="n"/>
      <c r="AF176" s="61">
        <f>IF(COUNTIF($B$5:B176,B176)=1,1,0)</f>
        <v/>
      </c>
      <c r="AG176" s="62" t="inlineStr">
        <is>
          <t>https://www.semana.com/mundo/articulo/reino-unido-sienta-su-posicion-sobre-las-malvinas-tras-polemicas-declaraciones-de-javier-milei/202654/</t>
        </is>
      </c>
    </row>
    <row r="177" ht="15" customHeight="1" s="31">
      <c r="A177" s="38" t="inlineStr">
        <is>
          <t>https://www.semana.com/mundo/articulo/reino-unido-sienta-su-posicion-sobre-las-malvinas-tras-polemicas-declaraciones-de-javier-milei/202654/</t>
        </is>
      </c>
      <c r="B177" s="38" t="inlineStr">
        <is>
          <t>https://www.semana.com/mundo/articulo/reino-unido-sienta-su-posicion-sobre-las-malvinas-tras-polemicas-declaraciones-de-javier-milei/202654/_S03</t>
        </is>
      </c>
      <c r="C177" s="38" t="inlineStr">
        <is>
          <t>Semana</t>
        </is>
      </c>
      <c r="D177" s="38" t="inlineStr">
        <is>
          <t>Relación con Estados Unidos</t>
        </is>
      </c>
      <c r="E177" s="38" t="inlineStr">
        <is>
          <t>Noticia dura</t>
        </is>
      </c>
      <c r="F177" s="38" t="inlineStr">
        <is>
          <t>Fri, 04 Sep 2026 20:53:54 +0000</t>
        </is>
      </c>
      <c r="G177" s="62" t="inlineStr">
        <is>
          <t>Además, calificó de “inquebrantable” la postura del Reino Unido frente a la soberanía de las islas.</t>
        </is>
      </c>
      <c r="H177" s="62" t="inlineStr">
        <is>
          <t>El jefe de la diplomacia británica, Ed Miliband, afirmó este viernes en X (antes Twitter) que “las islas son británicas y seguirán siéndolo, porque es la voluntad abrumadora de sus habitantes”.</t>
        </is>
      </c>
      <c r="I177" s="62" t="inlineStr">
        <is>
          <t>El ministro británico de Defensa, Wes Streeting, también sostuvo que el territorio “son británicas porque sus habitantes eligen ser británicos”.</t>
        </is>
      </c>
      <c r="J177" s="38" t="n"/>
      <c r="K177" s="62" t="n"/>
      <c r="L177" s="38" t="n"/>
      <c r="M177" s="62" t="n"/>
      <c r="N177" s="38" t="n"/>
      <c r="O177" s="62" t="n"/>
      <c r="P177" s="38" t="n"/>
      <c r="Q177" s="62" t="n"/>
      <c r="R177" s="38" t="n"/>
      <c r="S177" s="62" t="n"/>
      <c r="T177" s="38" t="n"/>
      <c r="U177" s="62" t="n"/>
      <c r="V177" s="38" t="n"/>
      <c r="W177" s="62" t="n"/>
      <c r="X177" s="38" t="n"/>
      <c r="Y177" s="62" t="n"/>
      <c r="Z177" s="38" t="n"/>
      <c r="AA177" s="62" t="n"/>
      <c r="AB177" s="38" t="n"/>
      <c r="AC177" s="62" t="n"/>
      <c r="AD177" s="38" t="n"/>
      <c r="AE177" s="38" t="n"/>
      <c r="AF177" s="61">
        <f>IF(COUNTIF($B$5:B177,B177)=1,1,0)</f>
        <v/>
      </c>
      <c r="AG177" s="62" t="inlineStr">
        <is>
          <t>https://www.semana.com/mundo/articulo/reino-unido-sienta-su-posicion-sobre-las-malvinas-tras-polemicas-declaraciones-de-javier-milei/202654/</t>
        </is>
      </c>
    </row>
    <row r="178" ht="15" customHeight="1" s="31">
      <c r="A178" s="38" t="inlineStr">
        <is>
          <t>https://www.semana.com/mundo/articulo/reino-unido-sienta-su-posicion-sobre-las-malvinas-tras-polemicas-declaraciones-de-javier-milei/202654/</t>
        </is>
      </c>
      <c r="B178" s="38" t="inlineStr">
        <is>
          <t>https://www.semana.com/mundo/articulo/reino-unido-sienta-su-posicion-sobre-las-malvinas-tras-polemicas-declaraciones-de-javier-milei/202654/_S04</t>
        </is>
      </c>
      <c r="C178" s="38" t="inlineStr">
        <is>
          <t>Semana</t>
        </is>
      </c>
      <c r="D178" s="38" t="inlineStr">
        <is>
          <t>Relación con Estados Unidos</t>
        </is>
      </c>
      <c r="E178" s="38" t="inlineStr">
        <is>
          <t>Noticia dura</t>
        </is>
      </c>
      <c r="F178" s="38" t="inlineStr">
        <is>
          <t>Fri, 04 Sep 2026 20:53:54 +0000</t>
        </is>
      </c>
      <c r="G178" s="62" t="inlineStr">
        <is>
          <t>El ministro británico de Defensa, Wes Streeting, también sostuvo que el territorio “son británicas porque sus habitantes eligen ser británicos”.</t>
        </is>
      </c>
      <c r="H178" s="62" t="inlineStr">
        <is>
          <t>Además, calificó de “inquebrantable” la postura del Reino Unido frente a la soberanía de las islas.</t>
        </is>
      </c>
      <c r="I178" s="62" t="inlineStr">
        <is>
          <t>Las declaraciones se producen después de que Donald Trump planteara la posibilidad de “revisar” la tradicional posición de neutralidad de Estados Unidos frente al diferendo.</t>
        </is>
      </c>
      <c r="J178" s="38" t="n"/>
      <c r="K178" s="62" t="n"/>
      <c r="L178" s="38" t="n"/>
      <c r="M178" s="62" t="n"/>
      <c r="N178" s="38" t="n"/>
      <c r="O178" s="62" t="n"/>
      <c r="P178" s="38" t="n"/>
      <c r="Q178" s="62" t="n"/>
      <c r="R178" s="38" t="n"/>
      <c r="S178" s="62" t="n"/>
      <c r="T178" s="38" t="n"/>
      <c r="U178" s="62" t="n"/>
      <c r="V178" s="38" t="n"/>
      <c r="W178" s="62" t="n"/>
      <c r="X178" s="38" t="n"/>
      <c r="Y178" s="62" t="n"/>
      <c r="Z178" s="38" t="n"/>
      <c r="AA178" s="62" t="n"/>
      <c r="AB178" s="38" t="n"/>
      <c r="AC178" s="62" t="n"/>
      <c r="AD178" s="38" t="n"/>
      <c r="AE178" s="38" t="n"/>
      <c r="AF178" s="61">
        <f>IF(COUNTIF($B$5:B178,B178)=1,1,0)</f>
        <v/>
      </c>
      <c r="AG178" s="62" t="inlineStr">
        <is>
          <t>https://www.semana.com/mundo/articulo/reino-unido-sienta-su-posicion-sobre-las-malvinas-tras-polemicas-declaraciones-de-javier-milei/202654/</t>
        </is>
      </c>
    </row>
    <row r="179" ht="15" customHeight="1" s="31">
      <c r="A179" s="38" t="inlineStr">
        <is>
          <t>https://www.semana.com/mundo/articulo/reino-unido-sienta-su-posicion-sobre-las-malvinas-tras-polemicas-declaraciones-de-javier-milei/202654/</t>
        </is>
      </c>
      <c r="B179" s="38" t="inlineStr">
        <is>
          <t>https://www.semana.com/mundo/articulo/reino-unido-sienta-su-posicion-sobre-las-malvinas-tras-polemicas-declaraciones-de-javier-milei/202654/_S05</t>
        </is>
      </c>
      <c r="C179" s="38" t="inlineStr">
        <is>
          <t>Semana</t>
        </is>
      </c>
      <c r="D179" s="38" t="inlineStr">
        <is>
          <t>Relación con Estados Unidos</t>
        </is>
      </c>
      <c r="E179" s="38" t="inlineStr">
        <is>
          <t>Noticia dura</t>
        </is>
      </c>
      <c r="F179" s="38" t="inlineStr">
        <is>
          <t>Fri, 04 Sep 2026 20:53:54 +0000</t>
        </is>
      </c>
      <c r="G179" s="62" t="inlineStr">
        <is>
          <t>Las declaraciones se producen después de que Donald Trump planteara la posibilidad de “revisar” la tradicional posición de neutralidad de Estados Unidos frente al diferendo.</t>
        </is>
      </c>
      <c r="H179" s="62" t="inlineStr">
        <is>
          <t>El ministro británico de Defensa, Wes Streeting, también sostuvo que el territorio “son británicas porque sus habitantes eligen ser británicos”.</t>
        </is>
      </c>
      <c r="I179" s="62" t="inlineStr">
        <is>
          <t>En una entrevista para GB News, el mandatario estadounidense también evitó confirmar si respaldaría al Reino Unido ante un eventual nuevo conflicto con Argentina.</t>
        </is>
      </c>
      <c r="J179" s="38" t="n"/>
      <c r="K179" s="62" t="n"/>
      <c r="L179" s="38" t="n"/>
      <c r="M179" s="62" t="n"/>
      <c r="N179" s="38" t="n"/>
      <c r="O179" s="62" t="n"/>
      <c r="P179" s="38" t="n"/>
      <c r="Q179" s="62" t="n"/>
      <c r="R179" s="38" t="n"/>
      <c r="S179" s="62" t="n"/>
      <c r="T179" s="38" t="n"/>
      <c r="U179" s="62" t="n"/>
      <c r="V179" s="38" t="n"/>
      <c r="W179" s="62" t="n"/>
      <c r="X179" s="38" t="n"/>
      <c r="Y179" s="62" t="n"/>
      <c r="Z179" s="38" t="n"/>
      <c r="AA179" s="62" t="n"/>
      <c r="AB179" s="38" t="n"/>
      <c r="AC179" s="62" t="n"/>
      <c r="AD179" s="38" t="n"/>
      <c r="AE179" s="38" t="n"/>
      <c r="AF179" s="61">
        <f>IF(COUNTIF($B$5:B179,B179)=1,1,0)</f>
        <v/>
      </c>
      <c r="AG179" s="62" t="inlineStr">
        <is>
          <t>https://www.semana.com/mundo/articulo/reino-unido-sienta-su-posicion-sobre-las-malvinas-tras-polemicas-declaraciones-de-javier-milei/202654/</t>
        </is>
      </c>
    </row>
    <row r="180" ht="15" customHeight="1" s="31">
      <c r="A180" s="38" t="inlineStr">
        <is>
          <t>https://www.semana.com/mundo/articulo/reino-unido-sienta-su-posicion-sobre-las-malvinas-tras-polemicas-declaraciones-de-javier-milei/202654/</t>
        </is>
      </c>
      <c r="B180" s="38" t="inlineStr">
        <is>
          <t>https://www.semana.com/mundo/articulo/reino-unido-sienta-su-posicion-sobre-las-malvinas-tras-polemicas-declaraciones-de-javier-milei/202654/_S06</t>
        </is>
      </c>
      <c r="C180" s="38" t="inlineStr">
        <is>
          <t>Semana</t>
        </is>
      </c>
      <c r="D180" s="38" t="inlineStr">
        <is>
          <t>Relación con Estados Unidos</t>
        </is>
      </c>
      <c r="E180" s="38" t="inlineStr">
        <is>
          <t>Noticia dura</t>
        </is>
      </c>
      <c r="F180" s="38" t="inlineStr">
        <is>
          <t>Fri, 04 Sep 2026 20:53:54 +0000</t>
        </is>
      </c>
      <c r="G180" s="62" t="inlineStr">
        <is>
          <t>En una entrevista para GB News, el mandatario estadounidense también evitó confirmar si respaldaría al Reino Unido ante un eventual nuevo conflicto con Argentina.</t>
        </is>
      </c>
      <c r="H180" s="62" t="inlineStr">
        <is>
          <t>Las declaraciones se producen después de que Donald Trump planteara la posibilidad de “revisar” la tradicional posición de neutralidad de Estados Unidos frente al diferendo.</t>
        </is>
      </c>
      <c r="I180" s="62" t="inlineStr">
        <is>
          <t>“Si hay un conflicto, Trump se mete”, afirmó por su parte Juan Battaleme, politólogo y exsecretario de Asuntos Internacionales para la Defensa del gobierno de Milei hasta diciembre de 2025.</t>
        </is>
      </c>
      <c r="J180" s="38" t="n"/>
      <c r="K180" s="62" t="n"/>
      <c r="L180" s="38" t="n"/>
      <c r="M180" s="62" t="n"/>
      <c r="N180" s="38" t="n"/>
      <c r="O180" s="62" t="n"/>
      <c r="P180" s="38" t="n"/>
      <c r="Q180" s="62" t="n"/>
      <c r="R180" s="38" t="n"/>
      <c r="S180" s="62" t="n"/>
      <c r="T180" s="38" t="n"/>
      <c r="U180" s="62" t="n"/>
      <c r="V180" s="38" t="n"/>
      <c r="W180" s="62" t="n"/>
      <c r="X180" s="38" t="n"/>
      <c r="Y180" s="62" t="n"/>
      <c r="Z180" s="38" t="n"/>
      <c r="AA180" s="62" t="n"/>
      <c r="AB180" s="38" t="n"/>
      <c r="AC180" s="62" t="n"/>
      <c r="AD180" s="38" t="n"/>
      <c r="AE180" s="38" t="n"/>
      <c r="AF180" s="61">
        <f>IF(COUNTIF($B$5:B180,B180)=1,1,0)</f>
        <v/>
      </c>
      <c r="AG180" s="62" t="inlineStr">
        <is>
          <t>https://www.semana.com/mundo/articulo/reino-unido-sienta-su-posicion-sobre-las-malvinas-tras-polemicas-declaraciones-de-javier-milei/202654/</t>
        </is>
      </c>
    </row>
    <row r="181" ht="15" customHeight="1" s="31">
      <c r="A181" s="38" t="inlineStr">
        <is>
          <t>https://www.semana.com/mundo/articulo/reino-unido-sienta-su-posicion-sobre-las-malvinas-tras-polemicas-declaraciones-de-javier-milei/202654/</t>
        </is>
      </c>
      <c r="B181" s="38" t="inlineStr">
        <is>
          <t>https://www.semana.com/mundo/articulo/reino-unido-sienta-su-posicion-sobre-las-malvinas-tras-polemicas-declaraciones-de-javier-milei/202654/_S07</t>
        </is>
      </c>
      <c r="C181" s="38" t="inlineStr">
        <is>
          <t>Semana</t>
        </is>
      </c>
      <c r="D181" s="38" t="inlineStr">
        <is>
          <t>Relación con Estados Unidos</t>
        </is>
      </c>
      <c r="E181" s="38" t="inlineStr">
        <is>
          <t>Noticia dura</t>
        </is>
      </c>
      <c r="F181" s="38" t="inlineStr">
        <is>
          <t>Fri, 04 Sep 2026 20:53:54 +0000</t>
        </is>
      </c>
      <c r="G181" s="62" t="inlineStr">
        <is>
          <t>“Si hay un conflicto, Trump se mete”, afirmó por su parte Juan Battaleme, politólogo y exsecretario de Asuntos Internacionales para la Defensa del gobierno de Milei hasta diciembre de 2025.</t>
        </is>
      </c>
      <c r="H181" s="62" t="inlineStr">
        <is>
          <t>En una entrevista para GB News, el mandatario estadounidense también evitó confirmar si respaldaría al Reino Unido ante un eventual nuevo conflicto con Argentina.</t>
        </is>
      </c>
      <c r="I181" s="62" t="inlineStr">
        <is>
          <t>Milei consideró que la postura de Trump representa “vientos de cambio favorables a nuestro reclamo” y advirtió que “esta amenaza no es inocua”.</t>
        </is>
      </c>
      <c r="J181" s="38" t="n"/>
      <c r="K181" s="62" t="n"/>
      <c r="L181" s="38" t="n"/>
      <c r="M181" s="62" t="n"/>
      <c r="N181" s="38" t="n"/>
      <c r="O181" s="62" t="n"/>
      <c r="P181" s="38" t="n"/>
      <c r="Q181" s="62" t="n"/>
      <c r="R181" s="38" t="n"/>
      <c r="S181" s="62" t="n"/>
      <c r="T181" s="38" t="n"/>
      <c r="U181" s="62" t="n"/>
      <c r="V181" s="38" t="n"/>
      <c r="W181" s="62" t="n"/>
      <c r="X181" s="38" t="n"/>
      <c r="Y181" s="62" t="n"/>
      <c r="Z181" s="38" t="n"/>
      <c r="AA181" s="62" t="n"/>
      <c r="AB181" s="38" t="n"/>
      <c r="AC181" s="62" t="n"/>
      <c r="AD181" s="38" t="n"/>
      <c r="AE181" s="38" t="n"/>
      <c r="AF181" s="61">
        <f>IF(COUNTIF($B$5:B181,B181)=1,1,0)</f>
        <v/>
      </c>
      <c r="AG181" s="62" t="inlineStr">
        <is>
          <t>https://www.semana.com/mundo/articulo/reino-unido-sienta-su-posicion-sobre-las-malvinas-tras-polemicas-declaraciones-de-javier-milei/202654/</t>
        </is>
      </c>
    </row>
    <row r="182" ht="15" customHeight="1" s="31">
      <c r="A182" s="38" t="inlineStr">
        <is>
          <t>https://www.semana.com/mundo/articulo/reino-unido-sienta-su-posicion-sobre-las-malvinas-tras-polemicas-declaraciones-de-javier-milei/202654/</t>
        </is>
      </c>
      <c r="B182" s="38" t="inlineStr">
        <is>
          <t>https://www.semana.com/mundo/articulo/reino-unido-sienta-su-posicion-sobre-las-malvinas-tras-polemicas-declaraciones-de-javier-milei/202654/_S08</t>
        </is>
      </c>
      <c r="C182" s="38" t="inlineStr">
        <is>
          <t>Semana</t>
        </is>
      </c>
      <c r="D182" s="38" t="inlineStr">
        <is>
          <t>Relación con Estados Unidos</t>
        </is>
      </c>
      <c r="E182" s="38" t="inlineStr">
        <is>
          <t>Noticia dura</t>
        </is>
      </c>
      <c r="F182" s="38" t="inlineStr">
        <is>
          <t>Fri, 04 Sep 2026 20:53:54 +0000</t>
        </is>
      </c>
      <c r="G182" s="62" t="inlineStr">
        <is>
          <t>Milei consideró que la postura de Trump representa “vientos de cambio favorables a nuestro reclamo” y advirtió que “esta amenaza no es inocua”.</t>
        </is>
      </c>
      <c r="H182" s="62" t="inlineStr">
        <is>
          <t>“Si hay un conflicto, Trump se mete”, afirmó por su parte Juan Battaleme, politólogo y exsecretario de Asuntos Internacionales para la Defensa del gobierno de Milei hasta diciembre de 2025.</t>
        </is>
      </c>
      <c r="I182" s="62" t="inlineStr">
        <is>
          <t>Más adelante, en el mismo discurso, cuestionó el proyecto petrolero Sea Lion, impulsado por la británica Rockhopper y la israelí Navitas en aguas ubicadas a 220 kilómetros al norte de las islas.</t>
        </is>
      </c>
      <c r="J182" s="38" t="n"/>
      <c r="K182" s="62" t="n"/>
      <c r="L182" s="38" t="n"/>
      <c r="M182" s="62" t="n"/>
      <c r="N182" s="38" t="n"/>
      <c r="O182" s="62" t="n"/>
      <c r="P182" s="38" t="n"/>
      <c r="Q182" s="62" t="n"/>
      <c r="R182" s="38" t="n"/>
      <c r="S182" s="62" t="n"/>
      <c r="T182" s="38" t="n"/>
      <c r="U182" s="62" t="n"/>
      <c r="V182" s="38" t="n"/>
      <c r="W182" s="62" t="n"/>
      <c r="X182" s="38" t="n"/>
      <c r="Y182" s="62" t="n"/>
      <c r="Z182" s="38" t="n"/>
      <c r="AA182" s="62" t="n"/>
      <c r="AB182" s="38" t="n"/>
      <c r="AC182" s="62" t="n"/>
      <c r="AD182" s="38" t="n"/>
      <c r="AE182" s="38" t="n"/>
      <c r="AF182" s="61">
        <f>IF(COUNTIF($B$5:B182,B182)=1,1,0)</f>
        <v/>
      </c>
      <c r="AG182" s="62" t="inlineStr">
        <is>
          <t>https://www.semana.com/mundo/articulo/reino-unido-sienta-su-posicion-sobre-las-malvinas-tras-polemicas-declaraciones-de-javier-milei/202654/</t>
        </is>
      </c>
    </row>
    <row r="183" ht="15" customHeight="1" s="31">
      <c r="A183" s="38" t="inlineStr">
        <is>
          <t>https://www.semana.com/mundo/articulo/reino-unido-sienta-su-posicion-sobre-las-malvinas-tras-polemicas-declaraciones-de-javier-milei/202654/</t>
        </is>
      </c>
      <c r="B183" s="38" t="inlineStr">
        <is>
          <t>https://www.semana.com/mundo/articulo/reino-unido-sienta-su-posicion-sobre-las-malvinas-tras-polemicas-declaraciones-de-javier-milei/202654/_S09</t>
        </is>
      </c>
      <c r="C183" s="38" t="inlineStr">
        <is>
          <t>Semana</t>
        </is>
      </c>
      <c r="D183" s="38" t="inlineStr">
        <is>
          <t>Relación con Estados Unidos</t>
        </is>
      </c>
      <c r="E183" s="38" t="inlineStr">
        <is>
          <t>Noticia dura</t>
        </is>
      </c>
      <c r="F183" s="38" t="inlineStr">
        <is>
          <t>Fri, 04 Sep 2026 20:53:54 +0000</t>
        </is>
      </c>
      <c r="G183" s="62" t="inlineStr">
        <is>
          <t>Más adelante, en el mismo discurso, cuestionó el proyecto petrolero Sea Lion, impulsado por la británica Rockhopper y la israelí Navitas en aguas ubicadas a 220 kilómetros al norte de las islas.</t>
        </is>
      </c>
      <c r="H183" s="62" t="inlineStr">
        <is>
          <t>Milei consideró que la postura de Trump representa “vientos de cambio favorables a nuestro reclamo” y advirtió que “esta amenaza no es inocua”.</t>
        </is>
      </c>
      <c r="I183" s="62" t="inlineStr">
        <is>
          <t>La soberanía de las islas es además objeto de una resolución de la ONU de 1965, que insta a ambos países a resolver la disputa mediante negociaciones diplomáticas y sin adoptar decisiones unilaterales.</t>
        </is>
      </c>
      <c r="J183" s="38" t="n"/>
      <c r="K183" s="62" t="n"/>
      <c r="L183" s="38" t="n"/>
      <c r="M183" s="62" t="n"/>
      <c r="N183" s="38" t="n"/>
      <c r="O183" s="62" t="n"/>
      <c r="P183" s="38" t="n"/>
      <c r="Q183" s="62" t="n"/>
      <c r="R183" s="38" t="n"/>
      <c r="S183" s="62" t="n"/>
      <c r="T183" s="38" t="n"/>
      <c r="U183" s="62" t="n"/>
      <c r="V183" s="38" t="n"/>
      <c r="W183" s="62" t="n"/>
      <c r="X183" s="38" t="n"/>
      <c r="Y183" s="62" t="n"/>
      <c r="Z183" s="38" t="n"/>
      <c r="AA183" s="62" t="n"/>
      <c r="AB183" s="38" t="n"/>
      <c r="AC183" s="62" t="n"/>
      <c r="AD183" s="38" t="n"/>
      <c r="AE183" s="38" t="n"/>
      <c r="AF183" s="61">
        <f>IF(COUNTIF($B$5:B183,B183)=1,1,0)</f>
        <v/>
      </c>
      <c r="AG183" s="62" t="inlineStr">
        <is>
          <t>https://www.semana.com/mundo/articulo/reino-unido-sienta-su-posicion-sobre-las-malvinas-tras-polemicas-declaraciones-de-javier-milei/202654/</t>
        </is>
      </c>
    </row>
    <row r="184" ht="15" customHeight="1" s="31">
      <c r="A184" s="38" t="inlineStr">
        <is>
          <t>https://www.semana.com/mundo/articulo/reino-unido-sienta-su-posicion-sobre-las-malvinas-tras-polemicas-declaraciones-de-javier-milei/202654/</t>
        </is>
      </c>
      <c r="B184" s="38" t="inlineStr">
        <is>
          <t>https://www.semana.com/mundo/articulo/reino-unido-sienta-su-posicion-sobre-las-malvinas-tras-polemicas-declaraciones-de-javier-milei/202654/_S10</t>
        </is>
      </c>
      <c r="C184" s="38" t="inlineStr">
        <is>
          <t>Semana</t>
        </is>
      </c>
      <c r="D184" s="38" t="inlineStr">
        <is>
          <t>Relación con Estados Unidos</t>
        </is>
      </c>
      <c r="E184" s="38" t="inlineStr">
        <is>
          <t>Noticia dura</t>
        </is>
      </c>
      <c r="F184" s="38" t="inlineStr">
        <is>
          <t>Fri, 04 Sep 2026 20:53:54 +0000</t>
        </is>
      </c>
      <c r="G184" s="62" t="inlineStr">
        <is>
          <t>La soberanía de las islas es además objeto de una resolución de la ONU de 1965, que insta a ambos países a resolver la disputa mediante negociaciones diplomáticas y sin adoptar decisiones unilaterales.</t>
        </is>
      </c>
      <c r="H184" s="62" t="inlineStr">
        <is>
          <t>Más adelante, en el mismo discurso, cuestionó el proyecto petrolero Sea Lion, impulsado por la británica Rockhopper y la israelí Navitas en aguas ubicadas a 220 kilómetros al norte de las islas.</t>
        </is>
      </c>
      <c r="I184" s="62" t="n"/>
      <c r="J184" s="38" t="n"/>
      <c r="K184" s="62" t="n"/>
      <c r="L184" s="38" t="n"/>
      <c r="M184" s="62" t="n"/>
      <c r="N184" s="38" t="n"/>
      <c r="O184" s="62" t="n"/>
      <c r="P184" s="38" t="n"/>
      <c r="Q184" s="62" t="n"/>
      <c r="R184" s="38" t="n"/>
      <c r="S184" s="62" t="n"/>
      <c r="T184" s="38" t="n"/>
      <c r="U184" s="62" t="n"/>
      <c r="V184" s="38" t="n"/>
      <c r="W184" s="62" t="n"/>
      <c r="X184" s="38" t="n"/>
      <c r="Y184" s="62" t="n"/>
      <c r="Z184" s="38" t="n"/>
      <c r="AA184" s="62" t="n"/>
      <c r="AB184" s="38" t="n"/>
      <c r="AC184" s="62" t="n"/>
      <c r="AD184" s="38" t="n"/>
      <c r="AE184" s="38" t="n"/>
      <c r="AF184" s="61">
        <f>IF(COUNTIF($B$5:B184,B184)=1,1,0)</f>
        <v/>
      </c>
      <c r="AG184" s="62" t="inlineStr">
        <is>
          <t>https://www.semana.com/mundo/articulo/reino-unido-sienta-su-posicion-sobre-las-malvinas-tras-polemicas-declaraciones-de-javier-milei/202654/</t>
        </is>
      </c>
    </row>
    <row r="185" ht="15" customHeight="1" s="31">
      <c r="A185" s="38" t="inlineStr">
        <is>
          <t>https://www.semana.com/politica/articulo/la-publicacion-de-abelardo-de-la-espriella-que-vaticinaba-la-suerte-que-iba-a-tener-alias-bendito-menor-que-impacto-las-redes/202657/</t>
        </is>
      </c>
      <c r="B185" s="38" t="inlineStr">
        <is>
          <t>https://www.semana.com/politica/articulo/la-publicacion-de-abelardo-de-la-espriella-que-vaticinaba-la-suerte-que-iba-a-tener-alias-bendito-menor-que-impacto-las-redes/202657/_S01</t>
        </is>
      </c>
      <c r="C185" s="38" t="inlineStr">
        <is>
          <t>Semana</t>
        </is>
      </c>
      <c r="D185" s="38" t="inlineStr">
        <is>
          <t>Transición de gobierno y relación con la oposición</t>
        </is>
      </c>
      <c r="E185" s="38" t="inlineStr">
        <is>
          <t>Noticia dura</t>
        </is>
      </c>
      <c r="F185" s="38" t="inlineStr">
        <is>
          <t>Fri, 04 Sep 2026 20:38:57 +0000</t>
        </is>
      </c>
      <c r="G185" s="62" t="inlineStr">
        <is>
          <t>Por medio de su cuenta de Instagram, el presidente Abelardo De La Espriella publicó una historia que no pasó desapercibida y que llamó la atención de los usuarios de las redes sociales.</t>
        </is>
      </c>
      <c r="H185" s="62" t="n"/>
      <c r="I185" s="62" t="inlineStr">
        <is>
          <t>Se trata de una foto en la que se ve al mandatario junto a integrantes de la Fuerza Pública, la cual está acompañada de un mensaje que vaticinaba la suerte que iba a tener el cabecilla Naín Andrés Pérez, más conocido con el alias de Bendito Menor.</t>
        </is>
      </c>
      <c r="J185" s="38" t="n"/>
      <c r="K185" s="62" t="n"/>
      <c r="L185" s="38" t="n"/>
      <c r="M185" s="62" t="n"/>
      <c r="N185" s="38" t="n"/>
      <c r="O185" s="62" t="n"/>
      <c r="P185" s="38" t="n"/>
      <c r="Q185" s="62" t="n"/>
      <c r="R185" s="38" t="n"/>
      <c r="S185" s="62" t="n"/>
      <c r="T185" s="38" t="n"/>
      <c r="U185" s="62" t="n"/>
      <c r="V185" s="38" t="n"/>
      <c r="W185" s="62" t="n"/>
      <c r="X185" s="38" t="n"/>
      <c r="Y185" s="62" t="n"/>
      <c r="Z185" s="38" t="n"/>
      <c r="AA185" s="62" t="n"/>
      <c r="AB185" s="38" t="n"/>
      <c r="AC185" s="62" t="n"/>
      <c r="AD185" s="38" t="n"/>
      <c r="AE185" s="38" t="n"/>
      <c r="AF185" s="61">
        <f>IF(COUNTIF($B$5:B185,B185)=1,1,0)</f>
        <v/>
      </c>
      <c r="AG185" s="62" t="inlineStr">
        <is>
          <t>https://www.semana.com/politica/articulo/la-publicacion-de-abelardo-de-la-espriella-que-vaticinaba-la-suerte-que-iba-a-tener-alias-bendito-menor-que-impacto-las-redes/202657/</t>
        </is>
      </c>
    </row>
    <row r="186" ht="15" customHeight="1" s="31">
      <c r="A186" s="38" t="inlineStr">
        <is>
          <t>https://www.semana.com/politica/articulo/la-publicacion-de-abelardo-de-la-espriella-que-vaticinaba-la-suerte-que-iba-a-tener-alias-bendito-menor-que-impacto-las-redes/202657/</t>
        </is>
      </c>
      <c r="B186" s="38" t="inlineStr">
        <is>
          <t>https://www.semana.com/politica/articulo/la-publicacion-de-abelardo-de-la-espriella-que-vaticinaba-la-suerte-que-iba-a-tener-alias-bendito-menor-que-impacto-las-redes/202657/_S02</t>
        </is>
      </c>
      <c r="C186" s="38" t="inlineStr">
        <is>
          <t>Semana</t>
        </is>
      </c>
      <c r="D186" s="38" t="inlineStr">
        <is>
          <t>Transición de gobierno y relación con la oposición</t>
        </is>
      </c>
      <c r="E186" s="38" t="inlineStr">
        <is>
          <t>Noticia dura</t>
        </is>
      </c>
      <c r="F186" s="38" t="inlineStr">
        <is>
          <t>Fri, 04 Sep 2026 20:38:57 +0000</t>
        </is>
      </c>
      <c r="G186" s="62" t="inlineStr">
        <is>
          <t>Se trata de una foto en la que se ve al mandatario junto a integrantes de la Fuerza Pública, la cual está acompañada de un mensaje que vaticinaba la suerte que iba a tener el cabecilla Naín Andrés Pérez, más conocido con el alias de Bendito Menor.</t>
        </is>
      </c>
      <c r="H186" s="62" t="inlineStr">
        <is>
          <t>Por medio de su cuenta de Instagram, el presidente Abelardo De La Espriella publicó una historia que no pasó desapercibida y que llamó la atención de los usuarios de las redes sociales.</t>
        </is>
      </c>
      <c r="I186" s="62" t="inlineStr">
        <is>
          <t>“Quien decida continuar atacando a Colombia, encontrará enfrente toda la capacidad legítima del Estado”, expresó la publicación en la cuenta de Instagram del mandatario.</t>
        </is>
      </c>
      <c r="J186" s="38" t="n"/>
      <c r="K186" s="62" t="n"/>
      <c r="L186" s="38" t="n"/>
      <c r="M186" s="62" t="n"/>
      <c r="N186" s="38" t="n"/>
      <c r="O186" s="62" t="n"/>
      <c r="P186" s="38" t="n"/>
      <c r="Q186" s="62" t="n"/>
      <c r="R186" s="38" t="n"/>
      <c r="S186" s="62" t="n"/>
      <c r="T186" s="38" t="n"/>
      <c r="U186" s="62" t="n"/>
      <c r="V186" s="38" t="n"/>
      <c r="W186" s="62" t="n"/>
      <c r="X186" s="38" t="n"/>
      <c r="Y186" s="62" t="n"/>
      <c r="Z186" s="38" t="n"/>
      <c r="AA186" s="62" t="n"/>
      <c r="AB186" s="38" t="n"/>
      <c r="AC186" s="62" t="n"/>
      <c r="AD186" s="38" t="n"/>
      <c r="AE186" s="38" t="n"/>
      <c r="AF186" s="61">
        <f>IF(COUNTIF($B$5:B186,B186)=1,1,0)</f>
        <v/>
      </c>
      <c r="AG186" s="62" t="inlineStr">
        <is>
          <t>https://www.semana.com/politica/articulo/la-publicacion-de-abelardo-de-la-espriella-que-vaticinaba-la-suerte-que-iba-a-tener-alias-bendito-menor-que-impacto-las-redes/202657/</t>
        </is>
      </c>
    </row>
    <row r="187" ht="15" customHeight="1" s="31">
      <c r="A187" s="38" t="inlineStr">
        <is>
          <t>https://www.semana.com/politica/articulo/la-publicacion-de-abelardo-de-la-espriella-que-vaticinaba-la-suerte-que-iba-a-tener-alias-bendito-menor-que-impacto-las-redes/202657/</t>
        </is>
      </c>
      <c r="B187" s="38" t="inlineStr">
        <is>
          <t>https://www.semana.com/politica/articulo/la-publicacion-de-abelardo-de-la-espriella-que-vaticinaba-la-suerte-que-iba-a-tener-alias-bendito-menor-que-impacto-las-redes/202657/_S03</t>
        </is>
      </c>
      <c r="C187" s="38" t="inlineStr">
        <is>
          <t>Semana</t>
        </is>
      </c>
      <c r="D187" s="38" t="inlineStr">
        <is>
          <t>Transición de gobierno y relación con la oposición</t>
        </is>
      </c>
      <c r="E187" s="38" t="inlineStr">
        <is>
          <t>Noticia dura</t>
        </is>
      </c>
      <c r="F187" s="38" t="inlineStr">
        <is>
          <t>Fri, 04 Sep 2026 20:38:57 +0000</t>
        </is>
      </c>
      <c r="G187" s="62" t="inlineStr">
        <is>
          <t>“Quien decida continuar atacando a Colombia, encontrará enfrente toda la capacidad legítima del Estado”, expresó la publicación en la cuenta de Instagram del mandatario.</t>
        </is>
      </c>
      <c r="H187" s="62" t="inlineStr">
        <is>
          <t>Se trata de una foto en la que se ve al mandatario junto a integrantes de la Fuerza Pública, la cual está acompañada de un mensaje que vaticinaba la suerte que iba a tener el cabecilla Naín Andrés Pérez, más conocido con el alias de Bendito Menor.</t>
        </is>
      </c>
      <c r="I187" s="62" t="inlineStr">
        <is>
          <t>Frente al caso de alias Bendito Menor, ese peligroso cabecilla fue dado de baja por una acción articulada que desplegó la Policía Nacional en el departamento de La Guajira.</t>
        </is>
      </c>
      <c r="J187" s="38" t="n"/>
      <c r="K187" s="62" t="n"/>
      <c r="L187" s="38" t="n"/>
      <c r="M187" s="62" t="n"/>
      <c r="N187" s="38" t="n"/>
      <c r="O187" s="62" t="n"/>
      <c r="P187" s="38" t="n"/>
      <c r="Q187" s="62" t="n"/>
      <c r="R187" s="38" t="n"/>
      <c r="S187" s="62" t="n"/>
      <c r="T187" s="38" t="n"/>
      <c r="U187" s="62" t="n"/>
      <c r="V187" s="38" t="n"/>
      <c r="W187" s="62" t="n"/>
      <c r="X187" s="38" t="n"/>
      <c r="Y187" s="62" t="n"/>
      <c r="Z187" s="38" t="n"/>
      <c r="AA187" s="62" t="n"/>
      <c r="AB187" s="38" t="n"/>
      <c r="AC187" s="62" t="n"/>
      <c r="AD187" s="38" t="n"/>
      <c r="AE187" s="38" t="n"/>
      <c r="AF187" s="61">
        <f>IF(COUNTIF($B$5:B187,B187)=1,1,0)</f>
        <v/>
      </c>
      <c r="AG187" s="62" t="inlineStr">
        <is>
          <t>https://www.semana.com/politica/articulo/la-publicacion-de-abelardo-de-la-espriella-que-vaticinaba-la-suerte-que-iba-a-tener-alias-bendito-menor-que-impacto-las-redes/202657/</t>
        </is>
      </c>
    </row>
    <row r="188" ht="15" customHeight="1" s="31">
      <c r="A188" s="38" t="inlineStr">
        <is>
          <t>https://www.semana.com/politica/articulo/la-publicacion-de-abelardo-de-la-espriella-que-vaticinaba-la-suerte-que-iba-a-tener-alias-bendito-menor-que-impacto-las-redes/202657/</t>
        </is>
      </c>
      <c r="B188" s="38" t="inlineStr">
        <is>
          <t>https://www.semana.com/politica/articulo/la-publicacion-de-abelardo-de-la-espriella-que-vaticinaba-la-suerte-que-iba-a-tener-alias-bendito-menor-que-impacto-las-redes/202657/_S04</t>
        </is>
      </c>
      <c r="C188" s="38" t="inlineStr">
        <is>
          <t>Semana</t>
        </is>
      </c>
      <c r="D188" s="38" t="inlineStr">
        <is>
          <t>Transición de gobierno y relación con la oposición</t>
        </is>
      </c>
      <c r="E188" s="38" t="inlineStr">
        <is>
          <t>Noticia dura</t>
        </is>
      </c>
      <c r="F188" s="38" t="inlineStr">
        <is>
          <t>Fri, 04 Sep 2026 20:38:57 +0000</t>
        </is>
      </c>
      <c r="G188" s="62" t="inlineStr">
        <is>
          <t>Frente al caso de alias Bendito Menor, ese peligroso cabecilla fue dado de baja por una acción articulada que desplegó la Policía Nacional en el departamento de La Guajira.</t>
        </is>
      </c>
      <c r="H188" s="62" t="inlineStr">
        <is>
          <t>“Quien decida continuar atacando a Colombia, encontrará enfrente toda la capacidad legítima del Estado”, expresó la publicación en la cuenta de Instagram del mandatario.</t>
        </is>
      </c>
      <c r="I188" s="62" t="inlineStr">
        <is>
          <t>El presidente De La Espriella, este viernes, 4 de septiembre, reveló detalles de la operación: “Hoy es un gran día para Colombia.</t>
        </is>
      </c>
      <c r="J188" s="38" t="n"/>
      <c r="K188" s="62" t="n"/>
      <c r="L188" s="38" t="n"/>
      <c r="M188" s="62" t="n"/>
      <c r="N188" s="38" t="n"/>
      <c r="O188" s="62" t="n"/>
      <c r="P188" s="38" t="n"/>
      <c r="Q188" s="62" t="n"/>
      <c r="R188" s="38" t="n"/>
      <c r="S188" s="62" t="n"/>
      <c r="T188" s="38" t="n"/>
      <c r="U188" s="62" t="n"/>
      <c r="V188" s="38" t="n"/>
      <c r="W188" s="62" t="n"/>
      <c r="X188" s="38" t="n"/>
      <c r="Y188" s="62" t="n"/>
      <c r="Z188" s="38" t="n"/>
      <c r="AA188" s="62" t="n"/>
      <c r="AB188" s="38" t="n"/>
      <c r="AC188" s="62" t="n"/>
      <c r="AD188" s="38" t="n"/>
      <c r="AE188" s="38" t="n"/>
      <c r="AF188" s="61">
        <f>IF(COUNTIF($B$5:B188,B188)=1,1,0)</f>
        <v/>
      </c>
      <c r="AG188" s="62" t="inlineStr">
        <is>
          <t>https://www.semana.com/politica/articulo/la-publicacion-de-abelardo-de-la-espriella-que-vaticinaba-la-suerte-que-iba-a-tener-alias-bendito-menor-que-impacto-las-redes/202657/</t>
        </is>
      </c>
    </row>
    <row r="189" ht="15" customHeight="1" s="31">
      <c r="A189" s="38" t="inlineStr">
        <is>
          <t>https://www.semana.com/politica/articulo/la-publicacion-de-abelardo-de-la-espriella-que-vaticinaba-la-suerte-que-iba-a-tener-alias-bendito-menor-que-impacto-las-redes/202657/</t>
        </is>
      </c>
      <c r="B189" s="38" t="inlineStr">
        <is>
          <t>https://www.semana.com/politica/articulo/la-publicacion-de-abelardo-de-la-espriella-que-vaticinaba-la-suerte-que-iba-a-tener-alias-bendito-menor-que-impacto-las-redes/202657/_S05</t>
        </is>
      </c>
      <c r="C189" s="38" t="inlineStr">
        <is>
          <t>Semana</t>
        </is>
      </c>
      <c r="D189" s="38" t="inlineStr">
        <is>
          <t>Transición de gobierno y relación con la oposición</t>
        </is>
      </c>
      <c r="E189" s="38" t="inlineStr">
        <is>
          <t>Noticia dura</t>
        </is>
      </c>
      <c r="F189" s="38" t="inlineStr">
        <is>
          <t>Fri, 04 Sep 2026 20:38:57 +0000</t>
        </is>
      </c>
      <c r="G189" s="62" t="inlineStr">
        <is>
          <t>El presidente De La Espriella, este viernes, 4 de septiembre, reveló detalles de la operación: “Hoy es un gran día para Colombia.</t>
        </is>
      </c>
      <c r="H189" s="62" t="inlineStr">
        <is>
          <t>Frente al caso de alias Bendito Menor, ese peligroso cabecilla fue dado de baja por una acción articulada que desplegó la Policía Nacional en el departamento de La Guajira.</t>
        </is>
      </c>
      <c r="I189" s="62" t="inlineStr">
        <is>
          <t>Gracias a una operación impecable realizada por nuestra Policía Nacional por un comando especial de la Dijín, se dio de baja a uno de los más peligrosos delincuentes de nuestro país, alias Naín o Bendito Menor”.</t>
        </is>
      </c>
      <c r="J189" s="38" t="n"/>
      <c r="K189" s="62" t="n"/>
      <c r="L189" s="38" t="n"/>
      <c r="M189" s="62" t="n"/>
      <c r="N189" s="38" t="n"/>
      <c r="O189" s="62" t="n"/>
      <c r="P189" s="38" t="n"/>
      <c r="Q189" s="62" t="n"/>
      <c r="R189" s="38" t="n"/>
      <c r="S189" s="62" t="n"/>
      <c r="T189" s="38" t="n"/>
      <c r="U189" s="62" t="n"/>
      <c r="V189" s="38" t="n"/>
      <c r="W189" s="62" t="n"/>
      <c r="X189" s="38" t="n"/>
      <c r="Y189" s="62" t="n"/>
      <c r="Z189" s="38" t="n"/>
      <c r="AA189" s="62" t="n"/>
      <c r="AB189" s="38" t="n"/>
      <c r="AC189" s="62" t="n"/>
      <c r="AD189" s="38" t="n"/>
      <c r="AE189" s="38" t="n"/>
      <c r="AF189" s="61">
        <f>IF(COUNTIF($B$5:B189,B189)=1,1,0)</f>
        <v/>
      </c>
      <c r="AG189" s="62" t="inlineStr">
        <is>
          <t>https://www.semana.com/politica/articulo/la-publicacion-de-abelardo-de-la-espriella-que-vaticinaba-la-suerte-que-iba-a-tener-alias-bendito-menor-que-impacto-las-redes/202657/</t>
        </is>
      </c>
    </row>
    <row r="190" ht="15" customHeight="1" s="31">
      <c r="A190" s="38" t="inlineStr">
        <is>
          <t>https://www.semana.com/politica/articulo/la-publicacion-de-abelardo-de-la-espriella-que-vaticinaba-la-suerte-que-iba-a-tener-alias-bendito-menor-que-impacto-las-redes/202657/</t>
        </is>
      </c>
      <c r="B190" s="38" t="inlineStr">
        <is>
          <t>https://www.semana.com/politica/articulo/la-publicacion-de-abelardo-de-la-espriella-que-vaticinaba-la-suerte-que-iba-a-tener-alias-bendito-menor-que-impacto-las-redes/202657/_S06</t>
        </is>
      </c>
      <c r="C190" s="38" t="inlineStr">
        <is>
          <t>Semana</t>
        </is>
      </c>
      <c r="D190" s="38" t="inlineStr">
        <is>
          <t>Transición de gobierno y relación con la oposición</t>
        </is>
      </c>
      <c r="E190" s="38" t="inlineStr">
        <is>
          <t>Noticia dura</t>
        </is>
      </c>
      <c r="F190" s="38" t="inlineStr">
        <is>
          <t>Fri, 04 Sep 2026 20:38:57 +0000</t>
        </is>
      </c>
      <c r="G190" s="62" t="inlineStr">
        <is>
          <t>Gracias a una operación impecable realizada por nuestra Policía Nacional por un comando especial de la Dijín, se dio de baja a uno de los más peligrosos delincuentes de nuestro país, alias Naín o Bendito Menor”.</t>
        </is>
      </c>
      <c r="H190" s="62" t="inlineStr">
        <is>
          <t>El presidente De La Espriella, este viernes, 4 de septiembre, reveló detalles de la operación: “Hoy es un gran día para Colombia.</t>
        </is>
      </c>
      <c r="I190" s="62" t="inlineStr">
        <is>
          <t>“Hoy ha llegado el fin de las actividades criminales de este narcoterrorista que tenía azotada a La Guajira y al Caribe colombiano mediante el narcotráfico, la extorsión y la presión a la población.</t>
        </is>
      </c>
      <c r="J190" s="38" t="n"/>
      <c r="K190" s="62" t="n"/>
      <c r="L190" s="38" t="n"/>
      <c r="M190" s="62" t="n"/>
      <c r="N190" s="38" t="n"/>
      <c r="O190" s="62" t="n"/>
      <c r="P190" s="38" t="n"/>
      <c r="Q190" s="62" t="n"/>
      <c r="R190" s="38" t="n"/>
      <c r="S190" s="62" t="n"/>
      <c r="T190" s="38" t="n"/>
      <c r="U190" s="62" t="n"/>
      <c r="V190" s="38" t="n"/>
      <c r="W190" s="62" t="n"/>
      <c r="X190" s="38" t="n"/>
      <c r="Y190" s="62" t="n"/>
      <c r="Z190" s="38" t="n"/>
      <c r="AA190" s="62" t="n"/>
      <c r="AB190" s="38" t="n"/>
      <c r="AC190" s="62" t="n"/>
      <c r="AD190" s="38" t="n"/>
      <c r="AE190" s="38" t="n"/>
      <c r="AF190" s="61">
        <f>IF(COUNTIF($B$5:B190,B190)=1,1,0)</f>
        <v/>
      </c>
      <c r="AG190" s="62" t="inlineStr">
        <is>
          <t>https://www.semana.com/politica/articulo/la-publicacion-de-abelardo-de-la-espriella-que-vaticinaba-la-suerte-que-iba-a-tener-alias-bendito-menor-que-impacto-las-redes/202657/</t>
        </is>
      </c>
    </row>
    <row r="191" ht="15" customHeight="1" s="31">
      <c r="A191" s="38" t="inlineStr">
        <is>
          <t>https://www.semana.com/politica/articulo/la-publicacion-de-abelardo-de-la-espriella-que-vaticinaba-la-suerte-que-iba-a-tener-alias-bendito-menor-que-impacto-las-redes/202657/</t>
        </is>
      </c>
      <c r="B191" s="38" t="inlineStr">
        <is>
          <t>https://www.semana.com/politica/articulo/la-publicacion-de-abelardo-de-la-espriella-que-vaticinaba-la-suerte-que-iba-a-tener-alias-bendito-menor-que-impacto-las-redes/202657/_S07</t>
        </is>
      </c>
      <c r="C191" s="38" t="inlineStr">
        <is>
          <t>Semana</t>
        </is>
      </c>
      <c r="D191" s="38" t="inlineStr">
        <is>
          <t>Transición de gobierno y relación con la oposición</t>
        </is>
      </c>
      <c r="E191" s="38" t="inlineStr">
        <is>
          <t>Noticia dura</t>
        </is>
      </c>
      <c r="F191" s="38" t="inlineStr">
        <is>
          <t>Fri, 04 Sep 2026 20:38:57 +0000</t>
        </is>
      </c>
      <c r="G191" s="62" t="inlineStr">
        <is>
          <t>“Hoy ha llegado el fin de las actividades criminales de este narcoterrorista que tenía azotada a La Guajira y al Caribe colombiano mediante el narcotráfico, la extorsión y la presión a la población.</t>
        </is>
      </c>
      <c r="H191" s="62" t="inlineStr">
        <is>
          <t>Gracias a una operación impecable realizada por nuestra Policía Nacional por un comando especial de la Dijín, se dio de baja a uno de los más peligrosos delincuentes de nuestro país, alias Naín o Bendito Menor”.</t>
        </is>
      </c>
      <c r="I191" s="62" t="inlineStr">
        <is>
          <t>Este delincuente, que no seguirá delinquiendo porque le cayó la mano de hierro del Estado, tenía arrodillada a la población, llena de miedo”, afirmó el mandatario colombiano en una declaración que dio desde La Guajira.</t>
        </is>
      </c>
      <c r="J191" s="38" t="n"/>
      <c r="K191" s="62" t="n"/>
      <c r="L191" s="38" t="n"/>
      <c r="M191" s="62" t="n"/>
      <c r="N191" s="38" t="n"/>
      <c r="O191" s="62" t="n"/>
      <c r="P191" s="38" t="n"/>
      <c r="Q191" s="62" t="n"/>
      <c r="R191" s="38" t="n"/>
      <c r="S191" s="62" t="n"/>
      <c r="T191" s="38" t="n"/>
      <c r="U191" s="62" t="n"/>
      <c r="V191" s="38" t="n"/>
      <c r="W191" s="62" t="n"/>
      <c r="X191" s="38" t="n"/>
      <c r="Y191" s="62" t="n"/>
      <c r="Z191" s="38" t="n"/>
      <c r="AA191" s="62" t="n"/>
      <c r="AB191" s="38" t="n"/>
      <c r="AC191" s="62" t="n"/>
      <c r="AD191" s="38" t="n"/>
      <c r="AE191" s="38" t="n"/>
      <c r="AF191" s="61">
        <f>IF(COUNTIF($B$5:B191,B191)=1,1,0)</f>
        <v/>
      </c>
      <c r="AG191" s="62" t="inlineStr">
        <is>
          <t>https://www.semana.com/politica/articulo/la-publicacion-de-abelardo-de-la-espriella-que-vaticinaba-la-suerte-que-iba-a-tener-alias-bendito-menor-que-impacto-las-redes/202657/</t>
        </is>
      </c>
    </row>
    <row r="192" ht="15" customHeight="1" s="31">
      <c r="A192" s="38" t="inlineStr">
        <is>
          <t>https://www.semana.com/politica/articulo/la-publicacion-de-abelardo-de-la-espriella-que-vaticinaba-la-suerte-que-iba-a-tener-alias-bendito-menor-que-impacto-las-redes/202657/</t>
        </is>
      </c>
      <c r="B192" s="38" t="inlineStr">
        <is>
          <t>https://www.semana.com/politica/articulo/la-publicacion-de-abelardo-de-la-espriella-que-vaticinaba-la-suerte-que-iba-a-tener-alias-bendito-menor-que-impacto-las-redes/202657/_S08</t>
        </is>
      </c>
      <c r="C192" s="38" t="inlineStr">
        <is>
          <t>Semana</t>
        </is>
      </c>
      <c r="D192" s="38" t="inlineStr">
        <is>
          <t>Transición de gobierno y relación con la oposición</t>
        </is>
      </c>
      <c r="E192" s="38" t="inlineStr">
        <is>
          <t>Noticia dura</t>
        </is>
      </c>
      <c r="F192" s="38" t="inlineStr">
        <is>
          <t>Fri, 04 Sep 2026 20:38:57 +0000</t>
        </is>
      </c>
      <c r="G192" s="62" t="inlineStr">
        <is>
          <t>Este delincuente, que no seguirá delinquiendo porque le cayó la mano de hierro del Estado, tenía arrodillada a la población, llena de miedo”, afirmó el mandatario colombiano en una declaración que dio desde La Guajira.</t>
        </is>
      </c>
      <c r="H192" s="62" t="inlineStr">
        <is>
          <t>“Hoy ha llegado el fin de las actividades criminales de este narcoterrorista que tenía azotada a La Guajira y al Caribe colombiano mediante el narcotráfico, la extorsión y la presión a la población.</t>
        </is>
      </c>
      <c r="I192" s="62" t="inlineStr">
        <is>
          <t>También expresó: “En el Gobierno del Tigre la gente de bien no volverá a sentir miedo.</t>
        </is>
      </c>
      <c r="J192" s="38" t="n"/>
      <c r="K192" s="62" t="n"/>
      <c r="L192" s="38" t="n"/>
      <c r="M192" s="62" t="n"/>
      <c r="N192" s="38" t="n"/>
      <c r="O192" s="62" t="n"/>
      <c r="P192" s="38" t="n"/>
      <c r="Q192" s="62" t="n"/>
      <c r="R192" s="38" t="n"/>
      <c r="S192" s="62" t="n"/>
      <c r="T192" s="38" t="n"/>
      <c r="U192" s="62" t="n"/>
      <c r="V192" s="38" t="n"/>
      <c r="W192" s="62" t="n"/>
      <c r="X192" s="38" t="n"/>
      <c r="Y192" s="62" t="n"/>
      <c r="Z192" s="38" t="n"/>
      <c r="AA192" s="62" t="n"/>
      <c r="AB192" s="38" t="n"/>
      <c r="AC192" s="62" t="n"/>
      <c r="AD192" s="38" t="n"/>
      <c r="AE192" s="38" t="n"/>
      <c r="AF192" s="61">
        <f>IF(COUNTIF($B$5:B192,B192)=1,1,0)</f>
        <v/>
      </c>
      <c r="AG192" s="62" t="inlineStr">
        <is>
          <t>https://www.semana.com/politica/articulo/la-publicacion-de-abelardo-de-la-espriella-que-vaticinaba-la-suerte-que-iba-a-tener-alias-bendito-menor-que-impacto-las-redes/202657/</t>
        </is>
      </c>
    </row>
    <row r="193" ht="15" customHeight="1" s="31">
      <c r="A193" s="38" t="inlineStr">
        <is>
          <t>https://www.semana.com/politica/articulo/la-publicacion-de-abelardo-de-la-espriella-que-vaticinaba-la-suerte-que-iba-a-tener-alias-bendito-menor-que-impacto-las-redes/202657/</t>
        </is>
      </c>
      <c r="B193" s="38" t="inlineStr">
        <is>
          <t>https://www.semana.com/politica/articulo/la-publicacion-de-abelardo-de-la-espriella-que-vaticinaba-la-suerte-que-iba-a-tener-alias-bendito-menor-que-impacto-las-redes/202657/_S09</t>
        </is>
      </c>
      <c r="C193" s="38" t="inlineStr">
        <is>
          <t>Semana</t>
        </is>
      </c>
      <c r="D193" s="38" t="inlineStr">
        <is>
          <t>Transición de gobierno y relación con la oposición</t>
        </is>
      </c>
      <c r="E193" s="38" t="inlineStr">
        <is>
          <t>Noticia dura</t>
        </is>
      </c>
      <c r="F193" s="38" t="inlineStr">
        <is>
          <t>Fri, 04 Sep 2026 20:38:57 +0000</t>
        </is>
      </c>
      <c r="G193" s="62" t="inlineStr">
        <is>
          <t>También expresó: “En el Gobierno del Tigre la gente de bien no volverá a sentir miedo.</t>
        </is>
      </c>
      <c r="H193" s="62" t="inlineStr">
        <is>
          <t>Este delincuente, que no seguirá delinquiendo porque le cayó la mano de hierro del Estado, tenía arrodillada a la población, llena de miedo”, afirmó el mandatario colombiano en una declaración que dio desde La Guajira.</t>
        </is>
      </c>
      <c r="I193" s="62" t="inlineStr">
        <is>
          <t>Los que tienen que sentir pánico y terror son los delincuentes, porque aquellos que no se sometan terminarán de esta forma.</t>
        </is>
      </c>
      <c r="J193" s="38" t="n"/>
      <c r="K193" s="62" t="n"/>
      <c r="L193" s="38" t="n"/>
      <c r="M193" s="62" t="n"/>
      <c r="N193" s="38" t="n"/>
      <c r="O193" s="62" t="n"/>
      <c r="P193" s="38" t="n"/>
      <c r="Q193" s="62" t="n"/>
      <c r="R193" s="38" t="n"/>
      <c r="S193" s="62" t="n"/>
      <c r="T193" s="38" t="n"/>
      <c r="U193" s="62" t="n"/>
      <c r="V193" s="38" t="n"/>
      <c r="W193" s="62" t="n"/>
      <c r="X193" s="38" t="n"/>
      <c r="Y193" s="62" t="n"/>
      <c r="Z193" s="38" t="n"/>
      <c r="AA193" s="62" t="n"/>
      <c r="AB193" s="38" t="n"/>
      <c r="AC193" s="62" t="n"/>
      <c r="AD193" s="38" t="n"/>
      <c r="AE193" s="38" t="n"/>
      <c r="AF193" s="61">
        <f>IF(COUNTIF($B$5:B193,B193)=1,1,0)</f>
        <v/>
      </c>
      <c r="AG193" s="62" t="inlineStr">
        <is>
          <t>https://www.semana.com/politica/articulo/la-publicacion-de-abelardo-de-la-espriella-que-vaticinaba-la-suerte-que-iba-a-tener-alias-bendito-menor-que-impacto-las-redes/202657/</t>
        </is>
      </c>
    </row>
    <row r="194" ht="15" customHeight="1" s="31">
      <c r="A194" s="38" t="inlineStr">
        <is>
          <t>https://www.semana.com/politica/articulo/la-publicacion-de-abelardo-de-la-espriella-que-vaticinaba-la-suerte-que-iba-a-tener-alias-bendito-menor-que-impacto-las-redes/202657/</t>
        </is>
      </c>
      <c r="B194" s="38" t="inlineStr">
        <is>
          <t>https://www.semana.com/politica/articulo/la-publicacion-de-abelardo-de-la-espriella-que-vaticinaba-la-suerte-que-iba-a-tener-alias-bendito-menor-que-impacto-las-redes/202657/_S10</t>
        </is>
      </c>
      <c r="C194" s="38" t="inlineStr">
        <is>
          <t>Semana</t>
        </is>
      </c>
      <c r="D194" s="38" t="inlineStr">
        <is>
          <t>Transición de gobierno y relación con la oposición</t>
        </is>
      </c>
      <c r="E194" s="38" t="inlineStr">
        <is>
          <t>Noticia dura</t>
        </is>
      </c>
      <c r="F194" s="38" t="inlineStr">
        <is>
          <t>Fri, 04 Sep 2026 20:38:57 +0000</t>
        </is>
      </c>
      <c r="G194" s="62" t="inlineStr">
        <is>
          <t>Los que tienen que sentir pánico y terror son los delincuentes, porque aquellos que no se sometan terminarán de esta forma.</t>
        </is>
      </c>
      <c r="H194" s="62" t="inlineStr">
        <is>
          <t>También expresó: “En el Gobierno del Tigre la gente de bien no volverá a sentir miedo.</t>
        </is>
      </c>
      <c r="I194" s="62" t="n"/>
      <c r="J194" s="38" t="n"/>
      <c r="K194" s="62" t="n"/>
      <c r="L194" s="38" t="n"/>
      <c r="M194" s="62" t="n"/>
      <c r="N194" s="38" t="n"/>
      <c r="O194" s="62" t="n"/>
      <c r="P194" s="38" t="n"/>
      <c r="Q194" s="62" t="n"/>
      <c r="R194" s="38" t="n"/>
      <c r="S194" s="62" t="n"/>
      <c r="T194" s="38" t="n"/>
      <c r="U194" s="62" t="n"/>
      <c r="V194" s="38" t="n"/>
      <c r="W194" s="62" t="n"/>
      <c r="X194" s="38" t="n"/>
      <c r="Y194" s="62" t="n"/>
      <c r="Z194" s="38" t="n"/>
      <c r="AA194" s="62" t="n"/>
      <c r="AB194" s="38" t="n"/>
      <c r="AC194" s="62" t="n"/>
      <c r="AD194" s="38" t="n"/>
      <c r="AE194" s="38" t="n"/>
      <c r="AF194" s="61">
        <f>IF(COUNTIF($B$5:B194,B194)=1,1,0)</f>
        <v/>
      </c>
      <c r="AG194" s="62" t="inlineStr">
        <is>
          <t>https://www.semana.com/politica/articulo/la-publicacion-de-abelardo-de-la-espriella-que-vaticinaba-la-suerte-que-iba-a-tener-alias-bendito-menor-que-impacto-las-redes/202657/</t>
        </is>
      </c>
    </row>
    <row r="195" ht="15" customHeight="1" s="31">
      <c r="A195" s="38" t="inlineStr">
        <is>
          <t>https://www.eltiempo.com/mundo/eeuu-y-canada/tamales-picantes-y-tomates-estas-fueron-las-polemicas-declaraciones-de-trump-sobre-la-relacion-comercial-entre-mexico-y-estados-unidos-3583705</t>
        </is>
      </c>
      <c r="B195" s="38" t="inlineStr">
        <is>
          <t>https://www.eltiempo.com/mundo/eeuu-y-canada/tamales-picantes-y-tomates-estas-fueron-las-polemicas-declaraciones-de-trump-sobre-la-relacion-comercial-entre-mexico-y-estados-unidos-3583705_S01</t>
        </is>
      </c>
      <c r="C195" s="38" t="inlineStr">
        <is>
          <t>El Tiempo</t>
        </is>
      </c>
      <c r="D195" s="38" t="inlineStr">
        <is>
          <t>Relación con Estados Unidos</t>
        </is>
      </c>
      <c r="E195" s="38" t="inlineStr">
        <is>
          <t>Noticia dura</t>
        </is>
      </c>
      <c r="F195" s="38" t="inlineStr">
        <is>
          <t>2026-09-04T16:28:46-05:00</t>
        </is>
      </c>
      <c r="G195" s="62" t="inlineStr">
        <is>
          <t>El presidente de Estados Unidos, Donald Trump, afirmó este viernes que México tiene poco que ofrecer a su país más allá de "tamales picantes y tomates", aunque descartó interrumpir la relación comercial bilateral y destacó la buena sintonía que mantiene con la presidenta mexicana, Claudia Sheinbaum.</t>
        </is>
      </c>
      <c r="H195" s="62" t="n"/>
      <c r="I195" s="62" t="inlineStr">
        <is>
          <t>Trump hizo estas declaraciones en el Despacho Oval al ser consultado por periodistas sobre su amenaza de suspender el comercio con países que mantienen un superávit comercial frente a Estados Unidos.</t>
        </is>
      </c>
      <c r="J195" s="38" t="n"/>
      <c r="K195" s="62" t="n"/>
      <c r="L195" s="38" t="n"/>
      <c r="M195" s="62" t="n"/>
      <c r="N195" s="38" t="n"/>
      <c r="O195" s="62" t="n"/>
      <c r="P195" s="38" t="n"/>
      <c r="Q195" s="62" t="n"/>
      <c r="R195" s="38" t="n"/>
      <c r="S195" s="62" t="n"/>
      <c r="T195" s="38" t="n"/>
      <c r="U195" s="62" t="n"/>
      <c r="V195" s="38" t="n"/>
      <c r="W195" s="62" t="n"/>
      <c r="X195" s="38" t="n"/>
      <c r="Y195" s="62" t="n"/>
      <c r="Z195" s="38" t="n"/>
      <c r="AA195" s="62" t="n"/>
      <c r="AB195" s="38" t="n"/>
      <c r="AC195" s="62" t="n"/>
      <c r="AD195" s="38" t="n"/>
      <c r="AE195" s="38" t="n"/>
      <c r="AF195" s="61">
        <f>IF(COUNTIF($B$5:B195,B195)=1,1,0)</f>
        <v/>
      </c>
      <c r="AG195" s="62" t="inlineStr">
        <is>
          <t>https://www.eltiempo.com/mundo/eeuu-y-canada/tamales-picantes-y-tomates-estas-fueron-las-polemicas-declaraciones-de-trump-sobre-la-relacion-comercial-entre-mexico-y-estados-unidos-3583705</t>
        </is>
      </c>
    </row>
    <row r="196" ht="15" customHeight="1" s="31">
      <c r="A196" s="38" t="inlineStr">
        <is>
          <t>https://www.eltiempo.com/mundo/eeuu-y-canada/tamales-picantes-y-tomates-estas-fueron-las-polemicas-declaraciones-de-trump-sobre-la-relacion-comercial-entre-mexico-y-estados-unidos-3583705</t>
        </is>
      </c>
      <c r="B196" s="38" t="inlineStr">
        <is>
          <t>https://www.eltiempo.com/mundo/eeuu-y-canada/tamales-picantes-y-tomates-estas-fueron-las-polemicas-declaraciones-de-trump-sobre-la-relacion-comercial-entre-mexico-y-estados-unidos-3583705_S02</t>
        </is>
      </c>
      <c r="C196" s="38" t="inlineStr">
        <is>
          <t>El Tiempo</t>
        </is>
      </c>
      <c r="D196" s="38" t="inlineStr">
        <is>
          <t>Relación con Estados Unidos</t>
        </is>
      </c>
      <c r="E196" s="38" t="inlineStr">
        <is>
          <t>Noticia dura</t>
        </is>
      </c>
      <c r="F196" s="38" t="inlineStr">
        <is>
          <t>2026-09-04T16:28:46-05:00</t>
        </is>
      </c>
      <c r="G196" s="62" t="inlineStr">
        <is>
          <t>Trump hizo estas declaraciones en el Despacho Oval al ser consultado por periodistas sobre su amenaza de suspender el comercio con países que mantienen un superávit comercial frente a Estados Unidos.</t>
        </is>
      </c>
      <c r="H196" s="62" t="inlineStr">
        <is>
          <t>El presidente de Estados Unidos, Donald Trump, afirmó este viernes que México tiene poco que ofrecer a su país más allá de "tamales picantes y tomates", aunque descartó interrumpir la relación comercial bilateral y destacó la buena sintonía que mantiene con la presidenta mexicana, Claudia Sheinbaum.</t>
        </is>
      </c>
      <c r="I196" s="62" t="n"/>
      <c r="J196" s="38" t="n"/>
      <c r="K196" s="62" t="n"/>
      <c r="L196" s="38" t="n"/>
      <c r="M196" s="62" t="n"/>
      <c r="N196" s="38" t="n"/>
      <c r="O196" s="62" t="n"/>
      <c r="P196" s="38" t="n"/>
      <c r="Q196" s="62" t="n"/>
      <c r="R196" s="38" t="n"/>
      <c r="S196" s="62" t="n"/>
      <c r="T196" s="38" t="n"/>
      <c r="U196" s="62" t="n"/>
      <c r="V196" s="38" t="n"/>
      <c r="W196" s="62" t="n"/>
      <c r="X196" s="38" t="n"/>
      <c r="Y196" s="62" t="n"/>
      <c r="Z196" s="38" t="n"/>
      <c r="AA196" s="62" t="n"/>
      <c r="AB196" s="38" t="n"/>
      <c r="AC196" s="62" t="n"/>
      <c r="AD196" s="38" t="n"/>
      <c r="AE196" s="38" t="n"/>
      <c r="AF196" s="61">
        <f>IF(COUNTIF($B$5:B196,B196)=1,1,0)</f>
        <v/>
      </c>
      <c r="AG196" s="62" t="inlineStr">
        <is>
          <t>https://www.eltiempo.com/mundo/eeuu-y-canada/tamales-picantes-y-tomates-estas-fueron-las-polemicas-declaraciones-de-trump-sobre-la-relacion-comercial-entre-mexico-y-estados-unidos-3583705</t>
        </is>
      </c>
    </row>
    <row r="197" ht="15" customHeight="1" s="31">
      <c r="A197" s="38" t="inlineStr">
        <is>
          <t>https://www.eltiempo.com/mundo/eeuu-y-canada/polemica-decision-en-el-juicio-contra-lindsay-clancy-por-el-asesinato-de-sus-tres-hijos-en-ee-uu-juez-declara-nulidad-por-falta-de-veredicto-3583604</t>
        </is>
      </c>
      <c r="B197" s="38" t="inlineStr">
        <is>
          <t>https://www.eltiempo.com/mundo/eeuu-y-canada/polemica-decision-en-el-juicio-contra-lindsay-clancy-por-el-asesinato-de-sus-tres-hijos-en-ee-uu-juez-declara-nulidad-por-falta-de-veredicto-3583604_S01</t>
        </is>
      </c>
      <c r="C197" s="38" t="inlineStr">
        <is>
          <t>El Tiempo</t>
        </is>
      </c>
      <c r="D197" s="38" t="inlineStr">
        <is>
          <t>Respuesta a la emergencia del terremoto</t>
        </is>
      </c>
      <c r="E197" s="38" t="inlineStr">
        <is>
          <t>Noticia dura</t>
        </is>
      </c>
      <c r="F197" s="38" t="inlineStr">
        <is>
          <t>2026-09-04T14:59:21-05:00</t>
        </is>
      </c>
      <c r="G197" s="62" t="inlineStr">
        <is>
          <t>Un juez federal de EE. UU. declaró finalmente nulo el juicio contra Lindsay Clancy, la mujer acusada de matar a sus tres hijos pequeños en Massachusetts en 2023, por la falta de un veredicto unánime del jurado, y tras no prosperar una apelación de emergencia de la defensa.</t>
        </is>
      </c>
      <c r="H197" s="62" t="n"/>
      <c r="I197" s="62" t="inlineStr">
        <is>
          <t>La decisión no significa que Clancy quede libre de los cargos.</t>
        </is>
      </c>
      <c r="J197" s="38" t="n"/>
      <c r="K197" s="62" t="n"/>
      <c r="L197" s="38" t="n"/>
      <c r="M197" s="62" t="n"/>
      <c r="N197" s="38" t="n"/>
      <c r="O197" s="62" t="n"/>
      <c r="P197" s="38" t="n"/>
      <c r="Q197" s="62" t="n"/>
      <c r="R197" s="38" t="n"/>
      <c r="S197" s="62" t="n"/>
      <c r="T197" s="38" t="n"/>
      <c r="U197" s="62" t="n"/>
      <c r="V197" s="38" t="n"/>
      <c r="W197" s="62" t="n"/>
      <c r="X197" s="38" t="n"/>
      <c r="Y197" s="62" t="n"/>
      <c r="Z197" s="38" t="n"/>
      <c r="AA197" s="62" t="n"/>
      <c r="AB197" s="38" t="n"/>
      <c r="AC197" s="62" t="n"/>
      <c r="AD197" s="38" t="n"/>
      <c r="AE197" s="38" t="n"/>
      <c r="AF197" s="61">
        <f>IF(COUNTIF($B$5:B197,B197)=1,1,0)</f>
        <v/>
      </c>
      <c r="AG197" s="62" t="inlineStr">
        <is>
          <t>https://www.eltiempo.com/mundo/eeuu-y-canada/polemica-decision-en-el-juicio-contra-lindsay-clancy-por-el-asesinato-de-sus-tres-hijos-en-ee-uu-juez-declara-nulidad-por-falta-de-veredicto-3583604</t>
        </is>
      </c>
    </row>
    <row r="198" ht="15" customHeight="1" s="31">
      <c r="A198" s="38" t="inlineStr">
        <is>
          <t>https://www.eltiempo.com/mundo/eeuu-y-canada/polemica-decision-en-el-juicio-contra-lindsay-clancy-por-el-asesinato-de-sus-tres-hijos-en-ee-uu-juez-declara-nulidad-por-falta-de-veredicto-3583604</t>
        </is>
      </c>
      <c r="B198" s="38" t="inlineStr">
        <is>
          <t>https://www.eltiempo.com/mundo/eeuu-y-canada/polemica-decision-en-el-juicio-contra-lindsay-clancy-por-el-asesinato-de-sus-tres-hijos-en-ee-uu-juez-declara-nulidad-por-falta-de-veredicto-3583604_S02</t>
        </is>
      </c>
      <c r="C198" s="38" t="inlineStr">
        <is>
          <t>El Tiempo</t>
        </is>
      </c>
      <c r="D198" s="38" t="inlineStr">
        <is>
          <t>Respuesta a la emergencia del terremoto</t>
        </is>
      </c>
      <c r="E198" s="38" t="inlineStr">
        <is>
          <t>Noticia dura</t>
        </is>
      </c>
      <c r="F198" s="38" t="inlineStr">
        <is>
          <t>2026-09-04T14:59:21-05:00</t>
        </is>
      </c>
      <c r="G198" s="62" t="inlineStr">
        <is>
          <t>La decisión no significa que Clancy quede libre de los cargos.</t>
        </is>
      </c>
      <c r="H198" s="62" t="inlineStr">
        <is>
          <t>Un juez federal de EE. UU. declaró finalmente nulo el juicio contra Lindsay Clancy, la mujer acusada de matar a sus tres hijos pequeños en Massachusetts en 2023, por la falta de un veredicto unánime del jurado, y tras no prosperar una apelación de emergencia de la defensa.</t>
        </is>
      </c>
      <c r="I198" s="62" t="inlineStr">
        <is>
          <t>Un juicio nulo por un jurado bloqueado no equivale a una absolución.</t>
        </is>
      </c>
      <c r="J198" s="38" t="n"/>
      <c r="K198" s="62" t="n"/>
      <c r="L198" s="38" t="n"/>
      <c r="M198" s="62" t="n"/>
      <c r="N198" s="38" t="n"/>
      <c r="O198" s="62" t="n"/>
      <c r="P198" s="38" t="n"/>
      <c r="Q198" s="62" t="n"/>
      <c r="R198" s="38" t="n"/>
      <c r="S198" s="62" t="n"/>
      <c r="T198" s="38" t="n"/>
      <c r="U198" s="62" t="n"/>
      <c r="V198" s="38" t="n"/>
      <c r="W198" s="62" t="n"/>
      <c r="X198" s="38" t="n"/>
      <c r="Y198" s="62" t="n"/>
      <c r="Z198" s="38" t="n"/>
      <c r="AA198" s="62" t="n"/>
      <c r="AB198" s="38" t="n"/>
      <c r="AC198" s="62" t="n"/>
      <c r="AD198" s="38" t="n"/>
      <c r="AE198" s="38" t="n"/>
      <c r="AF198" s="61">
        <f>IF(COUNTIF($B$5:B198,B198)=1,1,0)</f>
        <v/>
      </c>
      <c r="AG198" s="62" t="inlineStr">
        <is>
          <t>https://www.eltiempo.com/mundo/eeuu-y-canada/polemica-decision-en-el-juicio-contra-lindsay-clancy-por-el-asesinato-de-sus-tres-hijos-en-ee-uu-juez-declara-nulidad-por-falta-de-veredicto-3583604</t>
        </is>
      </c>
    </row>
    <row r="199" ht="15" customHeight="1" s="31">
      <c r="A199" s="38" t="inlineStr">
        <is>
          <t>https://www.eltiempo.com/mundo/eeuu-y-canada/polemica-decision-en-el-juicio-contra-lindsay-clancy-por-el-asesinato-de-sus-tres-hijos-en-ee-uu-juez-declara-nulidad-por-falta-de-veredicto-3583604</t>
        </is>
      </c>
      <c r="B199" s="38" t="inlineStr">
        <is>
          <t>https://www.eltiempo.com/mundo/eeuu-y-canada/polemica-decision-en-el-juicio-contra-lindsay-clancy-por-el-asesinato-de-sus-tres-hijos-en-ee-uu-juez-declara-nulidad-por-falta-de-veredicto-3583604_S03</t>
        </is>
      </c>
      <c r="C199" s="38" t="inlineStr">
        <is>
          <t>El Tiempo</t>
        </is>
      </c>
      <c r="D199" s="38" t="inlineStr">
        <is>
          <t>Respuesta a la emergencia del terremoto</t>
        </is>
      </c>
      <c r="E199" s="38" t="inlineStr">
        <is>
          <t>Noticia dura</t>
        </is>
      </c>
      <c r="F199" s="38" t="inlineStr">
        <is>
          <t>2026-09-04T14:59:21-05:00</t>
        </is>
      </c>
      <c r="G199" s="62" t="inlineStr">
        <is>
          <t>Un juicio nulo por un jurado bloqueado no equivale a una absolución.</t>
        </is>
      </c>
      <c r="H199" s="62" t="inlineStr">
        <is>
          <t>La decisión no significa que Clancy quede libre de los cargos.</t>
        </is>
      </c>
      <c r="I199" s="62" t="inlineStr">
        <is>
          <t>Los tres cargos de asesinato siguen vigentes y la Fiscalía puede volver a llevar el caso a juicio.</t>
        </is>
      </c>
      <c r="J199" s="38" t="n"/>
      <c r="K199" s="62" t="n"/>
      <c r="L199" s="38" t="n"/>
      <c r="M199" s="62" t="n"/>
      <c r="N199" s="38" t="n"/>
      <c r="O199" s="62" t="n"/>
      <c r="P199" s="38" t="n"/>
      <c r="Q199" s="62" t="n"/>
      <c r="R199" s="38" t="n"/>
      <c r="S199" s="62" t="n"/>
      <c r="T199" s="38" t="n"/>
      <c r="U199" s="62" t="n"/>
      <c r="V199" s="38" t="n"/>
      <c r="W199" s="62" t="n"/>
      <c r="X199" s="38" t="n"/>
      <c r="Y199" s="62" t="n"/>
      <c r="Z199" s="38" t="n"/>
      <c r="AA199" s="62" t="n"/>
      <c r="AB199" s="38" t="n"/>
      <c r="AC199" s="62" t="n"/>
      <c r="AD199" s="38" t="n"/>
      <c r="AE199" s="38" t="n"/>
      <c r="AF199" s="61">
        <f>IF(COUNTIF($B$5:B199,B199)=1,1,0)</f>
        <v/>
      </c>
      <c r="AG199" s="62" t="inlineStr">
        <is>
          <t>https://www.eltiempo.com/mundo/eeuu-y-canada/polemica-decision-en-el-juicio-contra-lindsay-clancy-por-el-asesinato-de-sus-tres-hijos-en-ee-uu-juez-declara-nulidad-por-falta-de-veredicto-3583604</t>
        </is>
      </c>
    </row>
    <row r="200" ht="15" customHeight="1" s="31">
      <c r="A200" s="38" t="inlineStr">
        <is>
          <t>https://www.eltiempo.com/mundo/eeuu-y-canada/polemica-decision-en-el-juicio-contra-lindsay-clancy-por-el-asesinato-de-sus-tres-hijos-en-ee-uu-juez-declara-nulidad-por-falta-de-veredicto-3583604</t>
        </is>
      </c>
      <c r="B200" s="38" t="inlineStr">
        <is>
          <t>https://www.eltiempo.com/mundo/eeuu-y-canada/polemica-decision-en-el-juicio-contra-lindsay-clancy-por-el-asesinato-de-sus-tres-hijos-en-ee-uu-juez-declara-nulidad-por-falta-de-veredicto-3583604_S04</t>
        </is>
      </c>
      <c r="C200" s="38" t="inlineStr">
        <is>
          <t>El Tiempo</t>
        </is>
      </c>
      <c r="D200" s="38" t="inlineStr">
        <is>
          <t>Respuesta a la emergencia del terremoto</t>
        </is>
      </c>
      <c r="E200" s="38" t="inlineStr">
        <is>
          <t>Noticia dura</t>
        </is>
      </c>
      <c r="F200" s="38" t="inlineStr">
        <is>
          <t>2026-09-04T14:59:21-05:00</t>
        </is>
      </c>
      <c r="G200" s="62" t="inlineStr">
        <is>
          <t>Los tres cargos de asesinato siguen vigentes y la Fiscalía puede volver a llevar el caso a juicio.</t>
        </is>
      </c>
      <c r="H200" s="62" t="inlineStr">
        <is>
          <t>Un juicio nulo por un jurado bloqueado no equivale a una absolución.</t>
        </is>
      </c>
      <c r="I200" s="62" t="inlineStr">
        <is>
          <t>El juez William Sullivan dijo que iba a declarar nulo el proceso en el séptimo día de deliberaciones del jurado en un tribunal de Plymouth, pero antes de emitir la orden dio tiempo al abogado de Clancy, Kevin Reddington, para que hiciera una apelación en el tribunal supremo estatal, que no tuvo éxito.</t>
        </is>
      </c>
      <c r="J200" s="38" t="n"/>
      <c r="K200" s="62" t="n"/>
      <c r="L200" s="38" t="n"/>
      <c r="M200" s="62" t="n"/>
      <c r="N200" s="38" t="n"/>
      <c r="O200" s="62" t="n"/>
      <c r="P200" s="38" t="n"/>
      <c r="Q200" s="62" t="n"/>
      <c r="R200" s="38" t="n"/>
      <c r="S200" s="62" t="n"/>
      <c r="T200" s="38" t="n"/>
      <c r="U200" s="62" t="n"/>
      <c r="V200" s="38" t="n"/>
      <c r="W200" s="62" t="n"/>
      <c r="X200" s="38" t="n"/>
      <c r="Y200" s="62" t="n"/>
      <c r="Z200" s="38" t="n"/>
      <c r="AA200" s="62" t="n"/>
      <c r="AB200" s="38" t="n"/>
      <c r="AC200" s="62" t="n"/>
      <c r="AD200" s="38" t="n"/>
      <c r="AE200" s="38" t="n"/>
      <c r="AF200" s="61">
        <f>IF(COUNTIF($B$5:B200,B200)=1,1,0)</f>
        <v/>
      </c>
      <c r="AG200" s="62" t="inlineStr">
        <is>
          <t>https://www.eltiempo.com/mundo/eeuu-y-canada/polemica-decision-en-el-juicio-contra-lindsay-clancy-por-el-asesinato-de-sus-tres-hijos-en-ee-uu-juez-declara-nulidad-por-falta-de-veredicto-3583604</t>
        </is>
      </c>
    </row>
    <row r="201" ht="15" customHeight="1" s="31">
      <c r="A201" s="38" t="inlineStr">
        <is>
          <t>https://www.eltiempo.com/mundo/eeuu-y-canada/polemica-decision-en-el-juicio-contra-lindsay-clancy-por-el-asesinato-de-sus-tres-hijos-en-ee-uu-juez-declara-nulidad-por-falta-de-veredicto-3583604</t>
        </is>
      </c>
      <c r="B201" s="38" t="inlineStr">
        <is>
          <t>https://www.eltiempo.com/mundo/eeuu-y-canada/polemica-decision-en-el-juicio-contra-lindsay-clancy-por-el-asesinato-de-sus-tres-hijos-en-ee-uu-juez-declara-nulidad-por-falta-de-veredicto-3583604_S05</t>
        </is>
      </c>
      <c r="C201" s="38" t="inlineStr">
        <is>
          <t>El Tiempo</t>
        </is>
      </c>
      <c r="D201" s="38" t="inlineStr">
        <is>
          <t>Respuesta a la emergencia del terremoto</t>
        </is>
      </c>
      <c r="E201" s="38" t="inlineStr">
        <is>
          <t>Noticia dura</t>
        </is>
      </c>
      <c r="F201" s="38" t="inlineStr">
        <is>
          <t>2026-09-04T14:59:21-05:00</t>
        </is>
      </c>
      <c r="G201" s="62" t="inlineStr">
        <is>
          <t>El juez William Sullivan dijo que iba a declarar nulo el proceso en el séptimo día de deliberaciones del jurado en un tribunal de Plymouth, pero antes de emitir la orden dio tiempo al abogado de Clancy, Kevin Reddington, para que hiciera una apelación en el tribunal supremo estatal, que no tuvo éxito.</t>
        </is>
      </c>
      <c r="H201" s="62" t="inlineStr">
        <is>
          <t>Los tres cargos de asesinato siguen vigentes y la Fiscalía puede volver a llevar el caso a juicio.</t>
        </is>
      </c>
      <c r="I201" s="62" t="inlineStr">
        <is>
          <t>Reddington argumentó en una audiencia de emergencia ante la jueza de la instancia superior, Dalila Argaez Wendlandt, que un miembro del jurado no estaba siguiendo las instrucciones de la deliberación y, por tanto, estaba bloqueando un veredicto que hubiera sido unánime, pero la magistrada falló en su contra.</t>
        </is>
      </c>
      <c r="J201" s="38" t="n"/>
      <c r="K201" s="62" t="n"/>
      <c r="L201" s="38" t="n"/>
      <c r="M201" s="62" t="n"/>
      <c r="N201" s="38" t="n"/>
      <c r="O201" s="62" t="n"/>
      <c r="P201" s="38" t="n"/>
      <c r="Q201" s="62" t="n"/>
      <c r="R201" s="38" t="n"/>
      <c r="S201" s="62" t="n"/>
      <c r="T201" s="38" t="n"/>
      <c r="U201" s="62" t="n"/>
      <c r="V201" s="38" t="n"/>
      <c r="W201" s="62" t="n"/>
      <c r="X201" s="38" t="n"/>
      <c r="Y201" s="62" t="n"/>
      <c r="Z201" s="38" t="n"/>
      <c r="AA201" s="62" t="n"/>
      <c r="AB201" s="38" t="n"/>
      <c r="AC201" s="62" t="n"/>
      <c r="AD201" s="38" t="n"/>
      <c r="AE201" s="38" t="n"/>
      <c r="AF201" s="61">
        <f>IF(COUNTIF($B$5:B201,B201)=1,1,0)</f>
        <v/>
      </c>
      <c r="AG201" s="62" t="inlineStr">
        <is>
          <t>https://www.eltiempo.com/mundo/eeuu-y-canada/polemica-decision-en-el-juicio-contra-lindsay-clancy-por-el-asesinato-de-sus-tres-hijos-en-ee-uu-juez-declara-nulidad-por-falta-de-veredicto-3583604</t>
        </is>
      </c>
    </row>
    <row r="202" ht="15" customHeight="1" s="31">
      <c r="A202" s="38" t="inlineStr">
        <is>
          <t>https://www.eltiempo.com/mundo/eeuu-y-canada/polemica-decision-en-el-juicio-contra-lindsay-clancy-por-el-asesinato-de-sus-tres-hijos-en-ee-uu-juez-declara-nulidad-por-falta-de-veredicto-3583604</t>
        </is>
      </c>
      <c r="B202" s="38" t="inlineStr">
        <is>
          <t>https://www.eltiempo.com/mundo/eeuu-y-canada/polemica-decision-en-el-juicio-contra-lindsay-clancy-por-el-asesinato-de-sus-tres-hijos-en-ee-uu-juez-declara-nulidad-por-falta-de-veredicto-3583604_S06</t>
        </is>
      </c>
      <c r="C202" s="38" t="inlineStr">
        <is>
          <t>El Tiempo</t>
        </is>
      </c>
      <c r="D202" s="38" t="inlineStr">
        <is>
          <t>Respuesta a la emergencia del terremoto</t>
        </is>
      </c>
      <c r="E202" s="38" t="inlineStr">
        <is>
          <t>Noticia dura</t>
        </is>
      </c>
      <c r="F202" s="38" t="inlineStr">
        <is>
          <t>2026-09-04T14:59:21-05:00</t>
        </is>
      </c>
      <c r="G202" s="62" t="inlineStr">
        <is>
          <t>Reddington argumentó en una audiencia de emergencia ante la jueza de la instancia superior, Dalila Argaez Wendlandt, que un miembro del jurado no estaba siguiendo las instrucciones de la deliberación y, por tanto, estaba bloqueando un veredicto que hubiera sido unánime, pero la magistrada falló en su contra.</t>
        </is>
      </c>
      <c r="H202" s="62" t="inlineStr">
        <is>
          <t>El juez William Sullivan dijo que iba a declarar nulo el proceso en el séptimo día de deliberaciones del jurado en un tribunal de Plymouth, pero antes de emitir la orden dio tiempo al abogado de Clancy, Kevin Reddington, para que hiciera una apelación en el tribunal supremo estatal, que no tuvo éxito.</t>
        </is>
      </c>
      <c r="I202" s="62" t="inlineStr">
        <is>
          <t>El jurado estaba estancado en una votación de 11 a 1, y la mayoría aparentemente se inclinaba por declarar a Clancy no culpable por razones de salud mental.</t>
        </is>
      </c>
      <c r="J202" s="38" t="n"/>
      <c r="K202" s="62" t="n"/>
      <c r="L202" s="38" t="n"/>
      <c r="M202" s="62" t="n"/>
      <c r="N202" s="38" t="n"/>
      <c r="O202" s="62" t="n"/>
      <c r="P202" s="38" t="n"/>
      <c r="Q202" s="62" t="n"/>
      <c r="R202" s="38" t="n"/>
      <c r="S202" s="62" t="n"/>
      <c r="T202" s="38" t="n"/>
      <c r="U202" s="62" t="n"/>
      <c r="V202" s="38" t="n"/>
      <c r="W202" s="62" t="n"/>
      <c r="X202" s="38" t="n"/>
      <c r="Y202" s="62" t="n"/>
      <c r="Z202" s="38" t="n"/>
      <c r="AA202" s="62" t="n"/>
      <c r="AB202" s="38" t="n"/>
      <c r="AC202" s="62" t="n"/>
      <c r="AD202" s="38" t="n"/>
      <c r="AE202" s="38" t="n"/>
      <c r="AF202" s="61">
        <f>IF(COUNTIF($B$5:B202,B202)=1,1,0)</f>
        <v/>
      </c>
      <c r="AG202" s="62" t="inlineStr">
        <is>
          <t>https://www.eltiempo.com/mundo/eeuu-y-canada/polemica-decision-en-el-juicio-contra-lindsay-clancy-por-el-asesinato-de-sus-tres-hijos-en-ee-uu-juez-declara-nulidad-por-falta-de-veredicto-3583604</t>
        </is>
      </c>
    </row>
    <row r="203" ht="15" customHeight="1" s="31">
      <c r="A203" s="38" t="inlineStr">
        <is>
          <t>https://www.eltiempo.com/mundo/eeuu-y-canada/polemica-decision-en-el-juicio-contra-lindsay-clancy-por-el-asesinato-de-sus-tres-hijos-en-ee-uu-juez-declara-nulidad-por-falta-de-veredicto-3583604</t>
        </is>
      </c>
      <c r="B203" s="38" t="inlineStr">
        <is>
          <t>https://www.eltiempo.com/mundo/eeuu-y-canada/polemica-decision-en-el-juicio-contra-lindsay-clancy-por-el-asesinato-de-sus-tres-hijos-en-ee-uu-juez-declara-nulidad-por-falta-de-veredicto-3583604_S07</t>
        </is>
      </c>
      <c r="C203" s="38" t="inlineStr">
        <is>
          <t>El Tiempo</t>
        </is>
      </c>
      <c r="D203" s="38" t="inlineStr">
        <is>
          <t>Respuesta a la emergencia del terremoto</t>
        </is>
      </c>
      <c r="E203" s="38" t="inlineStr">
        <is>
          <t>Noticia dura</t>
        </is>
      </c>
      <c r="F203" s="38" t="inlineStr">
        <is>
          <t>2026-09-04T14:59:21-05:00</t>
        </is>
      </c>
      <c r="G203" s="62" t="inlineStr">
        <is>
          <t>El jurado estaba estancado en una votación de 11 a 1, y la mayoría aparentemente se inclinaba por declarar a Clancy no culpable por razones de salud mental.</t>
        </is>
      </c>
      <c r="H203" s="62" t="inlineStr">
        <is>
          <t>Reddington argumentó en una audiencia de emergencia ante la jueza de la instancia superior, Dalila Argaez Wendlandt, que un miembro del jurado no estaba siguiendo las instrucciones de la deliberación y, por tanto, estaba bloqueando un veredicto que hubiera sido unánime, pero la magistrada falló en su contra.</t>
        </is>
      </c>
      <c r="I203" s="62" t="inlineStr">
        <is>
          <t>"Comunicamos con pesar que no podemos alcanzar una decisión unánime y no vamos a ser capaces de hacerlo", indicó el jurado, según recoge CNN.</t>
        </is>
      </c>
      <c r="J203" s="38" t="n"/>
      <c r="K203" s="62" t="n"/>
      <c r="L203" s="38" t="n"/>
      <c r="M203" s="62" t="n"/>
      <c r="N203" s="38" t="n"/>
      <c r="O203" s="62" t="n"/>
      <c r="P203" s="38" t="n"/>
      <c r="Q203" s="62" t="n"/>
      <c r="R203" s="38" t="n"/>
      <c r="S203" s="62" t="n"/>
      <c r="T203" s="38" t="n"/>
      <c r="U203" s="62" t="n"/>
      <c r="V203" s="38" t="n"/>
      <c r="W203" s="62" t="n"/>
      <c r="X203" s="38" t="n"/>
      <c r="Y203" s="62" t="n"/>
      <c r="Z203" s="38" t="n"/>
      <c r="AA203" s="62" t="n"/>
      <c r="AB203" s="38" t="n"/>
      <c r="AC203" s="62" t="n"/>
      <c r="AD203" s="38" t="n"/>
      <c r="AE203" s="38" t="n"/>
      <c r="AF203" s="61">
        <f>IF(COUNTIF($B$5:B203,B203)=1,1,0)</f>
        <v/>
      </c>
      <c r="AG203" s="62" t="inlineStr">
        <is>
          <t>https://www.eltiempo.com/mundo/eeuu-y-canada/polemica-decision-en-el-juicio-contra-lindsay-clancy-por-el-asesinato-de-sus-tres-hijos-en-ee-uu-juez-declara-nulidad-por-falta-de-veredicto-3583604</t>
        </is>
      </c>
    </row>
    <row r="204" ht="15" customHeight="1" s="31">
      <c r="A204" s="38" t="inlineStr">
        <is>
          <t>https://www.eltiempo.com/mundo/eeuu-y-canada/polemica-decision-en-el-juicio-contra-lindsay-clancy-por-el-asesinato-de-sus-tres-hijos-en-ee-uu-juez-declara-nulidad-por-falta-de-veredicto-3583604</t>
        </is>
      </c>
      <c r="B204" s="38" t="inlineStr">
        <is>
          <t>https://www.eltiempo.com/mundo/eeuu-y-canada/polemica-decision-en-el-juicio-contra-lindsay-clancy-por-el-asesinato-de-sus-tres-hijos-en-ee-uu-juez-declara-nulidad-por-falta-de-veredicto-3583604_S08</t>
        </is>
      </c>
      <c r="C204" s="38" t="inlineStr">
        <is>
          <t>El Tiempo</t>
        </is>
      </c>
      <c r="D204" s="38" t="inlineStr">
        <is>
          <t>Respuesta a la emergencia del terremoto</t>
        </is>
      </c>
      <c r="E204" s="38" t="inlineStr">
        <is>
          <t>Noticia dura</t>
        </is>
      </c>
      <c r="F204" s="38" t="inlineStr">
        <is>
          <t>2026-09-04T14:59:21-05:00</t>
        </is>
      </c>
      <c r="G204" s="62" t="inlineStr">
        <is>
          <t>"Comunicamos con pesar que no podemos alcanzar una decisión unánime y no vamos a ser capaces de hacerlo", indicó el jurado, según recoge CNN.</t>
        </is>
      </c>
      <c r="H204" s="62" t="inlineStr">
        <is>
          <t>El jurado estaba estancado en una votación de 11 a 1, y la mayoría aparentemente se inclinaba por declarar a Clancy no culpable por razones de salud mental.</t>
        </is>
      </c>
      <c r="I204" s="62" t="inlineStr">
        <is>
          <t>Minutos después, el juez Sullivan reanudó la sesión y declaró el juicio nulo.</t>
        </is>
      </c>
      <c r="J204" s="38" t="n"/>
      <c r="K204" s="62" t="n"/>
      <c r="L204" s="38" t="n"/>
      <c r="M204" s="62" t="n"/>
      <c r="N204" s="38" t="n"/>
      <c r="O204" s="62" t="n"/>
      <c r="P204" s="38" t="n"/>
      <c r="Q204" s="62" t="n"/>
      <c r="R204" s="38" t="n"/>
      <c r="S204" s="62" t="n"/>
      <c r="T204" s="38" t="n"/>
      <c r="U204" s="62" t="n"/>
      <c r="V204" s="38" t="n"/>
      <c r="W204" s="62" t="n"/>
      <c r="X204" s="38" t="n"/>
      <c r="Y204" s="62" t="n"/>
      <c r="Z204" s="38" t="n"/>
      <c r="AA204" s="62" t="n"/>
      <c r="AB204" s="38" t="n"/>
      <c r="AC204" s="62" t="n"/>
      <c r="AD204" s="38" t="n"/>
      <c r="AE204" s="38" t="n"/>
      <c r="AF204" s="61">
        <f>IF(COUNTIF($B$5:B204,B204)=1,1,0)</f>
        <v/>
      </c>
      <c r="AG204" s="62" t="inlineStr">
        <is>
          <t>https://www.eltiempo.com/mundo/eeuu-y-canada/polemica-decision-en-el-juicio-contra-lindsay-clancy-por-el-asesinato-de-sus-tres-hijos-en-ee-uu-juez-declara-nulidad-por-falta-de-veredicto-3583604</t>
        </is>
      </c>
    </row>
    <row r="205" ht="15" customHeight="1" s="31">
      <c r="A205" s="38" t="inlineStr">
        <is>
          <t>https://www.eltiempo.com/mundo/eeuu-y-canada/polemica-decision-en-el-juicio-contra-lindsay-clancy-por-el-asesinato-de-sus-tres-hijos-en-ee-uu-juez-declara-nulidad-por-falta-de-veredicto-3583604</t>
        </is>
      </c>
      <c r="B205" s="38" t="inlineStr">
        <is>
          <t>https://www.eltiempo.com/mundo/eeuu-y-canada/polemica-decision-en-el-juicio-contra-lindsay-clancy-por-el-asesinato-de-sus-tres-hijos-en-ee-uu-juez-declara-nulidad-por-falta-de-veredicto-3583604_S09</t>
        </is>
      </c>
      <c r="C205" s="38" t="inlineStr">
        <is>
          <t>El Tiempo</t>
        </is>
      </c>
      <c r="D205" s="38" t="inlineStr">
        <is>
          <t>Respuesta a la emergencia del terremoto</t>
        </is>
      </c>
      <c r="E205" s="38" t="inlineStr">
        <is>
          <t>Noticia dura</t>
        </is>
      </c>
      <c r="F205" s="38" t="inlineStr">
        <is>
          <t>2026-09-04T14:59:21-05:00</t>
        </is>
      </c>
      <c r="G205" s="62" t="inlineStr">
        <is>
          <t>Minutos después, el juez Sullivan reanudó la sesión y declaró el juicio nulo.</t>
        </is>
      </c>
      <c r="H205" s="62" t="inlineStr">
        <is>
          <t>"Comunicamos con pesar que no podemos alcanzar una decisión unánime y no vamos a ser capaces de hacerlo", indicó el jurado, según recoge CNN.</t>
        </is>
      </c>
      <c r="I205" s="62" t="inlineStr">
        <is>
          <t>La decisión de Sullivan se produjo después de que el jurado de doce personas le expresara esta mañana, por tercera vez en siete días, su incapacidad de ponerse de acuerdo en un veredicto sobre los cargos de Clancy.</t>
        </is>
      </c>
      <c r="J205" s="38" t="n"/>
      <c r="K205" s="62" t="n"/>
      <c r="L205" s="38" t="n"/>
      <c r="M205" s="62" t="n"/>
      <c r="N205" s="38" t="n"/>
      <c r="O205" s="62" t="n"/>
      <c r="P205" s="38" t="n"/>
      <c r="Q205" s="62" t="n"/>
      <c r="R205" s="38" t="n"/>
      <c r="S205" s="62" t="n"/>
      <c r="T205" s="38" t="n"/>
      <c r="U205" s="62" t="n"/>
      <c r="V205" s="38" t="n"/>
      <c r="W205" s="62" t="n"/>
      <c r="X205" s="38" t="n"/>
      <c r="Y205" s="62" t="n"/>
      <c r="Z205" s="38" t="n"/>
      <c r="AA205" s="62" t="n"/>
      <c r="AB205" s="38" t="n"/>
      <c r="AC205" s="62" t="n"/>
      <c r="AD205" s="38" t="n"/>
      <c r="AE205" s="38" t="n"/>
      <c r="AF205" s="61">
        <f>IF(COUNTIF($B$5:B205,B205)=1,1,0)</f>
        <v/>
      </c>
      <c r="AG205" s="62" t="inlineStr">
        <is>
          <t>https://www.eltiempo.com/mundo/eeuu-y-canada/polemica-decision-en-el-juicio-contra-lindsay-clancy-por-el-asesinato-de-sus-tres-hijos-en-ee-uu-juez-declara-nulidad-por-falta-de-veredicto-3583604</t>
        </is>
      </c>
    </row>
    <row r="206" ht="15" customHeight="1" s="31">
      <c r="A206" s="38" t="inlineStr">
        <is>
          <t>https://www.eltiempo.com/mundo/eeuu-y-canada/polemica-decision-en-el-juicio-contra-lindsay-clancy-por-el-asesinato-de-sus-tres-hijos-en-ee-uu-juez-declara-nulidad-por-falta-de-veredicto-3583604</t>
        </is>
      </c>
      <c r="B206" s="38" t="inlineStr">
        <is>
          <t>https://www.eltiempo.com/mundo/eeuu-y-canada/polemica-decision-en-el-juicio-contra-lindsay-clancy-por-el-asesinato-de-sus-tres-hijos-en-ee-uu-juez-declara-nulidad-por-falta-de-veredicto-3583604_S10</t>
        </is>
      </c>
      <c r="C206" s="38" t="inlineStr">
        <is>
          <t>El Tiempo</t>
        </is>
      </c>
      <c r="D206" s="38" t="inlineStr">
        <is>
          <t>Respuesta a la emergencia del terremoto</t>
        </is>
      </c>
      <c r="E206" s="38" t="inlineStr">
        <is>
          <t>Noticia dura</t>
        </is>
      </c>
      <c r="F206" s="38" t="inlineStr">
        <is>
          <t>2026-09-04T14:59:21-05:00</t>
        </is>
      </c>
      <c r="G206" s="62" t="inlineStr">
        <is>
          <t>La decisión de Sullivan se produjo después de que el jurado de doce personas le expresara esta mañana, por tercera vez en siete días, su incapacidad de ponerse de acuerdo en un veredicto sobre los cargos de Clancy.</t>
        </is>
      </c>
      <c r="H206" s="62" t="inlineStr">
        <is>
          <t>Minutos después, el juez Sullivan reanudó la sesión y declaró el juicio nulo.</t>
        </is>
      </c>
      <c r="I206" s="62" t="inlineStr">
        <is>
          <t>El movimiento de Reddington se produce después de que ayer pidiera al juez la retirada de un miembro del jurado que supuestamente rechazaba seguir las normas de las deliberaciones, y al que atribuía el bloqueo para un veredicto unánime.</t>
        </is>
      </c>
      <c r="J206" s="38" t="n"/>
      <c r="K206" s="62" t="n"/>
      <c r="L206" s="38" t="n"/>
      <c r="M206" s="62" t="n"/>
      <c r="N206" s="38" t="n"/>
      <c r="O206" s="62" t="n"/>
      <c r="P206" s="38" t="n"/>
      <c r="Q206" s="62" t="n"/>
      <c r="R206" s="38" t="n"/>
      <c r="S206" s="62" t="n"/>
      <c r="T206" s="38" t="n"/>
      <c r="U206" s="62" t="n"/>
      <c r="V206" s="38" t="n"/>
      <c r="W206" s="62" t="n"/>
      <c r="X206" s="38" t="n"/>
      <c r="Y206" s="62" t="n"/>
      <c r="Z206" s="38" t="n"/>
      <c r="AA206" s="62" t="n"/>
      <c r="AB206" s="38" t="n"/>
      <c r="AC206" s="62" t="n"/>
      <c r="AD206" s="38" t="n"/>
      <c r="AE206" s="38" t="n"/>
      <c r="AF206" s="61">
        <f>IF(COUNTIF($B$5:B206,B206)=1,1,0)</f>
        <v/>
      </c>
      <c r="AG206" s="62" t="inlineStr">
        <is>
          <t>https://www.eltiempo.com/mundo/eeuu-y-canada/polemica-decision-en-el-juicio-contra-lindsay-clancy-por-el-asesinato-de-sus-tres-hijos-en-ee-uu-juez-declara-nulidad-por-falta-de-veredicto-3583604</t>
        </is>
      </c>
    </row>
    <row r="207" ht="15" customHeight="1" s="31">
      <c r="A207" s="38" t="inlineStr">
        <is>
          <t>https://www.eltiempo.com/mundo/eeuu-y-canada/polemica-decision-en-el-juicio-contra-lindsay-clancy-por-el-asesinato-de-sus-tres-hijos-en-ee-uu-juez-declara-nulidad-por-falta-de-veredicto-3583604</t>
        </is>
      </c>
      <c r="B207" s="38" t="inlineStr">
        <is>
          <t>https://www.eltiempo.com/mundo/eeuu-y-canada/polemica-decision-en-el-juicio-contra-lindsay-clancy-por-el-asesinato-de-sus-tres-hijos-en-ee-uu-juez-declara-nulidad-por-falta-de-veredicto-3583604_S11</t>
        </is>
      </c>
      <c r="C207" s="38" t="inlineStr">
        <is>
          <t>El Tiempo</t>
        </is>
      </c>
      <c r="D207" s="38" t="inlineStr">
        <is>
          <t>Respuesta a la emergencia del terremoto</t>
        </is>
      </c>
      <c r="E207" s="38" t="inlineStr">
        <is>
          <t>Noticia dura</t>
        </is>
      </c>
      <c r="F207" s="38" t="inlineStr">
        <is>
          <t>2026-09-04T14:59:21-05:00</t>
        </is>
      </c>
      <c r="G207" s="62" t="inlineStr">
        <is>
          <t>El movimiento de Reddington se produce después de que ayer pidiera al juez la retirada de un miembro del jurado que supuestamente rechazaba seguir las normas de las deliberaciones, y al que atribuía el bloqueo para un veredicto unánime.</t>
        </is>
      </c>
      <c r="H207" s="62" t="inlineStr">
        <is>
          <t>La decisión de Sullivan se produjo después de que el jurado de doce personas le expresara esta mañana, por tercera vez en siete días, su incapacidad de ponerse de acuerdo en un veredicto sobre los cargos de Clancy.</t>
        </is>
      </c>
      <c r="I207" s="62" t="inlineStr">
        <is>
          <t>El movimiento de Reddington se produce después de que ayer pidiera al juez la retirada de un miembro del jurado que supuestamente rechazaba seguir las normas de las deliberaciones, y al que atribuía el bloqueo para un veredicto unánime.</t>
        </is>
      </c>
      <c r="J207" s="38" t="n"/>
      <c r="K207" s="62" t="n"/>
      <c r="L207" s="38" t="n"/>
      <c r="M207" s="62" t="n"/>
      <c r="N207" s="38" t="n"/>
      <c r="O207" s="62" t="n"/>
      <c r="P207" s="38" t="n"/>
      <c r="Q207" s="62" t="n"/>
      <c r="R207" s="38" t="n"/>
      <c r="S207" s="62" t="n"/>
      <c r="T207" s="38" t="n"/>
      <c r="U207" s="62" t="n"/>
      <c r="V207" s="38" t="n"/>
      <c r="W207" s="62" t="n"/>
      <c r="X207" s="38" t="n"/>
      <c r="Y207" s="62" t="n"/>
      <c r="Z207" s="38" t="n"/>
      <c r="AA207" s="62" t="n"/>
      <c r="AB207" s="38" t="n"/>
      <c r="AC207" s="62" t="n"/>
      <c r="AD207" s="38" t="n"/>
      <c r="AE207" s="38" t="n"/>
      <c r="AF207" s="61">
        <f>IF(COUNTIF($B$5:B207,B207)=1,1,0)</f>
        <v/>
      </c>
      <c r="AG207" s="62" t="inlineStr">
        <is>
          <t>https://www.eltiempo.com/mundo/eeuu-y-canada/polemica-decision-en-el-juicio-contra-lindsay-clancy-por-el-asesinato-de-sus-tres-hijos-en-ee-uu-juez-declara-nulidad-por-falta-de-veredicto-3583604</t>
        </is>
      </c>
    </row>
    <row r="208" ht="15" customHeight="1" s="31">
      <c r="A208" s="38" t="inlineStr">
        <is>
          <t>https://www.eltiempo.com/justicia/conflicto-y-narcotrafico/general-oscar-diaz-montiel-asume-el-comando-de-educacion-y-doctrina-del-ejercito-3583704</t>
        </is>
      </c>
      <c r="B208" s="38" t="inlineStr">
        <is>
          <t>https://www.eltiempo.com/justicia/conflicto-y-narcotrafico/general-oscar-diaz-montiel-asume-el-comando-de-educacion-y-doctrina-del-ejercito-3583704_S01</t>
        </is>
      </c>
      <c r="C208" s="38" t="inlineStr">
        <is>
          <t>El Tiempo</t>
        </is>
      </c>
      <c r="D208" s="38" t="inlineStr">
        <is>
          <t>Seguridad y orden público</t>
        </is>
      </c>
      <c r="E208" s="38" t="inlineStr">
        <is>
          <t>Noticia dura</t>
        </is>
      </c>
      <c r="F208" s="38" t="inlineStr">
        <is>
          <t>2026-09-04T16:23:07-05:00</t>
        </is>
      </c>
      <c r="G208" s="62" t="inlineStr">
        <is>
          <t>Después de estar al frente de la Décima Primera Brigada, el brigadier general Óscar del Cristo Díaz Montiel asumió una nueva responsabilidad dentro de la estructura del Ejército.</t>
        </is>
      </c>
      <c r="H208" s="62" t="n"/>
      <c r="I208" s="62" t="inlineStr">
        <is>
          <t>El oficial fue designado comandante del Comando de Educación y Doctrina (Cedoc), desde donde tendrá a cargo los lineamientos para la formación, instrucción y entrenamiento de los integrantes de la Fuerza.</t>
        </is>
      </c>
      <c r="J208" s="38" t="n"/>
      <c r="K208" s="62" t="n"/>
      <c r="L208" s="38" t="n"/>
      <c r="M208" s="62" t="n"/>
      <c r="N208" s="38" t="n"/>
      <c r="O208" s="62" t="n"/>
      <c r="P208" s="38" t="n"/>
      <c r="Q208" s="62" t="n"/>
      <c r="R208" s="38" t="n"/>
      <c r="S208" s="62" t="n"/>
      <c r="T208" s="38" t="n"/>
      <c r="U208" s="62" t="n"/>
      <c r="V208" s="38" t="n"/>
      <c r="W208" s="62" t="n"/>
      <c r="X208" s="38" t="n"/>
      <c r="Y208" s="62" t="n"/>
      <c r="Z208" s="38" t="n"/>
      <c r="AA208" s="62" t="n"/>
      <c r="AB208" s="38" t="n"/>
      <c r="AC208" s="62" t="n"/>
      <c r="AD208" s="38" t="n"/>
      <c r="AE208" s="38" t="n"/>
      <c r="AF208" s="61">
        <f>IF(COUNTIF($B$5:B208,B208)=1,1,0)</f>
        <v/>
      </c>
      <c r="AG208" s="62" t="inlineStr">
        <is>
          <t>https://www.eltiempo.com/justicia/conflicto-y-narcotrafico/general-oscar-diaz-montiel-asume-el-comando-de-educacion-y-doctrina-del-ejercito-3583704</t>
        </is>
      </c>
    </row>
    <row r="209" ht="15" customHeight="1" s="31">
      <c r="A209" s="38" t="inlineStr">
        <is>
          <t>https://www.eltiempo.com/justicia/conflicto-y-narcotrafico/general-oscar-diaz-montiel-asume-el-comando-de-educacion-y-doctrina-del-ejercito-3583704</t>
        </is>
      </c>
      <c r="B209" s="38" t="inlineStr">
        <is>
          <t>https://www.eltiempo.com/justicia/conflicto-y-narcotrafico/general-oscar-diaz-montiel-asume-el-comando-de-educacion-y-doctrina-del-ejercito-3583704_S02</t>
        </is>
      </c>
      <c r="C209" s="38" t="inlineStr">
        <is>
          <t>El Tiempo</t>
        </is>
      </c>
      <c r="D209" s="38" t="inlineStr">
        <is>
          <t>Seguridad y orden público</t>
        </is>
      </c>
      <c r="E209" s="38" t="inlineStr">
        <is>
          <t>Noticia dura</t>
        </is>
      </c>
      <c r="F209" s="38" t="inlineStr">
        <is>
          <t>2026-09-04T16:23:07-05:00</t>
        </is>
      </c>
      <c r="G209" s="62" t="inlineStr">
        <is>
          <t>El oficial fue designado comandante del Comando de Educación y Doctrina (Cedoc), desde donde tendrá a cargo los lineamientos para la formación, instrucción y entrenamiento de los integrantes de la Fuerza.</t>
        </is>
      </c>
      <c r="H209" s="62" t="inlineStr">
        <is>
          <t>Después de estar al frente de la Décima Primera Brigada, el brigadier general Óscar del Cristo Díaz Montiel asumió una nueva responsabilidad dentro de la estructura del Ejército.</t>
        </is>
      </c>
      <c r="I209" s="62" t="n"/>
      <c r="J209" s="38" t="n"/>
      <c r="K209" s="62" t="n"/>
      <c r="L209" s="38" t="n"/>
      <c r="M209" s="62" t="n"/>
      <c r="N209" s="38" t="n"/>
      <c r="O209" s="62" t="n"/>
      <c r="P209" s="38" t="n"/>
      <c r="Q209" s="62" t="n"/>
      <c r="R209" s="38" t="n"/>
      <c r="S209" s="62" t="n"/>
      <c r="T209" s="38" t="n"/>
      <c r="U209" s="62" t="n"/>
      <c r="V209" s="38" t="n"/>
      <c r="W209" s="62" t="n"/>
      <c r="X209" s="38" t="n"/>
      <c r="Y209" s="62" t="n"/>
      <c r="Z209" s="38" t="n"/>
      <c r="AA209" s="62" t="n"/>
      <c r="AB209" s="38" t="n"/>
      <c r="AC209" s="62" t="n"/>
      <c r="AD209" s="38" t="n"/>
      <c r="AE209" s="38" t="n"/>
      <c r="AF209" s="61">
        <f>IF(COUNTIF($B$5:B209,B209)=1,1,0)</f>
        <v/>
      </c>
      <c r="AG209" s="62" t="inlineStr">
        <is>
          <t>https://www.eltiempo.com/justicia/conflicto-y-narcotrafico/general-oscar-diaz-montiel-asume-el-comando-de-educacion-y-doctrina-del-ejercito-3583704</t>
        </is>
      </c>
    </row>
    <row r="210" ht="15" customHeight="1" s="31">
      <c r="A210" s="38" t="inlineStr">
        <is>
          <t>https://www.eltiempo.com/economia/sectores/mas-impuestos-al-petroleo-y-la-construccion-asi-tendria-que-ser-el-ajuste-del-gobierno-de-la-espriella-para-sacar-a-colombia-de-la-crisis-fiscal-3583622</t>
        </is>
      </c>
      <c r="B210" s="38" t="inlineStr">
        <is>
          <t>https://www.eltiempo.com/economia/sectores/mas-impuestos-al-petroleo-y-la-construccion-asi-tendria-que-ser-el-ajuste-del-gobierno-de-la-espriella-para-sacar-a-colombia-de-la-crisis-fiscal-3583622_S01</t>
        </is>
      </c>
      <c r="C210" s="38" t="inlineStr">
        <is>
          <t>El Tiempo</t>
        </is>
      </c>
      <c r="D210" s="38" t="inlineStr">
        <is>
          <t>Respuesta a la emergencia del terremoto</t>
        </is>
      </c>
      <c r="E210" s="38" t="inlineStr">
        <is>
          <t>Noticia dura</t>
        </is>
      </c>
      <c r="F210" s="38" t="inlineStr">
        <is>
          <t>2026-09-04T12:35:46-05:00</t>
        </is>
      </c>
      <c r="G210" s="62" t="inlineStr">
        <is>
          <t>Ante la situación fiscal "crítica y sin precedentes" que enfrenta Colombia, el presidente del Comité Autónomo de Regla Fiscal (Carf), Juan Carlos Ramírez, detalló los principios que debe consultar el plan de ajuste fiscal del gobierno de Abelardo De La Espriella.</t>
        </is>
      </c>
      <c r="H210" s="62" t="n"/>
      <c r="I210" s="62" t="inlineStr">
        <is>
          <t>La postura del organismo se da luego de que el viceministro general de Hacienda, Andrés Quevedo, reiterara que inicialmente se tiene previsto realizar un recorte del gasto de 21,9 billones de pesos para empezar a estabilizar las cuentas fiscales y priorizar recursos para atender la emergencia por el terremoto.</t>
        </is>
      </c>
      <c r="J210" s="38" t="n"/>
      <c r="K210" s="62" t="n"/>
      <c r="L210" s="38" t="n"/>
      <c r="M210" s="62" t="n"/>
      <c r="N210" s="38" t="n"/>
      <c r="O210" s="62" t="n"/>
      <c r="P210" s="38" t="n"/>
      <c r="Q210" s="62" t="n"/>
      <c r="R210" s="38" t="n"/>
      <c r="S210" s="62" t="n"/>
      <c r="T210" s="38" t="n"/>
      <c r="U210" s="62" t="n"/>
      <c r="V210" s="38" t="n"/>
      <c r="W210" s="62" t="n"/>
      <c r="X210" s="38" t="n"/>
      <c r="Y210" s="62" t="n"/>
      <c r="Z210" s="38" t="n"/>
      <c r="AA210" s="62" t="n"/>
      <c r="AB210" s="38" t="n"/>
      <c r="AC210" s="62" t="n"/>
      <c r="AD210" s="38" t="n"/>
      <c r="AE210" s="38" t="n"/>
      <c r="AF210" s="61">
        <f>IF(COUNTIF($B$5:B210,B210)=1,1,0)</f>
        <v/>
      </c>
      <c r="AG210" s="62" t="inlineStr">
        <is>
          <t>https://www.eltiempo.com/economia/sectores/mas-impuestos-al-petroleo-y-la-construccion-asi-tendria-que-ser-el-ajuste-del-gobierno-de-la-espriella-para-sacar-a-colombia-de-la-crisis-fiscal-3583622</t>
        </is>
      </c>
    </row>
    <row r="211" ht="15" customHeight="1" s="31">
      <c r="A211" s="38" t="inlineStr">
        <is>
          <t>https://www.eltiempo.com/economia/sectores/mas-impuestos-al-petroleo-y-la-construccion-asi-tendria-que-ser-el-ajuste-del-gobierno-de-la-espriella-para-sacar-a-colombia-de-la-crisis-fiscal-3583622</t>
        </is>
      </c>
      <c r="B211" s="38" t="inlineStr">
        <is>
          <t>https://www.eltiempo.com/economia/sectores/mas-impuestos-al-petroleo-y-la-construccion-asi-tendria-que-ser-el-ajuste-del-gobierno-de-la-espriella-para-sacar-a-colombia-de-la-crisis-fiscal-3583622_S02</t>
        </is>
      </c>
      <c r="C211" s="38" t="inlineStr">
        <is>
          <t>El Tiempo</t>
        </is>
      </c>
      <c r="D211" s="38" t="inlineStr">
        <is>
          <t>Respuesta a la emergencia del terremoto</t>
        </is>
      </c>
      <c r="E211" s="38" t="inlineStr">
        <is>
          <t>Noticia dura</t>
        </is>
      </c>
      <c r="F211" s="38" t="inlineStr">
        <is>
          <t>2026-09-04T12:35:46-05:00</t>
        </is>
      </c>
      <c r="G211" s="62" t="inlineStr">
        <is>
          <t>La postura del organismo se da luego de que el viceministro general de Hacienda, Andrés Quevedo, reiterara que inicialmente se tiene previsto realizar un recorte del gasto de 21,9 billones de pesos para empezar a estabilizar las cuentas fiscales y priorizar recursos para atender la emergencia por el terremoto.</t>
        </is>
      </c>
      <c r="H211" s="62" t="inlineStr">
        <is>
          <t>Ante la situación fiscal "crítica y sin precedentes" que enfrenta Colombia, el presidente del Comité Autónomo de Regla Fiscal (Carf), Juan Carlos Ramírez, detalló los principios que debe consultar el plan de ajuste fiscal del gobierno de Abelardo De La Espriella.</t>
        </is>
      </c>
      <c r="I211" s="62" t="n"/>
      <c r="J211" s="38" t="n"/>
      <c r="K211" s="62" t="n"/>
      <c r="L211" s="38" t="n"/>
      <c r="M211" s="62" t="n"/>
      <c r="N211" s="38" t="n"/>
      <c r="O211" s="62" t="n"/>
      <c r="P211" s="38" t="n"/>
      <c r="Q211" s="62" t="n"/>
      <c r="R211" s="38" t="n"/>
      <c r="S211" s="62" t="n"/>
      <c r="T211" s="38" t="n"/>
      <c r="U211" s="62" t="n"/>
      <c r="V211" s="38" t="n"/>
      <c r="W211" s="62" t="n"/>
      <c r="X211" s="38" t="n"/>
      <c r="Y211" s="62" t="n"/>
      <c r="Z211" s="38" t="n"/>
      <c r="AA211" s="62" t="n"/>
      <c r="AB211" s="38" t="n"/>
      <c r="AC211" s="62" t="n"/>
      <c r="AD211" s="38" t="n"/>
      <c r="AE211" s="38" t="n"/>
      <c r="AF211" s="61">
        <f>IF(COUNTIF($B$5:B211,B211)=1,1,0)</f>
        <v/>
      </c>
      <c r="AG211" s="62" t="inlineStr">
        <is>
          <t>https://www.eltiempo.com/economia/sectores/mas-impuestos-al-petroleo-y-la-construccion-asi-tendria-que-ser-el-ajuste-del-gobierno-de-la-espriella-para-sacar-a-colombia-de-la-crisis-fiscal-3583622</t>
        </is>
      </c>
    </row>
    <row r="212" ht="15" customHeight="1" s="31">
      <c r="A212" s="38" t="inlineStr">
        <is>
          <t>https://www.lasillavacia.com/?p=443182</t>
        </is>
      </c>
      <c r="B212" s="38" t="inlineStr">
        <is>
          <t>https://www.lasillavacia.com/?p=443182_S02</t>
        </is>
      </c>
      <c r="C212" s="38" t="inlineStr">
        <is>
          <t>La Silla Vacía</t>
        </is>
      </c>
      <c r="D212" s="38" t="inlineStr">
        <is>
          <t>Respuesta a la emergencia del terremoto</t>
        </is>
      </c>
      <c r="E212" s="38" t="inlineStr">
        <is>
          <t>Opinión-análisis</t>
        </is>
      </c>
      <c r="F212" s="38" t="inlineStr">
        <is>
          <t>Fri, 04 Sep 2026 13:00:00 +0000</t>
        </is>
      </c>
      <c r="G212" s="62" t="inlineStr">
        <is>
          <t>El reciente terremoto que golpeó con mayor fuerza al Eje Cafetero, Valle del Cauca y Chocó, tiene un gran olvidado, el sector rural.</t>
        </is>
      </c>
      <c r="H212" s="62" t="inlineStr">
        <is>
          <t>Este es un espacio de debate que no compromete la opinión de La Silla Vacía ni de sus aliados.</t>
        </is>
      </c>
      <c r="I212" s="62" t="inlineStr">
        <is>
          <t>La reconstrucción del campo no puede reducirse a reparar lo que se ve, sino a recuperar la capacidad de las familias campesinas para volver a producir.</t>
        </is>
      </c>
      <c r="J212" s="38" t="n"/>
      <c r="K212" s="62" t="n"/>
      <c r="L212" s="38" t="n"/>
      <c r="M212" s="62" t="n"/>
      <c r="N212" s="38" t="n"/>
      <c r="O212" s="62" t="n"/>
      <c r="P212" s="38" t="n"/>
      <c r="Q212" s="62" t="n"/>
      <c r="R212" s="38" t="n"/>
      <c r="S212" s="62" t="n"/>
      <c r="T212" s="38" t="n"/>
      <c r="U212" s="62" t="n"/>
      <c r="V212" s="38" t="n"/>
      <c r="W212" s="62" t="n"/>
      <c r="X212" s="38" t="n"/>
      <c r="Y212" s="62" t="n"/>
      <c r="Z212" s="38" t="n"/>
      <c r="AA212" s="62" t="n"/>
      <c r="AB212" s="38" t="n"/>
      <c r="AC212" s="62" t="n"/>
      <c r="AD212" s="38" t="n"/>
      <c r="AE212" s="38" t="n"/>
      <c r="AF212" s="61">
        <f>IF(COUNTIF($B$5:B212,B212)=1,1,0)</f>
        <v/>
      </c>
      <c r="AG212" s="62" t="inlineStr">
        <is>
          <t>https://www.lasillavacia.com/red-de-expertos/red-rural/terremoto-en-el-corazon-del-cafe-al-caido-caerle/</t>
        </is>
      </c>
    </row>
    <row r="213" ht="15" customHeight="1" s="31">
      <c r="A213" s="38" t="inlineStr">
        <is>
          <t>https://www.lasillavacia.com/?p=443182</t>
        </is>
      </c>
      <c r="B213" s="38" t="inlineStr">
        <is>
          <t>https://www.lasillavacia.com/?p=443182_S03</t>
        </is>
      </c>
      <c r="C213" s="38" t="inlineStr">
        <is>
          <t>La Silla Vacía</t>
        </is>
      </c>
      <c r="D213" s="38" t="inlineStr">
        <is>
          <t>Respuesta a la emergencia del terremoto</t>
        </is>
      </c>
      <c r="E213" s="38" t="inlineStr">
        <is>
          <t>Opinión-análisis</t>
        </is>
      </c>
      <c r="F213" s="38" t="inlineStr">
        <is>
          <t>Fri, 04 Sep 2026 13:00:00 +0000</t>
        </is>
      </c>
      <c r="G213" s="62" t="inlineStr">
        <is>
          <t>La reconstrucción del campo no puede reducirse a reparar lo que se ve, sino a recuperar la capacidad de las familias campesinas para volver a producir.</t>
        </is>
      </c>
      <c r="H213" s="62" t="inlineStr">
        <is>
          <t>El reciente terremoto que golpeó con mayor fuerza al Eje Cafetero, Valle del Cauca y Chocó, tiene un gran olvidado, el sector rural.</t>
        </is>
      </c>
      <c r="I213" s="62" t="inlineStr">
        <is>
          <t>A la fecha, no existe un consolidado oficial que permita saber la magnitud de los daños y pérdidas y, en consecuencia, cuantificar con precisión el costo de la reconstrucción.</t>
        </is>
      </c>
      <c r="J213" s="38" t="n"/>
      <c r="K213" s="62" t="n"/>
      <c r="L213" s="38" t="n"/>
      <c r="M213" s="62" t="n"/>
      <c r="N213" s="38" t="n"/>
      <c r="O213" s="62" t="n"/>
      <c r="P213" s="38" t="n"/>
      <c r="Q213" s="62" t="n"/>
      <c r="R213" s="38" t="n"/>
      <c r="S213" s="62" t="n"/>
      <c r="T213" s="38" t="n"/>
      <c r="U213" s="62" t="n"/>
      <c r="V213" s="38" t="n"/>
      <c r="W213" s="62" t="n"/>
      <c r="X213" s="38" t="n"/>
      <c r="Y213" s="62" t="n"/>
      <c r="Z213" s="38" t="n"/>
      <c r="AA213" s="62" t="n"/>
      <c r="AB213" s="38" t="n"/>
      <c r="AC213" s="62" t="n"/>
      <c r="AD213" s="38" t="n"/>
      <c r="AE213" s="38" t="n"/>
      <c r="AF213" s="61">
        <f>IF(COUNTIF($B$5:B213,B213)=1,1,0)</f>
        <v/>
      </c>
      <c r="AG213" s="62" t="inlineStr">
        <is>
          <t>https://www.lasillavacia.com/red-de-expertos/red-rural/terremoto-en-el-corazon-del-cafe-al-caido-caerle/</t>
        </is>
      </c>
    </row>
    <row r="214" ht="15" customHeight="1" s="31">
      <c r="A214" s="38" t="inlineStr">
        <is>
          <t>https://www.lasillavacia.com/?p=443182</t>
        </is>
      </c>
      <c r="B214" s="38" t="inlineStr">
        <is>
          <t>https://www.lasillavacia.com/?p=443182_S04</t>
        </is>
      </c>
      <c r="C214" s="38" t="inlineStr">
        <is>
          <t>La Silla Vacía</t>
        </is>
      </c>
      <c r="D214" s="38" t="inlineStr">
        <is>
          <t>Respuesta a la emergencia del terremoto</t>
        </is>
      </c>
      <c r="E214" s="38" t="inlineStr">
        <is>
          <t>Opinión-análisis</t>
        </is>
      </c>
      <c r="F214" s="38" t="inlineStr">
        <is>
          <t>Fri, 04 Sep 2026 13:00:00 +0000</t>
        </is>
      </c>
      <c r="G214" s="62" t="inlineStr">
        <is>
          <t>A la fecha, no existe un consolidado oficial que permita saber la magnitud de los daños y pérdidas y, en consecuencia, cuantificar con precisión el costo de la reconstrucción.</t>
        </is>
      </c>
      <c r="H214" s="62" t="inlineStr">
        <is>
          <t>La reconstrucción del campo no puede reducirse a reparar lo que se ve, sino a recuperar la capacidad de las familias campesinas para volver a producir.</t>
        </is>
      </c>
      <c r="I214" s="62" t="inlineStr">
        <is>
          <t>Lo que se tiene por ahora son los datos de los cafeteros merced de la capacidad de respuesta de la Federación Nacional de Cafeteros y el esfuerzo en campo de su cuerpo de extensionistas.</t>
        </is>
      </c>
      <c r="J214" s="38" t="n"/>
      <c r="K214" s="62" t="n"/>
      <c r="L214" s="38" t="n"/>
      <c r="M214" s="62" t="n"/>
      <c r="N214" s="38" t="n"/>
      <c r="O214" s="62" t="n"/>
      <c r="P214" s="38" t="n"/>
      <c r="Q214" s="62" t="n"/>
      <c r="R214" s="38" t="n"/>
      <c r="S214" s="62" t="n"/>
      <c r="T214" s="38" t="n"/>
      <c r="U214" s="62" t="n"/>
      <c r="V214" s="38" t="n"/>
      <c r="W214" s="62" t="n"/>
      <c r="X214" s="38" t="n"/>
      <c r="Y214" s="62" t="n"/>
      <c r="Z214" s="38" t="n"/>
      <c r="AA214" s="62" t="n"/>
      <c r="AB214" s="38" t="n"/>
      <c r="AC214" s="62" t="n"/>
      <c r="AD214" s="38" t="n"/>
      <c r="AE214" s="38" t="n"/>
      <c r="AF214" s="61">
        <f>IF(COUNTIF($B$5:B214,B214)=1,1,0)</f>
        <v/>
      </c>
      <c r="AG214" s="62" t="inlineStr">
        <is>
          <t>https://www.lasillavacia.com/red-de-expertos/red-rural/terremoto-en-el-corazon-del-cafe-al-caido-caerle/</t>
        </is>
      </c>
    </row>
    <row r="215" ht="15" customHeight="1" s="31">
      <c r="A215" s="38" t="inlineStr">
        <is>
          <t>https://www.lasillavacia.com/?p=443182</t>
        </is>
      </c>
      <c r="B215" s="38" t="inlineStr">
        <is>
          <t>https://www.lasillavacia.com/?p=443182_S05</t>
        </is>
      </c>
      <c r="C215" s="38" t="inlineStr">
        <is>
          <t>La Silla Vacía</t>
        </is>
      </c>
      <c r="D215" s="38" t="inlineStr">
        <is>
          <t>Respuesta a la emergencia del terremoto</t>
        </is>
      </c>
      <c r="E215" s="38" t="inlineStr">
        <is>
          <t>Opinión-análisis</t>
        </is>
      </c>
      <c r="F215" s="38" t="inlineStr">
        <is>
          <t>Fri, 04 Sep 2026 13:00:00 +0000</t>
        </is>
      </c>
      <c r="G215" s="62" t="inlineStr">
        <is>
          <t>Lo que se tiene por ahora son los datos de los cafeteros merced de la capacidad de respuesta de la Federación Nacional de Cafeteros y el esfuerzo en campo de su cuerpo de extensionistas.</t>
        </is>
      </c>
      <c r="H215" s="62" t="inlineStr">
        <is>
          <t>A la fecha, no existe un consolidado oficial que permita saber la magnitud de los daños y pérdidas y, en consecuencia, cuantificar con precisión el costo de la reconstrucción.</t>
        </is>
      </c>
      <c r="I215" s="62" t="inlineStr">
        <is>
          <t>Con corte a la primera quincena de agosto, el gremio comunicó que contactó 10.460 caficultores en seis departamentos —Valle del Cauca, Risaralda, Caldas, Quindío, Antioquia y Chocó—, de los cuales 8.070 reportaron daños en sus viviendas.</t>
        </is>
      </c>
      <c r="J215" s="38" t="n"/>
      <c r="K215" s="62" t="n"/>
      <c r="L215" s="38" t="n"/>
      <c r="M215" s="62" t="n"/>
      <c r="N215" s="38" t="n"/>
      <c r="O215" s="62" t="n"/>
      <c r="P215" s="38" t="n"/>
      <c r="Q215" s="62" t="n"/>
      <c r="R215" s="38" t="n"/>
      <c r="S215" s="62" t="n"/>
      <c r="T215" s="38" t="n"/>
      <c r="U215" s="62" t="n"/>
      <c r="V215" s="38" t="n"/>
      <c r="W215" s="62" t="n"/>
      <c r="X215" s="38" t="n"/>
      <c r="Y215" s="62" t="n"/>
      <c r="Z215" s="38" t="n"/>
      <c r="AA215" s="62" t="n"/>
      <c r="AB215" s="38" t="n"/>
      <c r="AC215" s="62" t="n"/>
      <c r="AD215" s="38" t="n"/>
      <c r="AE215" s="38" t="n"/>
      <c r="AF215" s="61">
        <f>IF(COUNTIF($B$5:B215,B215)=1,1,0)</f>
        <v/>
      </c>
      <c r="AG215" s="62" t="inlineStr">
        <is>
          <t>https://www.lasillavacia.com/red-de-expertos/red-rural/terremoto-en-el-corazon-del-cafe-al-caido-caerle/</t>
        </is>
      </c>
    </row>
    <row r="216" ht="15" customHeight="1" s="31">
      <c r="A216" s="38" t="inlineStr">
        <is>
          <t>https://www.lasillavacia.com/?p=443182</t>
        </is>
      </c>
      <c r="B216" s="38" t="inlineStr">
        <is>
          <t>https://www.lasillavacia.com/?p=443182_S06</t>
        </is>
      </c>
      <c r="C216" s="38" t="inlineStr">
        <is>
          <t>La Silla Vacía</t>
        </is>
      </c>
      <c r="D216" s="38" t="inlineStr">
        <is>
          <t>Respuesta a la emergencia del terremoto</t>
        </is>
      </c>
      <c r="E216" s="38" t="inlineStr">
        <is>
          <t>Opinión-análisis</t>
        </is>
      </c>
      <c r="F216" s="38" t="inlineStr">
        <is>
          <t>Fri, 04 Sep 2026 13:00:00 +0000</t>
        </is>
      </c>
      <c r="G216" s="62" t="inlineStr">
        <is>
          <t>Con corte a la primera quincena de agosto, el gremio comunicó que contactó 10.460 caficultores en seis departamentos —Valle del Cauca, Risaralda, Caldas, Quindío, Antioquia y Chocó—, de los cuales 8.070 reportaron daños en sus viviendas.</t>
        </is>
      </c>
      <c r="H216" s="62" t="inlineStr">
        <is>
          <t>Lo que se tiene por ahora son los datos de los cafeteros merced de la capacidad de respuesta de la Federación Nacional de Cafeteros y el esfuerzo en campo de su cuerpo de extensionistas.</t>
        </is>
      </c>
      <c r="I216" s="62" t="inlineStr">
        <is>
          <t>En Caldas, la Federación informó de 1.700 cafeteros afectados , además de daños en la plaza de mercado de Riosucio y en los acueductos de Bonafont.</t>
        </is>
      </c>
      <c r="J216" s="38" t="n"/>
      <c r="K216" s="62" t="n"/>
      <c r="L216" s="38" t="n"/>
      <c r="M216" s="62" t="n"/>
      <c r="N216" s="38" t="n"/>
      <c r="O216" s="62" t="n"/>
      <c r="P216" s="38" t="n"/>
      <c r="Q216" s="62" t="n"/>
      <c r="R216" s="38" t="n"/>
      <c r="S216" s="62" t="n"/>
      <c r="T216" s="38" t="n"/>
      <c r="U216" s="62" t="n"/>
      <c r="V216" s="38" t="n"/>
      <c r="W216" s="62" t="n"/>
      <c r="X216" s="38" t="n"/>
      <c r="Y216" s="62" t="n"/>
      <c r="Z216" s="38" t="n"/>
      <c r="AA216" s="62" t="n"/>
      <c r="AB216" s="38" t="n"/>
      <c r="AC216" s="62" t="n"/>
      <c r="AD216" s="38" t="n"/>
      <c r="AE216" s="38" t="n"/>
      <c r="AF216" s="61">
        <f>IF(COUNTIF($B$5:B216,B216)=1,1,0)</f>
        <v/>
      </c>
      <c r="AG216" s="62" t="inlineStr">
        <is>
          <t>https://www.lasillavacia.com/red-de-expertos/red-rural/terremoto-en-el-corazon-del-cafe-al-caido-caerle/</t>
        </is>
      </c>
    </row>
    <row r="217" ht="15" customHeight="1" s="31">
      <c r="A217" s="38" t="inlineStr">
        <is>
          <t>https://www.lasillavacia.com/?p=443182</t>
        </is>
      </c>
      <c r="B217" s="38" t="inlineStr">
        <is>
          <t>https://www.lasillavacia.com/?p=443182_S07</t>
        </is>
      </c>
      <c r="C217" s="38" t="inlineStr">
        <is>
          <t>La Silla Vacía</t>
        </is>
      </c>
      <c r="D217" s="38" t="inlineStr">
        <is>
          <t>Respuesta a la emergencia del terremoto</t>
        </is>
      </c>
      <c r="E217" s="38" t="inlineStr">
        <is>
          <t>Opinión-análisis</t>
        </is>
      </c>
      <c r="F217" s="38" t="inlineStr">
        <is>
          <t>Fri, 04 Sep 2026 13:00:00 +0000</t>
        </is>
      </c>
      <c r="G217" s="62" t="inlineStr">
        <is>
          <t>En Caldas, la Federación informó de 1.700 cafeteros afectados , además de daños en la plaza de mercado de Riosucio y en los acueductos de Bonafont.</t>
        </is>
      </c>
      <c r="H217" s="62" t="inlineStr">
        <is>
          <t>Con corte a la primera quincena de agosto, el gremio comunicó que contactó 10.460 caficultores en seis departamentos —Valle del Cauca, Risaralda, Caldas, Quindío, Antioquia y Chocó—, de los cuales 8.070 reportaron daños en sus viviendas.</t>
        </is>
      </c>
      <c r="I217" s="62" t="inlineStr">
        <is>
          <t>En el Quindío, la Gobernación reportó 2.121 viviendas rurales afectadas; en el Valle, de 54 mil viviendas impactadas sin consolidado rural, municipios como el Águila, Roldanillo y Riofrío reportan daños superiores al 50%; y en Chocó, comunidades como Loma de Chupey (Sipí) y Pangalita (San José del Palmar) perdieron casi la totalidad de sus casas o quedaron en riesgo de derrumbe, mientras la Defensoría advierte que los problemas de acceso dejarán predios fuera del censo.</t>
        </is>
      </c>
      <c r="J217" s="38" t="n"/>
      <c r="K217" s="62" t="n"/>
      <c r="L217" s="38" t="n"/>
      <c r="M217" s="62" t="n"/>
      <c r="N217" s="38" t="n"/>
      <c r="O217" s="62" t="n"/>
      <c r="P217" s="38" t="n"/>
      <c r="Q217" s="62" t="n"/>
      <c r="R217" s="38" t="n"/>
      <c r="S217" s="62" t="n"/>
      <c r="T217" s="38" t="n"/>
      <c r="U217" s="62" t="n"/>
      <c r="V217" s="38" t="n"/>
      <c r="W217" s="62" t="n"/>
      <c r="X217" s="38" t="n"/>
      <c r="Y217" s="62" t="n"/>
      <c r="Z217" s="38" t="n"/>
      <c r="AA217" s="62" t="n"/>
      <c r="AB217" s="38" t="n"/>
      <c r="AC217" s="62" t="n"/>
      <c r="AD217" s="38" t="n"/>
      <c r="AE217" s="38" t="n"/>
      <c r="AF217" s="61">
        <f>IF(COUNTIF($B$5:B217,B217)=1,1,0)</f>
        <v/>
      </c>
      <c r="AG217" s="62" t="inlineStr">
        <is>
          <t>https://www.lasillavacia.com/red-de-expertos/red-rural/terremoto-en-el-corazon-del-cafe-al-caido-caerle/</t>
        </is>
      </c>
    </row>
    <row r="218" ht="15" customHeight="1" s="31">
      <c r="A218" s="38" t="inlineStr">
        <is>
          <t>https://www.lasillavacia.com/?p=443182</t>
        </is>
      </c>
      <c r="B218" s="38" t="inlineStr">
        <is>
          <t>https://www.lasillavacia.com/?p=443182_S08</t>
        </is>
      </c>
      <c r="C218" s="38" t="inlineStr">
        <is>
          <t>La Silla Vacía</t>
        </is>
      </c>
      <c r="D218" s="38" t="inlineStr">
        <is>
          <t>Respuesta a la emergencia del terremoto</t>
        </is>
      </c>
      <c r="E218" s="38" t="inlineStr">
        <is>
          <t>Opinión-análisis</t>
        </is>
      </c>
      <c r="F218" s="38" t="inlineStr">
        <is>
          <t>Fri, 04 Sep 2026 13:00:00 +0000</t>
        </is>
      </c>
      <c r="G218" s="62" t="inlineStr">
        <is>
          <t>En el Quindío, la Gobernación reportó 2.121 viviendas rurales afectadas; en el Valle, de 54 mil viviendas impactadas sin consolidado rural, municipios como el Águila, Roldanillo y Riofrío reportan daños superiores al 50%; y en Chocó, comunidades como Loma de Chupey (Sipí) y Pangalita (San José del Palmar) perdieron casi la totalidad de sus casas o quedaron en riesgo de derrumbe, mientras la Defensoría advierte que los problemas de acceso dejarán predios fuera del censo.</t>
        </is>
      </c>
      <c r="H218" s="62" t="inlineStr">
        <is>
          <t>En Caldas, la Federación informó de 1.700 cafeteros afectados , además de daños en la plaza de mercado de Riosucio y en los acueductos de Bonafont.</t>
        </is>
      </c>
      <c r="I218" s="62" t="inlineStr">
        <is>
          <t>Para Risaralda, el gremio reportó más de 1.300 familias cafeteras afectadas.</t>
        </is>
      </c>
      <c r="J218" s="38" t="n"/>
      <c r="K218" s="62" t="n"/>
      <c r="L218" s="38" t="n"/>
      <c r="M218" s="62" t="n"/>
      <c r="N218" s="38" t="n"/>
      <c r="O218" s="62" t="n"/>
      <c r="P218" s="38" t="n"/>
      <c r="Q218" s="62" t="n"/>
      <c r="R218" s="38" t="n"/>
      <c r="S218" s="62" t="n"/>
      <c r="T218" s="38" t="n"/>
      <c r="U218" s="62" t="n"/>
      <c r="V218" s="38" t="n"/>
      <c r="W218" s="62" t="n"/>
      <c r="X218" s="38" t="n"/>
      <c r="Y218" s="62" t="n"/>
      <c r="Z218" s="38" t="n"/>
      <c r="AA218" s="62" t="n"/>
      <c r="AB218" s="38" t="n"/>
      <c r="AC218" s="62" t="n"/>
      <c r="AD218" s="38" t="n"/>
      <c r="AE218" s="38" t="n"/>
      <c r="AF218" s="61">
        <f>IF(COUNTIF($B$5:B218,B218)=1,1,0)</f>
        <v/>
      </c>
      <c r="AG218" s="62" t="inlineStr">
        <is>
          <t>https://www.lasillavacia.com/red-de-expertos/red-rural/terremoto-en-el-corazon-del-cafe-al-caido-caerle/</t>
        </is>
      </c>
    </row>
    <row r="219" ht="15" customHeight="1" s="31">
      <c r="A219" s="38" t="inlineStr">
        <is>
          <t>https://www.lasillavacia.com/?p=443182</t>
        </is>
      </c>
      <c r="B219" s="38" t="inlineStr">
        <is>
          <t>https://www.lasillavacia.com/?p=443182_S09</t>
        </is>
      </c>
      <c r="C219" s="38" t="inlineStr">
        <is>
          <t>La Silla Vacía</t>
        </is>
      </c>
      <c r="D219" s="38" t="inlineStr">
        <is>
          <t>Respuesta a la emergencia del terremoto</t>
        </is>
      </c>
      <c r="E219" s="38" t="inlineStr">
        <is>
          <t>Opinión-análisis</t>
        </is>
      </c>
      <c r="F219" s="38" t="inlineStr">
        <is>
          <t>Fri, 04 Sep 2026 13:00:00 +0000</t>
        </is>
      </c>
      <c r="G219" s="62" t="inlineStr">
        <is>
          <t>Para Risaralda, el gremio reportó más de 1.300 familias cafeteras afectadas.</t>
        </is>
      </c>
      <c r="H219" s="62" t="inlineStr">
        <is>
          <t>En el Quindío, la Gobernación reportó 2.121 viviendas rurales afectadas; en el Valle, de 54 mil viviendas impactadas sin consolidado rural, municipios como el Águila, Roldanillo y Riofrío reportan daños superiores al 50%; y en Chocó, comunidades como Loma de Chupey (Sipí) y Pangalita (San José del Palmar) perdieron casi la totalidad de sus casas o quedaron en riesgo de derrumbe, mientras la Defensoría advierte que los problemas de acceso dejarán predios fuera del censo.</t>
        </is>
      </c>
      <c r="I219" s="62" t="inlineStr">
        <is>
          <t>Y a partir de datos preliminares recogidos en los municipios para esta columna, es posible hablar de destrozos superiores al 50%; con picos altos en casos como Belén de Umbría y Balboa.</t>
        </is>
      </c>
      <c r="J219" s="38" t="n"/>
      <c r="K219" s="62" t="n"/>
      <c r="L219" s="38" t="n"/>
      <c r="M219" s="62" t="n"/>
      <c r="N219" s="38" t="n"/>
      <c r="O219" s="62" t="n"/>
      <c r="P219" s="38" t="n"/>
      <c r="Q219" s="62" t="n"/>
      <c r="R219" s="38" t="n"/>
      <c r="S219" s="62" t="n"/>
      <c r="T219" s="38" t="n"/>
      <c r="U219" s="62" t="n"/>
      <c r="V219" s="38" t="n"/>
      <c r="W219" s="62" t="n"/>
      <c r="X219" s="38" t="n"/>
      <c r="Y219" s="62" t="n"/>
      <c r="Z219" s="38" t="n"/>
      <c r="AA219" s="62" t="n"/>
      <c r="AB219" s="38" t="n"/>
      <c r="AC219" s="62" t="n"/>
      <c r="AD219" s="38" t="n"/>
      <c r="AE219" s="38" t="n"/>
      <c r="AF219" s="61">
        <f>IF(COUNTIF($B$5:B219,B219)=1,1,0)</f>
        <v/>
      </c>
      <c r="AG219" s="62" t="inlineStr">
        <is>
          <t>https://www.lasillavacia.com/red-de-expertos/red-rural/terremoto-en-el-corazon-del-cafe-al-caido-caerle/</t>
        </is>
      </c>
    </row>
    <row r="220" ht="15" customHeight="1" s="31">
      <c r="A220" s="38" t="inlineStr">
        <is>
          <t>https://www.lasillavacia.com/?p=443182</t>
        </is>
      </c>
      <c r="B220" s="38" t="inlineStr">
        <is>
          <t>https://www.lasillavacia.com/?p=443182_S10</t>
        </is>
      </c>
      <c r="C220" s="38" t="inlineStr">
        <is>
          <t>La Silla Vacía</t>
        </is>
      </c>
      <c r="D220" s="38" t="inlineStr">
        <is>
          <t>Respuesta a la emergencia del terremoto</t>
        </is>
      </c>
      <c r="E220" s="38" t="inlineStr">
        <is>
          <t>Opinión-análisis</t>
        </is>
      </c>
      <c r="F220" s="38" t="inlineStr">
        <is>
          <t>Fri, 04 Sep 2026 13:00:00 +0000</t>
        </is>
      </c>
      <c r="G220" s="62" t="inlineStr">
        <is>
          <t>Y a partir de datos preliminares recogidos en los municipios para esta columna, es posible hablar de destrozos superiores al 50%; con picos altos en casos como Belén de Umbría y Balboa.</t>
        </is>
      </c>
      <c r="H220" s="62" t="inlineStr">
        <is>
          <t>Para Risaralda, el gremio reportó más de 1.300 familias cafeteras afectadas.</t>
        </is>
      </c>
      <c r="I220" s="62" t="inlineStr">
        <is>
          <t>Incluyen afectaciones de varios tipos en las viviendas, beneficiaderos de café, áreas de producción pecuarias y redes comunitarias de agua potable.</t>
        </is>
      </c>
      <c r="J220" s="38" t="n"/>
      <c r="K220" s="62" t="n"/>
      <c r="L220" s="38" t="n"/>
      <c r="M220" s="62" t="n"/>
      <c r="N220" s="38" t="n"/>
      <c r="O220" s="62" t="n"/>
      <c r="P220" s="38" t="n"/>
      <c r="Q220" s="62" t="n"/>
      <c r="R220" s="38" t="n"/>
      <c r="S220" s="62" t="n"/>
      <c r="T220" s="38" t="n"/>
      <c r="U220" s="62" t="n"/>
      <c r="V220" s="38" t="n"/>
      <c r="W220" s="62" t="n"/>
      <c r="X220" s="38" t="n"/>
      <c r="Y220" s="62" t="n"/>
      <c r="Z220" s="38" t="n"/>
      <c r="AA220" s="62" t="n"/>
      <c r="AB220" s="38" t="n"/>
      <c r="AC220" s="62" t="n"/>
      <c r="AD220" s="38" t="n"/>
      <c r="AE220" s="38" t="n"/>
      <c r="AF220" s="61">
        <f>IF(COUNTIF($B$5:B220,B220)=1,1,0)</f>
        <v/>
      </c>
      <c r="AG220" s="62" t="inlineStr">
        <is>
          <t>https://www.lasillavacia.com/red-de-expertos/red-rural/terremoto-en-el-corazon-del-cafe-al-caido-caerle/</t>
        </is>
      </c>
    </row>
    <row r="221" ht="15" customHeight="1" s="31">
      <c r="A221" s="38" t="inlineStr">
        <is>
          <t>https://www.lasillavacia.com/?p=443182</t>
        </is>
      </c>
      <c r="B221" s="38" t="inlineStr">
        <is>
          <t>https://www.lasillavacia.com/?p=443182_S11</t>
        </is>
      </c>
      <c r="C221" s="38" t="inlineStr">
        <is>
          <t>La Silla Vacía</t>
        </is>
      </c>
      <c r="D221" s="38" t="inlineStr">
        <is>
          <t>Respuesta a la emergencia del terremoto</t>
        </is>
      </c>
      <c r="E221" s="38" t="inlineStr">
        <is>
          <t>Opinión-análisis</t>
        </is>
      </c>
      <c r="F221" s="38" t="inlineStr">
        <is>
          <t>Fri, 04 Sep 2026 13:00:00 +0000</t>
        </is>
      </c>
      <c r="G221" s="62" t="inlineStr">
        <is>
          <t>Incluyen afectaciones de varios tipos en las viviendas, beneficiaderos de café, áreas de producción pecuarias y redes comunitarias de agua potable.</t>
        </is>
      </c>
      <c r="H221" s="62" t="inlineStr">
        <is>
          <t>Y a partir de datos preliminares recogidos en los municipios para esta columna, es posible hablar de destrozos superiores al 50%; con picos altos en casos como Belén de Umbría y Balboa.</t>
        </is>
      </c>
      <c r="I221" s="62" t="inlineStr">
        <is>
          <t>El sector venía de padecer una caída superior al 20% en el precio internacional del café arábica entre junio de 2025 y junio de 2026.</t>
        </is>
      </c>
      <c r="J221" s="38" t="n"/>
      <c r="K221" s="62" t="n"/>
      <c r="L221" s="38" t="n"/>
      <c r="M221" s="62" t="n"/>
      <c r="N221" s="38" t="n"/>
      <c r="O221" s="62" t="n"/>
      <c r="P221" s="38" t="n"/>
      <c r="Q221" s="62" t="n"/>
      <c r="R221" s="38" t="n"/>
      <c r="S221" s="62" t="n"/>
      <c r="T221" s="38" t="n"/>
      <c r="U221" s="62" t="n"/>
      <c r="V221" s="38" t="n"/>
      <c r="W221" s="62" t="n"/>
      <c r="X221" s="38" t="n"/>
      <c r="Y221" s="62" t="n"/>
      <c r="Z221" s="38" t="n"/>
      <c r="AA221" s="62" t="n"/>
      <c r="AB221" s="38" t="n"/>
      <c r="AC221" s="62" t="n"/>
      <c r="AD221" s="38" t="n"/>
      <c r="AE221" s="38" t="n"/>
      <c r="AF221" s="61">
        <f>IF(COUNTIF($B$5:B221,B221)=1,1,0)</f>
        <v/>
      </c>
      <c r="AG221" s="62" t="inlineStr">
        <is>
          <t>https://www.lasillavacia.com/red-de-expertos/red-rural/terremoto-en-el-corazon-del-cafe-al-caido-caerle/</t>
        </is>
      </c>
    </row>
    <row r="222" ht="15" customHeight="1" s="31">
      <c r="A222" s="38" t="inlineStr">
        <is>
          <t>https://www.lasillavacia.com/?p=443182</t>
        </is>
      </c>
      <c r="B222" s="38" t="inlineStr">
        <is>
          <t>https://www.lasillavacia.com/?p=443182_S12</t>
        </is>
      </c>
      <c r="C222" s="38" t="inlineStr">
        <is>
          <t>La Silla Vacía</t>
        </is>
      </c>
      <c r="D222" s="38" t="inlineStr">
        <is>
          <t>Respuesta a la emergencia del terremoto</t>
        </is>
      </c>
      <c r="E222" s="38" t="inlineStr">
        <is>
          <t>Opinión-análisis</t>
        </is>
      </c>
      <c r="F222" s="38" t="inlineStr">
        <is>
          <t>Fri, 04 Sep 2026 13:00:00 +0000</t>
        </is>
      </c>
      <c r="G222" s="62" t="inlineStr">
        <is>
          <t>El sector venía de padecer una caída superior al 20% en el precio internacional del café arábica entre junio de 2025 y junio de 2026.</t>
        </is>
      </c>
      <c r="H222" s="62" t="inlineStr">
        <is>
          <t>Incluyen afectaciones de varios tipos en las viviendas, beneficiaderos de café, áreas de producción pecuarias y redes comunitarias de agua potable.</t>
        </is>
      </c>
      <c r="I222" s="62" t="n"/>
      <c r="J222" s="38" t="n"/>
      <c r="K222" s="62" t="n"/>
      <c r="L222" s="38" t="n"/>
      <c r="M222" s="62" t="n"/>
      <c r="N222" s="38" t="n"/>
      <c r="O222" s="62" t="n"/>
      <c r="P222" s="38" t="n"/>
      <c r="Q222" s="62" t="n"/>
      <c r="R222" s="38" t="n"/>
      <c r="S222" s="62" t="n"/>
      <c r="T222" s="38" t="n"/>
      <c r="U222" s="62" t="n"/>
      <c r="V222" s="38" t="n"/>
      <c r="W222" s="62" t="n"/>
      <c r="X222" s="38" t="n"/>
      <c r="Y222" s="62" t="n"/>
      <c r="Z222" s="38" t="n"/>
      <c r="AA222" s="62" t="n"/>
      <c r="AB222" s="38" t="n"/>
      <c r="AC222" s="62" t="n"/>
      <c r="AD222" s="38" t="n"/>
      <c r="AE222" s="38" t="n"/>
      <c r="AF222" s="61">
        <f>IF(COUNTIF($B$5:B222,B222)=1,1,0)</f>
        <v/>
      </c>
      <c r="AG222" s="62" t="inlineStr">
        <is>
          <t>https://www.lasillavacia.com/red-de-expertos/red-rural/terremoto-en-el-corazon-del-cafe-al-caido-caerle/</t>
        </is>
      </c>
    </row>
    <row r="223" ht="15" customHeight="1" s="31">
      <c r="A223" s="38" t="inlineStr">
        <is>
          <t>https://www.lasillavacia.com/?p=441748</t>
        </is>
      </c>
      <c r="B223" s="38" t="inlineStr">
        <is>
          <t>https://www.lasillavacia.com/?p=441748_S01</t>
        </is>
      </c>
      <c r="C223" s="38" t="inlineStr">
        <is>
          <t>La Silla Vacía</t>
        </is>
      </c>
      <c r="D223" s="38" t="inlineStr">
        <is>
          <t>Respuesta a la emergencia del terremoto</t>
        </is>
      </c>
      <c r="E223" s="38" t="inlineStr">
        <is>
          <t>Noticia dura</t>
        </is>
      </c>
      <c r="F223" s="38" t="inlineStr">
        <is>
          <t>Fri, 28 Aug 2026 20:38:50 +0000</t>
        </is>
      </c>
      <c r="G223" s="62" t="inlineStr">
        <is>
          <t>Desde Cali, el presidente Abelardo de la Espriella anunció un subsidio de vivienda de $1.050.000 mensuales para las familias cuya vivienda quedó destruida o inhabitable por el terremoto.</t>
        </is>
      </c>
      <c r="H223" s="62" t="n"/>
      <c r="I223" s="62" t="inlineStr">
        <is>
          <t>El primer desembolso comienza este 31 de agosto y será por tres meses.</t>
        </is>
      </c>
      <c r="J223" s="38" t="n"/>
      <c r="K223" s="62" t="n"/>
      <c r="L223" s="38" t="n"/>
      <c r="M223" s="62" t="n"/>
      <c r="N223" s="38" t="n"/>
      <c r="O223" s="62" t="n"/>
      <c r="P223" s="38" t="n"/>
      <c r="Q223" s="62" t="n"/>
      <c r="R223" s="38" t="n"/>
      <c r="S223" s="62" t="n"/>
      <c r="T223" s="38" t="n"/>
      <c r="U223" s="62" t="n"/>
      <c r="V223" s="38" t="n"/>
      <c r="W223" s="62" t="n"/>
      <c r="X223" s="38" t="n"/>
      <c r="Y223" s="62" t="n"/>
      <c r="Z223" s="38" t="n"/>
      <c r="AA223" s="62" t="n"/>
      <c r="AB223" s="38" t="n"/>
      <c r="AC223" s="62" t="n"/>
      <c r="AD223" s="38" t="n"/>
      <c r="AE223" s="38" t="n"/>
      <c r="AF223" s="61">
        <f>IF(COUNTIF($B$5:B223,B223)=1,1,0)</f>
        <v/>
      </c>
      <c r="AG223" s="62" t="inlineStr">
        <is>
          <t>https://www.lasillavacia.com/en-vivo/cali-abelardo-anuncia-subsidios-de-1-050-000-por-tres-meses/</t>
        </is>
      </c>
    </row>
    <row r="224" ht="15" customHeight="1" s="31">
      <c r="A224" s="38" t="inlineStr">
        <is>
          <t>https://www.lasillavacia.com/?p=441748</t>
        </is>
      </c>
      <c r="B224" s="38" t="inlineStr">
        <is>
          <t>https://www.lasillavacia.com/?p=441748_S02</t>
        </is>
      </c>
      <c r="C224" s="38" t="inlineStr">
        <is>
          <t>La Silla Vacía</t>
        </is>
      </c>
      <c r="D224" s="38" t="inlineStr">
        <is>
          <t>Respuesta a la emergencia del terremoto</t>
        </is>
      </c>
      <c r="E224" s="38" t="inlineStr">
        <is>
          <t>Noticia dura</t>
        </is>
      </c>
      <c r="F224" s="38" t="inlineStr">
        <is>
          <t>Fri, 28 Aug 2026 20:38:50 +0000</t>
        </is>
      </c>
      <c r="G224" s="62" t="inlineStr">
        <is>
          <t>El primer desembolso comienza este 31 de agosto y será por tres meses.</t>
        </is>
      </c>
      <c r="H224" s="62" t="inlineStr">
        <is>
          <t>Desde Cali, el presidente Abelardo de la Espriella anunció un subsidio de vivienda de $1.050.000 mensuales para las familias cuya vivienda quedó destruida o inhabitable por el terremoto.</t>
        </is>
      </c>
      <c r="I224" s="62" t="inlineStr">
        <is>
          <t>La cifra es la misma que anunció este lunes para Buenaventura , hoy para Pereira y se acerca a la de Chocó.</t>
        </is>
      </c>
      <c r="J224" s="38" t="n"/>
      <c r="K224" s="62" t="n"/>
      <c r="L224" s="38" t="n"/>
      <c r="M224" s="62" t="n"/>
      <c r="N224" s="38" t="n"/>
      <c r="O224" s="62" t="n"/>
      <c r="P224" s="38" t="n"/>
      <c r="Q224" s="62" t="n"/>
      <c r="R224" s="38" t="n"/>
      <c r="S224" s="62" t="n"/>
      <c r="T224" s="38" t="n"/>
      <c r="U224" s="62" t="n"/>
      <c r="V224" s="38" t="n"/>
      <c r="W224" s="62" t="n"/>
      <c r="X224" s="38" t="n"/>
      <c r="Y224" s="62" t="n"/>
      <c r="Z224" s="38" t="n"/>
      <c r="AA224" s="62" t="n"/>
      <c r="AB224" s="38" t="n"/>
      <c r="AC224" s="62" t="n"/>
      <c r="AD224" s="38" t="n"/>
      <c r="AE224" s="38" t="n"/>
      <c r="AF224" s="61">
        <f>IF(COUNTIF($B$5:B224,B224)=1,1,0)</f>
        <v/>
      </c>
      <c r="AG224" s="62" t="inlineStr">
        <is>
          <t>https://www.lasillavacia.com/en-vivo/cali-abelardo-anuncia-subsidios-de-1-050-000-por-tres-meses/</t>
        </is>
      </c>
    </row>
    <row r="225" ht="15" customHeight="1" s="31">
      <c r="A225" s="38" t="inlineStr">
        <is>
          <t>https://www.lasillavacia.com/?p=441748</t>
        </is>
      </c>
      <c r="B225" s="38" t="inlineStr">
        <is>
          <t>https://www.lasillavacia.com/?p=441748_S03</t>
        </is>
      </c>
      <c r="C225" s="38" t="inlineStr">
        <is>
          <t>La Silla Vacía</t>
        </is>
      </c>
      <c r="D225" s="38" t="inlineStr">
        <is>
          <t>Respuesta a la emergencia del terremoto</t>
        </is>
      </c>
      <c r="E225" s="38" t="inlineStr">
        <is>
          <t>Noticia dura</t>
        </is>
      </c>
      <c r="F225" s="38" t="inlineStr">
        <is>
          <t>Fri, 28 Aug 2026 20:38:50 +0000</t>
        </is>
      </c>
      <c r="G225" s="62" t="inlineStr">
        <is>
          <t>La cifra es la misma que anunció este lunes para Buenaventura , hoy para Pereira y se acerca a la de Chocó.</t>
        </is>
      </c>
      <c r="H225" s="62" t="inlineStr">
        <is>
          <t>El primer desembolso comienza este 31 de agosto y será por tres meses.</t>
        </is>
      </c>
      <c r="I225" s="62" t="inlineStr">
        <is>
          <t>Es decir, cada hogar recibirá un total inicial de $3.150.000.</t>
        </is>
      </c>
      <c r="J225" s="38" t="n"/>
      <c r="K225" s="62" t="n"/>
      <c r="L225" s="38" t="n"/>
      <c r="M225" s="62" t="n"/>
      <c r="N225" s="38" t="n"/>
      <c r="O225" s="62" t="n"/>
      <c r="P225" s="38" t="n"/>
      <c r="Q225" s="62" t="n"/>
      <c r="R225" s="38" t="n"/>
      <c r="S225" s="62" t="n"/>
      <c r="T225" s="38" t="n"/>
      <c r="U225" s="62" t="n"/>
      <c r="V225" s="38" t="n"/>
      <c r="W225" s="62" t="n"/>
      <c r="X225" s="38" t="n"/>
      <c r="Y225" s="62" t="n"/>
      <c r="Z225" s="38" t="n"/>
      <c r="AA225" s="62" t="n"/>
      <c r="AB225" s="38" t="n"/>
      <c r="AC225" s="62" t="n"/>
      <c r="AD225" s="38" t="n"/>
      <c r="AE225" s="38" t="n"/>
      <c r="AF225" s="61">
        <f>IF(COUNTIF($B$5:B225,B225)=1,1,0)</f>
        <v/>
      </c>
      <c r="AG225" s="62" t="inlineStr">
        <is>
          <t>https://www.lasillavacia.com/en-vivo/cali-abelardo-anuncia-subsidios-de-1-050-000-por-tres-meses/</t>
        </is>
      </c>
    </row>
    <row r="226" ht="15" customHeight="1" s="31">
      <c r="A226" s="38" t="inlineStr">
        <is>
          <t>https://www.lasillavacia.com/?p=441748</t>
        </is>
      </c>
      <c r="B226" s="38" t="inlineStr">
        <is>
          <t>https://www.lasillavacia.com/?p=441748_S04</t>
        </is>
      </c>
      <c r="C226" s="38" t="inlineStr">
        <is>
          <t>La Silla Vacía</t>
        </is>
      </c>
      <c r="D226" s="38" t="inlineStr">
        <is>
          <t>Respuesta a la emergencia del terremoto</t>
        </is>
      </c>
      <c r="E226" s="38" t="inlineStr">
        <is>
          <t>Noticia dura</t>
        </is>
      </c>
      <c r="F226" s="38" t="inlineStr">
        <is>
          <t>Fri, 28 Aug 2026 20:38:50 +0000</t>
        </is>
      </c>
      <c r="G226" s="62" t="inlineStr">
        <is>
          <t>Es decir, cada hogar recibirá un total inicial de $3.150.000.</t>
        </is>
      </c>
      <c r="H226" s="62" t="inlineStr">
        <is>
          <t>La cifra es la misma que anunció este lunes para Buenaventura , hoy para Pereira y se acerca a la de Chocó.</t>
        </is>
      </c>
      <c r="I226" s="62" t="inlineStr">
        <is>
          <t>#Cali | Las familias afectadas en Cali recibirán directamente el dinero de los subsidios económicos anunciados por el presidente Abelardo de la Espriella.</t>
        </is>
      </c>
      <c r="J226" s="38" t="n"/>
      <c r="K226" s="62" t="n"/>
      <c r="L226" s="38" t="n"/>
      <c r="M226" s="62" t="n"/>
      <c r="N226" s="38" t="n"/>
      <c r="O226" s="62" t="n"/>
      <c r="P226" s="38" t="n"/>
      <c r="Q226" s="62" t="n"/>
      <c r="R226" s="38" t="n"/>
      <c r="S226" s="62" t="n"/>
      <c r="T226" s="38" t="n"/>
      <c r="U226" s="62" t="n"/>
      <c r="V226" s="38" t="n"/>
      <c r="W226" s="62" t="n"/>
      <c r="X226" s="38" t="n"/>
      <c r="Y226" s="62" t="n"/>
      <c r="Z226" s="38" t="n"/>
      <c r="AA226" s="62" t="n"/>
      <c r="AB226" s="38" t="n"/>
      <c r="AC226" s="62" t="n"/>
      <c r="AD226" s="38" t="n"/>
      <c r="AE226" s="38" t="n"/>
      <c r="AF226" s="61">
        <f>IF(COUNTIF($B$5:B226,B226)=1,1,0)</f>
        <v/>
      </c>
      <c r="AG226" s="62" t="inlineStr">
        <is>
          <t>https://www.lasillavacia.com/en-vivo/cali-abelardo-anuncia-subsidios-de-1-050-000-por-tres-meses/</t>
        </is>
      </c>
    </row>
    <row r="227" ht="15" customHeight="1" s="31">
      <c r="A227" s="38" t="inlineStr">
        <is>
          <t>https://www.lasillavacia.com/?p=441748</t>
        </is>
      </c>
      <c r="B227" s="38" t="inlineStr">
        <is>
          <t>https://www.lasillavacia.com/?p=441748_S05</t>
        </is>
      </c>
      <c r="C227" s="38" t="inlineStr">
        <is>
          <t>La Silla Vacía</t>
        </is>
      </c>
      <c r="D227" s="38" t="inlineStr">
        <is>
          <t>Respuesta a la emergencia del terremoto</t>
        </is>
      </c>
      <c r="E227" s="38" t="inlineStr">
        <is>
          <t>Noticia dura</t>
        </is>
      </c>
      <c r="F227" s="38" t="inlineStr">
        <is>
          <t>Fri, 28 Aug 2026 20:38:50 +0000</t>
        </is>
      </c>
      <c r="G227" s="62" t="inlineStr">
        <is>
          <t>#Cali | Las familias afectadas en Cali recibirán directamente el dinero de los subsidios económicos anunciados por el presidente Abelardo de la Espriella.</t>
        </is>
      </c>
      <c r="H227" s="62" t="inlineStr">
        <is>
          <t>Es decir, cada hogar recibirá un total inicial de $3.150.000.</t>
        </is>
      </c>
      <c r="I227" s="62" t="inlineStr">
        <is>
          <t>Serán $3.150.000 durante tres meses, a razón de $1.050.000 mensuales y sin intermediarios. pic.twitter.com/qhx9vNyDTO</t>
        </is>
      </c>
      <c r="J227" s="38" t="n"/>
      <c r="K227" s="62" t="n"/>
      <c r="L227" s="38" t="n"/>
      <c r="M227" s="62" t="n"/>
      <c r="N227" s="38" t="n"/>
      <c r="O227" s="62" t="n"/>
      <c r="P227" s="38" t="n"/>
      <c r="Q227" s="62" t="n"/>
      <c r="R227" s="38" t="n"/>
      <c r="S227" s="62" t="n"/>
      <c r="T227" s="38" t="n"/>
      <c r="U227" s="62" t="n"/>
      <c r="V227" s="38" t="n"/>
      <c r="W227" s="62" t="n"/>
      <c r="X227" s="38" t="n"/>
      <c r="Y227" s="62" t="n"/>
      <c r="Z227" s="38" t="n"/>
      <c r="AA227" s="62" t="n"/>
      <c r="AB227" s="38" t="n"/>
      <c r="AC227" s="62" t="n"/>
      <c r="AD227" s="38" t="n"/>
      <c r="AE227" s="38" t="n"/>
      <c r="AF227" s="61">
        <f>IF(COUNTIF($B$5:B227,B227)=1,1,0)</f>
        <v/>
      </c>
      <c r="AG227" s="62" t="inlineStr">
        <is>
          <t>https://www.lasillavacia.com/en-vivo/cali-abelardo-anuncia-subsidios-de-1-050-000-por-tres-meses/</t>
        </is>
      </c>
    </row>
    <row r="228" ht="15" customHeight="1" s="31">
      <c r="A228" s="38" t="inlineStr">
        <is>
          <t>https://www.lasillavacia.com/?p=441748</t>
        </is>
      </c>
      <c r="B228" s="38" t="inlineStr">
        <is>
          <t>https://www.lasillavacia.com/?p=441748_S06</t>
        </is>
      </c>
      <c r="C228" s="38" t="inlineStr">
        <is>
          <t>La Silla Vacía</t>
        </is>
      </c>
      <c r="D228" s="38" t="inlineStr">
        <is>
          <t>Respuesta a la emergencia del terremoto</t>
        </is>
      </c>
      <c r="E228" s="38" t="inlineStr">
        <is>
          <t>Noticia dura</t>
        </is>
      </c>
      <c r="F228" s="38" t="inlineStr">
        <is>
          <t>Fri, 28 Aug 2026 20:38:50 +0000</t>
        </is>
      </c>
      <c r="G228" s="62" t="inlineStr">
        <is>
          <t>Serán $3.150.000 durante tres meses, a razón de $1.050.000 mensuales y sin intermediarios. pic.twitter.com/qhx9vNyDTO</t>
        </is>
      </c>
      <c r="H228" s="62" t="inlineStr">
        <is>
          <t>#Cali | Las familias afectadas en Cali recibirán directamente el dinero de los subsidios económicos anunciados por el presidente Abelardo de la Espriella.</t>
        </is>
      </c>
      <c r="I228" s="62" t="inlineStr">
        <is>
          <t>En el evento estuvieron la gobernadora del Valle, Dilian Francisca Toro; el alcalde Alejandro Eder y el ministro de Vivienda, Jaime Andrés Beltrán, cuyo nombre volvió a sonar hoy tras los detalles que entregó su cartera sobre su viaje a Santa Marta en plena tragedia.</t>
        </is>
      </c>
      <c r="J228" s="38" t="n"/>
      <c r="K228" s="62" t="n"/>
      <c r="L228" s="38" t="n"/>
      <c r="M228" s="62" t="n"/>
      <c r="N228" s="38" t="n"/>
      <c r="O228" s="62" t="n"/>
      <c r="P228" s="38" t="n"/>
      <c r="Q228" s="62" t="n"/>
      <c r="R228" s="38" t="n"/>
      <c r="S228" s="62" t="n"/>
      <c r="T228" s="38" t="n"/>
      <c r="U228" s="62" t="n"/>
      <c r="V228" s="38" t="n"/>
      <c r="W228" s="62" t="n"/>
      <c r="X228" s="38" t="n"/>
      <c r="Y228" s="62" t="n"/>
      <c r="Z228" s="38" t="n"/>
      <c r="AA228" s="62" t="n"/>
      <c r="AB228" s="38" t="n"/>
      <c r="AC228" s="62" t="n"/>
      <c r="AD228" s="38" t="n"/>
      <c r="AE228" s="38" t="n"/>
      <c r="AF228" s="61">
        <f>IF(COUNTIF($B$5:B228,B228)=1,1,0)</f>
        <v/>
      </c>
      <c r="AG228" s="62" t="inlineStr">
        <is>
          <t>https://www.lasillavacia.com/en-vivo/cali-abelardo-anuncia-subsidios-de-1-050-000-por-tres-meses/</t>
        </is>
      </c>
    </row>
    <row r="229" ht="15" customHeight="1" s="31">
      <c r="A229" s="38" t="inlineStr">
        <is>
          <t>https://www.lasillavacia.com/?p=441748</t>
        </is>
      </c>
      <c r="B229" s="38" t="inlineStr">
        <is>
          <t>https://www.lasillavacia.com/?p=441748_S07</t>
        </is>
      </c>
      <c r="C229" s="38" t="inlineStr">
        <is>
          <t>La Silla Vacía</t>
        </is>
      </c>
      <c r="D229" s="38" t="inlineStr">
        <is>
          <t>Respuesta a la emergencia del terremoto</t>
        </is>
      </c>
      <c r="E229" s="38" t="inlineStr">
        <is>
          <t>Noticia dura</t>
        </is>
      </c>
      <c r="F229" s="38" t="inlineStr">
        <is>
          <t>Fri, 28 Aug 2026 20:38:50 +0000</t>
        </is>
      </c>
      <c r="G229" s="62" t="inlineStr">
        <is>
          <t>En el evento estuvieron la gobernadora del Valle, Dilian Francisca Toro; el alcalde Alejandro Eder y el ministro de Vivienda, Jaime Andrés Beltrán, cuyo nombre volvió a sonar hoy tras los detalles que entregó su cartera sobre su viaje a Santa Marta en plena tragedia.</t>
        </is>
      </c>
      <c r="H229" s="62" t="inlineStr">
        <is>
          <t>Serán $3.150.000 durante tres meses, a razón de $1.050.000 mensuales y sin intermediarios. pic.twitter.com/qhx9vNyDTO</t>
        </is>
      </c>
      <c r="I229" s="62" t="inlineStr">
        <is>
          <t>Entregó 120 toneladas de materiales para iniciar la reconstrucción.</t>
        </is>
      </c>
      <c r="J229" s="38" t="n"/>
      <c r="K229" s="62" t="n"/>
      <c r="L229" s="38" t="n"/>
      <c r="M229" s="62" t="n"/>
      <c r="N229" s="38" t="n"/>
      <c r="O229" s="62" t="n"/>
      <c r="P229" s="38" t="n"/>
      <c r="Q229" s="62" t="n"/>
      <c r="R229" s="38" t="n"/>
      <c r="S229" s="62" t="n"/>
      <c r="T229" s="38" t="n"/>
      <c r="U229" s="62" t="n"/>
      <c r="V229" s="38" t="n"/>
      <c r="W229" s="62" t="n"/>
      <c r="X229" s="38" t="n"/>
      <c r="Y229" s="62" t="n"/>
      <c r="Z229" s="38" t="n"/>
      <c r="AA229" s="62" t="n"/>
      <c r="AB229" s="38" t="n"/>
      <c r="AC229" s="62" t="n"/>
      <c r="AD229" s="38" t="n"/>
      <c r="AE229" s="38" t="n"/>
      <c r="AF229" s="61">
        <f>IF(COUNTIF($B$5:B229,B229)=1,1,0)</f>
        <v/>
      </c>
      <c r="AG229" s="62" t="inlineStr">
        <is>
          <t>https://www.lasillavacia.com/en-vivo/cali-abelardo-anuncia-subsidios-de-1-050-000-por-tres-meses/</t>
        </is>
      </c>
    </row>
    <row r="230" ht="15" customHeight="1" s="31">
      <c r="A230" s="38" t="inlineStr">
        <is>
          <t>https://www.lasillavacia.com/?p=441748</t>
        </is>
      </c>
      <c r="B230" s="38" t="inlineStr">
        <is>
          <t>https://www.lasillavacia.com/?p=441748_S08</t>
        </is>
      </c>
      <c r="C230" s="38" t="inlineStr">
        <is>
          <t>La Silla Vacía</t>
        </is>
      </c>
      <c r="D230" s="38" t="inlineStr">
        <is>
          <t>Respuesta a la emergencia del terremoto</t>
        </is>
      </c>
      <c r="E230" s="38" t="inlineStr">
        <is>
          <t>Noticia dura</t>
        </is>
      </c>
      <c r="F230" s="38" t="inlineStr">
        <is>
          <t>Fri, 28 Aug 2026 20:38:50 +0000</t>
        </is>
      </c>
      <c r="G230" s="62" t="inlineStr">
        <is>
          <t>Entregó 120 toneladas de materiales para iniciar la reconstrucción.</t>
        </is>
      </c>
      <c r="H230" s="62" t="inlineStr">
        <is>
          <t>En el evento estuvieron la gobernadora del Valle, Dilian Francisca Toro; el alcalde Alejandro Eder y el ministro de Vivienda, Jaime Andrés Beltrán, cuyo nombre volvió a sonar hoy tras los detalles que entregó su cartera sobre su viaje a Santa Marta en plena tragedia.</t>
        </is>
      </c>
      <c r="I230" s="62" t="n"/>
      <c r="J230" s="38" t="n"/>
      <c r="K230" s="62" t="n"/>
      <c r="L230" s="38" t="n"/>
      <c r="M230" s="62" t="n"/>
      <c r="N230" s="38" t="n"/>
      <c r="O230" s="62" t="n"/>
      <c r="P230" s="38" t="n"/>
      <c r="Q230" s="62" t="n"/>
      <c r="R230" s="38" t="n"/>
      <c r="S230" s="62" t="n"/>
      <c r="T230" s="38" t="n"/>
      <c r="U230" s="62" t="n"/>
      <c r="V230" s="38" t="n"/>
      <c r="W230" s="62" t="n"/>
      <c r="X230" s="38" t="n"/>
      <c r="Y230" s="62" t="n"/>
      <c r="Z230" s="38" t="n"/>
      <c r="AA230" s="62" t="n"/>
      <c r="AB230" s="38" t="n"/>
      <c r="AC230" s="62" t="n"/>
      <c r="AD230" s="38" t="n"/>
      <c r="AE230" s="38" t="n"/>
      <c r="AF230" s="61">
        <f>IF(COUNTIF($B$5:B230,B230)=1,1,0)</f>
        <v/>
      </c>
      <c r="AG230" s="62" t="inlineStr">
        <is>
          <t>https://www.lasillavacia.com/en-vivo/cali-abelardo-anuncia-subsidios-de-1-050-000-por-tres-meses/</t>
        </is>
      </c>
    </row>
    <row r="231" ht="15" customHeight="1" s="31">
      <c r="A231" s="38" t="inlineStr">
        <is>
          <t>https://www.lasillavacia.com/?p=442390</t>
        </is>
      </c>
      <c r="B231" s="38" t="inlineStr">
        <is>
          <t>https://www.lasillavacia.com/?p=442390_S03</t>
        </is>
      </c>
      <c r="C231" s="38" t="inlineStr">
        <is>
          <t>La Silla Vacía</t>
        </is>
      </c>
      <c r="D231" s="38" t="inlineStr">
        <is>
          <t>Reformas sociales en disputa (pensional/tributaria)</t>
        </is>
      </c>
      <c r="E231" s="38" t="inlineStr">
        <is>
          <t>Opinión-análisis</t>
        </is>
      </c>
      <c r="F231" s="38" t="inlineStr">
        <is>
          <t>Tue, 01 Sep 2026 12:00:00 +0000</t>
        </is>
      </c>
      <c r="G231" s="62" t="inlineStr">
        <is>
          <t>La reforma pensional beneficia a las mujeres.</t>
        </is>
      </c>
      <c r="H231" s="62" t="inlineStr">
        <is>
          <t>Esta columna fue escrita por la columnista invitada Laura Porras.</t>
        </is>
      </c>
      <c r="I231" s="62" t="inlineStr">
        <is>
          <t>Y esa precisión importa.</t>
        </is>
      </c>
      <c r="J231" s="38" t="n"/>
      <c r="K231" s="62" t="n"/>
      <c r="L231" s="38" t="n"/>
      <c r="M231" s="62" t="n"/>
      <c r="N231" s="38" t="n"/>
      <c r="O231" s="62" t="n"/>
      <c r="P231" s="38" t="n"/>
      <c r="Q231" s="62" t="n"/>
      <c r="R231" s="38" t="n"/>
      <c r="S231" s="62" t="n"/>
      <c r="T231" s="38" t="n"/>
      <c r="U231" s="62" t="n"/>
      <c r="V231" s="38" t="n"/>
      <c r="W231" s="62" t="n"/>
      <c r="X231" s="38" t="n"/>
      <c r="Y231" s="62" t="n"/>
      <c r="Z231" s="38" t="n"/>
      <c r="AA231" s="62" t="n"/>
      <c r="AB231" s="38" t="n"/>
      <c r="AC231" s="62" t="n"/>
      <c r="AD231" s="38" t="n"/>
      <c r="AE231" s="38" t="n"/>
      <c r="AF231" s="61">
        <f>IF(COUNTIF($B$5:B231,B231)=1,1,0)</f>
        <v/>
      </c>
      <c r="AG231" s="62" t="inlineStr">
        <is>
          <t>https://www.lasillavacia.com/red-de-expertos/red-de-las-mujeres/la-reforma-pensional-beneficia-a-las-mujeres/</t>
        </is>
      </c>
    </row>
    <row r="232" ht="15" customHeight="1" s="31">
      <c r="A232" s="38" t="inlineStr">
        <is>
          <t>https://www.lasillavacia.com/?p=442390</t>
        </is>
      </c>
      <c r="B232" s="38" t="inlineStr">
        <is>
          <t>https://www.lasillavacia.com/?p=442390_S04</t>
        </is>
      </c>
      <c r="C232" s="38" t="inlineStr">
        <is>
          <t>La Silla Vacía</t>
        </is>
      </c>
      <c r="D232" s="38" t="inlineStr">
        <is>
          <t>Reformas sociales en disputa (pensional/tributaria)</t>
        </is>
      </c>
      <c r="E232" s="38" t="inlineStr">
        <is>
          <t>Opinión-análisis</t>
        </is>
      </c>
      <c r="F232" s="38" t="inlineStr">
        <is>
          <t>Tue, 01 Sep 2026 12:00:00 +0000</t>
        </is>
      </c>
      <c r="G232" s="62" t="inlineStr">
        <is>
          <t>Y esa precisión importa.</t>
        </is>
      </c>
      <c r="H232" s="62" t="inlineStr">
        <is>
          <t>La reforma pensional beneficia a las mujeres.</t>
        </is>
      </c>
      <c r="I232" s="62" t="inlineStr">
        <is>
          <t>Algunas mujeres privilegiadas perderán subsidios.</t>
        </is>
      </c>
      <c r="J232" s="38" t="n"/>
      <c r="K232" s="62" t="n"/>
      <c r="L232" s="38" t="n"/>
      <c r="M232" s="62" t="n"/>
      <c r="N232" s="38" t="n"/>
      <c r="O232" s="62" t="n"/>
      <c r="P232" s="38" t="n"/>
      <c r="Q232" s="62" t="n"/>
      <c r="R232" s="38" t="n"/>
      <c r="S232" s="62" t="n"/>
      <c r="T232" s="38" t="n"/>
      <c r="U232" s="62" t="n"/>
      <c r="V232" s="38" t="n"/>
      <c r="W232" s="62" t="n"/>
      <c r="X232" s="38" t="n"/>
      <c r="Y232" s="62" t="n"/>
      <c r="Z232" s="38" t="n"/>
      <c r="AA232" s="62" t="n"/>
      <c r="AB232" s="38" t="n"/>
      <c r="AC232" s="62" t="n"/>
      <c r="AD232" s="38" t="n"/>
      <c r="AE232" s="38" t="n"/>
      <c r="AF232" s="61">
        <f>IF(COUNTIF($B$5:B232,B232)=1,1,0)</f>
        <v/>
      </c>
      <c r="AG232" s="62" t="inlineStr">
        <is>
          <t>https://www.lasillavacia.com/red-de-expertos/red-de-las-mujeres/la-reforma-pensional-beneficia-a-las-mujeres/</t>
        </is>
      </c>
    </row>
    <row r="233" ht="15" customHeight="1" s="31">
      <c r="A233" s="38" t="inlineStr">
        <is>
          <t>https://www.lasillavacia.com/?p=442390</t>
        </is>
      </c>
      <c r="B233" s="38" t="inlineStr">
        <is>
          <t>https://www.lasillavacia.com/?p=442390_S05</t>
        </is>
      </c>
      <c r="C233" s="38" t="inlineStr">
        <is>
          <t>La Silla Vacía</t>
        </is>
      </c>
      <c r="D233" s="38" t="inlineStr">
        <is>
          <t>Reformas sociales en disputa (pensional/tributaria)</t>
        </is>
      </c>
      <c r="E233" s="38" t="inlineStr">
        <is>
          <t>Opinión-análisis</t>
        </is>
      </c>
      <c r="F233" s="38" t="inlineStr">
        <is>
          <t>Tue, 01 Sep 2026 12:00:00 +0000</t>
        </is>
      </c>
      <c r="G233" s="62" t="inlineStr">
        <is>
          <t>Algunas mujeres privilegiadas perderán subsidios.</t>
        </is>
      </c>
      <c r="H233" s="62" t="inlineStr">
        <is>
          <t>Y esa precisión importa.</t>
        </is>
      </c>
      <c r="I233" s="62" t="inlineStr">
        <is>
          <t>Otras, que están cerca de completar las semanas necesarias para pensionarse, recibirán un empujón importante.</t>
        </is>
      </c>
      <c r="J233" s="38" t="n"/>
      <c r="K233" s="62" t="n"/>
      <c r="L233" s="38" t="n"/>
      <c r="M233" s="62" t="n"/>
      <c r="N233" s="38" t="n"/>
      <c r="O233" s="62" t="n"/>
      <c r="P233" s="38" t="n"/>
      <c r="Q233" s="62" t="n"/>
      <c r="R233" s="38" t="n"/>
      <c r="S233" s="62" t="n"/>
      <c r="T233" s="38" t="n"/>
      <c r="U233" s="62" t="n"/>
      <c r="V233" s="38" t="n"/>
      <c r="W233" s="62" t="n"/>
      <c r="X233" s="38" t="n"/>
      <c r="Y233" s="62" t="n"/>
      <c r="Z233" s="38" t="n"/>
      <c r="AA233" s="62" t="n"/>
      <c r="AB233" s="38" t="n"/>
      <c r="AC233" s="62" t="n"/>
      <c r="AD233" s="38" t="n"/>
      <c r="AE233" s="38" t="n"/>
      <c r="AF233" s="61">
        <f>IF(COUNTIF($B$5:B233,B233)=1,1,0)</f>
        <v/>
      </c>
      <c r="AG233" s="62" t="inlineStr">
        <is>
          <t>https://www.lasillavacia.com/red-de-expertos/red-de-las-mujeres/la-reforma-pensional-beneficia-a-las-mujeres/</t>
        </is>
      </c>
    </row>
    <row r="234" ht="15" customHeight="1" s="31">
      <c r="A234" s="38" t="inlineStr">
        <is>
          <t>https://www.lasillavacia.com/?p=442390</t>
        </is>
      </c>
      <c r="B234" s="38" t="inlineStr">
        <is>
          <t>https://www.lasillavacia.com/?p=442390_S06</t>
        </is>
      </c>
      <c r="C234" s="38" t="inlineStr">
        <is>
          <t>La Silla Vacía</t>
        </is>
      </c>
      <c r="D234" s="38" t="inlineStr">
        <is>
          <t>Reformas sociales en disputa (pensional/tributaria)</t>
        </is>
      </c>
      <c r="E234" s="38" t="inlineStr">
        <is>
          <t>Opinión-análisis</t>
        </is>
      </c>
      <c r="F234" s="38" t="inlineStr">
        <is>
          <t>Tue, 01 Sep 2026 12:00:00 +0000</t>
        </is>
      </c>
      <c r="G234" s="62" t="inlineStr">
        <is>
          <t>Otras, que están cerca de completar las semanas necesarias para pensionarse, recibirán un empujón importante.</t>
        </is>
      </c>
      <c r="H234" s="62" t="inlineStr">
        <is>
          <t>Algunas mujeres privilegiadas perderán subsidios.</t>
        </is>
      </c>
      <c r="I234" s="62" t="inlineStr">
        <is>
          <t>Y muchas de las más pobres, que nunca tuvieron una posibilidad real de obtener una pensión, recibirán una protección económica mucho mayor en la vejez.</t>
        </is>
      </c>
      <c r="J234" s="38" t="n"/>
      <c r="K234" s="62" t="n"/>
      <c r="L234" s="38" t="n"/>
      <c r="M234" s="62" t="n"/>
      <c r="N234" s="38" t="n"/>
      <c r="O234" s="62" t="n"/>
      <c r="P234" s="38" t="n"/>
      <c r="Q234" s="62" t="n"/>
      <c r="R234" s="38" t="n"/>
      <c r="S234" s="62" t="n"/>
      <c r="T234" s="38" t="n"/>
      <c r="U234" s="62" t="n"/>
      <c r="V234" s="38" t="n"/>
      <c r="W234" s="62" t="n"/>
      <c r="X234" s="38" t="n"/>
      <c r="Y234" s="62" t="n"/>
      <c r="Z234" s="38" t="n"/>
      <c r="AA234" s="62" t="n"/>
      <c r="AB234" s="38" t="n"/>
      <c r="AC234" s="62" t="n"/>
      <c r="AD234" s="38" t="n"/>
      <c r="AE234" s="38" t="n"/>
      <c r="AF234" s="61">
        <f>IF(COUNTIF($B$5:B234,B234)=1,1,0)</f>
        <v/>
      </c>
      <c r="AG234" s="62" t="inlineStr">
        <is>
          <t>https://www.lasillavacia.com/red-de-expertos/red-de-las-mujeres/la-reforma-pensional-beneficia-a-las-mujeres/</t>
        </is>
      </c>
    </row>
    <row r="235" ht="15" customHeight="1" s="31">
      <c r="A235" s="38" t="inlineStr">
        <is>
          <t>https://www.lasillavacia.com/?p=442390</t>
        </is>
      </c>
      <c r="B235" s="38" t="inlineStr">
        <is>
          <t>https://www.lasillavacia.com/?p=442390_S07</t>
        </is>
      </c>
      <c r="C235" s="38" t="inlineStr">
        <is>
          <t>La Silla Vacía</t>
        </is>
      </c>
      <c r="D235" s="38" t="inlineStr">
        <is>
          <t>Reformas sociales en disputa (pensional/tributaria)</t>
        </is>
      </c>
      <c r="E235" s="38" t="inlineStr">
        <is>
          <t>Opinión-análisis</t>
        </is>
      </c>
      <c r="F235" s="38" t="inlineStr">
        <is>
          <t>Tue, 01 Sep 2026 12:00:00 +0000</t>
        </is>
      </c>
      <c r="G235" s="62" t="inlineStr">
        <is>
          <t>Y muchas de las más pobres, que nunca tuvieron una posibilidad real de obtener una pensión, recibirán una protección económica mucho mayor en la vejez.</t>
        </is>
      </c>
      <c r="H235" s="62" t="inlineStr">
        <is>
          <t>Otras, que están cerca de completar las semanas necesarias para pensionarse, recibirán un empujón importante.</t>
        </is>
      </c>
      <c r="I235" s="62" t="inlineStr">
        <is>
          <t>No todas ganamos.</t>
        </is>
      </c>
      <c r="J235" s="38" t="n"/>
      <c r="K235" s="62" t="n"/>
      <c r="L235" s="38" t="n"/>
      <c r="M235" s="62" t="n"/>
      <c r="N235" s="38" t="n"/>
      <c r="O235" s="62" t="n"/>
      <c r="P235" s="38" t="n"/>
      <c r="Q235" s="62" t="n"/>
      <c r="R235" s="38" t="n"/>
      <c r="S235" s="62" t="n"/>
      <c r="T235" s="38" t="n"/>
      <c r="U235" s="62" t="n"/>
      <c r="V235" s="38" t="n"/>
      <c r="W235" s="62" t="n"/>
      <c r="X235" s="38" t="n"/>
      <c r="Y235" s="62" t="n"/>
      <c r="Z235" s="38" t="n"/>
      <c r="AA235" s="62" t="n"/>
      <c r="AB235" s="38" t="n"/>
      <c r="AC235" s="62" t="n"/>
      <c r="AD235" s="38" t="n"/>
      <c r="AE235" s="38" t="n"/>
      <c r="AF235" s="61">
        <f>IF(COUNTIF($B$5:B235,B235)=1,1,0)</f>
        <v/>
      </c>
      <c r="AG235" s="62" t="inlineStr">
        <is>
          <t>https://www.lasillavacia.com/red-de-expertos/red-de-las-mujeres/la-reforma-pensional-beneficia-a-las-mujeres/</t>
        </is>
      </c>
    </row>
    <row r="236" ht="15" customHeight="1" s="31">
      <c r="A236" s="38" t="inlineStr">
        <is>
          <t>https://www.lasillavacia.com/?p=442390</t>
        </is>
      </c>
      <c r="B236" s="38" t="inlineStr">
        <is>
          <t>https://www.lasillavacia.com/?p=442390_S08</t>
        </is>
      </c>
      <c r="C236" s="38" t="inlineStr">
        <is>
          <t>La Silla Vacía</t>
        </is>
      </c>
      <c r="D236" s="38" t="inlineStr">
        <is>
          <t>Reformas sociales en disputa (pensional/tributaria)</t>
        </is>
      </c>
      <c r="E236" s="38" t="inlineStr">
        <is>
          <t>Opinión-análisis</t>
        </is>
      </c>
      <c r="F236" s="38" t="inlineStr">
        <is>
          <t>Tue, 01 Sep 2026 12:00:00 +0000</t>
        </is>
      </c>
      <c r="G236" s="62" t="inlineStr">
        <is>
          <t>No todas ganamos.</t>
        </is>
      </c>
      <c r="H236" s="62" t="inlineStr">
        <is>
          <t>Y muchas de las más pobres, que nunca tuvieron una posibilidad real de obtener una pensión, recibirán una protección económica mucho mayor en la vejez.</t>
        </is>
      </c>
      <c r="I236" s="62" t="inlineStr">
        <is>
          <t>Pero quienes más necesitan ganar, ganan más.</t>
        </is>
      </c>
      <c r="J236" s="38" t="n"/>
      <c r="K236" s="62" t="n"/>
      <c r="L236" s="38" t="n"/>
      <c r="M236" s="62" t="n"/>
      <c r="N236" s="38" t="n"/>
      <c r="O236" s="62" t="n"/>
      <c r="P236" s="38" t="n"/>
      <c r="Q236" s="62" t="n"/>
      <c r="R236" s="38" t="n"/>
      <c r="S236" s="62" t="n"/>
      <c r="T236" s="38" t="n"/>
      <c r="U236" s="62" t="n"/>
      <c r="V236" s="38" t="n"/>
      <c r="W236" s="62" t="n"/>
      <c r="X236" s="38" t="n"/>
      <c r="Y236" s="62" t="n"/>
      <c r="Z236" s="38" t="n"/>
      <c r="AA236" s="62" t="n"/>
      <c r="AB236" s="38" t="n"/>
      <c r="AC236" s="62" t="n"/>
      <c r="AD236" s="38" t="n"/>
      <c r="AE236" s="38" t="n"/>
      <c r="AF236" s="61">
        <f>IF(COUNTIF($B$5:B236,B236)=1,1,0)</f>
        <v/>
      </c>
      <c r="AG236" s="62" t="inlineStr">
        <is>
          <t>https://www.lasillavacia.com/red-de-expertos/red-de-las-mujeres/la-reforma-pensional-beneficia-a-las-mujeres/</t>
        </is>
      </c>
    </row>
    <row r="237" ht="15" customHeight="1" s="31">
      <c r="A237" s="38" t="inlineStr">
        <is>
          <t>https://www.lasillavacia.com/?p=442390</t>
        </is>
      </c>
      <c r="B237" s="38" t="inlineStr">
        <is>
          <t>https://www.lasillavacia.com/?p=442390_S09</t>
        </is>
      </c>
      <c r="C237" s="38" t="inlineStr">
        <is>
          <t>La Silla Vacía</t>
        </is>
      </c>
      <c r="D237" s="38" t="inlineStr">
        <is>
          <t>Reformas sociales en disputa (pensional/tributaria)</t>
        </is>
      </c>
      <c r="E237" s="38" t="inlineStr">
        <is>
          <t>Opinión-análisis</t>
        </is>
      </c>
      <c r="F237" s="38" t="inlineStr">
        <is>
          <t>Tue, 01 Sep 2026 12:00:00 +0000</t>
        </is>
      </c>
      <c r="G237" s="62" t="inlineStr">
        <is>
          <t>Pero quienes más necesitan ganar, ganan más.</t>
        </is>
      </c>
      <c r="H237" s="62" t="inlineStr">
        <is>
          <t>No todas ganamos.</t>
        </is>
      </c>
      <c r="I237" s="62" t="inlineStr">
        <is>
          <t>De eso se trata redistribuir.</t>
        </is>
      </c>
      <c r="J237" s="38" t="n"/>
      <c r="K237" s="62" t="n"/>
      <c r="L237" s="38" t="n"/>
      <c r="M237" s="62" t="n"/>
      <c r="N237" s="38" t="n"/>
      <c r="O237" s="62" t="n"/>
      <c r="P237" s="38" t="n"/>
      <c r="Q237" s="62" t="n"/>
      <c r="R237" s="38" t="n"/>
      <c r="S237" s="62" t="n"/>
      <c r="T237" s="38" t="n"/>
      <c r="U237" s="62" t="n"/>
      <c r="V237" s="38" t="n"/>
      <c r="W237" s="62" t="n"/>
      <c r="X237" s="38" t="n"/>
      <c r="Y237" s="62" t="n"/>
      <c r="Z237" s="38" t="n"/>
      <c r="AA237" s="62" t="n"/>
      <c r="AB237" s="38" t="n"/>
      <c r="AC237" s="62" t="n"/>
      <c r="AD237" s="38" t="n"/>
      <c r="AE237" s="38" t="n"/>
      <c r="AF237" s="61">
        <f>IF(COUNTIF($B$5:B237,B237)=1,1,0)</f>
        <v/>
      </c>
      <c r="AG237" s="62" t="inlineStr">
        <is>
          <t>https://www.lasillavacia.com/red-de-expertos/red-de-las-mujeres/la-reforma-pensional-beneficia-a-las-mujeres/</t>
        </is>
      </c>
    </row>
    <row r="238" ht="15" customHeight="1" s="31">
      <c r="A238" s="38" t="inlineStr">
        <is>
          <t>https://www.lasillavacia.com/?p=442390</t>
        </is>
      </c>
      <c r="B238" s="38" t="inlineStr">
        <is>
          <t>https://www.lasillavacia.com/?p=442390_S10</t>
        </is>
      </c>
      <c r="C238" s="38" t="inlineStr">
        <is>
          <t>La Silla Vacía</t>
        </is>
      </c>
      <c r="D238" s="38" t="inlineStr">
        <is>
          <t>Reformas sociales en disputa (pensional/tributaria)</t>
        </is>
      </c>
      <c r="E238" s="38" t="inlineStr">
        <is>
          <t>Opinión-análisis</t>
        </is>
      </c>
      <c r="F238" s="38" t="inlineStr">
        <is>
          <t>Tue, 01 Sep 2026 12:00:00 +0000</t>
        </is>
      </c>
      <c r="G238" s="62" t="inlineStr">
        <is>
          <t>De eso se trata redistribuir.</t>
        </is>
      </c>
      <c r="H238" s="62" t="inlineStr">
        <is>
          <t>Pero quienes más necesitan ganar, ganan más.</t>
        </is>
      </c>
      <c r="I238" s="62" t="inlineStr">
        <is>
          <t>Pensemos en una pensión como pensamos en una casa propia.</t>
        </is>
      </c>
      <c r="J238" s="38" t="n"/>
      <c r="K238" s="62" t="n"/>
      <c r="L238" s="38" t="n"/>
      <c r="M238" s="62" t="n"/>
      <c r="N238" s="38" t="n"/>
      <c r="O238" s="62" t="n"/>
      <c r="P238" s="38" t="n"/>
      <c r="Q238" s="62" t="n"/>
      <c r="R238" s="38" t="n"/>
      <c r="S238" s="62" t="n"/>
      <c r="T238" s="38" t="n"/>
      <c r="U238" s="62" t="n"/>
      <c r="V238" s="38" t="n"/>
      <c r="W238" s="62" t="n"/>
      <c r="X238" s="38" t="n"/>
      <c r="Y238" s="62" t="n"/>
      <c r="Z238" s="38" t="n"/>
      <c r="AA238" s="62" t="n"/>
      <c r="AB238" s="38" t="n"/>
      <c r="AC238" s="62" t="n"/>
      <c r="AD238" s="38" t="n"/>
      <c r="AE238" s="38" t="n"/>
      <c r="AF238" s="61">
        <f>IF(COUNTIF($B$5:B238,B238)=1,1,0)</f>
        <v/>
      </c>
      <c r="AG238" s="62" t="inlineStr">
        <is>
          <t>https://www.lasillavacia.com/red-de-expertos/red-de-las-mujeres/la-reforma-pensional-beneficia-a-las-mujeres/</t>
        </is>
      </c>
    </row>
    <row r="239" ht="15" customHeight="1" s="31">
      <c r="A239" s="38" t="inlineStr">
        <is>
          <t>https://www.lasillavacia.com/?p=442390</t>
        </is>
      </c>
      <c r="B239" s="38" t="inlineStr">
        <is>
          <t>https://www.lasillavacia.com/?p=442390_S11</t>
        </is>
      </c>
      <c r="C239" s="38" t="inlineStr">
        <is>
          <t>La Silla Vacía</t>
        </is>
      </c>
      <c r="D239" s="38" t="inlineStr">
        <is>
          <t>Reformas sociales en disputa (pensional/tributaria)</t>
        </is>
      </c>
      <c r="E239" s="38" t="inlineStr">
        <is>
          <t>Opinión-análisis</t>
        </is>
      </c>
      <c r="F239" s="38" t="inlineStr">
        <is>
          <t>Tue, 01 Sep 2026 12:00:00 +0000</t>
        </is>
      </c>
      <c r="G239" s="62" t="inlineStr">
        <is>
          <t>Pensemos en una pensión como pensamos en una casa propia.</t>
        </is>
      </c>
      <c r="H239" s="62" t="inlineStr">
        <is>
          <t>De eso se trata redistribuir.</t>
        </is>
      </c>
      <c r="I239" s="62" t="inlineStr">
        <is>
          <t>Muy pocas mujeres pudieron comprarla.</t>
        </is>
      </c>
      <c r="J239" s="38" t="n"/>
      <c r="K239" s="62" t="n"/>
      <c r="L239" s="38" t="n"/>
      <c r="M239" s="62" t="n"/>
      <c r="N239" s="38" t="n"/>
      <c r="O239" s="62" t="n"/>
      <c r="P239" s="38" t="n"/>
      <c r="Q239" s="62" t="n"/>
      <c r="R239" s="38" t="n"/>
      <c r="S239" s="62" t="n"/>
      <c r="T239" s="38" t="n"/>
      <c r="U239" s="62" t="n"/>
      <c r="V239" s="38" t="n"/>
      <c r="W239" s="62" t="n"/>
      <c r="X239" s="38" t="n"/>
      <c r="Y239" s="62" t="n"/>
      <c r="Z239" s="38" t="n"/>
      <c r="AA239" s="62" t="n"/>
      <c r="AB239" s="38" t="n"/>
      <c r="AC239" s="62" t="n"/>
      <c r="AD239" s="38" t="n"/>
      <c r="AE239" s="38" t="n"/>
      <c r="AF239" s="61">
        <f>IF(COUNTIF($B$5:B239,B239)=1,1,0)</f>
        <v/>
      </c>
      <c r="AG239" s="62" t="inlineStr">
        <is>
          <t>https://www.lasillavacia.com/red-de-expertos/red-de-las-mujeres/la-reforma-pensional-beneficia-a-las-mujeres/</t>
        </is>
      </c>
    </row>
    <row r="240" ht="15" customHeight="1" s="31">
      <c r="A240" s="38" t="inlineStr">
        <is>
          <t>https://www.lasillavacia.com/?p=442390</t>
        </is>
      </c>
      <c r="B240" s="38" t="inlineStr">
        <is>
          <t>https://www.lasillavacia.com/?p=442390_S12</t>
        </is>
      </c>
      <c r="C240" s="38" t="inlineStr">
        <is>
          <t>La Silla Vacía</t>
        </is>
      </c>
      <c r="D240" s="38" t="inlineStr">
        <is>
          <t>Reformas sociales en disputa (pensional/tributaria)</t>
        </is>
      </c>
      <c r="E240" s="38" t="inlineStr">
        <is>
          <t>Opinión-análisis</t>
        </is>
      </c>
      <c r="F240" s="38" t="inlineStr">
        <is>
          <t>Tue, 01 Sep 2026 12:00:00 +0000</t>
        </is>
      </c>
      <c r="G240" s="62" t="inlineStr">
        <is>
          <t>Muy pocas mujeres pudieron comprarla.</t>
        </is>
      </c>
      <c r="H240" s="62" t="inlineStr">
        <is>
          <t>Pensemos en una pensión como pensamos en una casa propia.</t>
        </is>
      </c>
      <c r="I240" s="62" t="n"/>
      <c r="J240" s="38" t="n"/>
      <c r="K240" s="62" t="n"/>
      <c r="L240" s="38" t="n"/>
      <c r="M240" s="62" t="n"/>
      <c r="N240" s="38" t="n"/>
      <c r="O240" s="62" t="n"/>
      <c r="P240" s="38" t="n"/>
      <c r="Q240" s="62" t="n"/>
      <c r="R240" s="38" t="n"/>
      <c r="S240" s="62" t="n"/>
      <c r="T240" s="38" t="n"/>
      <c r="U240" s="62" t="n"/>
      <c r="V240" s="38" t="n"/>
      <c r="W240" s="62" t="n"/>
      <c r="X240" s="38" t="n"/>
      <c r="Y240" s="62" t="n"/>
      <c r="Z240" s="38" t="n"/>
      <c r="AA240" s="62" t="n"/>
      <c r="AB240" s="38" t="n"/>
      <c r="AC240" s="62" t="n"/>
      <c r="AD240" s="38" t="n"/>
      <c r="AE240" s="38" t="n"/>
      <c r="AF240" s="61">
        <f>IF(COUNTIF($B$5:B240,B240)=1,1,0)</f>
        <v/>
      </c>
      <c r="AG240" s="62" t="inlineStr">
        <is>
          <t>https://www.lasillavacia.com/red-de-expertos/red-de-las-mujeres/la-reforma-pensional-beneficia-a-las-mujeres/</t>
        </is>
      </c>
    </row>
    <row r="241" ht="15" customHeight="1" s="31">
      <c r="A241" s="38" t="inlineStr">
        <is>
          <t>https://www.lasillavacia.com/?p=440931</t>
        </is>
      </c>
      <c r="B241" s="38" t="inlineStr">
        <is>
          <t>https://www.lasillavacia.com/?p=440931_S01</t>
        </is>
      </c>
      <c r="C241" s="38" t="inlineStr">
        <is>
          <t>La Silla Vacía</t>
        </is>
      </c>
      <c r="D241" s="38" t="inlineStr">
        <is>
          <t>Reformas sociales en disputa (pensional/tributaria)</t>
        </is>
      </c>
      <c r="E241" s="38" t="inlineStr">
        <is>
          <t>Noticia dura</t>
        </is>
      </c>
      <c r="F241" s="38" t="inlineStr">
        <is>
          <t>Wed, 26 Aug 2026 00:50:09 +0000</t>
        </is>
      </c>
      <c r="G241" s="62" t="inlineStr">
        <is>
          <t>Con una votación de 7 a 1, la Corte Constitucional avaló la mayoría del articulado de la reforma pensional del gobierno de Gustavo Petro, pero le pidió a la Cámara discutir —en un plazo de 30 días— nueve proposiciones puntuales y un artículo nuevo.</t>
        </is>
      </c>
      <c r="H241" s="62" t="n"/>
      <c r="I241" s="62" t="inlineStr">
        <is>
          <t>El expediente tenía como ponente a la magistrada Paola Meneses.</t>
        </is>
      </c>
      <c r="J241" s="38" t="n"/>
      <c r="K241" s="62" t="n"/>
      <c r="L241" s="38" t="n"/>
      <c r="M241" s="62" t="n"/>
      <c r="N241" s="38" t="n"/>
      <c r="O241" s="62" t="n"/>
      <c r="P241" s="38" t="n"/>
      <c r="Q241" s="62" t="n"/>
      <c r="R241" s="38" t="n"/>
      <c r="S241" s="62" t="n"/>
      <c r="T241" s="38" t="n"/>
      <c r="U241" s="62" t="n"/>
      <c r="V241" s="38" t="n"/>
      <c r="W241" s="62" t="n"/>
      <c r="X241" s="38" t="n"/>
      <c r="Y241" s="62" t="n"/>
      <c r="Z241" s="38" t="n"/>
      <c r="AA241" s="62" t="n"/>
      <c r="AB241" s="38" t="n"/>
      <c r="AC241" s="62" t="n"/>
      <c r="AD241" s="38" t="n"/>
      <c r="AE241" s="38" t="n"/>
      <c r="AF241" s="61">
        <f>IF(COUNTIF($B$5:B241,B241)=1,1,0)</f>
        <v/>
      </c>
      <c r="AG241" s="62" t="inlineStr">
        <is>
          <t>https://www.lasillavacia.com/en-vivo/reforma-pensional-corte-avala-90-articulos-y-devuelve-9-a-la-camara/</t>
        </is>
      </c>
    </row>
    <row r="242" ht="15" customHeight="1" s="31">
      <c r="A242" s="38" t="inlineStr">
        <is>
          <t>https://www.lasillavacia.com/?p=440931</t>
        </is>
      </c>
      <c r="B242" s="38" t="inlineStr">
        <is>
          <t>https://www.lasillavacia.com/?p=440931_S02</t>
        </is>
      </c>
      <c r="C242" s="38" t="inlineStr">
        <is>
          <t>La Silla Vacía</t>
        </is>
      </c>
      <c r="D242" s="38" t="inlineStr">
        <is>
          <t>Reformas sociales en disputa (pensional/tributaria)</t>
        </is>
      </c>
      <c r="E242" s="38" t="inlineStr">
        <is>
          <t>Noticia dura</t>
        </is>
      </c>
      <c r="F242" s="38" t="inlineStr">
        <is>
          <t>Wed, 26 Aug 2026 00:50:09 +0000</t>
        </is>
      </c>
      <c r="G242" s="62" t="inlineStr">
        <is>
          <t>El expediente tenía como ponente a la magistrada Paola Meneses.</t>
        </is>
      </c>
      <c r="H242" s="62" t="inlineStr">
        <is>
          <t>Con una votación de 7 a 1, la Corte Constitucional avaló la mayoría del articulado de la reforma pensional del gobierno de Gustavo Petro, pero le pidió a la Cámara discutir —en un plazo de 30 días— nueve proposiciones puntuales y un artículo nuevo.</t>
        </is>
      </c>
      <c r="I242" s="62" t="inlineStr">
        <is>
          <t>El conjuez Carlos Pablo Márquez salvó el voto.</t>
        </is>
      </c>
      <c r="J242" s="38" t="n"/>
      <c r="K242" s="62" t="n"/>
      <c r="L242" s="38" t="n"/>
      <c r="M242" s="62" t="n"/>
      <c r="N242" s="38" t="n"/>
      <c r="O242" s="62" t="n"/>
      <c r="P242" s="38" t="n"/>
      <c r="Q242" s="62" t="n"/>
      <c r="R242" s="38" t="n"/>
      <c r="S242" s="62" t="n"/>
      <c r="T242" s="38" t="n"/>
      <c r="U242" s="62" t="n"/>
      <c r="V242" s="38" t="n"/>
      <c r="W242" s="62" t="n"/>
      <c r="X242" s="38" t="n"/>
      <c r="Y242" s="62" t="n"/>
      <c r="Z242" s="38" t="n"/>
      <c r="AA242" s="62" t="n"/>
      <c r="AB242" s="38" t="n"/>
      <c r="AC242" s="62" t="n"/>
      <c r="AD242" s="38" t="n"/>
      <c r="AE242" s="38" t="n"/>
      <c r="AF242" s="61">
        <f>IF(COUNTIF($B$5:B242,B242)=1,1,0)</f>
        <v/>
      </c>
      <c r="AG242" s="62" t="inlineStr">
        <is>
          <t>https://www.lasillavacia.com/en-vivo/reforma-pensional-corte-avala-90-articulos-y-devuelve-9-a-la-camara/</t>
        </is>
      </c>
    </row>
    <row r="243" ht="15" customHeight="1" s="31">
      <c r="A243" s="38" t="inlineStr">
        <is>
          <t>https://www.lasillavacia.com/?p=440931</t>
        </is>
      </c>
      <c r="B243" s="38" t="inlineStr">
        <is>
          <t>https://www.lasillavacia.com/?p=440931_S03</t>
        </is>
      </c>
      <c r="C243" s="38" t="inlineStr">
        <is>
          <t>La Silla Vacía</t>
        </is>
      </c>
      <c r="D243" s="38" t="inlineStr">
        <is>
          <t>Reformas sociales en disputa (pensional/tributaria)</t>
        </is>
      </c>
      <c r="E243" s="38" t="inlineStr">
        <is>
          <t>Noticia dura</t>
        </is>
      </c>
      <c r="F243" s="38" t="inlineStr">
        <is>
          <t>Wed, 26 Aug 2026 00:50:09 +0000</t>
        </is>
      </c>
      <c r="G243" s="62" t="inlineStr">
        <is>
          <t>El conjuez Carlos Pablo Márquez salvó el voto.</t>
        </is>
      </c>
      <c r="H243" s="62" t="inlineStr">
        <is>
          <t>El expediente tenía como ponente a la magistrada Paola Meneses.</t>
        </is>
      </c>
      <c r="I243" s="62" t="inlineStr">
        <is>
          <t>También declaró exequible el artículo 94.</t>
        </is>
      </c>
      <c r="J243" s="38" t="n"/>
      <c r="K243" s="62" t="n"/>
      <c r="L243" s="38" t="n"/>
      <c r="M243" s="62" t="n"/>
      <c r="N243" s="38" t="n"/>
      <c r="O243" s="62" t="n"/>
      <c r="P243" s="38" t="n"/>
      <c r="Q243" s="62" t="n"/>
      <c r="R243" s="38" t="n"/>
      <c r="S243" s="62" t="n"/>
      <c r="T243" s="38" t="n"/>
      <c r="U243" s="62" t="n"/>
      <c r="V243" s="38" t="n"/>
      <c r="W243" s="62" t="n"/>
      <c r="X243" s="38" t="n"/>
      <c r="Y243" s="62" t="n"/>
      <c r="Z243" s="38" t="n"/>
      <c r="AA243" s="62" t="n"/>
      <c r="AB243" s="38" t="n"/>
      <c r="AC243" s="62" t="n"/>
      <c r="AD243" s="38" t="n"/>
      <c r="AE243" s="38" t="n"/>
      <c r="AF243" s="61">
        <f>IF(COUNTIF($B$5:B243,B243)=1,1,0)</f>
        <v/>
      </c>
      <c r="AG243" s="62" t="inlineStr">
        <is>
          <t>https://www.lasillavacia.com/en-vivo/reforma-pensional-corte-avala-90-articulos-y-devuelve-9-a-la-camara/</t>
        </is>
      </c>
    </row>
    <row r="244" ht="15" customHeight="1" s="31">
      <c r="A244" s="38" t="inlineStr">
        <is>
          <t>https://www.lasillavacia.com/?p=440931</t>
        </is>
      </c>
      <c r="B244" s="38" t="inlineStr">
        <is>
          <t>https://www.lasillavacia.com/?p=440931_S04</t>
        </is>
      </c>
      <c r="C244" s="38" t="inlineStr">
        <is>
          <t>La Silla Vacía</t>
        </is>
      </c>
      <c r="D244" s="38" t="inlineStr">
        <is>
          <t>Reformas sociales en disputa (pensional/tributaria)</t>
        </is>
      </c>
      <c r="E244" s="38" t="inlineStr">
        <is>
          <t>Noticia dura</t>
        </is>
      </c>
      <c r="F244" s="38" t="inlineStr">
        <is>
          <t>Wed, 26 Aug 2026 00:50:09 +0000</t>
        </is>
      </c>
      <c r="G244" s="62" t="inlineStr">
        <is>
          <t>También declaró exequible el artículo 94.</t>
        </is>
      </c>
      <c r="H244" s="62" t="inlineStr">
        <is>
          <t>El conjuez Carlos Pablo Márquez salvó el voto.</t>
        </is>
      </c>
      <c r="I244" s="62" t="inlineStr">
        <is>
          <t>Es decir, el que establecía a julio de 2025 la entrada en vigencia del nuevo sistema de pilares de la reforma pensional.</t>
        </is>
      </c>
      <c r="J244" s="38" t="n"/>
      <c r="K244" s="62" t="n"/>
      <c r="L244" s="38" t="n"/>
      <c r="M244" s="62" t="n"/>
      <c r="N244" s="38" t="n"/>
      <c r="O244" s="62" t="n"/>
      <c r="P244" s="38" t="n"/>
      <c r="Q244" s="62" t="n"/>
      <c r="R244" s="38" t="n"/>
      <c r="S244" s="62" t="n"/>
      <c r="T244" s="38" t="n"/>
      <c r="U244" s="62" t="n"/>
      <c r="V244" s="38" t="n"/>
      <c r="W244" s="62" t="n"/>
      <c r="X244" s="38" t="n"/>
      <c r="Y244" s="62" t="n"/>
      <c r="Z244" s="38" t="n"/>
      <c r="AA244" s="62" t="n"/>
      <c r="AB244" s="38" t="n"/>
      <c r="AC244" s="62" t="n"/>
      <c r="AD244" s="38" t="n"/>
      <c r="AE244" s="38" t="n"/>
      <c r="AF244" s="61">
        <f>IF(COUNTIF($B$5:B244,B244)=1,1,0)</f>
        <v/>
      </c>
      <c r="AG244" s="62" t="inlineStr">
        <is>
          <t>https://www.lasillavacia.com/en-vivo/reforma-pensional-corte-avala-90-articulos-y-devuelve-9-a-la-camara/</t>
        </is>
      </c>
    </row>
    <row r="245" ht="15" customHeight="1" s="31">
      <c r="A245" s="38" t="inlineStr">
        <is>
          <t>https://www.lasillavacia.com/?p=440931</t>
        </is>
      </c>
      <c r="B245" s="38" t="inlineStr">
        <is>
          <t>https://www.lasillavacia.com/?p=440931_S05</t>
        </is>
      </c>
      <c r="C245" s="38" t="inlineStr">
        <is>
          <t>La Silla Vacía</t>
        </is>
      </c>
      <c r="D245" s="38" t="inlineStr">
        <is>
          <t>Reformas sociales en disputa (pensional/tributaria)</t>
        </is>
      </c>
      <c r="E245" s="38" t="inlineStr">
        <is>
          <t>Noticia dura</t>
        </is>
      </c>
      <c r="F245" s="38" t="inlineStr">
        <is>
          <t>Wed, 26 Aug 2026 00:50:09 +0000</t>
        </is>
      </c>
      <c r="G245" s="62" t="inlineStr">
        <is>
          <t>Es decir, el que establecía a julio de 2025 la entrada en vigencia del nuevo sistema de pilares de la reforma pensional.</t>
        </is>
      </c>
      <c r="H245" s="62" t="inlineStr">
        <is>
          <t>También declaró exequible el artículo 94.</t>
        </is>
      </c>
      <c r="I245" s="62" t="inlineStr">
        <is>
          <t>Se avala en el entendido de que los artículos declarados exequibles entrarán en vigencia a partir del 1 de abril de 2027.</t>
        </is>
      </c>
      <c r="J245" s="38" t="n"/>
      <c r="K245" s="62" t="n"/>
      <c r="L245" s="38" t="n"/>
      <c r="M245" s="62" t="n"/>
      <c r="N245" s="38" t="n"/>
      <c r="O245" s="62" t="n"/>
      <c r="P245" s="38" t="n"/>
      <c r="Q245" s="62" t="n"/>
      <c r="R245" s="38" t="n"/>
      <c r="S245" s="62" t="n"/>
      <c r="T245" s="38" t="n"/>
      <c r="U245" s="62" t="n"/>
      <c r="V245" s="38" t="n"/>
      <c r="W245" s="62" t="n"/>
      <c r="X245" s="38" t="n"/>
      <c r="Y245" s="62" t="n"/>
      <c r="Z245" s="38" t="n"/>
      <c r="AA245" s="62" t="n"/>
      <c r="AB245" s="38" t="n"/>
      <c r="AC245" s="62" t="n"/>
      <c r="AD245" s="38" t="n"/>
      <c r="AE245" s="38" t="n"/>
      <c r="AF245" s="61">
        <f>IF(COUNTIF($B$5:B245,B245)=1,1,0)</f>
        <v/>
      </c>
      <c r="AG245" s="62" t="inlineStr">
        <is>
          <t>https://www.lasillavacia.com/en-vivo/reforma-pensional-corte-avala-90-articulos-y-devuelve-9-a-la-camara/</t>
        </is>
      </c>
    </row>
    <row r="246" ht="15" customHeight="1" s="31">
      <c r="A246" s="38" t="inlineStr">
        <is>
          <t>https://www.lasillavacia.com/?p=440931</t>
        </is>
      </c>
      <c r="B246" s="38" t="inlineStr">
        <is>
          <t>https://www.lasillavacia.com/?p=440931_S06</t>
        </is>
      </c>
      <c r="C246" s="38" t="inlineStr">
        <is>
          <t>La Silla Vacía</t>
        </is>
      </c>
      <c r="D246" s="38" t="inlineStr">
        <is>
          <t>Reformas sociales en disputa (pensional/tributaria)</t>
        </is>
      </c>
      <c r="E246" s="38" t="inlineStr">
        <is>
          <t>Noticia dura</t>
        </is>
      </c>
      <c r="F246" s="38" t="inlineStr">
        <is>
          <t>Wed, 26 Aug 2026 00:50:09 +0000</t>
        </is>
      </c>
      <c r="G246" s="62" t="inlineStr">
        <is>
          <t>Se avala en el entendido de que los artículos declarados exequibles entrarán en vigencia a partir del 1 de abril de 2027.</t>
        </is>
      </c>
      <c r="H246" s="62" t="inlineStr">
        <is>
          <t>Es decir, el que establecía a julio de 2025 la entrada en vigencia del nuevo sistema de pilares de la reforma pensional.</t>
        </is>
      </c>
      <c r="I246" s="62" t="inlineStr">
        <is>
          <t>“Un nuevo triunfo del gobierno del cambio y del pueblo trabajador”, acaba de celebrar el expresidente Petro.</t>
        </is>
      </c>
      <c r="J246" s="38" t="n"/>
      <c r="K246" s="62" t="n"/>
      <c r="L246" s="38" t="n"/>
      <c r="M246" s="62" t="n"/>
      <c r="N246" s="38" t="n"/>
      <c r="O246" s="62" t="n"/>
      <c r="P246" s="38" t="n"/>
      <c r="Q246" s="62" t="n"/>
      <c r="R246" s="38" t="n"/>
      <c r="S246" s="62" t="n"/>
      <c r="T246" s="38" t="n"/>
      <c r="U246" s="62" t="n"/>
      <c r="V246" s="38" t="n"/>
      <c r="W246" s="62" t="n"/>
      <c r="X246" s="38" t="n"/>
      <c r="Y246" s="62" t="n"/>
      <c r="Z246" s="38" t="n"/>
      <c r="AA246" s="62" t="n"/>
      <c r="AB246" s="38" t="n"/>
      <c r="AC246" s="62" t="n"/>
      <c r="AD246" s="38" t="n"/>
      <c r="AE246" s="38" t="n"/>
      <c r="AF246" s="61">
        <f>IF(COUNTIF($B$5:B246,B246)=1,1,0)</f>
        <v/>
      </c>
      <c r="AG246" s="62" t="inlineStr">
        <is>
          <t>https://www.lasillavacia.com/en-vivo/reforma-pensional-corte-avala-90-articulos-y-devuelve-9-a-la-camara/</t>
        </is>
      </c>
    </row>
    <row r="247" ht="15" customHeight="1" s="31">
      <c r="A247" s="38" t="inlineStr">
        <is>
          <t>https://www.lasillavacia.com/?p=440931</t>
        </is>
      </c>
      <c r="B247" s="38" t="inlineStr">
        <is>
          <t>https://www.lasillavacia.com/?p=440931_S07</t>
        </is>
      </c>
      <c r="C247" s="38" t="inlineStr">
        <is>
          <t>La Silla Vacía</t>
        </is>
      </c>
      <c r="D247" s="38" t="inlineStr">
        <is>
          <t>Reformas sociales en disputa (pensional/tributaria)</t>
        </is>
      </c>
      <c r="E247" s="38" t="inlineStr">
        <is>
          <t>Noticia dura</t>
        </is>
      </c>
      <c r="F247" s="38" t="inlineStr">
        <is>
          <t>Wed, 26 Aug 2026 00:50:09 +0000</t>
        </is>
      </c>
      <c r="G247" s="62" t="inlineStr">
        <is>
          <t>“Un nuevo triunfo del gobierno del cambio y del pueblo trabajador”, acaba de celebrar el expresidente Petro.</t>
        </is>
      </c>
      <c r="H247" s="62" t="inlineStr">
        <is>
          <t>Se avala en el entendido de que los artículos declarados exequibles entrarán en vigencia a partir del 1 de abril de 2027.</t>
        </is>
      </c>
      <c r="I247" s="62" t="inlineStr">
        <is>
          <t>Se ha aprobado la mayor parte de la nueva ley de reforma pensional.</t>
        </is>
      </c>
      <c r="J247" s="38" t="n"/>
      <c r="K247" s="62" t="n"/>
      <c r="L247" s="38" t="n"/>
      <c r="M247" s="62" t="n"/>
      <c r="N247" s="38" t="n"/>
      <c r="O247" s="62" t="n"/>
      <c r="P247" s="38" t="n"/>
      <c r="Q247" s="62" t="n"/>
      <c r="R247" s="38" t="n"/>
      <c r="S247" s="62" t="n"/>
      <c r="T247" s="38" t="n"/>
      <c r="U247" s="62" t="n"/>
      <c r="V247" s="38" t="n"/>
      <c r="W247" s="62" t="n"/>
      <c r="X247" s="38" t="n"/>
      <c r="Y247" s="62" t="n"/>
      <c r="Z247" s="38" t="n"/>
      <c r="AA247" s="62" t="n"/>
      <c r="AB247" s="38" t="n"/>
      <c r="AC247" s="62" t="n"/>
      <c r="AD247" s="38" t="n"/>
      <c r="AE247" s="38" t="n"/>
      <c r="AF247" s="61">
        <f>IF(COUNTIF($B$5:B247,B247)=1,1,0)</f>
        <v/>
      </c>
      <c r="AG247" s="62" t="inlineStr">
        <is>
          <t>https://www.lasillavacia.com/en-vivo/reforma-pensional-corte-avala-90-articulos-y-devuelve-9-a-la-camara/</t>
        </is>
      </c>
    </row>
    <row r="248" ht="15" customHeight="1" s="31">
      <c r="A248" s="38" t="inlineStr">
        <is>
          <t>https://www.lasillavacia.com/?p=440931</t>
        </is>
      </c>
      <c r="B248" s="38" t="inlineStr">
        <is>
          <t>https://www.lasillavacia.com/?p=440931_S08</t>
        </is>
      </c>
      <c r="C248" s="38" t="inlineStr">
        <is>
          <t>La Silla Vacía</t>
        </is>
      </c>
      <c r="D248" s="38" t="inlineStr">
        <is>
          <t>Reformas sociales en disputa (pensional/tributaria)</t>
        </is>
      </c>
      <c r="E248" s="38" t="inlineStr">
        <is>
          <t>Noticia dura</t>
        </is>
      </c>
      <c r="F248" s="38" t="inlineStr">
        <is>
          <t>Wed, 26 Aug 2026 00:50:09 +0000</t>
        </is>
      </c>
      <c r="G248" s="62" t="inlineStr">
        <is>
          <t>Se ha aprobado la mayor parte de la nueva ley de reforma pensional.</t>
        </is>
      </c>
      <c r="H248" s="62" t="inlineStr">
        <is>
          <t>“Un nuevo triunfo del gobierno del cambio y del pueblo trabajador”, acaba de celebrar el expresidente Petro.</t>
        </is>
      </c>
      <c r="I248" s="62" t="n"/>
      <c r="J248" s="38" t="n"/>
      <c r="K248" s="62" t="n"/>
      <c r="L248" s="38" t="n"/>
      <c r="M248" s="62" t="n"/>
      <c r="N248" s="38" t="n"/>
      <c r="O248" s="62" t="n"/>
      <c r="P248" s="38" t="n"/>
      <c r="Q248" s="62" t="n"/>
      <c r="R248" s="38" t="n"/>
      <c r="S248" s="62" t="n"/>
      <c r="T248" s="38" t="n"/>
      <c r="U248" s="62" t="n"/>
      <c r="V248" s="38" t="n"/>
      <c r="W248" s="62" t="n"/>
      <c r="X248" s="38" t="n"/>
      <c r="Y248" s="62" t="n"/>
      <c r="Z248" s="38" t="n"/>
      <c r="AA248" s="62" t="n"/>
      <c r="AB248" s="38" t="n"/>
      <c r="AC248" s="62" t="n"/>
      <c r="AD248" s="38" t="n"/>
      <c r="AE248" s="38" t="n"/>
      <c r="AF248" s="61">
        <f>IF(COUNTIF($B$5:B248,B248)=1,1,0)</f>
        <v/>
      </c>
      <c r="AG248" s="62" t="inlineStr">
        <is>
          <t>https://www.lasillavacia.com/en-vivo/reforma-pensional-corte-avala-90-articulos-y-devuelve-9-a-la-camara/</t>
        </is>
      </c>
    </row>
    <row r="249" ht="15" customHeight="1" s="31">
      <c r="A249" s="38" t="inlineStr">
        <is>
          <t>https://www.lasillavacia.com/?p=393043</t>
        </is>
      </c>
      <c r="B249" s="38" t="inlineStr">
        <is>
          <t>https://www.lasillavacia.com/?p=393043_S01</t>
        </is>
      </c>
      <c r="C249" s="38" t="inlineStr">
        <is>
          <t>La Silla Vacía</t>
        </is>
      </c>
      <c r="D249" s="38" t="inlineStr">
        <is>
          <t>Relación con Estados Unidos</t>
        </is>
      </c>
      <c r="E249" s="38" t="inlineStr">
        <is>
          <t>Noticia dura</t>
        </is>
      </c>
      <c r="F249" s="38" t="inlineStr">
        <is>
          <t>Fri, 26 Dec 2025 05:05:00 +0000</t>
        </is>
      </c>
      <c r="G249" s="62" t="inlineStr">
        <is>
          <t>El 2025 fue un año lleno de incertidumbres.</t>
        </is>
      </c>
      <c r="H249" s="62" t="n"/>
      <c r="I249" s="62" t="inlineStr">
        <is>
          <t>A la impredictibilidad del presidente Gustavo Petro se sumó el inmenso cambio en el equilibrio de poder mundial producido por la llegada de Donald Trump a la Casa Blanca.</t>
        </is>
      </c>
      <c r="J249" s="38" t="n"/>
      <c r="K249" s="62" t="n"/>
      <c r="L249" s="38" t="n"/>
      <c r="M249" s="62" t="n"/>
      <c r="N249" s="38" t="n"/>
      <c r="O249" s="62" t="n"/>
      <c r="P249" s="38" t="n"/>
      <c r="Q249" s="62" t="n"/>
      <c r="R249" s="38" t="n"/>
      <c r="S249" s="62" t="n"/>
      <c r="T249" s="38" t="n"/>
      <c r="U249" s="62" t="n"/>
      <c r="V249" s="38" t="n"/>
      <c r="W249" s="62" t="n"/>
      <c r="X249" s="38" t="n"/>
      <c r="Y249" s="62" t="n"/>
      <c r="Z249" s="38" t="n"/>
      <c r="AA249" s="62" t="n"/>
      <c r="AB249" s="38" t="n"/>
      <c r="AC249" s="62" t="n"/>
      <c r="AD249" s="38" t="n"/>
      <c r="AE249" s="38" t="n"/>
      <c r="AF249" s="61">
        <f>IF(COUNTIF($B$5:B249,B249)=1,1,0)</f>
        <v/>
      </c>
      <c r="AG249" s="62" t="inlineStr">
        <is>
          <t>https://www.lasillavacia.com/silla-nacional/asi-se-transformo-el-poder-en-colombia-en-2025/</t>
        </is>
      </c>
    </row>
    <row r="250" ht="15" customHeight="1" s="31">
      <c r="A250" s="38" t="inlineStr">
        <is>
          <t>https://www.lasillavacia.com/?p=393043</t>
        </is>
      </c>
      <c r="B250" s="38" t="inlineStr">
        <is>
          <t>https://www.lasillavacia.com/?p=393043_S02</t>
        </is>
      </c>
      <c r="C250" s="38" t="inlineStr">
        <is>
          <t>La Silla Vacía</t>
        </is>
      </c>
      <c r="D250" s="38" t="inlineStr">
        <is>
          <t>Relación con Estados Unidos</t>
        </is>
      </c>
      <c r="E250" s="38" t="inlineStr">
        <is>
          <t>Noticia dura</t>
        </is>
      </c>
      <c r="F250" s="38" t="inlineStr">
        <is>
          <t>Fri, 26 Dec 2025 05:05:00 +0000</t>
        </is>
      </c>
      <c r="G250" s="62" t="inlineStr">
        <is>
          <t>A la impredictibilidad del presidente Gustavo Petro se sumó el inmenso cambio en el equilibrio de poder mundial producido por la llegada de Donald Trump a la Casa Blanca.</t>
        </is>
      </c>
      <c r="H250" s="62" t="inlineStr">
        <is>
          <t>El 2025 fue un año lleno de incertidumbres.</t>
        </is>
      </c>
      <c r="I250" s="62" t="inlineStr">
        <is>
          <t>Esa mezcla –explosiva– definió estos 12 meses.</t>
        </is>
      </c>
      <c r="J250" s="38" t="n"/>
      <c r="K250" s="62" t="n"/>
      <c r="L250" s="38" t="n"/>
      <c r="M250" s="62" t="n"/>
      <c r="N250" s="38" t="n"/>
      <c r="O250" s="62" t="n"/>
      <c r="P250" s="38" t="n"/>
      <c r="Q250" s="62" t="n"/>
      <c r="R250" s="38" t="n"/>
      <c r="S250" s="62" t="n"/>
      <c r="T250" s="38" t="n"/>
      <c r="U250" s="62" t="n"/>
      <c r="V250" s="38" t="n"/>
      <c r="W250" s="62" t="n"/>
      <c r="X250" s="38" t="n"/>
      <c r="Y250" s="62" t="n"/>
      <c r="Z250" s="38" t="n"/>
      <c r="AA250" s="62" t="n"/>
      <c r="AB250" s="38" t="n"/>
      <c r="AC250" s="62" t="n"/>
      <c r="AD250" s="38" t="n"/>
      <c r="AE250" s="38" t="n"/>
      <c r="AF250" s="61">
        <f>IF(COUNTIF($B$5:B250,B250)=1,1,0)</f>
        <v/>
      </c>
      <c r="AG250" s="62" t="inlineStr">
        <is>
          <t>https://www.lasillavacia.com/silla-nacional/asi-se-transformo-el-poder-en-colombia-en-2025/</t>
        </is>
      </c>
    </row>
    <row r="251" ht="15" customHeight="1" s="31">
      <c r="A251" s="38" t="inlineStr">
        <is>
          <t>https://www.lasillavacia.com/?p=393043</t>
        </is>
      </c>
      <c r="B251" s="38" t="inlineStr">
        <is>
          <t>https://www.lasillavacia.com/?p=393043_S03</t>
        </is>
      </c>
      <c r="C251" s="38" t="inlineStr">
        <is>
          <t>La Silla Vacía</t>
        </is>
      </c>
      <c r="D251" s="38" t="inlineStr">
        <is>
          <t>Relación con Estados Unidos</t>
        </is>
      </c>
      <c r="E251" s="38" t="inlineStr">
        <is>
          <t>Noticia dura</t>
        </is>
      </c>
      <c r="F251" s="38" t="inlineStr">
        <is>
          <t>Fri, 26 Dec 2025 05:05:00 +0000</t>
        </is>
      </c>
      <c r="G251" s="62" t="inlineStr">
        <is>
          <t>Esa mezcla –explosiva– definió estos 12 meses.</t>
        </is>
      </c>
      <c r="H251" s="62" t="inlineStr">
        <is>
          <t>A la impredictibilidad del presidente Gustavo Petro se sumó el inmenso cambio en el equilibrio de poder mundial producido por la llegada de Donald Trump a la Casa Blanca.</t>
        </is>
      </c>
      <c r="I251" s="62" t="inlineStr">
        <is>
          <t>Estas fueron las 11 grandes transformaciones del poder: En 2025, a Gustavo Petro se le vio más aislado que nunca: su esposa, Verónica Alcocer, salió de Casa de Nariño; Estados Unidos lo metió en la Lista Clinton ; su hijo Nicolás fue acusado de corrupción; y varios de sus principales aliados de izquierda salieron del gabinete, igual que su mano derecha, Laura Sarabia , todos desplazados por el todopoderoso Armando Benedetti .</t>
        </is>
      </c>
      <c r="J251" s="38" t="n"/>
      <c r="K251" s="62" t="n"/>
      <c r="L251" s="38" t="n"/>
      <c r="M251" s="62" t="n"/>
      <c r="N251" s="38" t="n"/>
      <c r="O251" s="62" t="n"/>
      <c r="P251" s="38" t="n"/>
      <c r="Q251" s="62" t="n"/>
      <c r="R251" s="38" t="n"/>
      <c r="S251" s="62" t="n"/>
      <c r="T251" s="38" t="n"/>
      <c r="U251" s="62" t="n"/>
      <c r="V251" s="38" t="n"/>
      <c r="W251" s="62" t="n"/>
      <c r="X251" s="38" t="n"/>
      <c r="Y251" s="62" t="n"/>
      <c r="Z251" s="38" t="n"/>
      <c r="AA251" s="62" t="n"/>
      <c r="AB251" s="38" t="n"/>
      <c r="AC251" s="62" t="n"/>
      <c r="AD251" s="38" t="n"/>
      <c r="AE251" s="38" t="n"/>
      <c r="AF251" s="61">
        <f>IF(COUNTIF($B$5:B251,B251)=1,1,0)</f>
        <v/>
      </c>
      <c r="AG251" s="62" t="inlineStr">
        <is>
          <t>https://www.lasillavacia.com/silla-nacional/asi-se-transformo-el-poder-en-colombia-en-2025/</t>
        </is>
      </c>
    </row>
    <row r="252" ht="15" customHeight="1" s="31">
      <c r="A252" s="38" t="inlineStr">
        <is>
          <t>https://www.lasillavacia.com/?p=393043</t>
        </is>
      </c>
      <c r="B252" s="38" t="inlineStr">
        <is>
          <t>https://www.lasillavacia.com/?p=393043_S04</t>
        </is>
      </c>
      <c r="C252" s="38" t="inlineStr">
        <is>
          <t>La Silla Vacía</t>
        </is>
      </c>
      <c r="D252" s="38" t="inlineStr">
        <is>
          <t>Relación con Estados Unidos</t>
        </is>
      </c>
      <c r="E252" s="38" t="inlineStr">
        <is>
          <t>Noticia dura</t>
        </is>
      </c>
      <c r="F252" s="38" t="inlineStr">
        <is>
          <t>Fri, 26 Dec 2025 05:05:00 +0000</t>
        </is>
      </c>
      <c r="G252" s="62" t="inlineStr">
        <is>
          <t>Estas fueron las 11 grandes transformaciones del poder: En 2025, a Gustavo Petro se le vio más aislado que nunca: su esposa, Verónica Alcocer, salió de Casa de Nariño; Estados Unidos lo metió en la Lista Clinton ; su hijo Nicolás fue acusado de corrupción; y varios de sus principales aliados de izquierda salieron del gabinete, igual que su mano derecha, Laura Sarabia , todos desplazados por el todopoderoso Armando Benedetti .</t>
        </is>
      </c>
      <c r="H252" s="62" t="inlineStr">
        <is>
          <t>Esa mezcla –explosiva– definió estos 12 meses.</t>
        </is>
      </c>
      <c r="I252" s="62" t="inlineStr">
        <is>
          <t>Su gabinete de bajo perfil, no sostiene ninguna coalición en el Congreso, donde no logró en el último semestre sacar adelante ninguna de las reformas que quería.</t>
        </is>
      </c>
      <c r="J252" s="38" t="n"/>
      <c r="K252" s="62" t="n"/>
      <c r="L252" s="38" t="n"/>
      <c r="M252" s="62" t="n"/>
      <c r="N252" s="38" t="n"/>
      <c r="O252" s="62" t="n"/>
      <c r="P252" s="38" t="n"/>
      <c r="Q252" s="62" t="n"/>
      <c r="R252" s="38" t="n"/>
      <c r="S252" s="62" t="n"/>
      <c r="T252" s="38" t="n"/>
      <c r="U252" s="62" t="n"/>
      <c r="V252" s="38" t="n"/>
      <c r="W252" s="62" t="n"/>
      <c r="X252" s="38" t="n"/>
      <c r="Y252" s="62" t="n"/>
      <c r="Z252" s="38" t="n"/>
      <c r="AA252" s="62" t="n"/>
      <c r="AB252" s="38" t="n"/>
      <c r="AC252" s="62" t="n"/>
      <c r="AD252" s="38" t="n"/>
      <c r="AE252" s="38" t="n"/>
      <c r="AF252" s="61">
        <f>IF(COUNTIF($B$5:B252,B252)=1,1,0)</f>
        <v/>
      </c>
      <c r="AG252" s="62" t="inlineStr">
        <is>
          <t>https://www.lasillavacia.com/silla-nacional/asi-se-transformo-el-poder-en-colombia-en-2025/</t>
        </is>
      </c>
    </row>
    <row r="253" ht="15" customHeight="1" s="31">
      <c r="A253" s="38" t="inlineStr">
        <is>
          <t>https://www.lasillavacia.com/?p=393043</t>
        </is>
      </c>
      <c r="B253" s="38" t="inlineStr">
        <is>
          <t>https://www.lasillavacia.com/?p=393043_S05</t>
        </is>
      </c>
      <c r="C253" s="38" t="inlineStr">
        <is>
          <t>La Silla Vacía</t>
        </is>
      </c>
      <c r="D253" s="38" t="inlineStr">
        <is>
          <t>Relación con Estados Unidos</t>
        </is>
      </c>
      <c r="E253" s="38" t="inlineStr">
        <is>
          <t>Noticia dura</t>
        </is>
      </c>
      <c r="F253" s="38" t="inlineStr">
        <is>
          <t>Fri, 26 Dec 2025 05:05:00 +0000</t>
        </is>
      </c>
      <c r="G253" s="62" t="inlineStr">
        <is>
          <t>Su gabinete de bajo perfil, no sostiene ninguna coalición en el Congreso, donde no logró en el último semestre sacar adelante ninguna de las reformas que quería.</t>
        </is>
      </c>
      <c r="H253" s="62" t="inlineStr">
        <is>
          <t>Estas fueron las 11 grandes transformaciones del poder: En 2025, a Gustavo Petro se le vio más aislado que nunca: su esposa, Verónica Alcocer, salió de Casa de Nariño; Estados Unidos lo metió en la Lista Clinton ; su hijo Nicolás fue acusado de corrupción; y varios de sus principales aliados de izquierda salieron del gabinete, igual que su mano derecha, Laura Sarabia , todos desplazados por el todopoderoso Armando Benedetti .</t>
        </is>
      </c>
      <c r="I253" s="62" t="inlineStr">
        <is>
          <t>Incluso en el vecindario, Petro quedó como una voz solitaria frente al impulso regional a la explotación de hidrocarburos y en plantear una relación abiertamente hostil frente a Estados Unidos, a diferencia de México o Brasil.</t>
        </is>
      </c>
      <c r="J253" s="38" t="n"/>
      <c r="K253" s="62" t="n"/>
      <c r="L253" s="38" t="n"/>
      <c r="M253" s="62" t="n"/>
      <c r="N253" s="38" t="n"/>
      <c r="O253" s="62" t="n"/>
      <c r="P253" s="38" t="n"/>
      <c r="Q253" s="62" t="n"/>
      <c r="R253" s="38" t="n"/>
      <c r="S253" s="62" t="n"/>
      <c r="T253" s="38" t="n"/>
      <c r="U253" s="62" t="n"/>
      <c r="V253" s="38" t="n"/>
      <c r="W253" s="62" t="n"/>
      <c r="X253" s="38" t="n"/>
      <c r="Y253" s="62" t="n"/>
      <c r="Z253" s="38" t="n"/>
      <c r="AA253" s="62" t="n"/>
      <c r="AB253" s="38" t="n"/>
      <c r="AC253" s="62" t="n"/>
      <c r="AD253" s="38" t="n"/>
      <c r="AE253" s="38" t="n"/>
      <c r="AF253" s="61">
        <f>IF(COUNTIF($B$5:B253,B253)=1,1,0)</f>
        <v/>
      </c>
      <c r="AG253" s="62" t="inlineStr">
        <is>
          <t>https://www.lasillavacia.com/silla-nacional/asi-se-transformo-el-poder-en-colombia-en-2025/</t>
        </is>
      </c>
    </row>
    <row r="254" ht="15" customHeight="1" s="31">
      <c r="A254" s="38" t="inlineStr">
        <is>
          <t>https://www.lasillavacia.com/?p=393043</t>
        </is>
      </c>
      <c r="B254" s="38" t="inlineStr">
        <is>
          <t>https://www.lasillavacia.com/?p=393043_S06</t>
        </is>
      </c>
      <c r="C254" s="38" t="inlineStr">
        <is>
          <t>La Silla Vacía</t>
        </is>
      </c>
      <c r="D254" s="38" t="inlineStr">
        <is>
          <t>Relación con Estados Unidos</t>
        </is>
      </c>
      <c r="E254" s="38" t="inlineStr">
        <is>
          <t>Noticia dura</t>
        </is>
      </c>
      <c r="F254" s="38" t="inlineStr">
        <is>
          <t>Fri, 26 Dec 2025 05:05:00 +0000</t>
        </is>
      </c>
      <c r="G254" s="62" t="inlineStr">
        <is>
          <t>Incluso en el vecindario, Petro quedó como una voz solitaria frente al impulso regional a la explotación de hidrocarburos y en plantear una relación abiertamente hostil frente a Estados Unidos, a diferencia de México o Brasil.</t>
        </is>
      </c>
      <c r="H254" s="62" t="inlineStr">
        <is>
          <t>Su gabinete de bajo perfil, no sostiene ninguna coalición en el Congreso, donde no logró en el último semestre sacar adelante ninguna de las reformas que quería.</t>
        </is>
      </c>
      <c r="I254" s="62" t="inlineStr">
        <is>
          <t>Cuando lo metieron en la lista Clinton, ninguno de sus homólogos protestó.</t>
        </is>
      </c>
      <c r="J254" s="38" t="n"/>
      <c r="K254" s="62" t="n"/>
      <c r="L254" s="38" t="n"/>
      <c r="M254" s="62" t="n"/>
      <c r="N254" s="38" t="n"/>
      <c r="O254" s="62" t="n"/>
      <c r="P254" s="38" t="n"/>
      <c r="Q254" s="62" t="n"/>
      <c r="R254" s="38" t="n"/>
      <c r="S254" s="62" t="n"/>
      <c r="T254" s="38" t="n"/>
      <c r="U254" s="62" t="n"/>
      <c r="V254" s="38" t="n"/>
      <c r="W254" s="62" t="n"/>
      <c r="X254" s="38" t="n"/>
      <c r="Y254" s="62" t="n"/>
      <c r="Z254" s="38" t="n"/>
      <c r="AA254" s="62" t="n"/>
      <c r="AB254" s="38" t="n"/>
      <c r="AC254" s="62" t="n"/>
      <c r="AD254" s="38" t="n"/>
      <c r="AE254" s="38" t="n"/>
      <c r="AF254" s="61">
        <f>IF(COUNTIF($B$5:B254,B254)=1,1,0)</f>
        <v/>
      </c>
      <c r="AG254" s="62" t="inlineStr">
        <is>
          <t>https://www.lasillavacia.com/silla-nacional/asi-se-transformo-el-poder-en-colombia-en-2025/</t>
        </is>
      </c>
    </row>
    <row r="255" ht="15" customHeight="1" s="31">
      <c r="A255" s="38" t="inlineStr">
        <is>
          <t>https://www.lasillavacia.com/?p=393043</t>
        </is>
      </c>
      <c r="B255" s="38" t="inlineStr">
        <is>
          <t>https://www.lasillavacia.com/?p=393043_S07</t>
        </is>
      </c>
      <c r="C255" s="38" t="inlineStr">
        <is>
          <t>La Silla Vacía</t>
        </is>
      </c>
      <c r="D255" s="38" t="inlineStr">
        <is>
          <t>Relación con Estados Unidos</t>
        </is>
      </c>
      <c r="E255" s="38" t="inlineStr">
        <is>
          <t>Noticia dura</t>
        </is>
      </c>
      <c r="F255" s="38" t="inlineStr">
        <is>
          <t>Fri, 26 Dec 2025 05:05:00 +0000</t>
        </is>
      </c>
      <c r="G255" s="62" t="inlineStr">
        <is>
          <t>Cuando lo metieron en la lista Clinton, ninguno de sus homólogos protestó.</t>
        </is>
      </c>
      <c r="H255" s="62" t="inlineStr">
        <is>
          <t>Incluso en el vecindario, Petro quedó como una voz solitaria frente al impulso regional a la explotación de hidrocarburos y en plantear una relación abiertamente hostil frente a Estados Unidos, a diferencia de México o Brasil.</t>
        </is>
      </c>
      <c r="I255" s="62" t="inlineStr">
        <is>
          <t>A pesar de esa soledad personal, el proyecto político del presidente está más consolidado que nunca.</t>
        </is>
      </c>
      <c r="J255" s="38" t="n"/>
      <c r="K255" s="62" t="n"/>
      <c r="L255" s="38" t="n"/>
      <c r="M255" s="62" t="n"/>
      <c r="N255" s="38" t="n"/>
      <c r="O255" s="62" t="n"/>
      <c r="P255" s="38" t="n"/>
      <c r="Q255" s="62" t="n"/>
      <c r="R255" s="38" t="n"/>
      <c r="S255" s="62" t="n"/>
      <c r="T255" s="38" t="n"/>
      <c r="U255" s="62" t="n"/>
      <c r="V255" s="38" t="n"/>
      <c r="W255" s="62" t="n"/>
      <c r="X255" s="38" t="n"/>
      <c r="Y255" s="62" t="n"/>
      <c r="Z255" s="38" t="n"/>
      <c r="AA255" s="62" t="n"/>
      <c r="AB255" s="38" t="n"/>
      <c r="AC255" s="62" t="n"/>
      <c r="AD255" s="38" t="n"/>
      <c r="AE255" s="38" t="n"/>
      <c r="AF255" s="61">
        <f>IF(COUNTIF($B$5:B255,B255)=1,1,0)</f>
        <v/>
      </c>
      <c r="AG255" s="62" t="inlineStr">
        <is>
          <t>https://www.lasillavacia.com/silla-nacional/asi-se-transformo-el-poder-en-colombia-en-2025/</t>
        </is>
      </c>
    </row>
    <row r="256" ht="15" customHeight="1" s="31">
      <c r="A256" s="38" t="inlineStr">
        <is>
          <t>https://www.lasillavacia.com/?p=393043</t>
        </is>
      </c>
      <c r="B256" s="38" t="inlineStr">
        <is>
          <t>https://www.lasillavacia.com/?p=393043_S08</t>
        </is>
      </c>
      <c r="C256" s="38" t="inlineStr">
        <is>
          <t>La Silla Vacía</t>
        </is>
      </c>
      <c r="D256" s="38" t="inlineStr">
        <is>
          <t>Relación con Estados Unidos</t>
        </is>
      </c>
      <c r="E256" s="38" t="inlineStr">
        <is>
          <t>Noticia dura</t>
        </is>
      </c>
      <c r="F256" s="38" t="inlineStr">
        <is>
          <t>Fri, 26 Dec 2025 05:05:00 +0000</t>
        </is>
      </c>
      <c r="G256" s="62" t="inlineStr">
        <is>
          <t>A pesar de esa soledad personal, el proyecto político del presidente está más consolidado que nunca.</t>
        </is>
      </c>
      <c r="H256" s="62" t="inlineStr">
        <is>
          <t>Cuando lo metieron en la lista Clinton, ninguno de sus homólogos protestó.</t>
        </is>
      </c>
      <c r="I256" s="62" t="n"/>
      <c r="J256" s="38" t="n"/>
      <c r="K256" s="62" t="n"/>
      <c r="L256" s="38" t="n"/>
      <c r="M256" s="62" t="n"/>
      <c r="N256" s="38" t="n"/>
      <c r="O256" s="62" t="n"/>
      <c r="P256" s="38" t="n"/>
      <c r="Q256" s="62" t="n"/>
      <c r="R256" s="38" t="n"/>
      <c r="S256" s="62" t="n"/>
      <c r="T256" s="38" t="n"/>
      <c r="U256" s="62" t="n"/>
      <c r="V256" s="38" t="n"/>
      <c r="W256" s="62" t="n"/>
      <c r="X256" s="38" t="n"/>
      <c r="Y256" s="62" t="n"/>
      <c r="Z256" s="38" t="n"/>
      <c r="AA256" s="62" t="n"/>
      <c r="AB256" s="38" t="n"/>
      <c r="AC256" s="62" t="n"/>
      <c r="AD256" s="38" t="n"/>
      <c r="AE256" s="38" t="n"/>
      <c r="AF256" s="61">
        <f>IF(COUNTIF($B$5:B256,B256)=1,1,0)</f>
        <v/>
      </c>
      <c r="AG256" s="62" t="inlineStr">
        <is>
          <t>https://www.lasillavacia.com/silla-nacional/asi-se-transformo-el-poder-en-colombia-en-2025/</t>
        </is>
      </c>
    </row>
    <row r="257" ht="15" customHeight="1" s="31">
      <c r="A257" s="38" t="inlineStr">
        <is>
          <t>https://www.lasillavacia.com/?p=443096</t>
        </is>
      </c>
      <c r="B257" s="38" t="inlineStr">
        <is>
          <t>https://www.lasillavacia.com/?p=443096_S03</t>
        </is>
      </c>
      <c r="C257" s="38" t="inlineStr">
        <is>
          <t>La Silla Vacía</t>
        </is>
      </c>
      <c r="D257" s="38" t="inlineStr">
        <is>
          <t>Seguridad y orden público</t>
        </is>
      </c>
      <c r="E257" s="38" t="inlineStr">
        <is>
          <t>Opinión-análisis</t>
        </is>
      </c>
      <c r="F257" s="38" t="inlineStr">
        <is>
          <t>Thu, 03 Sep 2026 21:00:00 +0000</t>
        </is>
      </c>
      <c r="G257" s="62" t="inlineStr">
        <is>
          <t>Una política de seguridad no debería preguntarse únicamente cuántos fueron capturados o abatidos hoy, sino cuánta capacidad criminal dejó de existir.</t>
        </is>
      </c>
      <c r="H257" s="62" t="inlineStr">
        <is>
          <t>Esta columna fue escrita por la columnista invitada Alexandra González Zapata.</t>
        </is>
      </c>
      <c r="I257" s="62" t="inlineStr">
        <is>
          <t>En menos de tres semanas, el nuevo gobierno ha hecho de los “golpes contundentes” una de sus principales narrativas de seguridad.</t>
        </is>
      </c>
      <c r="J257" s="38" t="n"/>
      <c r="K257" s="62" t="n"/>
      <c r="L257" s="38" t="n"/>
      <c r="M257" s="62" t="n"/>
      <c r="N257" s="38" t="n"/>
      <c r="O257" s="62" t="n"/>
      <c r="P257" s="38" t="n"/>
      <c r="Q257" s="62" t="n"/>
      <c r="R257" s="38" t="n"/>
      <c r="S257" s="62" t="n"/>
      <c r="T257" s="38" t="n"/>
      <c r="U257" s="62" t="n"/>
      <c r="V257" s="38" t="n"/>
      <c r="W257" s="62" t="n"/>
      <c r="X257" s="38" t="n"/>
      <c r="Y257" s="62" t="n"/>
      <c r="Z257" s="38" t="n"/>
      <c r="AA257" s="62" t="n"/>
      <c r="AB257" s="38" t="n"/>
      <c r="AC257" s="62" t="n"/>
      <c r="AD257" s="38" t="n"/>
      <c r="AE257" s="38" t="n"/>
      <c r="AF257" s="61">
        <f>IF(COUNTIF($B$5:B257,B257)=1,1,0)</f>
        <v/>
      </c>
      <c r="AG257" s="62" t="inlineStr">
        <is>
          <t>https://www.lasillavacia.com/red-de-expertos/red-de-la-paz/contar-capturas-y-bajas-no-mide-la-seguridad-en-colombia/</t>
        </is>
      </c>
    </row>
    <row r="258" ht="15" customHeight="1" s="31">
      <c r="A258" s="38" t="inlineStr">
        <is>
          <t>https://www.lasillavacia.com/?p=443096</t>
        </is>
      </c>
      <c r="B258" s="38" t="inlineStr">
        <is>
          <t>https://www.lasillavacia.com/?p=443096_S04</t>
        </is>
      </c>
      <c r="C258" s="38" t="inlineStr">
        <is>
          <t>La Silla Vacía</t>
        </is>
      </c>
      <c r="D258" s="38" t="inlineStr">
        <is>
          <t>Seguridad y orden público</t>
        </is>
      </c>
      <c r="E258" s="38" t="inlineStr">
        <is>
          <t>Opinión-análisis</t>
        </is>
      </c>
      <c r="F258" s="38" t="inlineStr">
        <is>
          <t>Thu, 03 Sep 2026 21:00:00 +0000</t>
        </is>
      </c>
      <c r="G258" s="62" t="inlineStr">
        <is>
          <t>En menos de tres semanas, el nuevo gobierno ha hecho de los “golpes contundentes” una de sus principales narrativas de seguridad.</t>
        </is>
      </c>
      <c r="H258" s="62" t="inlineStr">
        <is>
          <t>Una política de seguridad no debería preguntarse únicamente cuántos fueron capturados o abatidos hoy, sino cuánta capacidad criminal dejó de existir.</t>
        </is>
      </c>
      <c r="I258" s="62" t="inlineStr">
        <is>
          <t>Tres bombardeos —en los que murieron cuatro menores de edad víctimas de reclutamiento forzado—, capturas, bajas e incautaciones buscan transmitir una idea sencilla: el Estado volvió a ejercer autoridad.</t>
        </is>
      </c>
      <c r="J258" s="38" t="n"/>
      <c r="K258" s="62" t="n"/>
      <c r="L258" s="38" t="n"/>
      <c r="M258" s="62" t="n"/>
      <c r="N258" s="38" t="n"/>
      <c r="O258" s="62" t="n"/>
      <c r="P258" s="38" t="n"/>
      <c r="Q258" s="62" t="n"/>
      <c r="R258" s="38" t="n"/>
      <c r="S258" s="62" t="n"/>
      <c r="T258" s="38" t="n"/>
      <c r="U258" s="62" t="n"/>
      <c r="V258" s="38" t="n"/>
      <c r="W258" s="62" t="n"/>
      <c r="X258" s="38" t="n"/>
      <c r="Y258" s="62" t="n"/>
      <c r="Z258" s="38" t="n"/>
      <c r="AA258" s="62" t="n"/>
      <c r="AB258" s="38" t="n"/>
      <c r="AC258" s="62" t="n"/>
      <c r="AD258" s="38" t="n"/>
      <c r="AE258" s="38" t="n"/>
      <c r="AF258" s="61">
        <f>IF(COUNTIF($B$5:B258,B258)=1,1,0)</f>
        <v/>
      </c>
      <c r="AG258" s="62" t="inlineStr">
        <is>
          <t>https://www.lasillavacia.com/red-de-expertos/red-de-la-paz/contar-capturas-y-bajas-no-mide-la-seguridad-en-colombia/</t>
        </is>
      </c>
    </row>
    <row r="259" ht="15" customHeight="1" s="31">
      <c r="A259" s="38" t="inlineStr">
        <is>
          <t>https://www.lasillavacia.com/?p=443096</t>
        </is>
      </c>
      <c r="B259" s="38" t="inlineStr">
        <is>
          <t>https://www.lasillavacia.com/?p=443096_S05</t>
        </is>
      </c>
      <c r="C259" s="38" t="inlineStr">
        <is>
          <t>La Silla Vacía</t>
        </is>
      </c>
      <c r="D259" s="38" t="inlineStr">
        <is>
          <t>Seguridad y orden público</t>
        </is>
      </c>
      <c r="E259" s="38" t="inlineStr">
        <is>
          <t>Opinión-análisis</t>
        </is>
      </c>
      <c r="F259" s="38" t="inlineStr">
        <is>
          <t>Thu, 03 Sep 2026 21:00:00 +0000</t>
        </is>
      </c>
      <c r="G259" s="62" t="inlineStr">
        <is>
          <t>Tres bombardeos —en los que murieron cuatro menores de edad víctimas de reclutamiento forzado—, capturas, bajas e incautaciones buscan transmitir una idea sencilla: el Estado volvió a ejercer autoridad.</t>
        </is>
      </c>
      <c r="H259" s="62" t="inlineStr">
        <is>
          <t>En menos de tres semanas, el nuevo gobierno ha hecho de los “golpes contundentes” una de sus principales narrativas de seguridad.</t>
        </is>
      </c>
      <c r="I259" s="62" t="inlineStr">
        <is>
          <t>El gobierno anterior deja una paradoja útil para entenderlo.</t>
        </is>
      </c>
      <c r="J259" s="38" t="n"/>
      <c r="K259" s="62" t="n"/>
      <c r="L259" s="38" t="n"/>
      <c r="M259" s="62" t="n"/>
      <c r="N259" s="38" t="n"/>
      <c r="O259" s="62" t="n"/>
      <c r="P259" s="38" t="n"/>
      <c r="Q259" s="62" t="n"/>
      <c r="R259" s="38" t="n"/>
      <c r="S259" s="62" t="n"/>
      <c r="T259" s="38" t="n"/>
      <c r="U259" s="62" t="n"/>
      <c r="V259" s="38" t="n"/>
      <c r="W259" s="62" t="n"/>
      <c r="X259" s="38" t="n"/>
      <c r="Y259" s="62" t="n"/>
      <c r="Z259" s="38" t="n"/>
      <c r="AA259" s="62" t="n"/>
      <c r="AB259" s="38" t="n"/>
      <c r="AC259" s="62" t="n"/>
      <c r="AD259" s="38" t="n"/>
      <c r="AE259" s="38" t="n"/>
      <c r="AF259" s="61">
        <f>IF(COUNTIF($B$5:B259,B259)=1,1,0)</f>
        <v/>
      </c>
      <c r="AG259" s="62" t="inlineStr">
        <is>
          <t>https://www.lasillavacia.com/red-de-expertos/red-de-la-paz/contar-capturas-y-bajas-no-mide-la-seguridad-en-colombia/</t>
        </is>
      </c>
    </row>
    <row r="260" ht="15" customHeight="1" s="31">
      <c r="A260" s="38" t="inlineStr">
        <is>
          <t>https://www.lasillavacia.com/?p=443096</t>
        </is>
      </c>
      <c r="B260" s="38" t="inlineStr">
        <is>
          <t>https://www.lasillavacia.com/?p=443096_S06</t>
        </is>
      </c>
      <c r="C260" s="38" t="inlineStr">
        <is>
          <t>La Silla Vacía</t>
        </is>
      </c>
      <c r="D260" s="38" t="inlineStr">
        <is>
          <t>Seguridad y orden público</t>
        </is>
      </c>
      <c r="E260" s="38" t="inlineStr">
        <is>
          <t>Opinión-análisis</t>
        </is>
      </c>
      <c r="F260" s="38" t="inlineStr">
        <is>
          <t>Thu, 03 Sep 2026 21:00:00 +0000</t>
        </is>
      </c>
      <c r="G260" s="62" t="inlineStr">
        <is>
          <t>El gobierno anterior deja una paradoja útil para entenderlo.</t>
        </is>
      </c>
      <c r="H260" s="62" t="inlineStr">
        <is>
          <t>Tres bombardeos —en los que murieron cuatro menores de edad víctimas de reclutamiento forzado—, capturas, bajas e incautaciones buscan transmitir una idea sencilla: el Estado volvió a ejercer autoridad.</t>
        </is>
      </c>
      <c r="I260" s="62" t="inlineStr">
        <is>
          <t>Entre agosto de 2022 y julio de 2026, las Fuerzas Militares y la Policía neutralizaron a más de 16.000 integrantes de grupos armados y libraron un combate cada 20 horas, según reportó el Ministerio de Defensa.</t>
        </is>
      </c>
      <c r="J260" s="38" t="n"/>
      <c r="K260" s="62" t="n"/>
      <c r="L260" s="38" t="n"/>
      <c r="M260" s="62" t="n"/>
      <c r="N260" s="38" t="n"/>
      <c r="O260" s="62" t="n"/>
      <c r="P260" s="38" t="n"/>
      <c r="Q260" s="62" t="n"/>
      <c r="R260" s="38" t="n"/>
      <c r="S260" s="62" t="n"/>
      <c r="T260" s="38" t="n"/>
      <c r="U260" s="62" t="n"/>
      <c r="V260" s="38" t="n"/>
      <c r="W260" s="62" t="n"/>
      <c r="X260" s="38" t="n"/>
      <c r="Y260" s="62" t="n"/>
      <c r="Z260" s="38" t="n"/>
      <c r="AA260" s="62" t="n"/>
      <c r="AB260" s="38" t="n"/>
      <c r="AC260" s="62" t="n"/>
      <c r="AD260" s="38" t="n"/>
      <c r="AE260" s="38" t="n"/>
      <c r="AF260" s="61">
        <f>IF(COUNTIF($B$5:B260,B260)=1,1,0)</f>
        <v/>
      </c>
      <c r="AG260" s="62" t="inlineStr">
        <is>
          <t>https://www.lasillavacia.com/red-de-expertos/red-de-la-paz/contar-capturas-y-bajas-no-mide-la-seguridad-en-colombia/</t>
        </is>
      </c>
    </row>
    <row r="261" ht="15" customHeight="1" s="31">
      <c r="A261" s="38" t="inlineStr">
        <is>
          <t>https://www.lasillavacia.com/?p=443096</t>
        </is>
      </c>
      <c r="B261" s="38" t="inlineStr">
        <is>
          <t>https://www.lasillavacia.com/?p=443096_S07</t>
        </is>
      </c>
      <c r="C261" s="38" t="inlineStr">
        <is>
          <t>La Silla Vacía</t>
        </is>
      </c>
      <c r="D261" s="38" t="inlineStr">
        <is>
          <t>Seguridad y orden público</t>
        </is>
      </c>
      <c r="E261" s="38" t="inlineStr">
        <is>
          <t>Opinión-análisis</t>
        </is>
      </c>
      <c r="F261" s="38" t="inlineStr">
        <is>
          <t>Thu, 03 Sep 2026 21:00:00 +0000</t>
        </is>
      </c>
      <c r="G261" s="62" t="inlineStr">
        <is>
          <t>Entre agosto de 2022 y julio de 2026, las Fuerzas Militares y la Policía neutralizaron a más de 16.000 integrantes de grupos armados y libraron un combate cada 20 horas, según reportó el Ministerio de Defensa.</t>
        </is>
      </c>
      <c r="H261" s="62" t="inlineStr">
        <is>
          <t>El gobierno anterior deja una paradoja útil para entenderlo.</t>
        </is>
      </c>
      <c r="I261" s="62" t="inlineStr">
        <is>
          <t>Al mismo tiempo, la información de inteligencia estimó que las estructuras armadas aumentaron un 85% y superaron los 27.000 integrantes.</t>
        </is>
      </c>
      <c r="J261" s="38" t="n"/>
      <c r="K261" s="62" t="n"/>
      <c r="L261" s="38" t="n"/>
      <c r="M261" s="62" t="n"/>
      <c r="N261" s="38" t="n"/>
      <c r="O261" s="62" t="n"/>
      <c r="P261" s="38" t="n"/>
      <c r="Q261" s="62" t="n"/>
      <c r="R261" s="38" t="n"/>
      <c r="S261" s="62" t="n"/>
      <c r="T261" s="38" t="n"/>
      <c r="U261" s="62" t="n"/>
      <c r="V261" s="38" t="n"/>
      <c r="W261" s="62" t="n"/>
      <c r="X261" s="38" t="n"/>
      <c r="Y261" s="62" t="n"/>
      <c r="Z261" s="38" t="n"/>
      <c r="AA261" s="62" t="n"/>
      <c r="AB261" s="38" t="n"/>
      <c r="AC261" s="62" t="n"/>
      <c r="AD261" s="38" t="n"/>
      <c r="AE261" s="38" t="n"/>
      <c r="AF261" s="61">
        <f>IF(COUNTIF($B$5:B261,B261)=1,1,0)</f>
        <v/>
      </c>
      <c r="AG261" s="62" t="inlineStr">
        <is>
          <t>https://www.lasillavacia.com/red-de-expertos/red-de-la-paz/contar-capturas-y-bajas-no-mide-la-seguridad-en-colombia/</t>
        </is>
      </c>
    </row>
    <row r="262" ht="15" customHeight="1" s="31">
      <c r="A262" s="38" t="inlineStr">
        <is>
          <t>https://www.lasillavacia.com/?p=443096</t>
        </is>
      </c>
      <c r="B262" s="38" t="inlineStr">
        <is>
          <t>https://www.lasillavacia.com/?p=443096_S08</t>
        </is>
      </c>
      <c r="C262" s="38" t="inlineStr">
        <is>
          <t>La Silla Vacía</t>
        </is>
      </c>
      <c r="D262" s="38" t="inlineStr">
        <is>
          <t>Seguridad y orden público</t>
        </is>
      </c>
      <c r="E262" s="38" t="inlineStr">
        <is>
          <t>Opinión-análisis</t>
        </is>
      </c>
      <c r="F262" s="38" t="inlineStr">
        <is>
          <t>Thu, 03 Sep 2026 21:00:00 +0000</t>
        </is>
      </c>
      <c r="G262" s="62" t="inlineStr">
        <is>
          <t>Al mismo tiempo, la información de inteligencia estimó que las estructuras armadas aumentaron un 85% y superaron los 27.000 integrantes.</t>
        </is>
      </c>
      <c r="H262" s="62" t="inlineStr">
        <is>
          <t>Entre agosto de 2022 y julio de 2026, las Fuerzas Militares y la Policía neutralizaron a más de 16.000 integrantes de grupos armados y libraron un combate cada 20 horas, según reportó el Ministerio de Defensa.</t>
        </is>
      </c>
      <c r="I262" s="62" t="inlineStr">
        <is>
          <t>El Clan del Golfo es el mejor ejemplo: el 51% de los neutralizados pertenecían a este grupo.</t>
        </is>
      </c>
      <c r="J262" s="38" t="n"/>
      <c r="K262" s="62" t="n"/>
      <c r="L262" s="38" t="n"/>
      <c r="M262" s="62" t="n"/>
      <c r="N262" s="38" t="n"/>
      <c r="O262" s="62" t="n"/>
      <c r="P262" s="38" t="n"/>
      <c r="Q262" s="62" t="n"/>
      <c r="R262" s="38" t="n"/>
      <c r="S262" s="62" t="n"/>
      <c r="T262" s="38" t="n"/>
      <c r="U262" s="62" t="n"/>
      <c r="V262" s="38" t="n"/>
      <c r="W262" s="62" t="n"/>
      <c r="X262" s="38" t="n"/>
      <c r="Y262" s="62" t="n"/>
      <c r="Z262" s="38" t="n"/>
      <c r="AA262" s="62" t="n"/>
      <c r="AB262" s="38" t="n"/>
      <c r="AC262" s="62" t="n"/>
      <c r="AD262" s="38" t="n"/>
      <c r="AE262" s="38" t="n"/>
      <c r="AF262" s="61">
        <f>IF(COUNTIF($B$5:B262,B262)=1,1,0)</f>
        <v/>
      </c>
      <c r="AG262" s="62" t="inlineStr">
        <is>
          <t>https://www.lasillavacia.com/red-de-expertos/red-de-la-paz/contar-capturas-y-bajas-no-mide-la-seguridad-en-colombia/</t>
        </is>
      </c>
    </row>
    <row r="263" ht="15" customHeight="1" s="31">
      <c r="A263" s="38" t="inlineStr">
        <is>
          <t>https://www.lasillavacia.com/?p=443096</t>
        </is>
      </c>
      <c r="B263" s="38" t="inlineStr">
        <is>
          <t>https://www.lasillavacia.com/?p=443096_S09</t>
        </is>
      </c>
      <c r="C263" s="38" t="inlineStr">
        <is>
          <t>La Silla Vacía</t>
        </is>
      </c>
      <c r="D263" s="38" t="inlineStr">
        <is>
          <t>Seguridad y orden público</t>
        </is>
      </c>
      <c r="E263" s="38" t="inlineStr">
        <is>
          <t>Opinión-análisis</t>
        </is>
      </c>
      <c r="F263" s="38" t="inlineStr">
        <is>
          <t>Thu, 03 Sep 2026 21:00:00 +0000</t>
        </is>
      </c>
      <c r="G263" s="62" t="inlineStr">
        <is>
          <t>El Clan del Golfo es el mejor ejemplo: el 51% de los neutralizados pertenecían a este grupo.</t>
        </is>
      </c>
      <c r="H263" s="62" t="inlineStr">
        <is>
          <t>Al mismo tiempo, la información de inteligencia estimó que las estructuras armadas aumentaron un 85% y superaron los 27.000 integrantes.</t>
        </is>
      </c>
      <c r="I263" s="62" t="inlineStr">
        <is>
          <t>Aún así, hoy es la organización armada ilegal más numerosa del país.</t>
        </is>
      </c>
      <c r="J263" s="38" t="n"/>
      <c r="K263" s="62" t="n"/>
      <c r="L263" s="38" t="n"/>
      <c r="M263" s="62" t="n"/>
      <c r="N263" s="38" t="n"/>
      <c r="O263" s="62" t="n"/>
      <c r="P263" s="38" t="n"/>
      <c r="Q263" s="62" t="n"/>
      <c r="R263" s="38" t="n"/>
      <c r="S263" s="62" t="n"/>
      <c r="T263" s="38" t="n"/>
      <c r="U263" s="62" t="n"/>
      <c r="V263" s="38" t="n"/>
      <c r="W263" s="62" t="n"/>
      <c r="X263" s="38" t="n"/>
      <c r="Y263" s="62" t="n"/>
      <c r="Z263" s="38" t="n"/>
      <c r="AA263" s="62" t="n"/>
      <c r="AB263" s="38" t="n"/>
      <c r="AC263" s="62" t="n"/>
      <c r="AD263" s="38" t="n"/>
      <c r="AE263" s="38" t="n"/>
      <c r="AF263" s="61">
        <f>IF(COUNTIF($B$5:B263,B263)=1,1,0)</f>
        <v/>
      </c>
      <c r="AG263" s="62" t="inlineStr">
        <is>
          <t>https://www.lasillavacia.com/red-de-expertos/red-de-la-paz/contar-capturas-y-bajas-no-mide-la-seguridad-en-colombia/</t>
        </is>
      </c>
    </row>
    <row r="264" ht="15" customHeight="1" s="31">
      <c r="A264" s="38" t="inlineStr">
        <is>
          <t>https://www.lasillavacia.com/?p=443096</t>
        </is>
      </c>
      <c r="B264" s="38" t="inlineStr">
        <is>
          <t>https://www.lasillavacia.com/?p=443096_S10</t>
        </is>
      </c>
      <c r="C264" s="38" t="inlineStr">
        <is>
          <t>La Silla Vacía</t>
        </is>
      </c>
      <c r="D264" s="38" t="inlineStr">
        <is>
          <t>Seguridad y orden público</t>
        </is>
      </c>
      <c r="E264" s="38" t="inlineStr">
        <is>
          <t>Opinión-análisis</t>
        </is>
      </c>
      <c r="F264" s="38" t="inlineStr">
        <is>
          <t>Thu, 03 Sep 2026 21:00:00 +0000</t>
        </is>
      </c>
      <c r="G264" s="62" t="inlineStr">
        <is>
          <t>Aún así, hoy es la organización armada ilegal más numerosa del país.</t>
        </is>
      </c>
      <c r="H264" s="62" t="inlineStr">
        <is>
          <t>El Clan del Golfo es el mejor ejemplo: el 51% de los neutralizados pertenecían a este grupo.</t>
        </is>
      </c>
      <c r="I264" s="62" t="inlineStr">
        <is>
          <t>A eso podríamos llamarlo “inercia operacional”.</t>
        </is>
      </c>
      <c r="J264" s="38" t="n"/>
      <c r="K264" s="62" t="n"/>
      <c r="L264" s="38" t="n"/>
      <c r="M264" s="62" t="n"/>
      <c r="N264" s="38" t="n"/>
      <c r="O264" s="62" t="n"/>
      <c r="P264" s="38" t="n"/>
      <c r="Q264" s="62" t="n"/>
      <c r="R264" s="38" t="n"/>
      <c r="S264" s="62" t="n"/>
      <c r="T264" s="38" t="n"/>
      <c r="U264" s="62" t="n"/>
      <c r="V264" s="38" t="n"/>
      <c r="W264" s="62" t="n"/>
      <c r="X264" s="38" t="n"/>
      <c r="Y264" s="62" t="n"/>
      <c r="Z264" s="38" t="n"/>
      <c r="AA264" s="62" t="n"/>
      <c r="AB264" s="38" t="n"/>
      <c r="AC264" s="62" t="n"/>
      <c r="AD264" s="38" t="n"/>
      <c r="AE264" s="38" t="n"/>
      <c r="AF264" s="61">
        <f>IF(COUNTIF($B$5:B264,B264)=1,1,0)</f>
        <v/>
      </c>
      <c r="AG264" s="62" t="inlineStr">
        <is>
          <t>https://www.lasillavacia.com/red-de-expertos/red-de-la-paz/contar-capturas-y-bajas-no-mide-la-seguridad-en-colombia/</t>
        </is>
      </c>
    </row>
    <row r="265" ht="15" customHeight="1" s="31">
      <c r="A265" s="38" t="inlineStr">
        <is>
          <t>https://www.lasillavacia.com/?p=443096</t>
        </is>
      </c>
      <c r="B265" s="38" t="inlineStr">
        <is>
          <t>https://www.lasillavacia.com/?p=443096_S11</t>
        </is>
      </c>
      <c r="C265" s="38" t="inlineStr">
        <is>
          <t>La Silla Vacía</t>
        </is>
      </c>
      <c r="D265" s="38" t="inlineStr">
        <is>
          <t>Seguridad y orden público</t>
        </is>
      </c>
      <c r="E265" s="38" t="inlineStr">
        <is>
          <t>Opinión-análisis</t>
        </is>
      </c>
      <c r="F265" s="38" t="inlineStr">
        <is>
          <t>Thu, 03 Sep 2026 21:00:00 +0000</t>
        </is>
      </c>
      <c r="G265" s="62" t="inlineStr">
        <is>
          <t>A eso podríamos llamarlo “inercia operacional”.</t>
        </is>
      </c>
      <c r="H265" s="62" t="inlineStr">
        <is>
          <t>Aún así, hoy es la organización armada ilegal más numerosa del país.</t>
        </is>
      </c>
      <c r="I265" s="62" t="inlineStr">
        <is>
          <t>El Estado continúa midiendo buena parte de su éxito por aquello que sabe contar: capturas, bajas y toneladas incautadas.</t>
        </is>
      </c>
      <c r="J265" s="38" t="n"/>
      <c r="K265" s="62" t="n"/>
      <c r="L265" s="38" t="n"/>
      <c r="M265" s="62" t="n"/>
      <c r="N265" s="38" t="n"/>
      <c r="O265" s="62" t="n"/>
      <c r="P265" s="38" t="n"/>
      <c r="Q265" s="62" t="n"/>
      <c r="R265" s="38" t="n"/>
      <c r="S265" s="62" t="n"/>
      <c r="T265" s="38" t="n"/>
      <c r="U265" s="62" t="n"/>
      <c r="V265" s="38" t="n"/>
      <c r="W265" s="62" t="n"/>
      <c r="X265" s="38" t="n"/>
      <c r="Y265" s="62" t="n"/>
      <c r="Z265" s="38" t="n"/>
      <c r="AA265" s="62" t="n"/>
      <c r="AB265" s="38" t="n"/>
      <c r="AC265" s="62" t="n"/>
      <c r="AD265" s="38" t="n"/>
      <c r="AE265" s="38" t="n"/>
      <c r="AF265" s="61">
        <f>IF(COUNTIF($B$5:B265,B265)=1,1,0)</f>
        <v/>
      </c>
      <c r="AG265" s="62" t="inlineStr">
        <is>
          <t>https://www.lasillavacia.com/red-de-expertos/red-de-la-paz/contar-capturas-y-bajas-no-mide-la-seguridad-en-colombia/</t>
        </is>
      </c>
    </row>
    <row r="266" ht="15" customHeight="1" s="31">
      <c r="A266" s="38" t="inlineStr">
        <is>
          <t>https://www.lasillavacia.com/?p=443096</t>
        </is>
      </c>
      <c r="B266" s="38" t="inlineStr">
        <is>
          <t>https://www.lasillavacia.com/?p=443096_S12</t>
        </is>
      </c>
      <c r="C266" s="38" t="inlineStr">
        <is>
          <t>La Silla Vacía</t>
        </is>
      </c>
      <c r="D266" s="38" t="inlineStr">
        <is>
          <t>Seguridad y orden público</t>
        </is>
      </c>
      <c r="E266" s="38" t="inlineStr">
        <is>
          <t>Opinión-análisis</t>
        </is>
      </c>
      <c r="F266" s="38" t="inlineStr">
        <is>
          <t>Thu, 03 Sep 2026 21:00:00 +0000</t>
        </is>
      </c>
      <c r="G266" s="62" t="inlineStr">
        <is>
          <t>El Estado continúa midiendo buena parte de su éxito por aquello que sabe contar: capturas, bajas y toneladas incautadas.</t>
        </is>
      </c>
      <c r="H266" s="62" t="inlineStr">
        <is>
          <t>A eso podríamos llamarlo “inercia operacional”.</t>
        </is>
      </c>
      <c r="I266" s="62" t="n"/>
      <c r="J266" s="38" t="n"/>
      <c r="K266" s="62" t="n"/>
      <c r="L266" s="38" t="n"/>
      <c r="M266" s="62" t="n"/>
      <c r="N266" s="38" t="n"/>
      <c r="O266" s="62" t="n"/>
      <c r="P266" s="38" t="n"/>
      <c r="Q266" s="62" t="n"/>
      <c r="R266" s="38" t="n"/>
      <c r="S266" s="62" t="n"/>
      <c r="T266" s="38" t="n"/>
      <c r="U266" s="62" t="n"/>
      <c r="V266" s="38" t="n"/>
      <c r="W266" s="62" t="n"/>
      <c r="X266" s="38" t="n"/>
      <c r="Y266" s="62" t="n"/>
      <c r="Z266" s="38" t="n"/>
      <c r="AA266" s="62" t="n"/>
      <c r="AB266" s="38" t="n"/>
      <c r="AC266" s="62" t="n"/>
      <c r="AD266" s="38" t="n"/>
      <c r="AE266" s="38" t="n"/>
      <c r="AF266" s="61">
        <f>IF(COUNTIF($B$5:B266,B266)=1,1,0)</f>
        <v/>
      </c>
      <c r="AG266" s="62" t="inlineStr">
        <is>
          <t>https://www.lasillavacia.com/red-de-expertos/red-de-la-paz/contar-capturas-y-bajas-no-mide-la-seguridad-en-colombia/</t>
        </is>
      </c>
    </row>
    <row r="267" ht="15" customHeight="1" s="31">
      <c r="A267" s="38" t="inlineStr">
        <is>
          <t>https://www.lasillavacia.com/?p=436587</t>
        </is>
      </c>
      <c r="B267" s="38" t="inlineStr">
        <is>
          <t>https://www.lasillavacia.com/?p=436587_S01</t>
        </is>
      </c>
      <c r="C267" s="38" t="inlineStr">
        <is>
          <t>La Silla Vacía</t>
        </is>
      </c>
      <c r="D267" s="38" t="inlineStr">
        <is>
          <t>Seguridad y orden público</t>
        </is>
      </c>
      <c r="E267" s="38" t="inlineStr">
        <is>
          <t>Noticia dura</t>
        </is>
      </c>
      <c r="F267" s="38" t="inlineStr">
        <is>
          <t>Wed, 05 Aug 2026 17:07:39 +0000</t>
        </is>
      </c>
      <c r="G267" s="62" t="inlineStr">
        <is>
          <t>La Fundación Ideas para la Paz (FIP), que investiga el conflicto armado en el país, publicó un informe donde presenta un balance negativo de la paz total, una de las banderas del ya saliente gobierno de Gustavo Petro.</t>
        </is>
      </c>
      <c r="H267" s="62" t="n"/>
      <c r="I267" s="62" t="inlineStr">
        <is>
          <t>Una de las principales conclusiones es que todos los grupos armados crecieron en 13 mil integrantes en los últimos cuatro años.</t>
        </is>
      </c>
      <c r="J267" s="38" t="n"/>
      <c r="K267" s="62" t="n"/>
      <c r="L267" s="38" t="n"/>
      <c r="M267" s="62" t="n"/>
      <c r="N267" s="38" t="n"/>
      <c r="O267" s="62" t="n"/>
      <c r="P267" s="38" t="n"/>
      <c r="Q267" s="62" t="n"/>
      <c r="R267" s="38" t="n"/>
      <c r="S267" s="62" t="n"/>
      <c r="T267" s="38" t="n"/>
      <c r="U267" s="62" t="n"/>
      <c r="V267" s="38" t="n"/>
      <c r="W267" s="62" t="n"/>
      <c r="X267" s="38" t="n"/>
      <c r="Y267" s="62" t="n"/>
      <c r="Z267" s="38" t="n"/>
      <c r="AA267" s="62" t="n"/>
      <c r="AB267" s="38" t="n"/>
      <c r="AC267" s="62" t="n"/>
      <c r="AD267" s="38" t="n"/>
      <c r="AE267" s="38" t="n"/>
      <c r="AF267" s="61">
        <f>IF(COUNTIF($B$5:B267,B267)=1,1,0)</f>
        <v/>
      </c>
      <c r="AG267" s="62" t="inlineStr">
        <is>
          <t>https://www.lasillavacia.com/en-vivo/fip-en-balance-de-la-paz-total-grupos-armados-suman-28-mil-integrantes/</t>
        </is>
      </c>
    </row>
    <row r="268" ht="15" customHeight="1" s="31">
      <c r="A268" s="38" t="inlineStr">
        <is>
          <t>https://www.lasillavacia.com/?p=436587</t>
        </is>
      </c>
      <c r="B268" s="38" t="inlineStr">
        <is>
          <t>https://www.lasillavacia.com/?p=436587_S02</t>
        </is>
      </c>
      <c r="C268" s="38" t="inlineStr">
        <is>
          <t>La Silla Vacía</t>
        </is>
      </c>
      <c r="D268" s="38" t="inlineStr">
        <is>
          <t>Seguridad y orden público</t>
        </is>
      </c>
      <c r="E268" s="38" t="inlineStr">
        <is>
          <t>Noticia dura</t>
        </is>
      </c>
      <c r="F268" s="38" t="inlineStr">
        <is>
          <t>Wed, 05 Aug 2026 17:07:39 +0000</t>
        </is>
      </c>
      <c r="G268" s="62" t="inlineStr">
        <is>
          <t>Una de las principales conclusiones es que todos los grupos armados crecieron en 13 mil integrantes en los últimos cuatro años.</t>
        </is>
      </c>
      <c r="H268" s="62" t="inlineStr">
        <is>
          <t>La Fundación Ideas para la Paz (FIP), que investiga el conflicto armado en el país, publicó un informe donde presenta un balance negativo de la paz total, una de las banderas del ya saliente gobierno de Gustavo Petro.</t>
        </is>
      </c>
      <c r="I268" s="62" t="inlineStr">
        <is>
          <t>Más claves del informe.</t>
        </is>
      </c>
      <c r="J268" s="38" t="n"/>
      <c r="K268" s="62" t="n"/>
      <c r="L268" s="38" t="n"/>
      <c r="M268" s="62" t="n"/>
      <c r="N268" s="38" t="n"/>
      <c r="O268" s="62" t="n"/>
      <c r="P268" s="38" t="n"/>
      <c r="Q268" s="62" t="n"/>
      <c r="R268" s="38" t="n"/>
      <c r="S268" s="62" t="n"/>
      <c r="T268" s="38" t="n"/>
      <c r="U268" s="62" t="n"/>
      <c r="V268" s="38" t="n"/>
      <c r="W268" s="62" t="n"/>
      <c r="X268" s="38" t="n"/>
      <c r="Y268" s="62" t="n"/>
      <c r="Z268" s="38" t="n"/>
      <c r="AA268" s="62" t="n"/>
      <c r="AB268" s="38" t="n"/>
      <c r="AC268" s="62" t="n"/>
      <c r="AD268" s="38" t="n"/>
      <c r="AE268" s="38" t="n"/>
      <c r="AF268" s="61">
        <f>IF(COUNTIF($B$5:B268,B268)=1,1,0)</f>
        <v/>
      </c>
      <c r="AG268" s="62" t="inlineStr">
        <is>
          <t>https://www.lasillavacia.com/en-vivo/fip-en-balance-de-la-paz-total-grupos-armados-suman-28-mil-integrantes/</t>
        </is>
      </c>
    </row>
    <row r="269" ht="15" customHeight="1" s="31">
      <c r="A269" s="38" t="inlineStr">
        <is>
          <t>https://www.lasillavacia.com/?p=436587</t>
        </is>
      </c>
      <c r="B269" s="38" t="inlineStr">
        <is>
          <t>https://www.lasillavacia.com/?p=436587_S03</t>
        </is>
      </c>
      <c r="C269" s="38" t="inlineStr">
        <is>
          <t>La Silla Vacía</t>
        </is>
      </c>
      <c r="D269" s="38" t="inlineStr">
        <is>
          <t>Seguridad y orden público</t>
        </is>
      </c>
      <c r="E269" s="38" t="inlineStr">
        <is>
          <t>Noticia dura</t>
        </is>
      </c>
      <c r="F269" s="38" t="inlineStr">
        <is>
          <t>Wed, 05 Aug 2026 17:07:39 +0000</t>
        </is>
      </c>
      <c r="G269" s="62" t="inlineStr">
        <is>
          <t>Más claves del informe.</t>
        </is>
      </c>
      <c r="H269" s="62" t="inlineStr">
        <is>
          <t>Una de las principales conclusiones es que todos los grupos armados crecieron en 13 mil integrantes en los últimos cuatro años.</t>
        </is>
      </c>
      <c r="I269" s="62" t="inlineStr">
        <is>
          <t>El balance general: los grupos armados alcanzaron unos 28 mil integrantes.</t>
        </is>
      </c>
      <c r="J269" s="38" t="n"/>
      <c r="K269" s="62" t="n"/>
      <c r="L269" s="38" t="n"/>
      <c r="M269" s="62" t="n"/>
      <c r="N269" s="38" t="n"/>
      <c r="O269" s="62" t="n"/>
      <c r="P269" s="38" t="n"/>
      <c r="Q269" s="62" t="n"/>
      <c r="R269" s="38" t="n"/>
      <c r="S269" s="62" t="n"/>
      <c r="T269" s="38" t="n"/>
      <c r="U269" s="62" t="n"/>
      <c r="V269" s="38" t="n"/>
      <c r="W269" s="62" t="n"/>
      <c r="X269" s="38" t="n"/>
      <c r="Y269" s="62" t="n"/>
      <c r="Z269" s="38" t="n"/>
      <c r="AA269" s="62" t="n"/>
      <c r="AB269" s="38" t="n"/>
      <c r="AC269" s="62" t="n"/>
      <c r="AD269" s="38" t="n"/>
      <c r="AE269" s="38" t="n"/>
      <c r="AF269" s="61">
        <f>IF(COUNTIF($B$5:B269,B269)=1,1,0)</f>
        <v/>
      </c>
      <c r="AG269" s="62" t="inlineStr">
        <is>
          <t>https://www.lasillavacia.com/en-vivo/fip-en-balance-de-la-paz-total-grupos-armados-suman-28-mil-integrantes/</t>
        </is>
      </c>
    </row>
    <row r="270" ht="15" customHeight="1" s="31">
      <c r="A270" s="38" t="inlineStr">
        <is>
          <t>https://www.lasillavacia.com/?p=436587</t>
        </is>
      </c>
      <c r="B270" s="38" t="inlineStr">
        <is>
          <t>https://www.lasillavacia.com/?p=436587_S04</t>
        </is>
      </c>
      <c r="C270" s="38" t="inlineStr">
        <is>
          <t>La Silla Vacía</t>
        </is>
      </c>
      <c r="D270" s="38" t="inlineStr">
        <is>
          <t>Seguridad y orden público</t>
        </is>
      </c>
      <c r="E270" s="38" t="inlineStr">
        <is>
          <t>Noticia dura</t>
        </is>
      </c>
      <c r="F270" s="38" t="inlineStr">
        <is>
          <t>Wed, 05 Aug 2026 17:07:39 +0000</t>
        </is>
      </c>
      <c r="G270" s="62" t="inlineStr">
        <is>
          <t>El balance general: los grupos armados alcanzaron unos 28 mil integrantes.</t>
        </is>
      </c>
      <c r="H270" s="62" t="inlineStr">
        <is>
          <t>Más claves del informe.</t>
        </is>
      </c>
      <c r="I270" s="62" t="inlineStr">
        <is>
          <t>Al inicio del gobierno de Gustavo Petro, la cifra estaba en unos 15 mil, según datos del Ministerio de Defensa.</t>
        </is>
      </c>
      <c r="J270" s="38" t="n"/>
      <c r="K270" s="62" t="n"/>
      <c r="L270" s="38" t="n"/>
      <c r="M270" s="62" t="n"/>
      <c r="N270" s="38" t="n"/>
      <c r="O270" s="62" t="n"/>
      <c r="P270" s="38" t="n"/>
      <c r="Q270" s="62" t="n"/>
      <c r="R270" s="38" t="n"/>
      <c r="S270" s="62" t="n"/>
      <c r="T270" s="38" t="n"/>
      <c r="U270" s="62" t="n"/>
      <c r="V270" s="38" t="n"/>
      <c r="W270" s="62" t="n"/>
      <c r="X270" s="38" t="n"/>
      <c r="Y270" s="62" t="n"/>
      <c r="Z270" s="38" t="n"/>
      <c r="AA270" s="62" t="n"/>
      <c r="AB270" s="38" t="n"/>
      <c r="AC270" s="62" t="n"/>
      <c r="AD270" s="38" t="n"/>
      <c r="AE270" s="38" t="n"/>
      <c r="AF270" s="61">
        <f>IF(COUNTIF($B$5:B270,B270)=1,1,0)</f>
        <v/>
      </c>
      <c r="AG270" s="62" t="inlineStr">
        <is>
          <t>https://www.lasillavacia.com/en-vivo/fip-en-balance-de-la-paz-total-grupos-armados-suman-28-mil-integrantes/</t>
        </is>
      </c>
    </row>
    <row r="271" ht="15" customHeight="1" s="31">
      <c r="A271" s="38" t="inlineStr">
        <is>
          <t>https://www.lasillavacia.com/?p=436587</t>
        </is>
      </c>
      <c r="B271" s="38" t="inlineStr">
        <is>
          <t>https://www.lasillavacia.com/?p=436587_S05</t>
        </is>
      </c>
      <c r="C271" s="38" t="inlineStr">
        <is>
          <t>La Silla Vacía</t>
        </is>
      </c>
      <c r="D271" s="38" t="inlineStr">
        <is>
          <t>Seguridad y orden público</t>
        </is>
      </c>
      <c r="E271" s="38" t="inlineStr">
        <is>
          <t>Noticia dura</t>
        </is>
      </c>
      <c r="F271" s="38" t="inlineStr">
        <is>
          <t>Wed, 05 Aug 2026 17:07:39 +0000</t>
        </is>
      </c>
      <c r="G271" s="62" t="inlineStr">
        <is>
          <t>Al inicio del gobierno de Gustavo Petro, la cifra estaba en unos 15 mil, según datos del Ministerio de Defensa.</t>
        </is>
      </c>
      <c r="H271" s="62" t="inlineStr">
        <is>
          <t>El balance general: los grupos armados alcanzaron unos 28 mil integrantes.</t>
        </is>
      </c>
      <c r="I271" s="62" t="inlineStr">
        <is>
          <t>Es decir, que crecieron casi el doble en cuatro años.</t>
        </is>
      </c>
      <c r="J271" s="38" t="n"/>
      <c r="K271" s="62" t="n"/>
      <c r="L271" s="38" t="n"/>
      <c r="M271" s="62" t="n"/>
      <c r="N271" s="38" t="n"/>
      <c r="O271" s="62" t="n"/>
      <c r="P271" s="38" t="n"/>
      <c r="Q271" s="62" t="n"/>
      <c r="R271" s="38" t="n"/>
      <c r="S271" s="62" t="n"/>
      <c r="T271" s="38" t="n"/>
      <c r="U271" s="62" t="n"/>
      <c r="V271" s="38" t="n"/>
      <c r="W271" s="62" t="n"/>
      <c r="X271" s="38" t="n"/>
      <c r="Y271" s="62" t="n"/>
      <c r="Z271" s="38" t="n"/>
      <c r="AA271" s="62" t="n"/>
      <c r="AB271" s="38" t="n"/>
      <c r="AC271" s="62" t="n"/>
      <c r="AD271" s="38" t="n"/>
      <c r="AE271" s="38" t="n"/>
      <c r="AF271" s="61">
        <f>IF(COUNTIF($B$5:B271,B271)=1,1,0)</f>
        <v/>
      </c>
      <c r="AG271" s="62" t="inlineStr">
        <is>
          <t>https://www.lasillavacia.com/en-vivo/fip-en-balance-de-la-paz-total-grupos-armados-suman-28-mil-integrantes/</t>
        </is>
      </c>
    </row>
    <row r="272" ht="15" customHeight="1" s="31">
      <c r="A272" s="38" t="inlineStr">
        <is>
          <t>https://www.lasillavacia.com/?p=436587</t>
        </is>
      </c>
      <c r="B272" s="38" t="inlineStr">
        <is>
          <t>https://www.lasillavacia.com/?p=436587_S06</t>
        </is>
      </c>
      <c r="C272" s="38" t="inlineStr">
        <is>
          <t>La Silla Vacía</t>
        </is>
      </c>
      <c r="D272" s="38" t="inlineStr">
        <is>
          <t>Seguridad y orden público</t>
        </is>
      </c>
      <c r="E272" s="38" t="inlineStr">
        <is>
          <t>Noticia dura</t>
        </is>
      </c>
      <c r="F272" s="38" t="inlineStr">
        <is>
          <t>Wed, 05 Aug 2026 17:07:39 +0000</t>
        </is>
      </c>
      <c r="G272" s="62" t="inlineStr">
        <is>
          <t>Es decir, que crecieron casi el doble en cuatro años.</t>
        </is>
      </c>
      <c r="H272" s="62" t="inlineStr">
        <is>
          <t>Al inicio del gobierno de Gustavo Petro, la cifra estaba en unos 15 mil, según datos del Ministerio de Defensa.</t>
        </is>
      </c>
      <c r="I272" s="62" t="inlineStr">
        <is>
          <t>En un informe de inicios de año , la FIP reportó –con cifras oficiales– que los grupos armados aumentaron sus filas con 5 mil combatientes nuevos en 2025.</t>
        </is>
      </c>
      <c r="J272" s="38" t="n"/>
      <c r="K272" s="62" t="n"/>
      <c r="L272" s="38" t="n"/>
      <c r="M272" s="62" t="n"/>
      <c r="N272" s="38" t="n"/>
      <c r="O272" s="62" t="n"/>
      <c r="P272" s="38" t="n"/>
      <c r="Q272" s="62" t="n"/>
      <c r="R272" s="38" t="n"/>
      <c r="S272" s="62" t="n"/>
      <c r="T272" s="38" t="n"/>
      <c r="U272" s="62" t="n"/>
      <c r="V272" s="38" t="n"/>
      <c r="W272" s="62" t="n"/>
      <c r="X272" s="38" t="n"/>
      <c r="Y272" s="62" t="n"/>
      <c r="Z272" s="38" t="n"/>
      <c r="AA272" s="62" t="n"/>
      <c r="AB272" s="38" t="n"/>
      <c r="AC272" s="62" t="n"/>
      <c r="AD272" s="38" t="n"/>
      <c r="AE272" s="38" t="n"/>
      <c r="AF272" s="61">
        <f>IF(COUNTIF($B$5:B272,B272)=1,1,0)</f>
        <v/>
      </c>
      <c r="AG272" s="62" t="inlineStr">
        <is>
          <t>https://www.lasillavacia.com/en-vivo/fip-en-balance-de-la-paz-total-grupos-armados-suman-28-mil-integrantes/</t>
        </is>
      </c>
    </row>
    <row r="273" ht="15" customHeight="1" s="31">
      <c r="A273" s="38" t="inlineStr">
        <is>
          <t>https://www.lasillavacia.com/?p=436587</t>
        </is>
      </c>
      <c r="B273" s="38" t="inlineStr">
        <is>
          <t>https://www.lasillavacia.com/?p=436587_S07</t>
        </is>
      </c>
      <c r="C273" s="38" t="inlineStr">
        <is>
          <t>La Silla Vacía</t>
        </is>
      </c>
      <c r="D273" s="38" t="inlineStr">
        <is>
          <t>Seguridad y orden público</t>
        </is>
      </c>
      <c r="E273" s="38" t="inlineStr">
        <is>
          <t>Noticia dura</t>
        </is>
      </c>
      <c r="F273" s="38" t="inlineStr">
        <is>
          <t>Wed, 05 Aug 2026 17:07:39 +0000</t>
        </is>
      </c>
      <c r="G273" s="62" t="inlineStr">
        <is>
          <t>En un informe de inicios de año , la FIP reportó –con cifras oficiales– que los grupos armados aumentaron sus filas con 5 mil combatientes nuevos en 2025.</t>
        </is>
      </c>
      <c r="H273" s="62" t="inlineStr">
        <is>
          <t>Es decir, que crecieron casi el doble en cuatro años.</t>
        </is>
      </c>
      <c r="I273" s="62" t="inlineStr">
        <is>
          <t>Entonces había 27.121 integrantes.</t>
        </is>
      </c>
      <c r="J273" s="38" t="n"/>
      <c r="K273" s="62" t="n"/>
      <c r="L273" s="38" t="n"/>
      <c r="M273" s="62" t="n"/>
      <c r="N273" s="38" t="n"/>
      <c r="O273" s="62" t="n"/>
      <c r="P273" s="38" t="n"/>
      <c r="Q273" s="62" t="n"/>
      <c r="R273" s="38" t="n"/>
      <c r="S273" s="62" t="n"/>
      <c r="T273" s="38" t="n"/>
      <c r="U273" s="62" t="n"/>
      <c r="V273" s="38" t="n"/>
      <c r="W273" s="62" t="n"/>
      <c r="X273" s="38" t="n"/>
      <c r="Y273" s="62" t="n"/>
      <c r="Z273" s="38" t="n"/>
      <c r="AA273" s="62" t="n"/>
      <c r="AB273" s="38" t="n"/>
      <c r="AC273" s="62" t="n"/>
      <c r="AD273" s="38" t="n"/>
      <c r="AE273" s="38" t="n"/>
      <c r="AF273" s="61">
        <f>IF(COUNTIF($B$5:B273,B273)=1,1,0)</f>
        <v/>
      </c>
      <c r="AG273" s="62" t="inlineStr">
        <is>
          <t>https://www.lasillavacia.com/en-vivo/fip-en-balance-de-la-paz-total-grupos-armados-suman-28-mil-integrantes/</t>
        </is>
      </c>
    </row>
    <row r="274" ht="15" customHeight="1" s="31">
      <c r="A274" s="38" t="inlineStr">
        <is>
          <t>https://www.lasillavacia.com/?p=436587</t>
        </is>
      </c>
      <c r="B274" s="38" t="inlineStr">
        <is>
          <t>https://www.lasillavacia.com/?p=436587_S08</t>
        </is>
      </c>
      <c r="C274" s="38" t="inlineStr">
        <is>
          <t>La Silla Vacía</t>
        </is>
      </c>
      <c r="D274" s="38" t="inlineStr">
        <is>
          <t>Seguridad y orden público</t>
        </is>
      </c>
      <c r="E274" s="38" t="inlineStr">
        <is>
          <t>Noticia dura</t>
        </is>
      </c>
      <c r="F274" s="38" t="inlineStr">
        <is>
          <t>Wed, 05 Aug 2026 17:07:39 +0000</t>
        </is>
      </c>
      <c r="G274" s="62" t="inlineStr">
        <is>
          <t>Entonces había 27.121 integrantes.</t>
        </is>
      </c>
      <c r="H274" s="62" t="inlineStr">
        <is>
          <t>En un informe de inicios de año , la FIP reportó –con cifras oficiales– que los grupos armados aumentaron sus filas con 5 mil combatientes nuevos en 2025.</t>
        </is>
      </c>
      <c r="I274" s="62" t="n"/>
      <c r="J274" s="38" t="n"/>
      <c r="K274" s="62" t="n"/>
      <c r="L274" s="38" t="n"/>
      <c r="M274" s="62" t="n"/>
      <c r="N274" s="38" t="n"/>
      <c r="O274" s="62" t="n"/>
      <c r="P274" s="38" t="n"/>
      <c r="Q274" s="62" t="n"/>
      <c r="R274" s="38" t="n"/>
      <c r="S274" s="62" t="n"/>
      <c r="T274" s="38" t="n"/>
      <c r="U274" s="62" t="n"/>
      <c r="V274" s="38" t="n"/>
      <c r="W274" s="62" t="n"/>
      <c r="X274" s="38" t="n"/>
      <c r="Y274" s="62" t="n"/>
      <c r="Z274" s="38" t="n"/>
      <c r="AA274" s="62" t="n"/>
      <c r="AB274" s="38" t="n"/>
      <c r="AC274" s="62" t="n"/>
      <c r="AD274" s="38" t="n"/>
      <c r="AE274" s="38" t="n"/>
      <c r="AF274" s="61">
        <f>IF(COUNTIF($B$5:B274,B274)=1,1,0)</f>
        <v/>
      </c>
      <c r="AG274" s="62" t="inlineStr">
        <is>
          <t>https://www.lasillavacia.com/en-vivo/fip-en-balance-de-la-paz-total-grupos-armados-suman-28-mil-integrantes/</t>
        </is>
      </c>
    </row>
    <row r="275" ht="15" customHeight="1" s="31">
      <c r="A275" s="38" t="inlineStr">
        <is>
          <t>https://www.lasillavacia.com/?p=440168</t>
        </is>
      </c>
      <c r="B275" s="38" t="inlineStr">
        <is>
          <t>https://www.lasillavacia.com/?p=440168_S03</t>
        </is>
      </c>
      <c r="C275" s="38" t="inlineStr">
        <is>
          <t>La Silla Vacía</t>
        </is>
      </c>
      <c r="D275" s="38" t="inlineStr">
        <is>
          <t>Relación con Estados Unidos</t>
        </is>
      </c>
      <c r="E275" s="38" t="inlineStr">
        <is>
          <t>Opinión-análisis</t>
        </is>
      </c>
      <c r="F275" s="38" t="inlineStr">
        <is>
          <t>Sat, 22 Aug 2026 04:57:47 +0000</t>
        </is>
      </c>
      <c r="G275" s="62" t="inlineStr">
        <is>
          <t>Desde hace unos días, se habla de la posibilidad de que Colombia abandone la Corte Penal Internacional (CPI).</t>
        </is>
      </c>
      <c r="H275" s="62" t="inlineStr">
        <is>
          <t>Esta columna fue escrita por los columnistas invitados Enrique Prieto Ríos y Juan Pablo Coy.</t>
        </is>
      </c>
      <c r="I275" s="62" t="inlineStr">
        <is>
          <t>La noticia, por ahora no confirmada oficialmente, apareció solo unos días después de que Pete Hegseth, secretario de Defensa de Estados Unidos, invitara a los países integrantes de la Coalición de las Américas contra los Cárteles a retirarse de la CPI.</t>
        </is>
      </c>
      <c r="J275" s="38" t="n"/>
      <c r="K275" s="62" t="n"/>
      <c r="L275" s="38" t="n"/>
      <c r="M275" s="62" t="n"/>
      <c r="N275" s="38" t="n"/>
      <c r="O275" s="62" t="n"/>
      <c r="P275" s="38" t="n"/>
      <c r="Q275" s="62" t="n"/>
      <c r="R275" s="38" t="n"/>
      <c r="S275" s="62" t="n"/>
      <c r="T275" s="38" t="n"/>
      <c r="U275" s="62" t="n"/>
      <c r="V275" s="38" t="n"/>
      <c r="W275" s="62" t="n"/>
      <c r="X275" s="38" t="n"/>
      <c r="Y275" s="62" t="n"/>
      <c r="Z275" s="38" t="n"/>
      <c r="AA275" s="62" t="n"/>
      <c r="AB275" s="38" t="n"/>
      <c r="AC275" s="62" t="n"/>
      <c r="AD275" s="38" t="n"/>
      <c r="AE275" s="38" t="n"/>
      <c r="AF275" s="61">
        <f>IF(COUNTIF($B$5:B275,B275)=1,1,0)</f>
        <v/>
      </c>
      <c r="AG275" s="62" t="inlineStr">
        <is>
          <t>https://www.lasillavacia.com/red-de-expertos/red-social/borron-y-cuenta-nueva-colombia-y-su-retirada-de-la-cpi/</t>
        </is>
      </c>
    </row>
    <row r="276" ht="15" customHeight="1" s="31">
      <c r="A276" s="38" t="inlineStr">
        <is>
          <t>https://www.lasillavacia.com/?p=440168</t>
        </is>
      </c>
      <c r="B276" s="38" t="inlineStr">
        <is>
          <t>https://www.lasillavacia.com/?p=440168_S04</t>
        </is>
      </c>
      <c r="C276" s="38" t="inlineStr">
        <is>
          <t>La Silla Vacía</t>
        </is>
      </c>
      <c r="D276" s="38" t="inlineStr">
        <is>
          <t>Relación con Estados Unidos</t>
        </is>
      </c>
      <c r="E276" s="38" t="inlineStr">
        <is>
          <t>Opinión-análisis</t>
        </is>
      </c>
      <c r="F276" s="38" t="inlineStr">
        <is>
          <t>Sat, 22 Aug 2026 04:57:47 +0000</t>
        </is>
      </c>
      <c r="G276" s="62" t="inlineStr">
        <is>
          <t>La noticia, por ahora no confirmada oficialmente, apareció solo unos días después de que Pete Hegseth, secretario de Defensa de Estados Unidos, invitara a los países integrantes de la Coalición de las Américas contra los Cárteles a retirarse de la CPI.</t>
        </is>
      </c>
      <c r="H276" s="62" t="inlineStr">
        <is>
          <t>Desde hace unos días, se habla de la posibilidad de que Colombia abandone la Corte Penal Internacional (CPI).</t>
        </is>
      </c>
      <c r="I276" s="62" t="inlineStr">
        <is>
          <t>Esta no es una discusión menor, menos tratándose de un país como el nuestro que ha pertenecido a la Corte durante más de dos décadas, y mucho menos cuando hemos convivido durante años con una situación de conflicto armado que, además, ha sido estudiada por la CPI.</t>
        </is>
      </c>
      <c r="J276" s="38" t="n"/>
      <c r="K276" s="62" t="n"/>
      <c r="L276" s="38" t="n"/>
      <c r="M276" s="62" t="n"/>
      <c r="N276" s="38" t="n"/>
      <c r="O276" s="62" t="n"/>
      <c r="P276" s="38" t="n"/>
      <c r="Q276" s="62" t="n"/>
      <c r="R276" s="38" t="n"/>
      <c r="S276" s="62" t="n"/>
      <c r="T276" s="38" t="n"/>
      <c r="U276" s="62" t="n"/>
      <c r="V276" s="38" t="n"/>
      <c r="W276" s="62" t="n"/>
      <c r="X276" s="38" t="n"/>
      <c r="Y276" s="62" t="n"/>
      <c r="Z276" s="38" t="n"/>
      <c r="AA276" s="62" t="n"/>
      <c r="AB276" s="38" t="n"/>
      <c r="AC276" s="62" t="n"/>
      <c r="AD276" s="38" t="n"/>
      <c r="AE276" s="38" t="n"/>
      <c r="AF276" s="61">
        <f>IF(COUNTIF($B$5:B276,B276)=1,1,0)</f>
        <v/>
      </c>
      <c r="AG276" s="62" t="inlineStr">
        <is>
          <t>https://www.lasillavacia.com/red-de-expertos/red-social/borron-y-cuenta-nueva-colombia-y-su-retirada-de-la-cpi/</t>
        </is>
      </c>
    </row>
    <row r="277" ht="15" customHeight="1" s="31">
      <c r="A277" s="38" t="inlineStr">
        <is>
          <t>https://www.lasillavacia.com/?p=440168</t>
        </is>
      </c>
      <c r="B277" s="38" t="inlineStr">
        <is>
          <t>https://www.lasillavacia.com/?p=440168_S05</t>
        </is>
      </c>
      <c r="C277" s="38" t="inlineStr">
        <is>
          <t>La Silla Vacía</t>
        </is>
      </c>
      <c r="D277" s="38" t="inlineStr">
        <is>
          <t>Relación con Estados Unidos</t>
        </is>
      </c>
      <c r="E277" s="38" t="inlineStr">
        <is>
          <t>Opinión-análisis</t>
        </is>
      </c>
      <c r="F277" s="38" t="inlineStr">
        <is>
          <t>Sat, 22 Aug 2026 04:57:47 +0000</t>
        </is>
      </c>
      <c r="G277" s="62" t="inlineStr">
        <is>
          <t>Esta no es una discusión menor, menos tratándose de un país como el nuestro que ha pertenecido a la Corte durante más de dos décadas, y mucho menos cuando hemos convivido durante años con una situación de conflicto armado que, además, ha sido estudiada por la CPI.</t>
        </is>
      </c>
      <c r="H277" s="62" t="inlineStr">
        <is>
          <t>La noticia, por ahora no confirmada oficialmente, apareció solo unos días después de que Pete Hegseth, secretario de Defensa de Estados Unidos, invitara a los países integrantes de la Coalición de las Américas contra los Cárteles a retirarse de la CPI.</t>
        </is>
      </c>
      <c r="I277" s="62" t="inlineStr">
        <is>
          <t>Al margen de las consideraciones políticas sobre la conveniencia o no del retiro de Colombia, creemos que conviene aclarar algo más elemental: ¿qué significa realmente retirarse de la CPI?</t>
        </is>
      </c>
      <c r="J277" s="38" t="n"/>
      <c r="K277" s="62" t="n"/>
      <c r="L277" s="38" t="n"/>
      <c r="M277" s="62" t="n"/>
      <c r="N277" s="38" t="n"/>
      <c r="O277" s="62" t="n"/>
      <c r="P277" s="38" t="n"/>
      <c r="Q277" s="62" t="n"/>
      <c r="R277" s="38" t="n"/>
      <c r="S277" s="62" t="n"/>
      <c r="T277" s="38" t="n"/>
      <c r="U277" s="62" t="n"/>
      <c r="V277" s="38" t="n"/>
      <c r="W277" s="62" t="n"/>
      <c r="X277" s="38" t="n"/>
      <c r="Y277" s="62" t="n"/>
      <c r="Z277" s="38" t="n"/>
      <c r="AA277" s="62" t="n"/>
      <c r="AB277" s="38" t="n"/>
      <c r="AC277" s="62" t="n"/>
      <c r="AD277" s="38" t="n"/>
      <c r="AE277" s="38" t="n"/>
      <c r="AF277" s="61">
        <f>IF(COUNTIF($B$5:B277,B277)=1,1,0)</f>
        <v/>
      </c>
      <c r="AG277" s="62" t="inlineStr">
        <is>
          <t>https://www.lasillavacia.com/red-de-expertos/red-social/borron-y-cuenta-nueva-colombia-y-su-retirada-de-la-cpi/</t>
        </is>
      </c>
    </row>
    <row r="278" ht="15" customHeight="1" s="31">
      <c r="A278" s="38" t="inlineStr">
        <is>
          <t>https://www.lasillavacia.com/?p=440168</t>
        </is>
      </c>
      <c r="B278" s="38" t="inlineStr">
        <is>
          <t>https://www.lasillavacia.com/?p=440168_S06</t>
        </is>
      </c>
      <c r="C278" s="38" t="inlineStr">
        <is>
          <t>La Silla Vacía</t>
        </is>
      </c>
      <c r="D278" s="38" t="inlineStr">
        <is>
          <t>Relación con Estados Unidos</t>
        </is>
      </c>
      <c r="E278" s="38" t="inlineStr">
        <is>
          <t>Opinión-análisis</t>
        </is>
      </c>
      <c r="F278" s="38" t="inlineStr">
        <is>
          <t>Sat, 22 Aug 2026 04:57:47 +0000</t>
        </is>
      </c>
      <c r="G278" s="62" t="inlineStr">
        <is>
          <t>Al margen de las consideraciones políticas sobre la conveniencia o no del retiro de Colombia, creemos que conviene aclarar algo más elemental: ¿qué significa realmente retirarse de la CPI?</t>
        </is>
      </c>
      <c r="H278" s="62" t="inlineStr">
        <is>
          <t>Esta no es una discusión menor, menos tratándose de un país como el nuestro que ha pertenecido a la Corte durante más de dos décadas, y mucho menos cuando hemos convivido durante años con una situación de conflicto armado que, además, ha sido estudiada por la CPI.</t>
        </is>
      </c>
      <c r="I278" s="62" t="inlineStr">
        <is>
          <t>Porque, contrario a lo que podría sugerir la discusión política, denunciar el Estatuto de Roma no equivale a apagar un interruptor y desaparecer inmediatamente de la jurisdicción de la Corte.</t>
        </is>
      </c>
      <c r="J278" s="38" t="n"/>
      <c r="K278" s="62" t="n"/>
      <c r="L278" s="38" t="n"/>
      <c r="M278" s="62" t="n"/>
      <c r="N278" s="38" t="n"/>
      <c r="O278" s="62" t="n"/>
      <c r="P278" s="38" t="n"/>
      <c r="Q278" s="62" t="n"/>
      <c r="R278" s="38" t="n"/>
      <c r="S278" s="62" t="n"/>
      <c r="T278" s="38" t="n"/>
      <c r="U278" s="62" t="n"/>
      <c r="V278" s="38" t="n"/>
      <c r="W278" s="62" t="n"/>
      <c r="X278" s="38" t="n"/>
      <c r="Y278" s="62" t="n"/>
      <c r="Z278" s="38" t="n"/>
      <c r="AA278" s="62" t="n"/>
      <c r="AB278" s="38" t="n"/>
      <c r="AC278" s="62" t="n"/>
      <c r="AD278" s="38" t="n"/>
      <c r="AE278" s="38" t="n"/>
      <c r="AF278" s="61">
        <f>IF(COUNTIF($B$5:B278,B278)=1,1,0)</f>
        <v/>
      </c>
      <c r="AG278" s="62" t="inlineStr">
        <is>
          <t>https://www.lasillavacia.com/red-de-expertos/red-social/borron-y-cuenta-nueva-colombia-y-su-retirada-de-la-cpi/</t>
        </is>
      </c>
    </row>
    <row r="279" ht="15" customHeight="1" s="31">
      <c r="A279" s="38" t="inlineStr">
        <is>
          <t>https://www.lasillavacia.com/?p=440168</t>
        </is>
      </c>
      <c r="B279" s="38" t="inlineStr">
        <is>
          <t>https://www.lasillavacia.com/?p=440168_S07</t>
        </is>
      </c>
      <c r="C279" s="38" t="inlineStr">
        <is>
          <t>La Silla Vacía</t>
        </is>
      </c>
      <c r="D279" s="38" t="inlineStr">
        <is>
          <t>Relación con Estados Unidos</t>
        </is>
      </c>
      <c r="E279" s="38" t="inlineStr">
        <is>
          <t>Opinión-análisis</t>
        </is>
      </c>
      <c r="F279" s="38" t="inlineStr">
        <is>
          <t>Sat, 22 Aug 2026 04:57:47 +0000</t>
        </is>
      </c>
      <c r="G279" s="62" t="inlineStr">
        <is>
          <t>Porque, contrario a lo que podría sugerir la discusión política, denunciar el Estatuto de Roma no equivale a apagar un interruptor y desaparecer inmediatamente de la jurisdicción de la Corte.</t>
        </is>
      </c>
      <c r="H279" s="62" t="inlineStr">
        <is>
          <t>Al margen de las consideraciones políticas sobre la conveniencia o no del retiro de Colombia, creemos que conviene aclarar algo más elemental: ¿qué significa realmente retirarse de la CPI?</t>
        </is>
      </c>
      <c r="I279" s="62" t="inlineStr">
        <is>
          <t>La escotilla de escape del Estatuto de Roma existe; de hecho, ningún tratado es una camisa de fuerza perpetua y, en este caso, se encuentra en el artículo 127 del Estatuto , que le permite a cualquier Estado Parte informar su deseo de retirarse.</t>
        </is>
      </c>
      <c r="J279" s="38" t="n"/>
      <c r="K279" s="62" t="n"/>
      <c r="L279" s="38" t="n"/>
      <c r="M279" s="62" t="n"/>
      <c r="N279" s="38" t="n"/>
      <c r="O279" s="62" t="n"/>
      <c r="P279" s="38" t="n"/>
      <c r="Q279" s="62" t="n"/>
      <c r="R279" s="38" t="n"/>
      <c r="S279" s="62" t="n"/>
      <c r="T279" s="38" t="n"/>
      <c r="U279" s="62" t="n"/>
      <c r="V279" s="38" t="n"/>
      <c r="W279" s="62" t="n"/>
      <c r="X279" s="38" t="n"/>
      <c r="Y279" s="62" t="n"/>
      <c r="Z279" s="38" t="n"/>
      <c r="AA279" s="62" t="n"/>
      <c r="AB279" s="38" t="n"/>
      <c r="AC279" s="62" t="n"/>
      <c r="AD279" s="38" t="n"/>
      <c r="AE279" s="38" t="n"/>
      <c r="AF279" s="61">
        <f>IF(COUNTIF($B$5:B279,B279)=1,1,0)</f>
        <v/>
      </c>
      <c r="AG279" s="62" t="inlineStr">
        <is>
          <t>https://www.lasillavacia.com/red-de-expertos/red-social/borron-y-cuenta-nueva-colombia-y-su-retirada-de-la-cpi/</t>
        </is>
      </c>
    </row>
    <row r="280" ht="15" customHeight="1" s="31">
      <c r="A280" s="38" t="inlineStr">
        <is>
          <t>https://www.lasillavacia.com/?p=440168</t>
        </is>
      </c>
      <c r="B280" s="38" t="inlineStr">
        <is>
          <t>https://www.lasillavacia.com/?p=440168_S08</t>
        </is>
      </c>
      <c r="C280" s="38" t="inlineStr">
        <is>
          <t>La Silla Vacía</t>
        </is>
      </c>
      <c r="D280" s="38" t="inlineStr">
        <is>
          <t>Relación con Estados Unidos</t>
        </is>
      </c>
      <c r="E280" s="38" t="inlineStr">
        <is>
          <t>Opinión-análisis</t>
        </is>
      </c>
      <c r="F280" s="38" t="inlineStr">
        <is>
          <t>Sat, 22 Aug 2026 04:57:47 +0000</t>
        </is>
      </c>
      <c r="G280" s="62" t="inlineStr">
        <is>
          <t>La escotilla de escape del Estatuto de Roma existe; de hecho, ningún tratado es una camisa de fuerza perpetua y, en este caso, se encuentra en el artículo 127 del Estatuto , que le permite a cualquier Estado Parte informar su deseo de retirarse.</t>
        </is>
      </c>
      <c r="H280" s="62" t="inlineStr">
        <is>
          <t>Porque, contrario a lo que podría sugerir la discusión política, denunciar el Estatuto de Roma no equivale a apagar un interruptor y desaparecer inmediatamente de la jurisdicción de la Corte.</t>
        </is>
      </c>
      <c r="I280" s="62" t="inlineStr">
        <is>
          <t>Esta notificación debe efectuarse mediante escrito dirigido al Secretario General de las Naciones Unidas.</t>
        </is>
      </c>
      <c r="J280" s="38" t="n"/>
      <c r="K280" s="62" t="n"/>
      <c r="L280" s="38" t="n"/>
      <c r="M280" s="62" t="n"/>
      <c r="N280" s="38" t="n"/>
      <c r="O280" s="62" t="n"/>
      <c r="P280" s="38" t="n"/>
      <c r="Q280" s="62" t="n"/>
      <c r="R280" s="38" t="n"/>
      <c r="S280" s="62" t="n"/>
      <c r="T280" s="38" t="n"/>
      <c r="U280" s="62" t="n"/>
      <c r="V280" s="38" t="n"/>
      <c r="W280" s="62" t="n"/>
      <c r="X280" s="38" t="n"/>
      <c r="Y280" s="62" t="n"/>
      <c r="Z280" s="38" t="n"/>
      <c r="AA280" s="62" t="n"/>
      <c r="AB280" s="38" t="n"/>
      <c r="AC280" s="62" t="n"/>
      <c r="AD280" s="38" t="n"/>
      <c r="AE280" s="38" t="n"/>
      <c r="AF280" s="61">
        <f>IF(COUNTIF($B$5:B280,B280)=1,1,0)</f>
        <v/>
      </c>
      <c r="AG280" s="62" t="inlineStr">
        <is>
          <t>https://www.lasillavacia.com/red-de-expertos/red-social/borron-y-cuenta-nueva-colombia-y-su-retirada-de-la-cpi/</t>
        </is>
      </c>
    </row>
    <row r="281" ht="15" customHeight="1" s="31">
      <c r="A281" s="38" t="inlineStr">
        <is>
          <t>https://www.lasillavacia.com/?p=440168</t>
        </is>
      </c>
      <c r="B281" s="38" t="inlineStr">
        <is>
          <t>https://www.lasillavacia.com/?p=440168_S09</t>
        </is>
      </c>
      <c r="C281" s="38" t="inlineStr">
        <is>
          <t>La Silla Vacía</t>
        </is>
      </c>
      <c r="D281" s="38" t="inlineStr">
        <is>
          <t>Relación con Estados Unidos</t>
        </is>
      </c>
      <c r="E281" s="38" t="inlineStr">
        <is>
          <t>Opinión-análisis</t>
        </is>
      </c>
      <c r="F281" s="38" t="inlineStr">
        <is>
          <t>Sat, 22 Aug 2026 04:57:47 +0000</t>
        </is>
      </c>
      <c r="G281" s="62" t="inlineStr">
        <is>
          <t>Esta notificación debe efectuarse mediante escrito dirigido al Secretario General de las Naciones Unidas.</t>
        </is>
      </c>
      <c r="H281" s="62" t="inlineStr">
        <is>
          <t>La escotilla de escape del Estatuto de Roma existe; de hecho, ningún tratado es una camisa de fuerza perpetua y, en este caso, se encuentra en el artículo 127 del Estatuto , que le permite a cualquier Estado Parte informar su deseo de retirarse.</t>
        </is>
      </c>
      <c r="I281" s="62" t="inlineStr">
        <is>
          <t>La decisión, además, no produce efectos inmediatos: salvo que el propio Estado indique una fecha posterior, el retiro solo se hace efectivo un año después de recibida la notificación.</t>
        </is>
      </c>
      <c r="J281" s="38" t="n"/>
      <c r="K281" s="62" t="n"/>
      <c r="L281" s="38" t="n"/>
      <c r="M281" s="62" t="n"/>
      <c r="N281" s="38" t="n"/>
      <c r="O281" s="62" t="n"/>
      <c r="P281" s="38" t="n"/>
      <c r="Q281" s="62" t="n"/>
      <c r="R281" s="38" t="n"/>
      <c r="S281" s="62" t="n"/>
      <c r="T281" s="38" t="n"/>
      <c r="U281" s="62" t="n"/>
      <c r="V281" s="38" t="n"/>
      <c r="W281" s="62" t="n"/>
      <c r="X281" s="38" t="n"/>
      <c r="Y281" s="62" t="n"/>
      <c r="Z281" s="38" t="n"/>
      <c r="AA281" s="62" t="n"/>
      <c r="AB281" s="38" t="n"/>
      <c r="AC281" s="62" t="n"/>
      <c r="AD281" s="38" t="n"/>
      <c r="AE281" s="38" t="n"/>
      <c r="AF281" s="61">
        <f>IF(COUNTIF($B$5:B281,B281)=1,1,0)</f>
        <v/>
      </c>
      <c r="AG281" s="62" t="inlineStr">
        <is>
          <t>https://www.lasillavacia.com/red-de-expertos/red-social/borron-y-cuenta-nueva-colombia-y-su-retirada-de-la-cpi/</t>
        </is>
      </c>
    </row>
    <row r="282" ht="15" customHeight="1" s="31">
      <c r="A282" s="38" t="inlineStr">
        <is>
          <t>https://www.lasillavacia.com/?p=440168</t>
        </is>
      </c>
      <c r="B282" s="38" t="inlineStr">
        <is>
          <t>https://www.lasillavacia.com/?p=440168_S10</t>
        </is>
      </c>
      <c r="C282" s="38" t="inlineStr">
        <is>
          <t>La Silla Vacía</t>
        </is>
      </c>
      <c r="D282" s="38" t="inlineStr">
        <is>
          <t>Relación con Estados Unidos</t>
        </is>
      </c>
      <c r="E282" s="38" t="inlineStr">
        <is>
          <t>Opinión-análisis</t>
        </is>
      </c>
      <c r="F282" s="38" t="inlineStr">
        <is>
          <t>Sat, 22 Aug 2026 04:57:47 +0000</t>
        </is>
      </c>
      <c r="G282" s="62" t="inlineStr">
        <is>
          <t>La decisión, además, no produce efectos inmediatos: salvo que el propio Estado indique una fecha posterior, el retiro solo se hace efectivo un año después de recibida la notificación.</t>
        </is>
      </c>
      <c r="H282" s="62" t="inlineStr">
        <is>
          <t>Esta notificación debe efectuarse mediante escrito dirigido al Secretario General de las Naciones Unidas.</t>
        </is>
      </c>
      <c r="I282" s="62" t="inlineStr">
        <is>
          <t>Colombia tampoco llegó accidentalmente a este sistema.</t>
        </is>
      </c>
      <c r="J282" s="38" t="n"/>
      <c r="K282" s="62" t="n"/>
      <c r="L282" s="38" t="n"/>
      <c r="M282" s="62" t="n"/>
      <c r="N282" s="38" t="n"/>
      <c r="O282" s="62" t="n"/>
      <c r="P282" s="38" t="n"/>
      <c r="Q282" s="62" t="n"/>
      <c r="R282" s="38" t="n"/>
      <c r="S282" s="62" t="n"/>
      <c r="T282" s="38" t="n"/>
      <c r="U282" s="62" t="n"/>
      <c r="V282" s="38" t="n"/>
      <c r="W282" s="62" t="n"/>
      <c r="X282" s="38" t="n"/>
      <c r="Y282" s="62" t="n"/>
      <c r="Z282" s="38" t="n"/>
      <c r="AA282" s="62" t="n"/>
      <c r="AB282" s="38" t="n"/>
      <c r="AC282" s="62" t="n"/>
      <c r="AD282" s="38" t="n"/>
      <c r="AE282" s="38" t="n"/>
      <c r="AF282" s="61">
        <f>IF(COUNTIF($B$5:B282,B282)=1,1,0)</f>
        <v/>
      </c>
      <c r="AG282" s="62" t="inlineStr">
        <is>
          <t>https://www.lasillavacia.com/red-de-expertos/red-social/borron-y-cuenta-nueva-colombia-y-su-retirada-de-la-cpi/</t>
        </is>
      </c>
    </row>
    <row r="283" ht="15" customHeight="1" s="31">
      <c r="A283" s="38" t="inlineStr">
        <is>
          <t>https://www.lasillavacia.com/?p=440168</t>
        </is>
      </c>
      <c r="B283" s="38" t="inlineStr">
        <is>
          <t>https://www.lasillavacia.com/?p=440168_S11</t>
        </is>
      </c>
      <c r="C283" s="38" t="inlineStr">
        <is>
          <t>La Silla Vacía</t>
        </is>
      </c>
      <c r="D283" s="38" t="inlineStr">
        <is>
          <t>Relación con Estados Unidos</t>
        </is>
      </c>
      <c r="E283" s="38" t="inlineStr">
        <is>
          <t>Opinión-análisis</t>
        </is>
      </c>
      <c r="F283" s="38" t="inlineStr">
        <is>
          <t>Sat, 22 Aug 2026 04:57:47 +0000</t>
        </is>
      </c>
      <c r="G283" s="62" t="inlineStr">
        <is>
          <t>Colombia tampoco llegó accidentalmente a este sistema.</t>
        </is>
      </c>
      <c r="H283" s="62" t="inlineStr">
        <is>
          <t>La decisión, además, no produce efectos inmediatos: salvo que el propio Estado indique una fecha posterior, el retiro solo se hace efectivo un año después de recibida la notificación.</t>
        </is>
      </c>
      <c r="I283" s="62" t="inlineStr">
        <is>
          <t>El país suscribió el Estatuto de Roma en 1998 y, después de una reforma constitucional y de su aprobación por el Congreso mediante la Ley 742 de 2002 , depositó su instrumento de ratificación el 5 de agosto de ese año .</t>
        </is>
      </c>
      <c r="J283" s="38" t="n"/>
      <c r="K283" s="62" t="n"/>
      <c r="L283" s="38" t="n"/>
      <c r="M283" s="62" t="n"/>
      <c r="N283" s="38" t="n"/>
      <c r="O283" s="62" t="n"/>
      <c r="P283" s="38" t="n"/>
      <c r="Q283" s="62" t="n"/>
      <c r="R283" s="38" t="n"/>
      <c r="S283" s="62" t="n"/>
      <c r="T283" s="38" t="n"/>
      <c r="U283" s="62" t="n"/>
      <c r="V283" s="38" t="n"/>
      <c r="W283" s="62" t="n"/>
      <c r="X283" s="38" t="n"/>
      <c r="Y283" s="62" t="n"/>
      <c r="Z283" s="38" t="n"/>
      <c r="AA283" s="62" t="n"/>
      <c r="AB283" s="38" t="n"/>
      <c r="AC283" s="62" t="n"/>
      <c r="AD283" s="38" t="n"/>
      <c r="AE283" s="38" t="n"/>
      <c r="AF283" s="61">
        <f>IF(COUNTIF($B$5:B283,B283)=1,1,0)</f>
        <v/>
      </c>
      <c r="AG283" s="62" t="inlineStr">
        <is>
          <t>https://www.lasillavacia.com/red-de-expertos/red-social/borron-y-cuenta-nueva-colombia-y-su-retirada-de-la-cpi/</t>
        </is>
      </c>
    </row>
    <row r="284" ht="15" customHeight="1" s="31">
      <c r="A284" s="38" t="inlineStr">
        <is>
          <t>https://www.lasillavacia.com/?p=440168</t>
        </is>
      </c>
      <c r="B284" s="38" t="inlineStr">
        <is>
          <t>https://www.lasillavacia.com/?p=440168_S12</t>
        </is>
      </c>
      <c r="C284" s="38" t="inlineStr">
        <is>
          <t>La Silla Vacía</t>
        </is>
      </c>
      <c r="D284" s="38" t="inlineStr">
        <is>
          <t>Relación con Estados Unidos</t>
        </is>
      </c>
      <c r="E284" s="38" t="inlineStr">
        <is>
          <t>Opinión-análisis</t>
        </is>
      </c>
      <c r="F284" s="38" t="inlineStr">
        <is>
          <t>Sat, 22 Aug 2026 04:57:47 +0000</t>
        </is>
      </c>
      <c r="G284" s="62" t="inlineStr">
        <is>
          <t>El país suscribió el Estatuto de Roma en 1998 y, después de una reforma constitucional y de su aprobación por el Congreso mediante la Ley 742 de 2002 , depositó su instrumento de ratificación el 5 de agosto de ese año .</t>
        </is>
      </c>
      <c r="H284" s="62" t="inlineStr">
        <is>
          <t>Colombia tampoco llegó accidentalmente a este sistema.</t>
        </is>
      </c>
      <c r="I284" s="62" t="n"/>
      <c r="J284" s="38" t="n"/>
      <c r="K284" s="62" t="n"/>
      <c r="L284" s="38" t="n"/>
      <c r="M284" s="62" t="n"/>
      <c r="N284" s="38" t="n"/>
      <c r="O284" s="62" t="n"/>
      <c r="P284" s="38" t="n"/>
      <c r="Q284" s="62" t="n"/>
      <c r="R284" s="38" t="n"/>
      <c r="S284" s="62" t="n"/>
      <c r="T284" s="38" t="n"/>
      <c r="U284" s="62" t="n"/>
      <c r="V284" s="38" t="n"/>
      <c r="W284" s="62" t="n"/>
      <c r="X284" s="38" t="n"/>
      <c r="Y284" s="62" t="n"/>
      <c r="Z284" s="38" t="n"/>
      <c r="AA284" s="62" t="n"/>
      <c r="AB284" s="38" t="n"/>
      <c r="AC284" s="62" t="n"/>
      <c r="AD284" s="38" t="n"/>
      <c r="AE284" s="38" t="n"/>
      <c r="AF284" s="61">
        <f>IF(COUNTIF($B$5:B284,B284)=1,1,0)</f>
        <v/>
      </c>
      <c r="AG284" s="62" t="inlineStr">
        <is>
          <t>https://www.lasillavacia.com/red-de-expertos/red-social/borron-y-cuenta-nueva-colombia-y-su-retirada-de-la-cpi/</t>
        </is>
      </c>
    </row>
    <row r="285" ht="15" customHeight="1" s="31">
      <c r="A285" s="38" t="inlineStr">
        <is>
          <t>https://www.semana.com/economia/management/articulo/se-acaba-en-2027-la-corte-constitucional-aclaro-que-pasara-con-el-auxilio-funerario-de-colpensiones/202655/</t>
        </is>
      </c>
      <c r="B285" s="38" t="inlineStr">
        <is>
          <t>https://www.semana.com/economia/management/articulo/se-acaba-en-2027-la-corte-constitucional-aclaro-que-pasara-con-el-auxilio-funerario-de-colpensiones/202655/_S01</t>
        </is>
      </c>
      <c r="C285" s="38" t="inlineStr">
        <is>
          <t>Semana</t>
        </is>
      </c>
      <c r="D285" s="38" t="inlineStr">
        <is>
          <t>Reformas sociales en disputa (pensional/tributaria)</t>
        </is>
      </c>
      <c r="E285" s="38" t="inlineStr">
        <is>
          <t>Noticia dura</t>
        </is>
      </c>
      <c r="F285" s="38" t="inlineStr">
        <is>
          <t>Thu, 03 Sep 2026 02:25:55 +0000</t>
        </is>
      </c>
      <c r="G285" s="62" t="inlineStr">
        <is>
          <t>La Corte Constitucional señaló que el auxilio funerario contemplado dentro del sistema pensional se mantendrá en Colombia a partir de 2027, despejando así una de las dudas que había surgido alrededor de la entrada en vigencia de la reforma pensional.</t>
        </is>
      </c>
      <c r="H285" s="62" t="n"/>
      <c r="I285" s="62" t="inlineStr">
        <is>
          <t>Según Valora Analitik, la decisión se conoció luego de que el alto tribunal revisara las disposiciones de la reforma que cambiarán las reglas del sistema de pensiones.</t>
        </is>
      </c>
      <c r="J285" s="38" t="n"/>
      <c r="K285" s="62" t="n"/>
      <c r="L285" s="38" t="n"/>
      <c r="M285" s="62" t="n"/>
      <c r="N285" s="38" t="n"/>
      <c r="O285" s="62" t="n"/>
      <c r="P285" s="38" t="n"/>
      <c r="Q285" s="62" t="n"/>
      <c r="R285" s="38" t="n"/>
      <c r="S285" s="62" t="n"/>
      <c r="T285" s="38" t="n"/>
      <c r="U285" s="62" t="n"/>
      <c r="V285" s="38" t="n"/>
      <c r="W285" s="62" t="n"/>
      <c r="X285" s="38" t="n"/>
      <c r="Y285" s="62" t="n"/>
      <c r="Z285" s="38" t="n"/>
      <c r="AA285" s="62" t="n"/>
      <c r="AB285" s="38" t="n"/>
      <c r="AC285" s="62" t="n"/>
      <c r="AD285" s="38" t="n"/>
      <c r="AE285" s="38" t="n"/>
      <c r="AF285" s="61">
        <f>IF(COUNTIF($B$5:B285,B285)=1,1,0)</f>
        <v/>
      </c>
      <c r="AG285" s="62" t="inlineStr">
        <is>
          <t>https://www.semana.com/economia/management/articulo/se-acaba-en-2027-la-corte-constitucional-aclaro-que-pasara-con-el-auxilio-funerario-de-colpensiones/202655/</t>
        </is>
      </c>
    </row>
    <row r="286" ht="15" customHeight="1" s="31">
      <c r="A286" s="38" t="inlineStr">
        <is>
          <t>https://www.semana.com/economia/management/articulo/se-acaba-en-2027-la-corte-constitucional-aclaro-que-pasara-con-el-auxilio-funerario-de-colpensiones/202655/</t>
        </is>
      </c>
      <c r="B286" s="38" t="inlineStr">
        <is>
          <t>https://www.semana.com/economia/management/articulo/se-acaba-en-2027-la-corte-constitucional-aclaro-que-pasara-con-el-auxilio-funerario-de-colpensiones/202655/_S02</t>
        </is>
      </c>
      <c r="C286" s="38" t="inlineStr">
        <is>
          <t>Semana</t>
        </is>
      </c>
      <c r="D286" s="38" t="inlineStr">
        <is>
          <t>Reformas sociales en disputa (pensional/tributaria)</t>
        </is>
      </c>
      <c r="E286" s="38" t="inlineStr">
        <is>
          <t>Noticia dura</t>
        </is>
      </c>
      <c r="F286" s="38" t="inlineStr">
        <is>
          <t>Thu, 03 Sep 2026 02:25:55 +0000</t>
        </is>
      </c>
      <c r="G286" s="62" t="inlineStr">
        <is>
          <t>Según Valora Analitik, la decisión se conoció luego de que el alto tribunal revisara las disposiciones de la reforma que cambiarán las reglas del sistema de pensiones.</t>
        </is>
      </c>
      <c r="H286" s="62" t="inlineStr">
        <is>
          <t>La Corte Constitucional señaló que el auxilio funerario contemplado dentro del sistema pensional se mantendrá en Colombia a partir de 2027, despejando así una de las dudas que había surgido alrededor de la entrada en vigencia de la reforma pensional.</t>
        </is>
      </c>
      <c r="I286" s="62" t="inlineStr">
        <is>
          <t>Aunque el nuevo modelo traerá modificaciones para los afiliados, la prestación destinada a cubrir parte de los gastos funerarios continuará vigente.</t>
        </is>
      </c>
      <c r="J286" s="38" t="n"/>
      <c r="K286" s="62" t="n"/>
      <c r="L286" s="38" t="n"/>
      <c r="M286" s="62" t="n"/>
      <c r="N286" s="38" t="n"/>
      <c r="O286" s="62" t="n"/>
      <c r="P286" s="38" t="n"/>
      <c r="Q286" s="62" t="n"/>
      <c r="R286" s="38" t="n"/>
      <c r="S286" s="62" t="n"/>
      <c r="T286" s="38" t="n"/>
      <c r="U286" s="62" t="n"/>
      <c r="V286" s="38" t="n"/>
      <c r="W286" s="62" t="n"/>
      <c r="X286" s="38" t="n"/>
      <c r="Y286" s="62" t="n"/>
      <c r="Z286" s="38" t="n"/>
      <c r="AA286" s="62" t="n"/>
      <c r="AB286" s="38" t="n"/>
      <c r="AC286" s="62" t="n"/>
      <c r="AD286" s="38" t="n"/>
      <c r="AE286" s="38" t="n"/>
      <c r="AF286" s="61">
        <f>IF(COUNTIF($B$5:B286,B286)=1,1,0)</f>
        <v/>
      </c>
      <c r="AG286" s="62" t="inlineStr">
        <is>
          <t>https://www.semana.com/economia/management/articulo/se-acaba-en-2027-la-corte-constitucional-aclaro-que-pasara-con-el-auxilio-funerario-de-colpensiones/202655/</t>
        </is>
      </c>
    </row>
    <row r="287" ht="15" customHeight="1" s="31">
      <c r="A287" s="38" t="inlineStr">
        <is>
          <t>https://www.semana.com/economia/management/articulo/se-acaba-en-2027-la-corte-constitucional-aclaro-que-pasara-con-el-auxilio-funerario-de-colpensiones/202655/</t>
        </is>
      </c>
      <c r="B287" s="38" t="inlineStr">
        <is>
          <t>https://www.semana.com/economia/management/articulo/se-acaba-en-2027-la-corte-constitucional-aclaro-que-pasara-con-el-auxilio-funerario-de-colpensiones/202655/_S03</t>
        </is>
      </c>
      <c r="C287" s="38" t="inlineStr">
        <is>
          <t>Semana</t>
        </is>
      </c>
      <c r="D287" s="38" t="inlineStr">
        <is>
          <t>Reformas sociales en disputa (pensional/tributaria)</t>
        </is>
      </c>
      <c r="E287" s="38" t="inlineStr">
        <is>
          <t>Noticia dura</t>
        </is>
      </c>
      <c r="F287" s="38" t="inlineStr">
        <is>
          <t>Thu, 03 Sep 2026 02:25:55 +0000</t>
        </is>
      </c>
      <c r="G287" s="62" t="inlineStr">
        <is>
          <t>Aunque el nuevo modelo traerá modificaciones para los afiliados, la prestación destinada a cubrir parte de los gastos funerarios continuará vigente.</t>
        </is>
      </c>
      <c r="H287" s="62" t="inlineStr">
        <is>
          <t>Según Valora Analitik, la decisión se conoció luego de que el alto tribunal revisara las disposiciones de la reforma que cambiarán las reglas del sistema de pensiones.</t>
        </is>
      </c>
      <c r="I287" s="62" t="inlineStr">
        <is>
          <t>El auxilio funerario es un reconocimiento económico que puede recibir la persona que demuestre haber asumido los gastos del funeral de un afiliado o pensionado fallecido.</t>
        </is>
      </c>
      <c r="J287" s="38" t="n"/>
      <c r="K287" s="62" t="n"/>
      <c r="L287" s="38" t="n"/>
      <c r="M287" s="62" t="n"/>
      <c r="N287" s="38" t="n"/>
      <c r="O287" s="62" t="n"/>
      <c r="P287" s="38" t="n"/>
      <c r="Q287" s="62" t="n"/>
      <c r="R287" s="38" t="n"/>
      <c r="S287" s="62" t="n"/>
      <c r="T287" s="38" t="n"/>
      <c r="U287" s="62" t="n"/>
      <c r="V287" s="38" t="n"/>
      <c r="W287" s="62" t="n"/>
      <c r="X287" s="38" t="n"/>
      <c r="Y287" s="62" t="n"/>
      <c r="Z287" s="38" t="n"/>
      <c r="AA287" s="62" t="n"/>
      <c r="AB287" s="38" t="n"/>
      <c r="AC287" s="62" t="n"/>
      <c r="AD287" s="38" t="n"/>
      <c r="AE287" s="38" t="n"/>
      <c r="AF287" s="61">
        <f>IF(COUNTIF($B$5:B287,B287)=1,1,0)</f>
        <v/>
      </c>
      <c r="AG287" s="62" t="inlineStr">
        <is>
          <t>https://www.semana.com/economia/management/articulo/se-acaba-en-2027-la-corte-constitucional-aclaro-que-pasara-con-el-auxilio-funerario-de-colpensiones/202655/</t>
        </is>
      </c>
    </row>
    <row r="288" ht="15" customHeight="1" s="31">
      <c r="A288" s="38" t="inlineStr">
        <is>
          <t>https://www.semana.com/economia/management/articulo/se-acaba-en-2027-la-corte-constitucional-aclaro-que-pasara-con-el-auxilio-funerario-de-colpensiones/202655/</t>
        </is>
      </c>
      <c r="B288" s="38" t="inlineStr">
        <is>
          <t>https://www.semana.com/economia/management/articulo/se-acaba-en-2027-la-corte-constitucional-aclaro-que-pasara-con-el-auxilio-funerario-de-colpensiones/202655/_S04</t>
        </is>
      </c>
      <c r="C288" s="38" t="inlineStr">
        <is>
          <t>Semana</t>
        </is>
      </c>
      <c r="D288" s="38" t="inlineStr">
        <is>
          <t>Reformas sociales en disputa (pensional/tributaria)</t>
        </is>
      </c>
      <c r="E288" s="38" t="inlineStr">
        <is>
          <t>Noticia dura</t>
        </is>
      </c>
      <c r="F288" s="38" t="inlineStr">
        <is>
          <t>Thu, 03 Sep 2026 02:25:55 +0000</t>
        </is>
      </c>
      <c r="G288" s="62" t="inlineStr">
        <is>
          <t>El auxilio funerario es un reconocimiento económico que puede recibir la persona que demuestre haber asumido los gastos del funeral de un afiliado o pensionado fallecido.</t>
        </is>
      </c>
      <c r="H288" s="62" t="inlineStr">
        <is>
          <t>Aunque el nuevo modelo traerá modificaciones para los afiliados, la prestación destinada a cubrir parte de los gastos funerarios continuará vigente.</t>
        </is>
      </c>
      <c r="I288" s="62" t="inlineStr">
        <is>
          <t>Se trata de un apoyo que busca reducir el impacto económico que puede representar para una familia afrontar este tipo de gastos.</t>
        </is>
      </c>
      <c r="J288" s="38" t="n"/>
      <c r="K288" s="62" t="n"/>
      <c r="L288" s="38" t="n"/>
      <c r="M288" s="62" t="n"/>
      <c r="N288" s="38" t="n"/>
      <c r="O288" s="62" t="n"/>
      <c r="P288" s="38" t="n"/>
      <c r="Q288" s="62" t="n"/>
      <c r="R288" s="38" t="n"/>
      <c r="S288" s="62" t="n"/>
      <c r="T288" s="38" t="n"/>
      <c r="U288" s="62" t="n"/>
      <c r="V288" s="38" t="n"/>
      <c r="W288" s="62" t="n"/>
      <c r="X288" s="38" t="n"/>
      <c r="Y288" s="62" t="n"/>
      <c r="Z288" s="38" t="n"/>
      <c r="AA288" s="62" t="n"/>
      <c r="AB288" s="38" t="n"/>
      <c r="AC288" s="62" t="n"/>
      <c r="AD288" s="38" t="n"/>
      <c r="AE288" s="38" t="n"/>
      <c r="AF288" s="61">
        <f>IF(COUNTIF($B$5:B288,B288)=1,1,0)</f>
        <v/>
      </c>
      <c r="AG288" s="62" t="inlineStr">
        <is>
          <t>https://www.semana.com/economia/management/articulo/se-acaba-en-2027-la-corte-constitucional-aclaro-que-pasara-con-el-auxilio-funerario-de-colpensiones/202655/</t>
        </is>
      </c>
    </row>
    <row r="289" ht="15" customHeight="1" s="31">
      <c r="A289" s="38" t="inlineStr">
        <is>
          <t>https://www.semana.com/economia/management/articulo/se-acaba-en-2027-la-corte-constitucional-aclaro-que-pasara-con-el-auxilio-funerario-de-colpensiones/202655/</t>
        </is>
      </c>
      <c r="B289" s="38" t="inlineStr">
        <is>
          <t>https://www.semana.com/economia/management/articulo/se-acaba-en-2027-la-corte-constitucional-aclaro-que-pasara-con-el-auxilio-funerario-de-colpensiones/202655/_S05</t>
        </is>
      </c>
      <c r="C289" s="38" t="inlineStr">
        <is>
          <t>Semana</t>
        </is>
      </c>
      <c r="D289" s="38" t="inlineStr">
        <is>
          <t>Reformas sociales en disputa (pensional/tributaria)</t>
        </is>
      </c>
      <c r="E289" s="38" t="inlineStr">
        <is>
          <t>Noticia dura</t>
        </is>
      </c>
      <c r="F289" s="38" t="inlineStr">
        <is>
          <t>Thu, 03 Sep 2026 02:25:55 +0000</t>
        </is>
      </c>
      <c r="G289" s="62" t="inlineStr">
        <is>
          <t>Se trata de un apoyo que busca reducir el impacto económico que puede representar para una familia afrontar este tipo de gastos.</t>
        </is>
      </c>
      <c r="H289" s="62" t="inlineStr">
        <is>
          <t>El auxilio funerario es un reconocimiento económico que puede recibir la persona que demuestre haber asumido los gastos del funeral de un afiliado o pensionado fallecido.</t>
        </is>
      </c>
      <c r="I289" s="62" t="inlineStr">
        <is>
          <t>De acuerdo con lo establecido en las normas que regulan la prestación, el monto del auxilio está relacionado con la situación pensional o salarial que tenía la persona fallecida.</t>
        </is>
      </c>
      <c r="J289" s="38" t="n"/>
      <c r="K289" s="62" t="n"/>
      <c r="L289" s="38" t="n"/>
      <c r="M289" s="62" t="n"/>
      <c r="N289" s="38" t="n"/>
      <c r="O289" s="62" t="n"/>
      <c r="P289" s="38" t="n"/>
      <c r="Q289" s="62" t="n"/>
      <c r="R289" s="38" t="n"/>
      <c r="S289" s="62" t="n"/>
      <c r="T289" s="38" t="n"/>
      <c r="U289" s="62" t="n"/>
      <c r="V289" s="38" t="n"/>
      <c r="W289" s="62" t="n"/>
      <c r="X289" s="38" t="n"/>
      <c r="Y289" s="62" t="n"/>
      <c r="Z289" s="38" t="n"/>
      <c r="AA289" s="62" t="n"/>
      <c r="AB289" s="38" t="n"/>
      <c r="AC289" s="62" t="n"/>
      <c r="AD289" s="38" t="n"/>
      <c r="AE289" s="38" t="n"/>
      <c r="AF289" s="61">
        <f>IF(COUNTIF($B$5:B289,B289)=1,1,0)</f>
        <v/>
      </c>
      <c r="AG289" s="62" t="inlineStr">
        <is>
          <t>https://www.semana.com/economia/management/articulo/se-acaba-en-2027-la-corte-constitucional-aclaro-que-pasara-con-el-auxilio-funerario-de-colpensiones/202655/</t>
        </is>
      </c>
    </row>
    <row r="290" ht="15" customHeight="1" s="31">
      <c r="A290" s="38" t="inlineStr">
        <is>
          <t>https://www.semana.com/economia/management/articulo/se-acaba-en-2027-la-corte-constitucional-aclaro-que-pasara-con-el-auxilio-funerario-de-colpensiones/202655/</t>
        </is>
      </c>
      <c r="B290" s="38" t="inlineStr">
        <is>
          <t>https://www.semana.com/economia/management/articulo/se-acaba-en-2027-la-corte-constitucional-aclaro-que-pasara-con-el-auxilio-funerario-de-colpensiones/202655/_S06</t>
        </is>
      </c>
      <c r="C290" s="38" t="inlineStr">
        <is>
          <t>Semana</t>
        </is>
      </c>
      <c r="D290" s="38" t="inlineStr">
        <is>
          <t>Reformas sociales en disputa (pensional/tributaria)</t>
        </is>
      </c>
      <c r="E290" s="38" t="inlineStr">
        <is>
          <t>Noticia dura</t>
        </is>
      </c>
      <c r="F290" s="38" t="inlineStr">
        <is>
          <t>Thu, 03 Sep 2026 02:25:55 +0000</t>
        </is>
      </c>
      <c r="G290" s="62" t="inlineStr">
        <is>
          <t>De acuerdo con lo establecido en las normas que regulan la prestación, el monto del auxilio está relacionado con la situación pensional o salarial que tenía la persona fallecida.</t>
        </is>
      </c>
      <c r="H290" s="62" t="inlineStr">
        <is>
          <t>Se trata de un apoyo que busca reducir el impacto económico que puede representar para una familia afrontar este tipo de gastos.</t>
        </is>
      </c>
      <c r="I290" s="62" t="inlineStr">
        <is>
          <t>Además, existe un límite mínimo y máximo para determinar cuánto dinero puede recibir quien haga la reclamación.</t>
        </is>
      </c>
      <c r="J290" s="38" t="n"/>
      <c r="K290" s="62" t="n"/>
      <c r="L290" s="38" t="n"/>
      <c r="M290" s="62" t="n"/>
      <c r="N290" s="38" t="n"/>
      <c r="O290" s="62" t="n"/>
      <c r="P290" s="38" t="n"/>
      <c r="Q290" s="62" t="n"/>
      <c r="R290" s="38" t="n"/>
      <c r="S290" s="62" t="n"/>
      <c r="T290" s="38" t="n"/>
      <c r="U290" s="62" t="n"/>
      <c r="V290" s="38" t="n"/>
      <c r="W290" s="62" t="n"/>
      <c r="X290" s="38" t="n"/>
      <c r="Y290" s="62" t="n"/>
      <c r="Z290" s="38" t="n"/>
      <c r="AA290" s="62" t="n"/>
      <c r="AB290" s="38" t="n"/>
      <c r="AC290" s="62" t="n"/>
      <c r="AD290" s="38" t="n"/>
      <c r="AE290" s="38" t="n"/>
      <c r="AF290" s="61">
        <f>IF(COUNTIF($B$5:B290,B290)=1,1,0)</f>
        <v/>
      </c>
      <c r="AG290" s="62" t="inlineStr">
        <is>
          <t>https://www.semana.com/economia/management/articulo/se-acaba-en-2027-la-corte-constitucional-aclaro-que-pasara-con-el-auxilio-funerario-de-colpensiones/202655/</t>
        </is>
      </c>
    </row>
    <row r="291" ht="15" customHeight="1" s="31">
      <c r="A291" s="38" t="inlineStr">
        <is>
          <t>https://www.semana.com/economia/management/articulo/se-acaba-en-2027-la-corte-constitucional-aclaro-que-pasara-con-el-auxilio-funerario-de-colpensiones/202655/</t>
        </is>
      </c>
      <c r="B291" s="38" t="inlineStr">
        <is>
          <t>https://www.semana.com/economia/management/articulo/se-acaba-en-2027-la-corte-constitucional-aclaro-que-pasara-con-el-auxilio-funerario-de-colpensiones/202655/_S07</t>
        </is>
      </c>
      <c r="C291" s="38" t="inlineStr">
        <is>
          <t>Semana</t>
        </is>
      </c>
      <c r="D291" s="38" t="inlineStr">
        <is>
          <t>Reformas sociales en disputa (pensional/tributaria)</t>
        </is>
      </c>
      <c r="E291" s="38" t="inlineStr">
        <is>
          <t>Noticia dura</t>
        </is>
      </c>
      <c r="F291" s="38" t="inlineStr">
        <is>
          <t>Thu, 03 Sep 2026 02:25:55 +0000</t>
        </is>
      </c>
      <c r="G291" s="62" t="inlineStr">
        <is>
          <t>Además, existe un límite mínimo y máximo para determinar cuánto dinero puede recibir quien haga la reclamación.</t>
        </is>
      </c>
      <c r="H291" s="62" t="inlineStr">
        <is>
          <t>De acuerdo con lo establecido en las normas que regulan la prestación, el monto del auxilio está relacionado con la situación pensional o salarial que tenía la persona fallecida.</t>
        </is>
      </c>
      <c r="I291" s="62" t="inlineStr">
        <is>
          <t>Con la decisión de la Corte, este beneficio no quedará eliminado cuando empiece a aplicarse el nuevo sistema pensional.</t>
        </is>
      </c>
      <c r="J291" s="38" t="n"/>
      <c r="K291" s="62" t="n"/>
      <c r="L291" s="38" t="n"/>
      <c r="M291" s="62" t="n"/>
      <c r="N291" s="38" t="n"/>
      <c r="O291" s="62" t="n"/>
      <c r="P291" s="38" t="n"/>
      <c r="Q291" s="62" t="n"/>
      <c r="R291" s="38" t="n"/>
      <c r="S291" s="62" t="n"/>
      <c r="T291" s="38" t="n"/>
      <c r="U291" s="62" t="n"/>
      <c r="V291" s="38" t="n"/>
      <c r="W291" s="62" t="n"/>
      <c r="X291" s="38" t="n"/>
      <c r="Y291" s="62" t="n"/>
      <c r="Z291" s="38" t="n"/>
      <c r="AA291" s="62" t="n"/>
      <c r="AB291" s="38" t="n"/>
      <c r="AC291" s="62" t="n"/>
      <c r="AD291" s="38" t="n"/>
      <c r="AE291" s="38" t="n"/>
      <c r="AF291" s="61">
        <f>IF(COUNTIF($B$5:B291,B291)=1,1,0)</f>
        <v/>
      </c>
      <c r="AG291" s="62" t="inlineStr">
        <is>
          <t>https://www.semana.com/economia/management/articulo/se-acaba-en-2027-la-corte-constitucional-aclaro-que-pasara-con-el-auxilio-funerario-de-colpensiones/202655/</t>
        </is>
      </c>
    </row>
    <row r="292" ht="15" customHeight="1" s="31">
      <c r="A292" s="38" t="inlineStr">
        <is>
          <t>https://www.semana.com/economia/management/articulo/se-acaba-en-2027-la-corte-constitucional-aclaro-que-pasara-con-el-auxilio-funerario-de-colpensiones/202655/</t>
        </is>
      </c>
      <c r="B292" s="38" t="inlineStr">
        <is>
          <t>https://www.semana.com/economia/management/articulo/se-acaba-en-2027-la-corte-constitucional-aclaro-que-pasara-con-el-auxilio-funerario-de-colpensiones/202655/_S08</t>
        </is>
      </c>
      <c r="C292" s="38" t="inlineStr">
        <is>
          <t>Semana</t>
        </is>
      </c>
      <c r="D292" s="38" t="inlineStr">
        <is>
          <t>Reformas sociales en disputa (pensional/tributaria)</t>
        </is>
      </c>
      <c r="E292" s="38" t="inlineStr">
        <is>
          <t>Noticia dura</t>
        </is>
      </c>
      <c r="F292" s="38" t="inlineStr">
        <is>
          <t>Thu, 03 Sep 2026 02:25:55 +0000</t>
        </is>
      </c>
      <c r="G292" s="62" t="inlineStr">
        <is>
          <t>Con la decisión de la Corte, este beneficio no quedará eliminado cuando empiece a aplicarse el nuevo sistema pensional.</t>
        </is>
      </c>
      <c r="H292" s="62" t="inlineStr">
        <is>
          <t>Además, existe un límite mínimo y máximo para determinar cuánto dinero puede recibir quien haga la reclamación.</t>
        </is>
      </c>
      <c r="I292" s="62" t="inlineStr">
        <is>
          <t>Sin embargo, el valor exacto que tendrá el auxilio en 2027 todavía no se puede establecer, pues uno de los factores utilizados para calcularlo depende del salario mínimo que sea fijado para ese año.</t>
        </is>
      </c>
      <c r="J292" s="38" t="n"/>
      <c r="K292" s="62" t="n"/>
      <c r="L292" s="38" t="n"/>
      <c r="M292" s="62" t="n"/>
      <c r="N292" s="38" t="n"/>
      <c r="O292" s="62" t="n"/>
      <c r="P292" s="38" t="n"/>
      <c r="Q292" s="62" t="n"/>
      <c r="R292" s="38" t="n"/>
      <c r="S292" s="62" t="n"/>
      <c r="T292" s="38" t="n"/>
      <c r="U292" s="62" t="n"/>
      <c r="V292" s="38" t="n"/>
      <c r="W292" s="62" t="n"/>
      <c r="X292" s="38" t="n"/>
      <c r="Y292" s="62" t="n"/>
      <c r="Z292" s="38" t="n"/>
      <c r="AA292" s="62" t="n"/>
      <c r="AB292" s="38" t="n"/>
      <c r="AC292" s="62" t="n"/>
      <c r="AD292" s="38" t="n"/>
      <c r="AE292" s="38" t="n"/>
      <c r="AF292" s="61">
        <f>IF(COUNTIF($B$5:B292,B292)=1,1,0)</f>
        <v/>
      </c>
      <c r="AG292" s="62" t="inlineStr">
        <is>
          <t>https://www.semana.com/economia/management/articulo/se-acaba-en-2027-la-corte-constitucional-aclaro-que-pasara-con-el-auxilio-funerario-de-colpensiones/202655/</t>
        </is>
      </c>
    </row>
    <row r="293" ht="15" customHeight="1" s="31">
      <c r="A293" s="38" t="inlineStr">
        <is>
          <t>https://www.semana.com/economia/management/articulo/se-acaba-en-2027-la-corte-constitucional-aclaro-que-pasara-con-el-auxilio-funerario-de-colpensiones/202655/</t>
        </is>
      </c>
      <c r="B293" s="38" t="inlineStr">
        <is>
          <t>https://www.semana.com/economia/management/articulo/se-acaba-en-2027-la-corte-constitucional-aclaro-que-pasara-con-el-auxilio-funerario-de-colpensiones/202655/_S09</t>
        </is>
      </c>
      <c r="C293" s="38" t="inlineStr">
        <is>
          <t>Semana</t>
        </is>
      </c>
      <c r="D293" s="38" t="inlineStr">
        <is>
          <t>Reformas sociales en disputa (pensional/tributaria)</t>
        </is>
      </c>
      <c r="E293" s="38" t="inlineStr">
        <is>
          <t>Noticia dura</t>
        </is>
      </c>
      <c r="F293" s="38" t="inlineStr">
        <is>
          <t>Thu, 03 Sep 2026 02:25:55 +0000</t>
        </is>
      </c>
      <c r="G293" s="62" t="inlineStr">
        <is>
          <t>Sin embargo, el valor exacto que tendrá el auxilio en 2027 todavía no se puede establecer, pues uno de los factores utilizados para calcularlo depende del salario mínimo que sea fijado para ese año.</t>
        </is>
      </c>
      <c r="H293" s="62" t="inlineStr">
        <is>
          <t>Con la decisión de la Corte, este beneficio no quedará eliminado cuando empiece a aplicarse el nuevo sistema pensional.</t>
        </is>
      </c>
      <c r="I293" s="62" t="inlineStr">
        <is>
          <t>Actualmente, la legislación contempla que el auxilio funerario debe estar dentro de un rango que va de cinco a diez salarios mínimos mensuales.</t>
        </is>
      </c>
      <c r="J293" s="38" t="n"/>
      <c r="K293" s="62" t="n"/>
      <c r="L293" s="38" t="n"/>
      <c r="M293" s="62" t="n"/>
      <c r="N293" s="38" t="n"/>
      <c r="O293" s="62" t="n"/>
      <c r="P293" s="38" t="n"/>
      <c r="Q293" s="62" t="n"/>
      <c r="R293" s="38" t="n"/>
      <c r="S293" s="62" t="n"/>
      <c r="T293" s="38" t="n"/>
      <c r="U293" s="62" t="n"/>
      <c r="V293" s="38" t="n"/>
      <c r="W293" s="62" t="n"/>
      <c r="X293" s="38" t="n"/>
      <c r="Y293" s="62" t="n"/>
      <c r="Z293" s="38" t="n"/>
      <c r="AA293" s="62" t="n"/>
      <c r="AB293" s="38" t="n"/>
      <c r="AC293" s="62" t="n"/>
      <c r="AD293" s="38" t="n"/>
      <c r="AE293" s="38" t="n"/>
      <c r="AF293" s="61">
        <f>IF(COUNTIF($B$5:B293,B293)=1,1,0)</f>
        <v/>
      </c>
      <c r="AG293" s="62" t="inlineStr">
        <is>
          <t>https://www.semana.com/economia/management/articulo/se-acaba-en-2027-la-corte-constitucional-aclaro-que-pasara-con-el-auxilio-funerario-de-colpensiones/202655/</t>
        </is>
      </c>
    </row>
    <row r="294" ht="15" customHeight="1" s="31">
      <c r="A294" s="38" t="inlineStr">
        <is>
          <t>https://www.semana.com/economia/management/articulo/se-acaba-en-2027-la-corte-constitucional-aclaro-que-pasara-con-el-auxilio-funerario-de-colpensiones/202655/</t>
        </is>
      </c>
      <c r="B294" s="38" t="inlineStr">
        <is>
          <t>https://www.semana.com/economia/management/articulo/se-acaba-en-2027-la-corte-constitucional-aclaro-que-pasara-con-el-auxilio-funerario-de-colpensiones/202655/_S10</t>
        </is>
      </c>
      <c r="C294" s="38" t="inlineStr">
        <is>
          <t>Semana</t>
        </is>
      </c>
      <c r="D294" s="38" t="inlineStr">
        <is>
          <t>Reformas sociales en disputa (pensional/tributaria)</t>
        </is>
      </c>
      <c r="E294" s="38" t="inlineStr">
        <is>
          <t>Noticia dura</t>
        </is>
      </c>
      <c r="F294" s="38" t="inlineStr">
        <is>
          <t>Thu, 03 Sep 2026 02:25:55 +0000</t>
        </is>
      </c>
      <c r="G294" s="62" t="inlineStr">
        <is>
          <t>Actualmente, la legislación contempla que el auxilio funerario debe estar dentro de un rango que va de cinco a diez salarios mínimos mensuales.</t>
        </is>
      </c>
      <c r="H294" s="62" t="inlineStr">
        <is>
          <t>Sin embargo, el valor exacto que tendrá el auxilio en 2027 todavía no se puede establecer, pues uno de los factores utilizados para calcularlo depende del salario mínimo que sea fijado para ese año.</t>
        </is>
      </c>
      <c r="I294" s="62" t="n"/>
      <c r="J294" s="38" t="n"/>
      <c r="K294" s="62" t="n"/>
      <c r="L294" s="38" t="n"/>
      <c r="M294" s="62" t="n"/>
      <c r="N294" s="38" t="n"/>
      <c r="O294" s="62" t="n"/>
      <c r="P294" s="38" t="n"/>
      <c r="Q294" s="62" t="n"/>
      <c r="R294" s="38" t="n"/>
      <c r="S294" s="62" t="n"/>
      <c r="T294" s="38" t="n"/>
      <c r="U294" s="62" t="n"/>
      <c r="V294" s="38" t="n"/>
      <c r="W294" s="62" t="n"/>
      <c r="X294" s="38" t="n"/>
      <c r="Y294" s="62" t="n"/>
      <c r="Z294" s="38" t="n"/>
      <c r="AA294" s="62" t="n"/>
      <c r="AB294" s="38" t="n"/>
      <c r="AC294" s="62" t="n"/>
      <c r="AD294" s="38" t="n"/>
      <c r="AE294" s="38" t="n"/>
      <c r="AF294" s="61">
        <f>IF(COUNTIF($B$5:B294,B294)=1,1,0)</f>
        <v/>
      </c>
      <c r="AG294" s="62" t="inlineStr">
        <is>
          <t>https://www.semana.com/economia/management/articulo/se-acaba-en-2027-la-corte-constitucional-aclaro-que-pasara-con-el-auxilio-funerario-de-colpensiones/202655/</t>
        </is>
      </c>
    </row>
    <row r="295" ht="15" customHeight="1" s="31">
      <c r="A295" s="38" t="inlineStr">
        <is>
          <t>https://www.semana.com/nacion/articulo/soldado-habria-atacado-a-cuatro-companeros-en-casanare-dos-militares-murieron/202650/</t>
        </is>
      </c>
      <c r="B295" s="38" t="inlineStr">
        <is>
          <t>https://www.semana.com/nacion/articulo/soldado-habria-atacado-a-cuatro-companeros-en-casanare-dos-militares-murieron/202650/_S01</t>
        </is>
      </c>
      <c r="C295" s="38" t="inlineStr">
        <is>
          <t>Semana</t>
        </is>
      </c>
      <c r="D295" s="38" t="inlineStr">
        <is>
          <t>Seguridad y orden público</t>
        </is>
      </c>
      <c r="E295" s="38" t="inlineStr">
        <is>
          <t>Noticia dura</t>
        </is>
      </c>
      <c r="F295" s="38" t="inlineStr">
        <is>
          <t>Thu, 03 Sep 2026 23:36:50 +0000</t>
        </is>
      </c>
      <c r="G295" s="62" t="inlineStr">
        <is>
          <t>Dos militares muertos y dos más heridos dejó el presunto ataque que habría protagonizado un soldado al interior del Batallón de Infantería n.° 44, ubicado en la base militar de Cupiagua, en el municipio de Aguazul, Casanare.</t>
        </is>
      </c>
      <c r="H295" s="62" t="n"/>
      <c r="I295" s="62" t="inlineStr">
        <is>
          <t>La Sexta Brigada del Ejército Nacional confirmó a través de un comunicado que durante la mañana de este jueves, 3 de septiembre, se “presentó un hecho de intolerancia” en el que un soldado habría accionado un arma de dotación en contra de otros cuatro uniformados, integrantes del mencionado batallón.</t>
        </is>
      </c>
      <c r="J295" s="38" t="n"/>
      <c r="K295" s="62" t="n"/>
      <c r="L295" s="38" t="n"/>
      <c r="M295" s="62" t="n"/>
      <c r="N295" s="38" t="n"/>
      <c r="O295" s="62" t="n"/>
      <c r="P295" s="38" t="n"/>
      <c r="Q295" s="62" t="n"/>
      <c r="R295" s="38" t="n"/>
      <c r="S295" s="62" t="n"/>
      <c r="T295" s="38" t="n"/>
      <c r="U295" s="62" t="n"/>
      <c r="V295" s="38" t="n"/>
      <c r="W295" s="62" t="n"/>
      <c r="X295" s="38" t="n"/>
      <c r="Y295" s="62" t="n"/>
      <c r="Z295" s="38" t="n"/>
      <c r="AA295" s="62" t="n"/>
      <c r="AB295" s="38" t="n"/>
      <c r="AC295" s="62" t="n"/>
      <c r="AD295" s="38" t="n"/>
      <c r="AE295" s="38" t="n"/>
      <c r="AF295" s="61">
        <f>IF(COUNTIF($B$5:B295,B295)=1,1,0)</f>
        <v/>
      </c>
      <c r="AG295" s="62" t="inlineStr">
        <is>
          <t>https://www.semana.com/nacion/articulo/soldado-habria-atacado-a-cuatro-companeros-en-casanare-dos-militares-murieron/202650/</t>
        </is>
      </c>
    </row>
    <row r="296" ht="15" customHeight="1" s="31">
      <c r="A296" s="38" t="inlineStr">
        <is>
          <t>https://www.semana.com/nacion/articulo/soldado-habria-atacado-a-cuatro-companeros-en-casanare-dos-militares-murieron/202650/</t>
        </is>
      </c>
      <c r="B296" s="38" t="inlineStr">
        <is>
          <t>https://www.semana.com/nacion/articulo/soldado-habria-atacado-a-cuatro-companeros-en-casanare-dos-militares-murieron/202650/_S02</t>
        </is>
      </c>
      <c r="C296" s="38" t="inlineStr">
        <is>
          <t>Semana</t>
        </is>
      </c>
      <c r="D296" s="38" t="inlineStr">
        <is>
          <t>Seguridad y orden público</t>
        </is>
      </c>
      <c r="E296" s="38" t="inlineStr">
        <is>
          <t>Noticia dura</t>
        </is>
      </c>
      <c r="F296" s="38" t="inlineStr">
        <is>
          <t>Thu, 03 Sep 2026 23:36:50 +0000</t>
        </is>
      </c>
      <c r="G296" s="62" t="inlineStr">
        <is>
          <t>La Sexta Brigada del Ejército Nacional confirmó a través de un comunicado que durante la mañana de este jueves, 3 de septiembre, se “presentó un hecho de intolerancia” en el que un soldado habría accionado un arma de dotación en contra de otros cuatro uniformados, integrantes del mencionado batallón.</t>
        </is>
      </c>
      <c r="H296" s="62" t="inlineStr">
        <is>
          <t>Dos militares muertos y dos más heridos dejó el presunto ataque que habría protagonizado un soldado al interior del Batallón de Infantería n.° 44, ubicado en la base militar de Cupiagua, en el municipio de Aguazul, Casanare.</t>
        </is>
      </c>
      <c r="I296" s="62" t="inlineStr">
        <is>
          <t>La situación fue de tal gravedad que como consecuencia del presunto ataque, dos soldados fallecieron y otros dos resultaron heridos.</t>
        </is>
      </c>
      <c r="J296" s="38" t="n"/>
      <c r="K296" s="62" t="n"/>
      <c r="L296" s="38" t="n"/>
      <c r="M296" s="62" t="n"/>
      <c r="N296" s="38" t="n"/>
      <c r="O296" s="62" t="n"/>
      <c r="P296" s="38" t="n"/>
      <c r="Q296" s="62" t="n"/>
      <c r="R296" s="38" t="n"/>
      <c r="S296" s="62" t="n"/>
      <c r="T296" s="38" t="n"/>
      <c r="U296" s="62" t="n"/>
      <c r="V296" s="38" t="n"/>
      <c r="W296" s="62" t="n"/>
      <c r="X296" s="38" t="n"/>
      <c r="Y296" s="62" t="n"/>
      <c r="Z296" s="38" t="n"/>
      <c r="AA296" s="62" t="n"/>
      <c r="AB296" s="38" t="n"/>
      <c r="AC296" s="62" t="n"/>
      <c r="AD296" s="38" t="n"/>
      <c r="AE296" s="38" t="n"/>
      <c r="AF296" s="61">
        <f>IF(COUNTIF($B$5:B296,B296)=1,1,0)</f>
        <v/>
      </c>
      <c r="AG296" s="62" t="inlineStr">
        <is>
          <t>https://www.semana.com/nacion/articulo/soldado-habria-atacado-a-cuatro-companeros-en-casanare-dos-militares-murieron/202650/</t>
        </is>
      </c>
    </row>
    <row r="297" ht="15" customHeight="1" s="31">
      <c r="A297" s="38" t="inlineStr">
        <is>
          <t>https://www.semana.com/nacion/articulo/soldado-habria-atacado-a-cuatro-companeros-en-casanare-dos-militares-murieron/202650/</t>
        </is>
      </c>
      <c r="B297" s="38" t="inlineStr">
        <is>
          <t>https://www.semana.com/nacion/articulo/soldado-habria-atacado-a-cuatro-companeros-en-casanare-dos-militares-murieron/202650/_S03</t>
        </is>
      </c>
      <c r="C297" s="38" t="inlineStr">
        <is>
          <t>Semana</t>
        </is>
      </c>
      <c r="D297" s="38" t="inlineStr">
        <is>
          <t>Seguridad y orden público</t>
        </is>
      </c>
      <c r="E297" s="38" t="inlineStr">
        <is>
          <t>Noticia dura</t>
        </is>
      </c>
      <c r="F297" s="38" t="inlineStr">
        <is>
          <t>Thu, 03 Sep 2026 23:36:50 +0000</t>
        </is>
      </c>
      <c r="G297" s="62" t="inlineStr">
        <is>
          <t>La situación fue de tal gravedad que como consecuencia del presunto ataque, dos soldados fallecieron y otros dos resultaron heridos.</t>
        </is>
      </c>
      <c r="H297" s="62" t="inlineStr">
        <is>
          <t>La Sexta Brigada del Ejército Nacional confirmó a través de un comunicado que durante la mañana de este jueves, 3 de septiembre, se “presentó un hecho de intolerancia” en el que un soldado habría accionado un arma de dotación en contra de otros cuatro uniformados, integrantes del mencionado batallón.</t>
        </is>
      </c>
      <c r="I297" s="62" t="inlineStr">
        <is>
          <t>Sin embargo, las autoridades competentes ahora tratan de establecer la situación que habría provocado la tragedia en Casanare.</t>
        </is>
      </c>
      <c r="J297" s="38" t="n"/>
      <c r="K297" s="62" t="n"/>
      <c r="L297" s="38" t="n"/>
      <c r="M297" s="62" t="n"/>
      <c r="N297" s="38" t="n"/>
      <c r="O297" s="62" t="n"/>
      <c r="P297" s="38" t="n"/>
      <c r="Q297" s="62" t="n"/>
      <c r="R297" s="38" t="n"/>
      <c r="S297" s="62" t="n"/>
      <c r="T297" s="38" t="n"/>
      <c r="U297" s="62" t="n"/>
      <c r="V297" s="38" t="n"/>
      <c r="W297" s="62" t="n"/>
      <c r="X297" s="38" t="n"/>
      <c r="Y297" s="62" t="n"/>
      <c r="Z297" s="38" t="n"/>
      <c r="AA297" s="62" t="n"/>
      <c r="AB297" s="38" t="n"/>
      <c r="AC297" s="62" t="n"/>
      <c r="AD297" s="38" t="n"/>
      <c r="AE297" s="38" t="n"/>
      <c r="AF297" s="61">
        <f>IF(COUNTIF($B$5:B297,B297)=1,1,0)</f>
        <v/>
      </c>
      <c r="AG297" s="62" t="inlineStr">
        <is>
          <t>https://www.semana.com/nacion/articulo/soldado-habria-atacado-a-cuatro-companeros-en-casanare-dos-militares-murieron/202650/</t>
        </is>
      </c>
    </row>
    <row r="298" ht="15" customHeight="1" s="31">
      <c r="A298" s="38" t="inlineStr">
        <is>
          <t>https://www.semana.com/nacion/articulo/soldado-habria-atacado-a-cuatro-companeros-en-casanare-dos-militares-murieron/202650/</t>
        </is>
      </c>
      <c r="B298" s="38" t="inlineStr">
        <is>
          <t>https://www.semana.com/nacion/articulo/soldado-habria-atacado-a-cuatro-companeros-en-casanare-dos-militares-murieron/202650/_S04</t>
        </is>
      </c>
      <c r="C298" s="38" t="inlineStr">
        <is>
          <t>Semana</t>
        </is>
      </c>
      <c r="D298" s="38" t="inlineStr">
        <is>
          <t>Seguridad y orden público</t>
        </is>
      </c>
      <c r="E298" s="38" t="inlineStr">
        <is>
          <t>Noticia dura</t>
        </is>
      </c>
      <c r="F298" s="38" t="inlineStr">
        <is>
          <t>Thu, 03 Sep 2026 23:36:50 +0000</t>
        </is>
      </c>
      <c r="G298" s="62" t="inlineStr">
        <is>
          <t>Sin embargo, las autoridades competentes ahora tratan de establecer la situación que habría provocado la tragedia en Casanare.</t>
        </is>
      </c>
      <c r="H298" s="62" t="inlineStr">
        <is>
          <t>La situación fue de tal gravedad que como consecuencia del presunto ataque, dos soldados fallecieron y otros dos resultaron heridos.</t>
        </is>
      </c>
      <c r="I298" s="62" t="inlineStr">
        <is>
          <t>Desde el Ejército Nacional explicaron que los dos uniformados heridos fueron trasladados de inmediato a un centro hospitalario de la región para recibir atención médica especializada.</t>
        </is>
      </c>
      <c r="J298" s="38" t="n"/>
      <c r="K298" s="62" t="n"/>
      <c r="L298" s="38" t="n"/>
      <c r="M298" s="62" t="n"/>
      <c r="N298" s="38" t="n"/>
      <c r="O298" s="62" t="n"/>
      <c r="P298" s="38" t="n"/>
      <c r="Q298" s="62" t="n"/>
      <c r="R298" s="38" t="n"/>
      <c r="S298" s="62" t="n"/>
      <c r="T298" s="38" t="n"/>
      <c r="U298" s="62" t="n"/>
      <c r="V298" s="38" t="n"/>
      <c r="W298" s="62" t="n"/>
      <c r="X298" s="38" t="n"/>
      <c r="Y298" s="62" t="n"/>
      <c r="Z298" s="38" t="n"/>
      <c r="AA298" s="62" t="n"/>
      <c r="AB298" s="38" t="n"/>
      <c r="AC298" s="62" t="n"/>
      <c r="AD298" s="38" t="n"/>
      <c r="AE298" s="38" t="n"/>
      <c r="AF298" s="61">
        <f>IF(COUNTIF($B$5:B298,B298)=1,1,0)</f>
        <v/>
      </c>
      <c r="AG298" s="62" t="inlineStr">
        <is>
          <t>https://www.semana.com/nacion/articulo/soldado-habria-atacado-a-cuatro-companeros-en-casanare-dos-militares-murieron/202650/</t>
        </is>
      </c>
    </row>
    <row r="299" ht="15" customHeight="1" s="31">
      <c r="A299" s="38" t="inlineStr">
        <is>
          <t>https://www.semana.com/nacion/articulo/soldado-habria-atacado-a-cuatro-companeros-en-casanare-dos-militares-murieron/202650/</t>
        </is>
      </c>
      <c r="B299" s="38" t="inlineStr">
        <is>
          <t>https://www.semana.com/nacion/articulo/soldado-habria-atacado-a-cuatro-companeros-en-casanare-dos-militares-murieron/202650/_S05</t>
        </is>
      </c>
      <c r="C299" s="38" t="inlineStr">
        <is>
          <t>Semana</t>
        </is>
      </c>
      <c r="D299" s="38" t="inlineStr">
        <is>
          <t>Seguridad y orden público</t>
        </is>
      </c>
      <c r="E299" s="38" t="inlineStr">
        <is>
          <t>Noticia dura</t>
        </is>
      </c>
      <c r="F299" s="38" t="inlineStr">
        <is>
          <t>Thu, 03 Sep 2026 23:36:50 +0000</t>
        </is>
      </c>
      <c r="G299" s="62" t="inlineStr">
        <is>
          <t>Desde el Ejército Nacional explicaron que los dos uniformados heridos fueron trasladados de inmediato a un centro hospitalario de la región para recibir atención médica especializada.</t>
        </is>
      </c>
      <c r="H299" s="62" t="inlineStr">
        <is>
          <t>Sin embargo, las autoridades competentes ahora tratan de establecer la situación que habría provocado la tragedia en Casanare.</t>
        </is>
      </c>
      <c r="I299" s="62" t="inlineStr">
        <is>
          <t>Por ahora, el parte médico de los militares es reservado.</t>
        </is>
      </c>
      <c r="J299" s="38" t="n"/>
      <c r="K299" s="62" t="n"/>
      <c r="L299" s="38" t="n"/>
      <c r="M299" s="62" t="n"/>
      <c r="N299" s="38" t="n"/>
      <c r="O299" s="62" t="n"/>
      <c r="P299" s="38" t="n"/>
      <c r="Q299" s="62" t="n"/>
      <c r="R299" s="38" t="n"/>
      <c r="S299" s="62" t="n"/>
      <c r="T299" s="38" t="n"/>
      <c r="U299" s="62" t="n"/>
      <c r="V299" s="38" t="n"/>
      <c r="W299" s="62" t="n"/>
      <c r="X299" s="38" t="n"/>
      <c r="Y299" s="62" t="n"/>
      <c r="Z299" s="38" t="n"/>
      <c r="AA299" s="62" t="n"/>
      <c r="AB299" s="38" t="n"/>
      <c r="AC299" s="62" t="n"/>
      <c r="AD299" s="38" t="n"/>
      <c r="AE299" s="38" t="n"/>
      <c r="AF299" s="61">
        <f>IF(COUNTIF($B$5:B299,B299)=1,1,0)</f>
        <v/>
      </c>
      <c r="AG299" s="62" t="inlineStr">
        <is>
          <t>https://www.semana.com/nacion/articulo/soldado-habria-atacado-a-cuatro-companeros-en-casanare-dos-militares-murieron/202650/</t>
        </is>
      </c>
    </row>
    <row r="300" ht="15" customHeight="1" s="31">
      <c r="A300" s="38" t="inlineStr">
        <is>
          <t>https://www.semana.com/nacion/articulo/soldado-habria-atacado-a-cuatro-companeros-en-casanare-dos-militares-murieron/202650/</t>
        </is>
      </c>
      <c r="B300" s="38" t="inlineStr">
        <is>
          <t>https://www.semana.com/nacion/articulo/soldado-habria-atacado-a-cuatro-companeros-en-casanare-dos-militares-murieron/202650/_S06</t>
        </is>
      </c>
      <c r="C300" s="38" t="inlineStr">
        <is>
          <t>Semana</t>
        </is>
      </c>
      <c r="D300" s="38" t="inlineStr">
        <is>
          <t>Seguridad y orden público</t>
        </is>
      </c>
      <c r="E300" s="38" t="inlineStr">
        <is>
          <t>Noticia dura</t>
        </is>
      </c>
      <c r="F300" s="38" t="inlineStr">
        <is>
          <t>Thu, 03 Sep 2026 23:36:50 +0000</t>
        </is>
      </c>
      <c r="G300" s="62" t="inlineStr">
        <is>
          <t>Por ahora, el parte médico de los militares es reservado.</t>
        </is>
      </c>
      <c r="H300" s="62" t="inlineStr">
        <is>
          <t>Desde el Ejército Nacional explicaron que los dos uniformados heridos fueron trasladados de inmediato a un centro hospitalario de la región para recibir atención médica especializada.</t>
        </is>
      </c>
      <c r="I300" s="62" t="inlineStr">
        <is>
          <t>El Comando de la Décima Sexta Brigada anunció que se activaron todos los protocolos de seguridad establecidos y coordinó con las autoridades competentes el desarrollo de los actos urgentes y las labores investigativas.</t>
        </is>
      </c>
      <c r="J300" s="38" t="n"/>
      <c r="K300" s="62" t="n"/>
      <c r="L300" s="38" t="n"/>
      <c r="M300" s="62" t="n"/>
      <c r="N300" s="38" t="n"/>
      <c r="O300" s="62" t="n"/>
      <c r="P300" s="38" t="n"/>
      <c r="Q300" s="62" t="n"/>
      <c r="R300" s="38" t="n"/>
      <c r="S300" s="62" t="n"/>
      <c r="T300" s="38" t="n"/>
      <c r="U300" s="62" t="n"/>
      <c r="V300" s="38" t="n"/>
      <c r="W300" s="62" t="n"/>
      <c r="X300" s="38" t="n"/>
      <c r="Y300" s="62" t="n"/>
      <c r="Z300" s="38" t="n"/>
      <c r="AA300" s="62" t="n"/>
      <c r="AB300" s="38" t="n"/>
      <c r="AC300" s="62" t="n"/>
      <c r="AD300" s="38" t="n"/>
      <c r="AE300" s="38" t="n"/>
      <c r="AF300" s="61">
        <f>IF(COUNTIF($B$5:B300,B300)=1,1,0)</f>
        <v/>
      </c>
      <c r="AG300" s="62" t="inlineStr">
        <is>
          <t>https://www.semana.com/nacion/articulo/soldado-habria-atacado-a-cuatro-companeros-en-casanare-dos-militares-murieron/202650/</t>
        </is>
      </c>
    </row>
    <row r="301" ht="15" customHeight="1" s="31">
      <c r="A301" s="38" t="inlineStr">
        <is>
          <t>https://www.semana.com/nacion/articulo/soldado-habria-atacado-a-cuatro-companeros-en-casanare-dos-militares-murieron/202650/</t>
        </is>
      </c>
      <c r="B301" s="38" t="inlineStr">
        <is>
          <t>https://www.semana.com/nacion/articulo/soldado-habria-atacado-a-cuatro-companeros-en-casanare-dos-militares-murieron/202650/_S07</t>
        </is>
      </c>
      <c r="C301" s="38" t="inlineStr">
        <is>
          <t>Semana</t>
        </is>
      </c>
      <c r="D301" s="38" t="inlineStr">
        <is>
          <t>Seguridad y orden público</t>
        </is>
      </c>
      <c r="E301" s="38" t="inlineStr">
        <is>
          <t>Noticia dura</t>
        </is>
      </c>
      <c r="F301" s="38" t="inlineStr">
        <is>
          <t>Thu, 03 Sep 2026 23:36:50 +0000</t>
        </is>
      </c>
      <c r="G301" s="62" t="inlineStr">
        <is>
          <t>El Comando de la Décima Sexta Brigada anunció que se activaron todos los protocolos de seguridad establecidos y coordinó con las autoridades competentes el desarrollo de los actos urgentes y las labores investigativas.</t>
        </is>
      </c>
      <c r="H301" s="62" t="inlineStr">
        <is>
          <t>Por ahora, el parte médico de los militares es reservado.</t>
        </is>
      </c>
      <c r="I301" s="62" t="inlineStr">
        <is>
          <t>Esas indagaciones dejaron sobre la mesa las circunstancias de tiempo, modo y lugar detrás de ese acto de intolerancia que dejó dos soldados muertos y otros dos heridos por un militar que habría accionado su arma de dotación.</t>
        </is>
      </c>
      <c r="J301" s="38" t="n"/>
      <c r="K301" s="62" t="n"/>
      <c r="L301" s="38" t="n"/>
      <c r="M301" s="62" t="n"/>
      <c r="N301" s="38" t="n"/>
      <c r="O301" s="62" t="n"/>
      <c r="P301" s="38" t="n"/>
      <c r="Q301" s="62" t="n"/>
      <c r="R301" s="38" t="n"/>
      <c r="S301" s="62" t="n"/>
      <c r="T301" s="38" t="n"/>
      <c r="U301" s="62" t="n"/>
      <c r="V301" s="38" t="n"/>
      <c r="W301" s="62" t="n"/>
      <c r="X301" s="38" t="n"/>
      <c r="Y301" s="62" t="n"/>
      <c r="Z301" s="38" t="n"/>
      <c r="AA301" s="62" t="n"/>
      <c r="AB301" s="38" t="n"/>
      <c r="AC301" s="62" t="n"/>
      <c r="AD301" s="38" t="n"/>
      <c r="AE301" s="38" t="n"/>
      <c r="AF301" s="61">
        <f>IF(COUNTIF($B$5:B301,B301)=1,1,0)</f>
        <v/>
      </c>
      <c r="AG301" s="62" t="inlineStr">
        <is>
          <t>https://www.semana.com/nacion/articulo/soldado-habria-atacado-a-cuatro-companeros-en-casanare-dos-militares-murieron/202650/</t>
        </is>
      </c>
    </row>
    <row r="302" ht="15" customHeight="1" s="31">
      <c r="A302" s="38" t="inlineStr">
        <is>
          <t>https://www.semana.com/nacion/articulo/soldado-habria-atacado-a-cuatro-companeros-en-casanare-dos-militares-murieron/202650/</t>
        </is>
      </c>
      <c r="B302" s="38" t="inlineStr">
        <is>
          <t>https://www.semana.com/nacion/articulo/soldado-habria-atacado-a-cuatro-companeros-en-casanare-dos-militares-murieron/202650/_S08</t>
        </is>
      </c>
      <c r="C302" s="38" t="inlineStr">
        <is>
          <t>Semana</t>
        </is>
      </c>
      <c r="D302" s="38" t="inlineStr">
        <is>
          <t>Seguridad y orden público</t>
        </is>
      </c>
      <c r="E302" s="38" t="inlineStr">
        <is>
          <t>Noticia dura</t>
        </is>
      </c>
      <c r="F302" s="38" t="inlineStr">
        <is>
          <t>Thu, 03 Sep 2026 23:36:50 +0000</t>
        </is>
      </c>
      <c r="G302" s="62" t="inlineStr">
        <is>
          <t>Esas indagaciones dejaron sobre la mesa las circunstancias de tiempo, modo y lugar detrás de ese acto de intolerancia que dejó dos soldados muertos y otros dos heridos por un militar que habría accionado su arma de dotación.</t>
        </is>
      </c>
      <c r="H302" s="62" t="inlineStr">
        <is>
          <t>El Comando de la Décima Sexta Brigada anunció que se activaron todos los protocolos de seguridad establecidos y coordinó con las autoridades competentes el desarrollo de los actos urgentes y las labores investigativas.</t>
        </is>
      </c>
      <c r="I302" s="62" t="inlineStr">
        <is>
          <t>El Ejército Nacional también activó las medidas correspondientes para garantizar el desarrollo de las investigaciones y brindará toda la colaboración necesaria para que las autoridades judiciales puedan esclarecer este hecho de violencia ocurrido en el municipio de Aguazul.</t>
        </is>
      </c>
      <c r="J302" s="38" t="n"/>
      <c r="K302" s="62" t="n"/>
      <c r="L302" s="38" t="n"/>
      <c r="M302" s="62" t="n"/>
      <c r="N302" s="38" t="n"/>
      <c r="O302" s="62" t="n"/>
      <c r="P302" s="38" t="n"/>
      <c r="Q302" s="62" t="n"/>
      <c r="R302" s="38" t="n"/>
      <c r="S302" s="62" t="n"/>
      <c r="T302" s="38" t="n"/>
      <c r="U302" s="62" t="n"/>
      <c r="V302" s="38" t="n"/>
      <c r="W302" s="62" t="n"/>
      <c r="X302" s="38" t="n"/>
      <c r="Y302" s="62" t="n"/>
      <c r="Z302" s="38" t="n"/>
      <c r="AA302" s="62" t="n"/>
      <c r="AB302" s="38" t="n"/>
      <c r="AC302" s="62" t="n"/>
      <c r="AD302" s="38" t="n"/>
      <c r="AE302" s="38" t="n"/>
      <c r="AF302" s="61">
        <f>IF(COUNTIF($B$5:B302,B302)=1,1,0)</f>
        <v/>
      </c>
      <c r="AG302" s="62" t="inlineStr">
        <is>
          <t>https://www.semana.com/nacion/articulo/soldado-habria-atacado-a-cuatro-companeros-en-casanare-dos-militares-murieron/202650/</t>
        </is>
      </c>
    </row>
    <row r="303" ht="15" customHeight="1" s="31">
      <c r="A303" s="38" t="inlineStr">
        <is>
          <t>https://www.semana.com/nacion/articulo/soldado-habria-atacado-a-cuatro-companeros-en-casanare-dos-militares-murieron/202650/</t>
        </is>
      </c>
      <c r="B303" s="38" t="inlineStr">
        <is>
          <t>https://www.semana.com/nacion/articulo/soldado-habria-atacado-a-cuatro-companeros-en-casanare-dos-militares-murieron/202650/_S09</t>
        </is>
      </c>
      <c r="C303" s="38" t="inlineStr">
        <is>
          <t>Semana</t>
        </is>
      </c>
      <c r="D303" s="38" t="inlineStr">
        <is>
          <t>Seguridad y orden público</t>
        </is>
      </c>
      <c r="E303" s="38" t="inlineStr">
        <is>
          <t>Noticia dura</t>
        </is>
      </c>
      <c r="F303" s="38" t="inlineStr">
        <is>
          <t>Thu, 03 Sep 2026 23:36:50 +0000</t>
        </is>
      </c>
      <c r="G303" s="62" t="inlineStr">
        <is>
          <t>El Ejército Nacional también activó las medidas correspondientes para garantizar el desarrollo de las investigaciones y brindará toda la colaboración necesaria para que las autoridades judiciales puedan esclarecer este hecho de violencia ocurrido en el municipio de Aguazul.</t>
        </is>
      </c>
      <c r="H303" s="62" t="inlineStr">
        <is>
          <t>Esas indagaciones dejaron sobre la mesa las circunstancias de tiempo, modo y lugar detrás de ese acto de intolerancia que dejó dos soldados muertos y otros dos heridos por un militar que habría accionado su arma de dotación.</t>
        </is>
      </c>
      <c r="I303" s="62" t="inlineStr">
        <is>
          <t>Desde la institución manifestaron: “Lamenta profundamente este hecho y expresa sus condolencias a los familiares y allegados de los dos militares fallecidos, al tiempo que desea una pronta recuperación a los soldados que resultaron heridos”.</t>
        </is>
      </c>
      <c r="J303" s="38" t="n"/>
      <c r="K303" s="62" t="n"/>
      <c r="L303" s="38" t="n"/>
      <c r="M303" s="62" t="n"/>
      <c r="N303" s="38" t="n"/>
      <c r="O303" s="62" t="n"/>
      <c r="P303" s="38" t="n"/>
      <c r="Q303" s="62" t="n"/>
      <c r="R303" s="38" t="n"/>
      <c r="S303" s="62" t="n"/>
      <c r="T303" s="38" t="n"/>
      <c r="U303" s="62" t="n"/>
      <c r="V303" s="38" t="n"/>
      <c r="W303" s="62" t="n"/>
      <c r="X303" s="38" t="n"/>
      <c r="Y303" s="62" t="n"/>
      <c r="Z303" s="38" t="n"/>
      <c r="AA303" s="62" t="n"/>
      <c r="AB303" s="38" t="n"/>
      <c r="AC303" s="62" t="n"/>
      <c r="AD303" s="38" t="n"/>
      <c r="AE303" s="38" t="n"/>
      <c r="AF303" s="61">
        <f>IF(COUNTIF($B$5:B303,B303)=1,1,0)</f>
        <v/>
      </c>
      <c r="AG303" s="62" t="inlineStr">
        <is>
          <t>https://www.semana.com/nacion/articulo/soldado-habria-atacado-a-cuatro-companeros-en-casanare-dos-militares-murieron/202650/</t>
        </is>
      </c>
    </row>
    <row r="304" ht="15" customHeight="1" s="31">
      <c r="A304" s="38" t="inlineStr">
        <is>
          <t>https://www.semana.com/nacion/articulo/soldado-habria-atacado-a-cuatro-companeros-en-casanare-dos-militares-murieron/202650/</t>
        </is>
      </c>
      <c r="B304" s="38" t="inlineStr">
        <is>
          <t>https://www.semana.com/nacion/articulo/soldado-habria-atacado-a-cuatro-companeros-en-casanare-dos-militares-murieron/202650/_S10</t>
        </is>
      </c>
      <c r="C304" s="38" t="inlineStr">
        <is>
          <t>Semana</t>
        </is>
      </c>
      <c r="D304" s="38" t="inlineStr">
        <is>
          <t>Seguridad y orden público</t>
        </is>
      </c>
      <c r="E304" s="38" t="inlineStr">
        <is>
          <t>Noticia dura</t>
        </is>
      </c>
      <c r="F304" s="38" t="inlineStr">
        <is>
          <t>Thu, 03 Sep 2026 23:36:50 +0000</t>
        </is>
      </c>
      <c r="G304" s="62" t="inlineStr">
        <is>
          <t>Desde la institución manifestaron: “Lamenta profundamente este hecho y expresa sus condolencias a los familiares y allegados de los dos militares fallecidos, al tiempo que desea una pronta recuperación a los soldados que resultaron heridos”.</t>
        </is>
      </c>
      <c r="H304" s="62" t="inlineStr">
        <is>
          <t>El Ejército Nacional también activó las medidas correspondientes para garantizar el desarrollo de las investigaciones y brindará toda la colaboración necesaria para que las autoridades judiciales puedan esclarecer este hecho de violencia ocurrido en el municipio de Aguazul.</t>
        </is>
      </c>
      <c r="I304" s="62" t="n"/>
      <c r="J304" s="38" t="n"/>
      <c r="K304" s="62" t="n"/>
      <c r="L304" s="38" t="n"/>
      <c r="M304" s="62" t="n"/>
      <c r="N304" s="38" t="n"/>
      <c r="O304" s="62" t="n"/>
      <c r="P304" s="38" t="n"/>
      <c r="Q304" s="62" t="n"/>
      <c r="R304" s="38" t="n"/>
      <c r="S304" s="62" t="n"/>
      <c r="T304" s="38" t="n"/>
      <c r="U304" s="62" t="n"/>
      <c r="V304" s="38" t="n"/>
      <c r="W304" s="62" t="n"/>
      <c r="X304" s="38" t="n"/>
      <c r="Y304" s="62" t="n"/>
      <c r="Z304" s="38" t="n"/>
      <c r="AA304" s="62" t="n"/>
      <c r="AB304" s="38" t="n"/>
      <c r="AC304" s="62" t="n"/>
      <c r="AD304" s="38" t="n"/>
      <c r="AE304" s="38" t="n"/>
      <c r="AF304" s="61">
        <f>IF(COUNTIF($B$5:B304,B304)=1,1,0)</f>
        <v/>
      </c>
      <c r="AG304" s="62" t="inlineStr">
        <is>
          <t>https://www.semana.com/nacion/articulo/soldado-habria-atacado-a-cuatro-companeros-en-casanare-dos-militares-murieron/202650/</t>
        </is>
      </c>
    </row>
    <row r="305" ht="15" customHeight="1" s="31">
      <c r="A305" s="38" t="inlineStr">
        <is>
          <t>https://www.elespectador.com/opinion/editorial/editorial-la-neutralidad-religiosa-reclama-la-voz-de-la-corte-constitucional/</t>
        </is>
      </c>
      <c r="B305" s="38" t="inlineStr">
        <is>
          <t>https://www.elespectador.com/opinion/editorial/editorial-la-neutralidad-religiosa-reclama-la-voz-de-la-corte-constitucional/_S01</t>
        </is>
      </c>
      <c r="C305" s="38" t="inlineStr">
        <is>
          <t>El Espectador</t>
        </is>
      </c>
      <c r="D305" s="38" t="inlineStr">
        <is>
          <t>Reformas sociales en disputa (pensional/tributaria)</t>
        </is>
      </c>
      <c r="E305" s="38" t="inlineStr">
        <is>
          <t>Opinión-análisis</t>
        </is>
      </c>
      <c r="F305" s="38" t="inlineStr">
        <is>
          <t>Thu, 03 Sep 2026 05:00:00 +0000</t>
        </is>
      </c>
      <c r="G305" s="62" t="inlineStr">
        <is>
          <t>La neutralidad religiosa ha despertado dos debates que son de suma importancia para la estabilidad institucional colombiana.</t>
        </is>
      </c>
      <c r="H305" s="62" t="n"/>
      <c r="I305" s="62" t="inlineStr">
        <is>
          <t>Por un lado, está la pregunta sobre qué ocurre cuando hay tensión entre la libertad religiosa de un presidente en ejercicio y el principio de que nuestro país es un Estado laico.</t>
        </is>
      </c>
      <c r="J305" s="38" t="n"/>
      <c r="K305" s="62" t="n"/>
      <c r="L305" s="38" t="n"/>
      <c r="M305" s="62" t="n"/>
      <c r="N305" s="38" t="n"/>
      <c r="O305" s="62" t="n"/>
      <c r="P305" s="38" t="n"/>
      <c r="Q305" s="62" t="n"/>
      <c r="R305" s="38" t="n"/>
      <c r="S305" s="62" t="n"/>
      <c r="T305" s="38" t="n"/>
      <c r="U305" s="62" t="n"/>
      <c r="V305" s="38" t="n"/>
      <c r="W305" s="62" t="n"/>
      <c r="X305" s="38" t="n"/>
      <c r="Y305" s="62" t="n"/>
      <c r="Z305" s="38" t="n"/>
      <c r="AA305" s="62" t="n"/>
      <c r="AB305" s="38" t="n"/>
      <c r="AC305" s="62" t="n"/>
      <c r="AD305" s="38" t="n"/>
      <c r="AE305" s="38" t="n"/>
      <c r="AF305" s="61">
        <f>IF(COUNTIF($B$5:B305,B305)=1,1,0)</f>
        <v/>
      </c>
      <c r="AG305" s="62" t="inlineStr">
        <is>
          <t>https://www.elespectador.com/opinion/editorial/editorial-la-neutralidad-religiosa-reclama-la-voz-de-la-corte-constitucional/</t>
        </is>
      </c>
    </row>
    <row r="306" ht="15" customHeight="1" s="31">
      <c r="A306" s="38" t="inlineStr">
        <is>
          <t>https://www.elespectador.com/opinion/editorial/editorial-la-neutralidad-religiosa-reclama-la-voz-de-la-corte-constitucional/</t>
        </is>
      </c>
      <c r="B306" s="38" t="inlineStr">
        <is>
          <t>https://www.elespectador.com/opinion/editorial/editorial-la-neutralidad-religiosa-reclama-la-voz-de-la-corte-constitucional/_S02</t>
        </is>
      </c>
      <c r="C306" s="38" t="inlineStr">
        <is>
          <t>El Espectador</t>
        </is>
      </c>
      <c r="D306" s="38" t="inlineStr">
        <is>
          <t>Reformas sociales en disputa (pensional/tributaria)</t>
        </is>
      </c>
      <c r="E306" s="38" t="inlineStr">
        <is>
          <t>Opinión-análisis</t>
        </is>
      </c>
      <c r="F306" s="38" t="inlineStr">
        <is>
          <t>Thu, 03 Sep 2026 05:00:00 +0000</t>
        </is>
      </c>
      <c r="G306" s="62" t="inlineStr">
        <is>
          <t>Por un lado, está la pregunta sobre qué ocurre cuando hay tensión entre la libertad religiosa de un presidente en ejercicio y el principio de que nuestro país es un Estado laico.</t>
        </is>
      </c>
      <c r="H306" s="62" t="inlineStr">
        <is>
          <t>La neutralidad religiosa ha despertado dos debates que son de suma importancia para la estabilidad institucional colombiana.</t>
        </is>
      </c>
      <c r="I306" s="62" t="inlineStr">
        <is>
          <t>Por otro, vuelve a cobrar relevancia una pregunta por la competencia: ¿cuál debería ser el juez natural para las tutelas que se presenten contra un presidente durante el ejercicio de sus funciones?</t>
        </is>
      </c>
      <c r="J306" s="38" t="n"/>
      <c r="K306" s="62" t="n"/>
      <c r="L306" s="38" t="n"/>
      <c r="M306" s="62" t="n"/>
      <c r="N306" s="38" t="n"/>
      <c r="O306" s="62" t="n"/>
      <c r="P306" s="38" t="n"/>
      <c r="Q306" s="62" t="n"/>
      <c r="R306" s="38" t="n"/>
      <c r="S306" s="62" t="n"/>
      <c r="T306" s="38" t="n"/>
      <c r="U306" s="62" t="n"/>
      <c r="V306" s="38" t="n"/>
      <c r="W306" s="62" t="n"/>
      <c r="X306" s="38" t="n"/>
      <c r="Y306" s="62" t="n"/>
      <c r="Z306" s="38" t="n"/>
      <c r="AA306" s="62" t="n"/>
      <c r="AB306" s="38" t="n"/>
      <c r="AC306" s="62" t="n"/>
      <c r="AD306" s="38" t="n"/>
      <c r="AE306" s="38" t="n"/>
      <c r="AF306" s="61">
        <f>IF(COUNTIF($B$5:B306,B306)=1,1,0)</f>
        <v/>
      </c>
      <c r="AG306" s="62" t="inlineStr">
        <is>
          <t>https://www.elespectador.com/opinion/editorial/editorial-la-neutralidad-religiosa-reclama-la-voz-de-la-corte-constitucional/</t>
        </is>
      </c>
    </row>
    <row r="307" ht="15" customHeight="1" s="31">
      <c r="A307" s="38" t="inlineStr">
        <is>
          <t>https://www.elespectador.com/opinion/editorial/editorial-la-neutralidad-religiosa-reclama-la-voz-de-la-corte-constitucional/</t>
        </is>
      </c>
      <c r="B307" s="38" t="inlineStr">
        <is>
          <t>https://www.elespectador.com/opinion/editorial/editorial-la-neutralidad-religiosa-reclama-la-voz-de-la-corte-constitucional/_S03</t>
        </is>
      </c>
      <c r="C307" s="38" t="inlineStr">
        <is>
          <t>El Espectador</t>
        </is>
      </c>
      <c r="D307" s="38" t="inlineStr">
        <is>
          <t>Reformas sociales en disputa (pensional/tributaria)</t>
        </is>
      </c>
      <c r="E307" s="38" t="inlineStr">
        <is>
          <t>Opinión-análisis</t>
        </is>
      </c>
      <c r="F307" s="38" t="inlineStr">
        <is>
          <t>Thu, 03 Sep 2026 05:00:00 +0000</t>
        </is>
      </c>
      <c r="G307" s="62" t="inlineStr">
        <is>
          <t>Por otro, vuelve a cobrar relevancia una pregunta por la competencia: ¿cuál debería ser el juez natural para las tutelas que se presenten contra un presidente durante el ejercicio de sus funciones?</t>
        </is>
      </c>
      <c r="H307" s="62" t="inlineStr">
        <is>
          <t>Por un lado, está la pregunta sobre qué ocurre cuando hay tensión entre la libertad religiosa de un presidente en ejercicio y el principio de que nuestro país es un Estado laico.</t>
        </is>
      </c>
      <c r="I307" s="62" t="inlineStr">
        <is>
          <t>Necesitamos que la Corte Constitucional estudie la polémica y aproveche para reafirmar su jurisprudencia al respecto.</t>
        </is>
      </c>
      <c r="J307" s="38" t="n"/>
      <c r="K307" s="62" t="n"/>
      <c r="L307" s="38" t="n"/>
      <c r="M307" s="62" t="n"/>
      <c r="N307" s="38" t="n"/>
      <c r="O307" s="62" t="n"/>
      <c r="P307" s="38" t="n"/>
      <c r="Q307" s="62" t="n"/>
      <c r="R307" s="38" t="n"/>
      <c r="S307" s="62" t="n"/>
      <c r="T307" s="38" t="n"/>
      <c r="U307" s="62" t="n"/>
      <c r="V307" s="38" t="n"/>
      <c r="W307" s="62" t="n"/>
      <c r="X307" s="38" t="n"/>
      <c r="Y307" s="62" t="n"/>
      <c r="Z307" s="38" t="n"/>
      <c r="AA307" s="62" t="n"/>
      <c r="AB307" s="38" t="n"/>
      <c r="AC307" s="62" t="n"/>
      <c r="AD307" s="38" t="n"/>
      <c r="AE307" s="38" t="n"/>
      <c r="AF307" s="61">
        <f>IF(COUNTIF($B$5:B307,B307)=1,1,0)</f>
        <v/>
      </c>
      <c r="AG307" s="62" t="inlineStr">
        <is>
          <t>https://www.elespectador.com/opinion/editorial/editorial-la-neutralidad-religiosa-reclama-la-voz-de-la-corte-constitucional/</t>
        </is>
      </c>
    </row>
    <row r="308" ht="15" customHeight="1" s="31">
      <c r="A308" s="38" t="inlineStr">
        <is>
          <t>https://www.elespectador.com/opinion/editorial/editorial-la-neutralidad-religiosa-reclama-la-voz-de-la-corte-constitucional/</t>
        </is>
      </c>
      <c r="B308" s="38" t="inlineStr">
        <is>
          <t>https://www.elespectador.com/opinion/editorial/editorial-la-neutralidad-religiosa-reclama-la-voz-de-la-corte-constitucional/_S04</t>
        </is>
      </c>
      <c r="C308" s="38" t="inlineStr">
        <is>
          <t>El Espectador</t>
        </is>
      </c>
      <c r="D308" s="38" t="inlineStr">
        <is>
          <t>Reformas sociales en disputa (pensional/tributaria)</t>
        </is>
      </c>
      <c r="E308" s="38" t="inlineStr">
        <is>
          <t>Opinión-análisis</t>
        </is>
      </c>
      <c r="F308" s="38" t="inlineStr">
        <is>
          <t>Thu, 03 Sep 2026 05:00:00 +0000</t>
        </is>
      </c>
      <c r="G308" s="62" t="inlineStr">
        <is>
          <t>Necesitamos que la Corte Constitucional estudie la polémica y aproveche para reafirmar su jurisprudencia al respecto.</t>
        </is>
      </c>
      <c r="H308" s="62" t="inlineStr">
        <is>
          <t>Por otro, vuelve a cobrar relevancia una pregunta por la competencia: ¿cuál debería ser el juez natural para las tutelas que se presenten contra un presidente durante el ejercicio de sus funciones?</t>
        </is>
      </c>
      <c r="I308" s="62" t="inlineStr">
        <is>
          <t>En alocución al país entero, el presidente Abelardo de la Espriella dejó clara su postura: “Aunque me identifico como creyente, y soy católico, respeto la separación entre la Iglesia y el Estado y garantizaré, en el marco de mis funciones, las libertades y los derechos de todos los colombianos, incluida la libertad de profesar cualquier religión, o de no profesar ninguna”.</t>
        </is>
      </c>
      <c r="J308" s="38" t="n"/>
      <c r="K308" s="62" t="n"/>
      <c r="L308" s="38" t="n"/>
      <c r="M308" s="62" t="n"/>
      <c r="N308" s="38" t="n"/>
      <c r="O308" s="62" t="n"/>
      <c r="P308" s="38" t="n"/>
      <c r="Q308" s="62" t="n"/>
      <c r="R308" s="38" t="n"/>
      <c r="S308" s="62" t="n"/>
      <c r="T308" s="38" t="n"/>
      <c r="U308" s="62" t="n"/>
      <c r="V308" s="38" t="n"/>
      <c r="W308" s="62" t="n"/>
      <c r="X308" s="38" t="n"/>
      <c r="Y308" s="62" t="n"/>
      <c r="Z308" s="38" t="n"/>
      <c r="AA308" s="62" t="n"/>
      <c r="AB308" s="38" t="n"/>
      <c r="AC308" s="62" t="n"/>
      <c r="AD308" s="38" t="n"/>
      <c r="AE308" s="38" t="n"/>
      <c r="AF308" s="61">
        <f>IF(COUNTIF($B$5:B308,B308)=1,1,0)</f>
        <v/>
      </c>
      <c r="AG308" s="62" t="inlineStr">
        <is>
          <t>https://www.elespectador.com/opinion/editorial/editorial-la-neutralidad-religiosa-reclama-la-voz-de-la-corte-constitucional/</t>
        </is>
      </c>
    </row>
    <row r="309" ht="15" customHeight="1" s="31">
      <c r="A309" s="38" t="inlineStr">
        <is>
          <t>https://www.elespectador.com/opinion/editorial/editorial-la-neutralidad-religiosa-reclama-la-voz-de-la-corte-constitucional/</t>
        </is>
      </c>
      <c r="B309" s="38" t="inlineStr">
        <is>
          <t>https://www.elespectador.com/opinion/editorial/editorial-la-neutralidad-religiosa-reclama-la-voz-de-la-corte-constitucional/_S05</t>
        </is>
      </c>
      <c r="C309" s="38" t="inlineStr">
        <is>
          <t>El Espectador</t>
        </is>
      </c>
      <c r="D309" s="38" t="inlineStr">
        <is>
          <t>Reformas sociales en disputa (pensional/tributaria)</t>
        </is>
      </c>
      <c r="E309" s="38" t="inlineStr">
        <is>
          <t>Opinión-análisis</t>
        </is>
      </c>
      <c r="F309" s="38" t="inlineStr">
        <is>
          <t>Thu, 03 Sep 2026 05:00:00 +0000</t>
        </is>
      </c>
      <c r="G309" s="62" t="inlineStr">
        <is>
          <t>En alocución al país entero, el presidente Abelardo de la Espriella dejó clara su postura: “Aunque me identifico como creyente, y soy católico, respeto la separación entre la Iglesia y el Estado y garantizaré, en el marco de mis funciones, las libertades y los derechos de todos los colombianos, incluida la libertad de profesar cualquier religión, o de no profesar ninguna”.</t>
        </is>
      </c>
      <c r="H309" s="62" t="inlineStr">
        <is>
          <t>Necesitamos que la Corte Constitucional estudie la polémica y aproveche para reafirmar su jurisprudencia al respecto.</t>
        </is>
      </c>
      <c r="I309" s="62" t="inlineStr">
        <is>
          <t>También cumplió, sin los barullos retóricos de su antecesor, la orden judicial que le pedía rectificar por haber violado la neutralidad religiosa durante su acto de posesión.</t>
        </is>
      </c>
      <c r="J309" s="38" t="n"/>
      <c r="K309" s="62" t="n"/>
      <c r="L309" s="38" t="n"/>
      <c r="M309" s="62" t="n"/>
      <c r="N309" s="38" t="n"/>
      <c r="O309" s="62" t="n"/>
      <c r="P309" s="38" t="n"/>
      <c r="Q309" s="62" t="n"/>
      <c r="R309" s="38" t="n"/>
      <c r="S309" s="62" t="n"/>
      <c r="T309" s="38" t="n"/>
      <c r="U309" s="62" t="n"/>
      <c r="V309" s="38" t="n"/>
      <c r="W309" s="62" t="n"/>
      <c r="X309" s="38" t="n"/>
      <c r="Y309" s="62" t="n"/>
      <c r="Z309" s="38" t="n"/>
      <c r="AA309" s="62" t="n"/>
      <c r="AB309" s="38" t="n"/>
      <c r="AC309" s="62" t="n"/>
      <c r="AD309" s="38" t="n"/>
      <c r="AE309" s="38" t="n"/>
      <c r="AF309" s="61">
        <f>IF(COUNTIF($B$5:B309,B309)=1,1,0)</f>
        <v/>
      </c>
      <c r="AG309" s="62" t="inlineStr">
        <is>
          <t>https://www.elespectador.com/opinion/editorial/editorial-la-neutralidad-religiosa-reclama-la-voz-de-la-corte-constitucional/</t>
        </is>
      </c>
    </row>
    <row r="310" ht="15" customHeight="1" s="31">
      <c r="A310" s="38" t="inlineStr">
        <is>
          <t>https://www.elespectador.com/opinion/editorial/editorial-la-neutralidad-religiosa-reclama-la-voz-de-la-corte-constitucional/</t>
        </is>
      </c>
      <c r="B310" s="38" t="inlineStr">
        <is>
          <t>https://www.elespectador.com/opinion/editorial/editorial-la-neutralidad-religiosa-reclama-la-voz-de-la-corte-constitucional/_S06</t>
        </is>
      </c>
      <c r="C310" s="38" t="inlineStr">
        <is>
          <t>El Espectador</t>
        </is>
      </c>
      <c r="D310" s="38" t="inlineStr">
        <is>
          <t>Reformas sociales en disputa (pensional/tributaria)</t>
        </is>
      </c>
      <c r="E310" s="38" t="inlineStr">
        <is>
          <t>Opinión-análisis</t>
        </is>
      </c>
      <c r="F310" s="38" t="inlineStr">
        <is>
          <t>Thu, 03 Sep 2026 05:00:00 +0000</t>
        </is>
      </c>
      <c r="G310" s="62" t="inlineStr">
        <is>
          <t>También cumplió, sin los barullos retóricos de su antecesor, la orden judicial que le pedía rectificar por haber violado la neutralidad religiosa durante su acto de posesión.</t>
        </is>
      </c>
      <c r="H310" s="62" t="inlineStr">
        <is>
          <t>En alocución al país entero, el presidente Abelardo de la Espriella dejó clara su postura: “Aunque me identifico como creyente, y soy católico, respeto la separación entre la Iglesia y el Estado y garantizaré, en el marco de mis funciones, las libertades y los derechos de todos los colombianos, incluida la libertad de profesar cualquier religión, o de no profesar ninguna”.</t>
        </is>
      </c>
      <c r="I310" s="62" t="inlineStr">
        <is>
          <t>“Si este acto pudo generar incomodidad, o si ofendió a alguna persona, en mi condición de jefe de Estado, ofrezco excusas por ello”, dijo, y momentos después cerró con un mensaje: “Viva a Cristo Rey.</t>
        </is>
      </c>
      <c r="J310" s="38" t="n"/>
      <c r="K310" s="62" t="n"/>
      <c r="L310" s="38" t="n"/>
      <c r="M310" s="62" t="n"/>
      <c r="N310" s="38" t="n"/>
      <c r="O310" s="62" t="n"/>
      <c r="P310" s="38" t="n"/>
      <c r="Q310" s="62" t="n"/>
      <c r="R310" s="38" t="n"/>
      <c r="S310" s="62" t="n"/>
      <c r="T310" s="38" t="n"/>
      <c r="U310" s="62" t="n"/>
      <c r="V310" s="38" t="n"/>
      <c r="W310" s="62" t="n"/>
      <c r="X310" s="38" t="n"/>
      <c r="Y310" s="62" t="n"/>
      <c r="Z310" s="38" t="n"/>
      <c r="AA310" s="62" t="n"/>
      <c r="AB310" s="38" t="n"/>
      <c r="AC310" s="62" t="n"/>
      <c r="AD310" s="38" t="n"/>
      <c r="AE310" s="38" t="n"/>
      <c r="AF310" s="61">
        <f>IF(COUNTIF($B$5:B310,B310)=1,1,0)</f>
        <v/>
      </c>
      <c r="AG310" s="62" t="inlineStr">
        <is>
          <t>https://www.elespectador.com/opinion/editorial/editorial-la-neutralidad-religiosa-reclama-la-voz-de-la-corte-constitucional/</t>
        </is>
      </c>
    </row>
    <row r="311" ht="15" customHeight="1" s="31">
      <c r="A311" s="38" t="inlineStr">
        <is>
          <t>https://www.elespectador.com/opinion/editorial/editorial-la-neutralidad-religiosa-reclama-la-voz-de-la-corte-constitucional/</t>
        </is>
      </c>
      <c r="B311" s="38" t="inlineStr">
        <is>
          <t>https://www.elespectador.com/opinion/editorial/editorial-la-neutralidad-religiosa-reclama-la-voz-de-la-corte-constitucional/_S07</t>
        </is>
      </c>
      <c r="C311" s="38" t="inlineStr">
        <is>
          <t>El Espectador</t>
        </is>
      </c>
      <c r="D311" s="38" t="inlineStr">
        <is>
          <t>Reformas sociales en disputa (pensional/tributaria)</t>
        </is>
      </c>
      <c r="E311" s="38" t="inlineStr">
        <is>
          <t>Opinión-análisis</t>
        </is>
      </c>
      <c r="F311" s="38" t="inlineStr">
        <is>
          <t>Thu, 03 Sep 2026 05:00:00 +0000</t>
        </is>
      </c>
      <c r="G311" s="62" t="inlineStr">
        <is>
          <t>“Si este acto pudo generar incomodidad, o si ofendió a alguna persona, en mi condición de jefe de Estado, ofrezco excusas por ello”, dijo, y momentos después cerró con un mensaje: “Viva a Cristo Rey.</t>
        </is>
      </c>
      <c r="H311" s="62" t="inlineStr">
        <is>
          <t>También cumplió, sin los barullos retóricos de su antecesor, la orden judicial que le pedía rectificar por haber violado la neutralidad religiosa durante su acto de posesión.</t>
        </is>
      </c>
      <c r="I311" s="62" t="inlineStr">
        <is>
          <t>Que Dios bendiga a Colombia”.</t>
        </is>
      </c>
      <c r="J311" s="38" t="n"/>
      <c r="K311" s="62" t="n"/>
      <c r="L311" s="38" t="n"/>
      <c r="M311" s="62" t="n"/>
      <c r="N311" s="38" t="n"/>
      <c r="O311" s="62" t="n"/>
      <c r="P311" s="38" t="n"/>
      <c r="Q311" s="62" t="n"/>
      <c r="R311" s="38" t="n"/>
      <c r="S311" s="62" t="n"/>
      <c r="T311" s="38" t="n"/>
      <c r="U311" s="62" t="n"/>
      <c r="V311" s="38" t="n"/>
      <c r="W311" s="62" t="n"/>
      <c r="X311" s="38" t="n"/>
      <c r="Y311" s="62" t="n"/>
      <c r="Z311" s="38" t="n"/>
      <c r="AA311" s="62" t="n"/>
      <c r="AB311" s="38" t="n"/>
      <c r="AC311" s="62" t="n"/>
      <c r="AD311" s="38" t="n"/>
      <c r="AE311" s="38" t="n"/>
      <c r="AF311" s="61">
        <f>IF(COUNTIF($B$5:B311,B311)=1,1,0)</f>
        <v/>
      </c>
      <c r="AG311" s="62" t="inlineStr">
        <is>
          <t>https://www.elespectador.com/opinion/editorial/editorial-la-neutralidad-religiosa-reclama-la-voz-de-la-corte-constitucional/</t>
        </is>
      </c>
    </row>
    <row r="312" ht="15" customHeight="1" s="31">
      <c r="A312" s="38" t="inlineStr">
        <is>
          <t>https://www.elespectador.com/opinion/editorial/editorial-la-neutralidad-religiosa-reclama-la-voz-de-la-corte-constitucional/</t>
        </is>
      </c>
      <c r="B312" s="38" t="inlineStr">
        <is>
          <t>https://www.elespectador.com/opinion/editorial/editorial-la-neutralidad-religiosa-reclama-la-voz-de-la-corte-constitucional/_S08</t>
        </is>
      </c>
      <c r="C312" s="38" t="inlineStr">
        <is>
          <t>El Espectador</t>
        </is>
      </c>
      <c r="D312" s="38" t="inlineStr">
        <is>
          <t>Reformas sociales en disputa (pensional/tributaria)</t>
        </is>
      </c>
      <c r="E312" s="38" t="inlineStr">
        <is>
          <t>Opinión-análisis</t>
        </is>
      </c>
      <c r="F312" s="38" t="inlineStr">
        <is>
          <t>Thu, 03 Sep 2026 05:00:00 +0000</t>
        </is>
      </c>
      <c r="G312" s="62" t="inlineStr">
        <is>
          <t>Que Dios bendiga a Colombia”.</t>
        </is>
      </c>
      <c r="H312" s="62" t="inlineStr">
        <is>
          <t>“Si este acto pudo generar incomodidad, o si ofendió a alguna persona, en mi condición de jefe de Estado, ofrezco excusas por ello”, dijo, y momentos después cerró con un mensaje: “Viva a Cristo Rey.</t>
        </is>
      </c>
      <c r="I312" s="62" t="inlineStr">
        <is>
          <t>Carlos Suárez, asesor del presidente y quien impugnó el fallo en cuestión, escribió en sus redes sociales que es “ideal que el juez constitucional se pronuncie sobre el ejercicio de los derechos de libertad religiosa y de expresión del presidente de La República.</t>
        </is>
      </c>
      <c r="J312" s="38" t="n"/>
      <c r="K312" s="62" t="n"/>
      <c r="L312" s="38" t="n"/>
      <c r="M312" s="62" t="n"/>
      <c r="N312" s="38" t="n"/>
      <c r="O312" s="62" t="n"/>
      <c r="P312" s="38" t="n"/>
      <c r="Q312" s="62" t="n"/>
      <c r="R312" s="38" t="n"/>
      <c r="S312" s="62" t="n"/>
      <c r="T312" s="38" t="n"/>
      <c r="U312" s="62" t="n"/>
      <c r="V312" s="38" t="n"/>
      <c r="W312" s="62" t="n"/>
      <c r="X312" s="38" t="n"/>
      <c r="Y312" s="62" t="n"/>
      <c r="Z312" s="38" t="n"/>
      <c r="AA312" s="62" t="n"/>
      <c r="AB312" s="38" t="n"/>
      <c r="AC312" s="62" t="n"/>
      <c r="AD312" s="38" t="n"/>
      <c r="AE312" s="38" t="n"/>
      <c r="AF312" s="61">
        <f>IF(COUNTIF($B$5:B312,B312)=1,1,0)</f>
        <v/>
      </c>
      <c r="AG312" s="62" t="inlineStr">
        <is>
          <t>https://www.elespectador.com/opinion/editorial/editorial-la-neutralidad-religiosa-reclama-la-voz-de-la-corte-constitucional/</t>
        </is>
      </c>
    </row>
    <row r="313" ht="15" customHeight="1" s="31">
      <c r="A313" s="38" t="inlineStr">
        <is>
          <t>https://www.elespectador.com/opinion/editorial/editorial-la-neutralidad-religiosa-reclama-la-voz-de-la-corte-constitucional/</t>
        </is>
      </c>
      <c r="B313" s="38" t="inlineStr">
        <is>
          <t>https://www.elespectador.com/opinion/editorial/editorial-la-neutralidad-religiosa-reclama-la-voz-de-la-corte-constitucional/_S09</t>
        </is>
      </c>
      <c r="C313" s="38" t="inlineStr">
        <is>
          <t>El Espectador</t>
        </is>
      </c>
      <c r="D313" s="38" t="inlineStr">
        <is>
          <t>Reformas sociales en disputa (pensional/tributaria)</t>
        </is>
      </c>
      <c r="E313" s="38" t="inlineStr">
        <is>
          <t>Opinión-análisis</t>
        </is>
      </c>
      <c r="F313" s="38" t="inlineStr">
        <is>
          <t>Thu, 03 Sep 2026 05:00:00 +0000</t>
        </is>
      </c>
      <c r="G313" s="62" t="inlineStr">
        <is>
          <t>Carlos Suárez, asesor del presidente y quien impugnó el fallo en cuestión, escribió en sus redes sociales que es “ideal que el juez constitucional se pronuncie sobre el ejercicio de los derechos de libertad religiosa y de expresión del presidente de La República.</t>
        </is>
      </c>
      <c r="H313" s="62" t="inlineStr">
        <is>
          <t>Que Dios bendiga a Colombia”.</t>
        </is>
      </c>
      <c r="I313" s="62" t="inlineStr">
        <is>
          <t>Mientras tanto: ¡Que viva Cristo Rey!”.</t>
        </is>
      </c>
      <c r="J313" s="38" t="n"/>
      <c r="K313" s="62" t="n"/>
      <c r="L313" s="38" t="n"/>
      <c r="M313" s="62" t="n"/>
      <c r="N313" s="38" t="n"/>
      <c r="O313" s="62" t="n"/>
      <c r="P313" s="38" t="n"/>
      <c r="Q313" s="62" t="n"/>
      <c r="R313" s="38" t="n"/>
      <c r="S313" s="62" t="n"/>
      <c r="T313" s="38" t="n"/>
      <c r="U313" s="62" t="n"/>
      <c r="V313" s="38" t="n"/>
      <c r="W313" s="62" t="n"/>
      <c r="X313" s="38" t="n"/>
      <c r="Y313" s="62" t="n"/>
      <c r="Z313" s="38" t="n"/>
      <c r="AA313" s="62" t="n"/>
      <c r="AB313" s="38" t="n"/>
      <c r="AC313" s="62" t="n"/>
      <c r="AD313" s="38" t="n"/>
      <c r="AE313" s="38" t="n"/>
      <c r="AF313" s="61">
        <f>IF(COUNTIF($B$5:B313,B313)=1,1,0)</f>
        <v/>
      </c>
      <c r="AG313" s="62" t="inlineStr">
        <is>
          <t>https://www.elespectador.com/opinion/editorial/editorial-la-neutralidad-religiosa-reclama-la-voz-de-la-corte-constitucional/</t>
        </is>
      </c>
    </row>
    <row r="314" ht="15" customHeight="1" s="31">
      <c r="A314" s="38" t="inlineStr">
        <is>
          <t>https://www.elespectador.com/opinion/editorial/editorial-la-neutralidad-religiosa-reclama-la-voz-de-la-corte-constitucional/</t>
        </is>
      </c>
      <c r="B314" s="38" t="inlineStr">
        <is>
          <t>https://www.elespectador.com/opinion/editorial/editorial-la-neutralidad-religiosa-reclama-la-voz-de-la-corte-constitucional/_S10</t>
        </is>
      </c>
      <c r="C314" s="38" t="inlineStr">
        <is>
          <t>El Espectador</t>
        </is>
      </c>
      <c r="D314" s="38" t="inlineStr">
        <is>
          <t>Reformas sociales en disputa (pensional/tributaria)</t>
        </is>
      </c>
      <c r="E314" s="38" t="inlineStr">
        <is>
          <t>Opinión-análisis</t>
        </is>
      </c>
      <c r="F314" s="38" t="inlineStr">
        <is>
          <t>Thu, 03 Sep 2026 05:00:00 +0000</t>
        </is>
      </c>
      <c r="G314" s="62" t="inlineStr">
        <is>
          <t>Mientras tanto: ¡Que viva Cristo Rey!”.</t>
        </is>
      </c>
      <c r="H314" s="62" t="inlineStr">
        <is>
          <t>Carlos Suárez, asesor del presidente y quien impugnó el fallo en cuestión, escribió en sus redes sociales que es “ideal que el juez constitucional se pronuncie sobre el ejercicio de los derechos de libertad religiosa y de expresión del presidente de La República.</t>
        </is>
      </c>
      <c r="I314" s="62" t="inlineStr">
        <is>
          <t>Dicho juez, la Corte Constitucional, sí se ha pronunciado en el pasado.</t>
        </is>
      </c>
      <c r="J314" s="38" t="n"/>
      <c r="K314" s="62" t="n"/>
      <c r="L314" s="38" t="n"/>
      <c r="M314" s="62" t="n"/>
      <c r="N314" s="38" t="n"/>
      <c r="O314" s="62" t="n"/>
      <c r="P314" s="38" t="n"/>
      <c r="Q314" s="62" t="n"/>
      <c r="R314" s="38" t="n"/>
      <c r="S314" s="62" t="n"/>
      <c r="T314" s="38" t="n"/>
      <c r="U314" s="62" t="n"/>
      <c r="V314" s="38" t="n"/>
      <c r="W314" s="62" t="n"/>
      <c r="X314" s="38" t="n"/>
      <c r="Y314" s="62" t="n"/>
      <c r="Z314" s="38" t="n"/>
      <c r="AA314" s="62" t="n"/>
      <c r="AB314" s="38" t="n"/>
      <c r="AC314" s="62" t="n"/>
      <c r="AD314" s="38" t="n"/>
      <c r="AE314" s="38" t="n"/>
      <c r="AF314" s="61">
        <f>IF(COUNTIF($B$5:B314,B314)=1,1,0)</f>
        <v/>
      </c>
      <c r="AG314" s="62" t="inlineStr">
        <is>
          <t>https://www.elespectador.com/opinion/editorial/editorial-la-neutralidad-religiosa-reclama-la-voz-de-la-corte-constitucional/</t>
        </is>
      </c>
    </row>
    <row r="315" ht="15" customHeight="1" s="31">
      <c r="A315" s="38" t="inlineStr">
        <is>
          <t>https://www.elespectador.com/opinion/editorial/editorial-la-neutralidad-religiosa-reclama-la-voz-de-la-corte-constitucional/</t>
        </is>
      </c>
      <c r="B315" s="38" t="inlineStr">
        <is>
          <t>https://www.elespectador.com/opinion/editorial/editorial-la-neutralidad-religiosa-reclama-la-voz-de-la-corte-constitucional/_S11</t>
        </is>
      </c>
      <c r="C315" s="38" t="inlineStr">
        <is>
          <t>El Espectador</t>
        </is>
      </c>
      <c r="D315" s="38" t="inlineStr">
        <is>
          <t>Reformas sociales en disputa (pensional/tributaria)</t>
        </is>
      </c>
      <c r="E315" s="38" t="inlineStr">
        <is>
          <t>Opinión-análisis</t>
        </is>
      </c>
      <c r="F315" s="38" t="inlineStr">
        <is>
          <t>Thu, 03 Sep 2026 05:00:00 +0000</t>
        </is>
      </c>
      <c r="G315" s="62" t="inlineStr">
        <is>
          <t>Dicho juez, la Corte Constitucional, sí se ha pronunciado en el pasado.</t>
        </is>
      </c>
      <c r="H315" s="62" t="inlineStr">
        <is>
          <t>Mientras tanto: ¡Que viva Cristo Rey!”.</t>
        </is>
      </c>
      <c r="I315" s="62" t="inlineStr">
        <is>
          <t>En el año 2021 se refirió al actuar de la entonces vicepresidenta, Marta Lucía Ramírez.</t>
        </is>
      </c>
      <c r="J315" s="38" t="n"/>
      <c r="K315" s="62" t="n"/>
      <c r="L315" s="38" t="n"/>
      <c r="M315" s="62" t="n"/>
      <c r="N315" s="38" t="n"/>
      <c r="O315" s="62" t="n"/>
      <c r="P315" s="38" t="n"/>
      <c r="Q315" s="62" t="n"/>
      <c r="R315" s="38" t="n"/>
      <c r="S315" s="62" t="n"/>
      <c r="T315" s="38" t="n"/>
      <c r="U315" s="62" t="n"/>
      <c r="V315" s="38" t="n"/>
      <c r="W315" s="62" t="n"/>
      <c r="X315" s="38" t="n"/>
      <c r="Y315" s="62" t="n"/>
      <c r="Z315" s="38" t="n"/>
      <c r="AA315" s="62" t="n"/>
      <c r="AB315" s="38" t="n"/>
      <c r="AC315" s="62" t="n"/>
      <c r="AD315" s="38" t="n"/>
      <c r="AE315" s="38" t="n"/>
      <c r="AF315" s="61">
        <f>IF(COUNTIF($B$5:B315,B315)=1,1,0)</f>
        <v/>
      </c>
      <c r="AG315" s="62" t="inlineStr">
        <is>
          <t>https://www.elespectador.com/opinion/editorial/editorial-la-neutralidad-religiosa-reclama-la-voz-de-la-corte-constitucional/</t>
        </is>
      </c>
    </row>
    <row r="316" ht="15" customHeight="1" s="31">
      <c r="A316" s="38" t="inlineStr">
        <is>
          <t>https://www.elespectador.com/opinion/editorial/editorial-la-neutralidad-religiosa-reclama-la-voz-de-la-corte-constitucional/</t>
        </is>
      </c>
      <c r="B316" s="38" t="inlineStr">
        <is>
          <t>https://www.elespectador.com/opinion/editorial/editorial-la-neutralidad-religiosa-reclama-la-voz-de-la-corte-constitucional/_S12</t>
        </is>
      </c>
      <c r="C316" s="38" t="inlineStr">
        <is>
          <t>El Espectador</t>
        </is>
      </c>
      <c r="D316" s="38" t="inlineStr">
        <is>
          <t>Reformas sociales en disputa (pensional/tributaria)</t>
        </is>
      </c>
      <c r="E316" s="38" t="inlineStr">
        <is>
          <t>Opinión-análisis</t>
        </is>
      </c>
      <c r="F316" s="38" t="inlineStr">
        <is>
          <t>Thu, 03 Sep 2026 05:00:00 +0000</t>
        </is>
      </c>
      <c r="G316" s="62" t="inlineStr">
        <is>
          <t>En el año 2021 se refirió al actuar de la entonces vicepresidenta, Marta Lucía Ramírez.</t>
        </is>
      </c>
      <c r="H316" s="62" t="inlineStr">
        <is>
          <t>Dicho juez, la Corte Constitucional, sí se ha pronunciado en el pasado.</t>
        </is>
      </c>
      <c r="I316" s="62" t="inlineStr">
        <is>
          <t>La servidora pública utilizó las redes oficiales de la Vicepresidencia para celebrar a la virgen de Fátima.</t>
        </is>
      </c>
      <c r="J316" s="38" t="n"/>
      <c r="K316" s="62" t="n"/>
      <c r="L316" s="38" t="n"/>
      <c r="M316" s="62" t="n"/>
      <c r="N316" s="38" t="n"/>
      <c r="O316" s="62" t="n"/>
      <c r="P316" s="38" t="n"/>
      <c r="Q316" s="62" t="n"/>
      <c r="R316" s="38" t="n"/>
      <c r="S316" s="62" t="n"/>
      <c r="T316" s="38" t="n"/>
      <c r="U316" s="62" t="n"/>
      <c r="V316" s="38" t="n"/>
      <c r="W316" s="62" t="n"/>
      <c r="X316" s="38" t="n"/>
      <c r="Y316" s="62" t="n"/>
      <c r="Z316" s="38" t="n"/>
      <c r="AA316" s="62" t="n"/>
      <c r="AB316" s="38" t="n"/>
      <c r="AC316" s="62" t="n"/>
      <c r="AD316" s="38" t="n"/>
      <c r="AE316" s="38" t="n"/>
      <c r="AF316" s="61">
        <f>IF(COUNTIF($B$5:B316,B316)=1,1,0)</f>
        <v/>
      </c>
      <c r="AG316" s="62" t="inlineStr">
        <is>
          <t>https://www.elespectador.com/opinion/editorial/editorial-la-neutralidad-religiosa-reclama-la-voz-de-la-corte-constitucional/</t>
        </is>
      </c>
    </row>
    <row r="317" ht="15" customHeight="1" s="31">
      <c r="A317" s="38" t="inlineStr">
        <is>
          <t>https://www.elespectador.com/opinion/editorial/editorial-la-neutralidad-religiosa-reclama-la-voz-de-la-corte-constitucional/</t>
        </is>
      </c>
      <c r="B317" s="38" t="inlineStr">
        <is>
          <t>https://www.elespectador.com/opinion/editorial/editorial-la-neutralidad-religiosa-reclama-la-voz-de-la-corte-constitucional/_S13</t>
        </is>
      </c>
      <c r="C317" s="38" t="inlineStr">
        <is>
          <t>El Espectador</t>
        </is>
      </c>
      <c r="D317" s="38" t="inlineStr">
        <is>
          <t>Reformas sociales en disputa (pensional/tributaria)</t>
        </is>
      </c>
      <c r="E317" s="38" t="inlineStr">
        <is>
          <t>Opinión-análisis</t>
        </is>
      </c>
      <c r="F317" s="38" t="inlineStr">
        <is>
          <t>Thu, 03 Sep 2026 05:00:00 +0000</t>
        </is>
      </c>
      <c r="G317" s="62" t="inlineStr">
        <is>
          <t>La servidora pública utilizó las redes oficiales de la Vicepresidencia para celebrar a la virgen de Fátima.</t>
        </is>
      </c>
      <c r="H317" s="62" t="inlineStr">
        <is>
          <t>En el año 2021 se refirió al actuar de la entonces vicepresidenta, Marta Lucía Ramírez.</t>
        </is>
      </c>
      <c r="I317" s="62" t="inlineStr">
        <is>
          <t>Esto, para el alto tribunal, es una clara violación a la exigencia de neutralidad religiosa que impone la Constitución.</t>
        </is>
      </c>
      <c r="J317" s="38" t="n"/>
      <c r="K317" s="62" t="n"/>
      <c r="L317" s="38" t="n"/>
      <c r="M317" s="62" t="n"/>
      <c r="N317" s="38" t="n"/>
      <c r="O317" s="62" t="n"/>
      <c r="P317" s="38" t="n"/>
      <c r="Q317" s="62" t="n"/>
      <c r="R317" s="38" t="n"/>
      <c r="S317" s="62" t="n"/>
      <c r="T317" s="38" t="n"/>
      <c r="U317" s="62" t="n"/>
      <c r="V317" s="38" t="n"/>
      <c r="W317" s="62" t="n"/>
      <c r="X317" s="38" t="n"/>
      <c r="Y317" s="62" t="n"/>
      <c r="Z317" s="38" t="n"/>
      <c r="AA317" s="62" t="n"/>
      <c r="AB317" s="38" t="n"/>
      <c r="AC317" s="62" t="n"/>
      <c r="AD317" s="38" t="n"/>
      <c r="AE317" s="38" t="n"/>
      <c r="AF317" s="61">
        <f>IF(COUNTIF($B$5:B317,B317)=1,1,0)</f>
        <v/>
      </c>
      <c r="AG317" s="62" t="inlineStr">
        <is>
          <t>https://www.elespectador.com/opinion/editorial/editorial-la-neutralidad-religiosa-reclama-la-voz-de-la-corte-constitucional/</t>
        </is>
      </c>
    </row>
    <row r="318" ht="15" customHeight="1" s="31">
      <c r="A318" s="38" t="inlineStr">
        <is>
          <t>https://www.elespectador.com/opinion/editorial/editorial-la-neutralidad-religiosa-reclama-la-voz-de-la-corte-constitucional/</t>
        </is>
      </c>
      <c r="B318" s="38" t="inlineStr">
        <is>
          <t>https://www.elespectador.com/opinion/editorial/editorial-la-neutralidad-religiosa-reclama-la-voz-de-la-corte-constitucional/_S14</t>
        </is>
      </c>
      <c r="C318" s="38" t="inlineStr">
        <is>
          <t>El Espectador</t>
        </is>
      </c>
      <c r="D318" s="38" t="inlineStr">
        <is>
          <t>Reformas sociales en disputa (pensional/tributaria)</t>
        </is>
      </c>
      <c r="E318" s="38" t="inlineStr">
        <is>
          <t>Opinión-análisis</t>
        </is>
      </c>
      <c r="F318" s="38" t="inlineStr">
        <is>
          <t>Thu, 03 Sep 2026 05:00:00 +0000</t>
        </is>
      </c>
      <c r="G318" s="62" t="inlineStr">
        <is>
          <t>Esto, para el alto tribunal, es una clara violación a la exigencia de neutralidad religiosa que impone la Constitución.</t>
        </is>
      </c>
      <c r="H318" s="62" t="inlineStr">
        <is>
          <t>La servidora pública utilizó las redes oficiales de la Vicepresidencia para celebrar a la virgen de Fátima.</t>
        </is>
      </c>
      <c r="I318" s="62" t="n"/>
      <c r="J318" s="38" t="n"/>
      <c r="K318" s="62" t="n"/>
      <c r="L318" s="38" t="n"/>
      <c r="M318" s="62" t="n"/>
      <c r="N318" s="38" t="n"/>
      <c r="O318" s="62" t="n"/>
      <c r="P318" s="38" t="n"/>
      <c r="Q318" s="62" t="n"/>
      <c r="R318" s="38" t="n"/>
      <c r="S318" s="62" t="n"/>
      <c r="T318" s="38" t="n"/>
      <c r="U318" s="62" t="n"/>
      <c r="V318" s="38" t="n"/>
      <c r="W318" s="62" t="n"/>
      <c r="X318" s="38" t="n"/>
      <c r="Y318" s="62" t="n"/>
      <c r="Z318" s="38" t="n"/>
      <c r="AA318" s="62" t="n"/>
      <c r="AB318" s="38" t="n"/>
      <c r="AC318" s="62" t="n"/>
      <c r="AD318" s="38" t="n"/>
      <c r="AE318" s="38" t="n"/>
      <c r="AF318" s="61">
        <f>IF(COUNTIF($B$5:B318,B318)=1,1,0)</f>
        <v/>
      </c>
      <c r="AG318" s="62" t="inlineStr">
        <is>
          <t>https://www.elespectador.com/opinion/editorial/editorial-la-neutralidad-religiosa-reclama-la-voz-de-la-corte-constitucional/</t>
        </is>
      </c>
    </row>
    <row r="319" ht="15" customHeight="1" s="31">
      <c r="A319" s="38" t="inlineStr">
        <is>
          <t>https://www.semana.com/opinion/articulo/impudico/202646/</t>
        </is>
      </c>
      <c r="B319" s="38" t="inlineStr">
        <is>
          <t>https://www.semana.com/opinion/articulo/impudico/202646/_S01</t>
        </is>
      </c>
      <c r="C319" s="38" t="inlineStr">
        <is>
          <t>Semana</t>
        </is>
      </c>
      <c r="D319" s="38" t="inlineStr">
        <is>
          <t>Relación con Estados Unidos</t>
        </is>
      </c>
      <c r="E319" s="38" t="inlineStr">
        <is>
          <t>Opinión-análisis</t>
        </is>
      </c>
      <c r="F319" s="38" t="inlineStr">
        <is>
          <t>Sat, 05 Sep 2026 05:00:46 +0000</t>
        </is>
      </c>
      <c r="G319" s="62" t="inlineStr">
        <is>
          <t>Impúdico.</t>
        </is>
      </c>
      <c r="H319" s="62" t="n"/>
      <c r="I319" s="62" t="inlineStr">
        <is>
          <t>Es la palabra exacta.</t>
        </is>
      </c>
      <c r="J319" s="38" t="n"/>
      <c r="K319" s="62" t="n"/>
      <c r="L319" s="38" t="n"/>
      <c r="M319" s="62" t="n"/>
      <c r="N319" s="38" t="n"/>
      <c r="O319" s="62" t="n"/>
      <c r="P319" s="38" t="n"/>
      <c r="Q319" s="62" t="n"/>
      <c r="R319" s="38" t="n"/>
      <c r="S319" s="62" t="n"/>
      <c r="T319" s="38" t="n"/>
      <c r="U319" s="62" t="n"/>
      <c r="V319" s="38" t="n"/>
      <c r="W319" s="62" t="n"/>
      <c r="X319" s="38" t="n"/>
      <c r="Y319" s="62" t="n"/>
      <c r="Z319" s="38" t="n"/>
      <c r="AA319" s="62" t="n"/>
      <c r="AB319" s="38" t="n"/>
      <c r="AC319" s="62" t="n"/>
      <c r="AD319" s="38" t="n"/>
      <c r="AE319" s="38" t="n"/>
      <c r="AF319" s="61">
        <f>IF(COUNTIF($B$5:B319,B319)=1,1,0)</f>
        <v/>
      </c>
      <c r="AG319" s="62" t="inlineStr">
        <is>
          <t>https://www.semana.com/opinion/articulo/impudico/202646/</t>
        </is>
      </c>
    </row>
    <row r="320" ht="15" customHeight="1" s="31">
      <c r="A320" s="38" t="inlineStr">
        <is>
          <t>https://www.semana.com/opinion/articulo/impudico/202646/</t>
        </is>
      </c>
      <c r="B320" s="38" t="inlineStr">
        <is>
          <t>https://www.semana.com/opinion/articulo/impudico/202646/_S02</t>
        </is>
      </c>
      <c r="C320" s="38" t="inlineStr">
        <is>
          <t>Semana</t>
        </is>
      </c>
      <c r="D320" s="38" t="inlineStr">
        <is>
          <t>Relación con Estados Unidos</t>
        </is>
      </c>
      <c r="E320" s="38" t="inlineStr">
        <is>
          <t>Opinión-análisis</t>
        </is>
      </c>
      <c r="F320" s="38" t="inlineStr">
        <is>
          <t>Sat, 05 Sep 2026 05:00:46 +0000</t>
        </is>
      </c>
      <c r="G320" s="62" t="inlineStr">
        <is>
          <t>Es la palabra exacta.</t>
        </is>
      </c>
      <c r="H320" s="62" t="inlineStr">
        <is>
          <t>Impúdico.</t>
        </is>
      </c>
      <c r="I320" s="62" t="inlineStr">
        <is>
          <t>No hay otra que capture mejor la esencia del acuerdo petrolero entre Estados Unidos y Venezuela.</t>
        </is>
      </c>
      <c r="J320" s="38" t="n"/>
      <c r="K320" s="62" t="n"/>
      <c r="L320" s="38" t="n"/>
      <c r="M320" s="62" t="n"/>
      <c r="N320" s="38" t="n"/>
      <c r="O320" s="62" t="n"/>
      <c r="P320" s="38" t="n"/>
      <c r="Q320" s="62" t="n"/>
      <c r="R320" s="38" t="n"/>
      <c r="S320" s="62" t="n"/>
      <c r="T320" s="38" t="n"/>
      <c r="U320" s="62" t="n"/>
      <c r="V320" s="38" t="n"/>
      <c r="W320" s="62" t="n"/>
      <c r="X320" s="38" t="n"/>
      <c r="Y320" s="62" t="n"/>
      <c r="Z320" s="38" t="n"/>
      <c r="AA320" s="62" t="n"/>
      <c r="AB320" s="38" t="n"/>
      <c r="AC320" s="62" t="n"/>
      <c r="AD320" s="38" t="n"/>
      <c r="AE320" s="38" t="n"/>
      <c r="AF320" s="61">
        <f>IF(COUNTIF($B$5:B320,B320)=1,1,0)</f>
        <v/>
      </c>
      <c r="AG320" s="62" t="inlineStr">
        <is>
          <t>https://www.semana.com/opinion/articulo/impudico/202646/</t>
        </is>
      </c>
    </row>
    <row r="321" ht="15" customHeight="1" s="31">
      <c r="A321" s="38" t="inlineStr">
        <is>
          <t>https://www.semana.com/opinion/articulo/impudico/202646/</t>
        </is>
      </c>
      <c r="B321" s="38" t="inlineStr">
        <is>
          <t>https://www.semana.com/opinion/articulo/impudico/202646/_S03</t>
        </is>
      </c>
      <c r="C321" s="38" t="inlineStr">
        <is>
          <t>Semana</t>
        </is>
      </c>
      <c r="D321" s="38" t="inlineStr">
        <is>
          <t>Relación con Estados Unidos</t>
        </is>
      </c>
      <c r="E321" s="38" t="inlineStr">
        <is>
          <t>Opinión-análisis</t>
        </is>
      </c>
      <c r="F321" s="38" t="inlineStr">
        <is>
          <t>Sat, 05 Sep 2026 05:00:46 +0000</t>
        </is>
      </c>
      <c r="G321" s="62" t="inlineStr">
        <is>
          <t>No hay otra que capture mejor la esencia del acuerdo petrolero entre Estados Unidos y Venezuela.</t>
        </is>
      </c>
      <c r="H321" s="62" t="inlineStr">
        <is>
          <t>Es la palabra exacta.</t>
        </is>
      </c>
      <c r="I321" s="62" t="inlineStr">
        <is>
          <t>Es un pacto que desviste las intenciones, que quita el velo de la retórica diplomática y nos deja frente a frente con la cruda realidad del pragmatismo geopolítico.</t>
        </is>
      </c>
      <c r="J321" s="38" t="n"/>
      <c r="K321" s="62" t="n"/>
      <c r="L321" s="38" t="n"/>
      <c r="M321" s="62" t="n"/>
      <c r="N321" s="38" t="n"/>
      <c r="O321" s="62" t="n"/>
      <c r="P321" s="38" t="n"/>
      <c r="Q321" s="62" t="n"/>
      <c r="R321" s="38" t="n"/>
      <c r="S321" s="62" t="n"/>
      <c r="T321" s="38" t="n"/>
      <c r="U321" s="62" t="n"/>
      <c r="V321" s="38" t="n"/>
      <c r="W321" s="62" t="n"/>
      <c r="X321" s="38" t="n"/>
      <c r="Y321" s="62" t="n"/>
      <c r="Z321" s="38" t="n"/>
      <c r="AA321" s="62" t="n"/>
      <c r="AB321" s="38" t="n"/>
      <c r="AC321" s="62" t="n"/>
      <c r="AD321" s="38" t="n"/>
      <c r="AE321" s="38" t="n"/>
      <c r="AF321" s="61">
        <f>IF(COUNTIF($B$5:B321,B321)=1,1,0)</f>
        <v/>
      </c>
      <c r="AG321" s="62" t="inlineStr">
        <is>
          <t>https://www.semana.com/opinion/articulo/impudico/202646/</t>
        </is>
      </c>
    </row>
    <row r="322" ht="15" customHeight="1" s="31">
      <c r="A322" s="38" t="inlineStr">
        <is>
          <t>https://www.semana.com/opinion/articulo/impudico/202646/</t>
        </is>
      </c>
      <c r="B322" s="38" t="inlineStr">
        <is>
          <t>https://www.semana.com/opinion/articulo/impudico/202646/_S04</t>
        </is>
      </c>
      <c r="C322" s="38" t="inlineStr">
        <is>
          <t>Semana</t>
        </is>
      </c>
      <c r="D322" s="38" t="inlineStr">
        <is>
          <t>Relación con Estados Unidos</t>
        </is>
      </c>
      <c r="E322" s="38" t="inlineStr">
        <is>
          <t>Opinión-análisis</t>
        </is>
      </c>
      <c r="F322" s="38" t="inlineStr">
        <is>
          <t>Sat, 05 Sep 2026 05:00:46 +0000</t>
        </is>
      </c>
      <c r="G322" s="62" t="inlineStr">
        <is>
          <t>Es un pacto que desviste las intenciones, que quita el velo de la retórica diplomática y nos deja frente a frente con la cruda realidad del pragmatismo geopolítico.</t>
        </is>
      </c>
      <c r="H322" s="62" t="inlineStr">
        <is>
          <t>No hay otra que capture mejor la esencia del acuerdo petrolero entre Estados Unidos y Venezuela.</t>
        </is>
      </c>
      <c r="I322" s="62" t="inlineStr">
        <is>
          <t>Para entender este histórico giro, hay que dividir la historia en dos actos: el de Washington y el de Caracas.</t>
        </is>
      </c>
      <c r="J322" s="38" t="n"/>
      <c r="K322" s="62" t="n"/>
      <c r="L322" s="38" t="n"/>
      <c r="M322" s="62" t="n"/>
      <c r="N322" s="38" t="n"/>
      <c r="O322" s="62" t="n"/>
      <c r="P322" s="38" t="n"/>
      <c r="Q322" s="62" t="n"/>
      <c r="R322" s="38" t="n"/>
      <c r="S322" s="62" t="n"/>
      <c r="T322" s="38" t="n"/>
      <c r="U322" s="62" t="n"/>
      <c r="V322" s="38" t="n"/>
      <c r="W322" s="62" t="n"/>
      <c r="X322" s="38" t="n"/>
      <c r="Y322" s="62" t="n"/>
      <c r="Z322" s="38" t="n"/>
      <c r="AA322" s="62" t="n"/>
      <c r="AB322" s="38" t="n"/>
      <c r="AC322" s="62" t="n"/>
      <c r="AD322" s="38" t="n"/>
      <c r="AE322" s="38" t="n"/>
      <c r="AF322" s="61">
        <f>IF(COUNTIF($B$5:B322,B322)=1,1,0)</f>
        <v/>
      </c>
      <c r="AG322" s="62" t="inlineStr">
        <is>
          <t>https://www.semana.com/opinion/articulo/impudico/202646/</t>
        </is>
      </c>
    </row>
    <row r="323" ht="15" customHeight="1" s="31">
      <c r="A323" s="38" t="inlineStr">
        <is>
          <t>https://www.semana.com/opinion/articulo/impudico/202646/</t>
        </is>
      </c>
      <c r="B323" s="38" t="inlineStr">
        <is>
          <t>https://www.semana.com/opinion/articulo/impudico/202646/_S05</t>
        </is>
      </c>
      <c r="C323" s="38" t="inlineStr">
        <is>
          <t>Semana</t>
        </is>
      </c>
      <c r="D323" s="38" t="inlineStr">
        <is>
          <t>Relación con Estados Unidos</t>
        </is>
      </c>
      <c r="E323" s="38" t="inlineStr">
        <is>
          <t>Opinión-análisis</t>
        </is>
      </c>
      <c r="F323" s="38" t="inlineStr">
        <is>
          <t>Sat, 05 Sep 2026 05:00:46 +0000</t>
        </is>
      </c>
      <c r="G323" s="62" t="inlineStr">
        <is>
          <t>Para entender este histórico giro, hay que dividir la historia en dos actos: el de Washington y el de Caracas.</t>
        </is>
      </c>
      <c r="H323" s="62" t="inlineStr">
        <is>
          <t>Es un pacto que desviste las intenciones, que quita el velo de la retórica diplomática y nos deja frente a frente con la cruda realidad del pragmatismo geopolítico.</t>
        </is>
      </c>
      <c r="I323" s="62" t="inlineStr">
        <is>
          <t>Me explico.</t>
        </is>
      </c>
      <c r="J323" s="38" t="n"/>
      <c r="K323" s="62" t="n"/>
      <c r="L323" s="38" t="n"/>
      <c r="M323" s="62" t="n"/>
      <c r="N323" s="38" t="n"/>
      <c r="O323" s="62" t="n"/>
      <c r="P323" s="38" t="n"/>
      <c r="Q323" s="62" t="n"/>
      <c r="R323" s="38" t="n"/>
      <c r="S323" s="62" t="n"/>
      <c r="T323" s="38" t="n"/>
      <c r="U323" s="62" t="n"/>
      <c r="V323" s="38" t="n"/>
      <c r="W323" s="62" t="n"/>
      <c r="X323" s="38" t="n"/>
      <c r="Y323" s="62" t="n"/>
      <c r="Z323" s="38" t="n"/>
      <c r="AA323" s="62" t="n"/>
      <c r="AB323" s="38" t="n"/>
      <c r="AC323" s="62" t="n"/>
      <c r="AD323" s="38" t="n"/>
      <c r="AE323" s="38" t="n"/>
      <c r="AF323" s="61">
        <f>IF(COUNTIF($B$5:B323,B323)=1,1,0)</f>
        <v/>
      </c>
      <c r="AG323" s="62" t="inlineStr">
        <is>
          <t>https://www.semana.com/opinion/articulo/impudico/202646/</t>
        </is>
      </c>
    </row>
    <row r="324" ht="15" customHeight="1" s="31">
      <c r="A324" s="38" t="inlineStr">
        <is>
          <t>https://www.semana.com/opinion/articulo/impudico/202646/</t>
        </is>
      </c>
      <c r="B324" s="38" t="inlineStr">
        <is>
          <t>https://www.semana.com/opinion/articulo/impudico/202646/_S06</t>
        </is>
      </c>
      <c r="C324" s="38" t="inlineStr">
        <is>
          <t>Semana</t>
        </is>
      </c>
      <c r="D324" s="38" t="inlineStr">
        <is>
          <t>Relación con Estados Unidos</t>
        </is>
      </c>
      <c r="E324" s="38" t="inlineStr">
        <is>
          <t>Opinión-análisis</t>
        </is>
      </c>
      <c r="F324" s="38" t="inlineStr">
        <is>
          <t>Sat, 05 Sep 2026 05:00:46 +0000</t>
        </is>
      </c>
      <c r="G324" s="62" t="inlineStr">
        <is>
          <t>Me explico.</t>
        </is>
      </c>
      <c r="H324" s="62" t="inlineStr">
        <is>
          <t>Para entender este histórico giro, hay que dividir la historia en dos actos: el de Washington y el de Caracas.</t>
        </is>
      </c>
      <c r="I324" s="62" t="inlineStr">
        <is>
          <t>Desde la óptica estadounidense, estamos ante un cambio de paradigma excepcional.</t>
        </is>
      </c>
      <c r="J324" s="38" t="n"/>
      <c r="K324" s="62" t="n"/>
      <c r="L324" s="38" t="n"/>
      <c r="M324" s="62" t="n"/>
      <c r="N324" s="38" t="n"/>
      <c r="O324" s="62" t="n"/>
      <c r="P324" s="38" t="n"/>
      <c r="Q324" s="62" t="n"/>
      <c r="R324" s="38" t="n"/>
      <c r="S324" s="62" t="n"/>
      <c r="T324" s="38" t="n"/>
      <c r="U324" s="62" t="n"/>
      <c r="V324" s="38" t="n"/>
      <c r="W324" s="62" t="n"/>
      <c r="X324" s="38" t="n"/>
      <c r="Y324" s="62" t="n"/>
      <c r="Z324" s="38" t="n"/>
      <c r="AA324" s="62" t="n"/>
      <c r="AB324" s="38" t="n"/>
      <c r="AC324" s="62" t="n"/>
      <c r="AD324" s="38" t="n"/>
      <c r="AE324" s="38" t="n"/>
      <c r="AF324" s="61">
        <f>IF(COUNTIF($B$5:B324,B324)=1,1,0)</f>
        <v/>
      </c>
      <c r="AG324" s="62" t="inlineStr">
        <is>
          <t>https://www.semana.com/opinion/articulo/impudico/202646/</t>
        </is>
      </c>
    </row>
    <row r="325" ht="15" customHeight="1" s="31">
      <c r="A325" s="38" t="inlineStr">
        <is>
          <t>https://www.semana.com/opinion/articulo/impudico/202646/</t>
        </is>
      </c>
      <c r="B325" s="38" t="inlineStr">
        <is>
          <t>https://www.semana.com/opinion/articulo/impudico/202646/_S07</t>
        </is>
      </c>
      <c r="C325" s="38" t="inlineStr">
        <is>
          <t>Semana</t>
        </is>
      </c>
      <c r="D325" s="38" t="inlineStr">
        <is>
          <t>Relación con Estados Unidos</t>
        </is>
      </c>
      <c r="E325" s="38" t="inlineStr">
        <is>
          <t>Opinión-análisis</t>
        </is>
      </c>
      <c r="F325" s="38" t="inlineStr">
        <is>
          <t>Sat, 05 Sep 2026 05:00:46 +0000</t>
        </is>
      </c>
      <c r="G325" s="62" t="inlineStr">
        <is>
          <t>Desde la óptica estadounidense, estamos ante un cambio de paradigma excepcional.</t>
        </is>
      </c>
      <c r="H325" s="62" t="inlineStr">
        <is>
          <t>Me explico.</t>
        </is>
      </c>
      <c r="I325" s="62" t="inlineStr">
        <is>
          <t>Es el fin de la era de la dependencia ciega de Oriente Medio.</t>
        </is>
      </c>
      <c r="J325" s="38" t="n"/>
      <c r="K325" s="62" t="n"/>
      <c r="L325" s="38" t="n"/>
      <c r="M325" s="62" t="n"/>
      <c r="N325" s="38" t="n"/>
      <c r="O325" s="62" t="n"/>
      <c r="P325" s="38" t="n"/>
      <c r="Q325" s="62" t="n"/>
      <c r="R325" s="38" t="n"/>
      <c r="S325" s="62" t="n"/>
      <c r="T325" s="38" t="n"/>
      <c r="U325" s="62" t="n"/>
      <c r="V325" s="38" t="n"/>
      <c r="W325" s="62" t="n"/>
      <c r="X325" s="38" t="n"/>
      <c r="Y325" s="62" t="n"/>
      <c r="Z325" s="38" t="n"/>
      <c r="AA325" s="62" t="n"/>
      <c r="AB325" s="38" t="n"/>
      <c r="AC325" s="62" t="n"/>
      <c r="AD325" s="38" t="n"/>
      <c r="AE325" s="38" t="n"/>
      <c r="AF325" s="61">
        <f>IF(COUNTIF($B$5:B325,B325)=1,1,0)</f>
        <v/>
      </c>
      <c r="AG325" s="62" t="inlineStr">
        <is>
          <t>https://www.semana.com/opinion/articulo/impudico/202646/</t>
        </is>
      </c>
    </row>
    <row r="326" ht="15" customHeight="1" s="31">
      <c r="A326" s="38" t="inlineStr">
        <is>
          <t>https://www.semana.com/opinion/articulo/impudico/202646/</t>
        </is>
      </c>
      <c r="B326" s="38" t="inlineStr">
        <is>
          <t>https://www.semana.com/opinion/articulo/impudico/202646/_S08</t>
        </is>
      </c>
      <c r="C326" s="38" t="inlineStr">
        <is>
          <t>Semana</t>
        </is>
      </c>
      <c r="D326" s="38" t="inlineStr">
        <is>
          <t>Relación con Estados Unidos</t>
        </is>
      </c>
      <c r="E326" s="38" t="inlineStr">
        <is>
          <t>Opinión-análisis</t>
        </is>
      </c>
      <c r="F326" s="38" t="inlineStr">
        <is>
          <t>Sat, 05 Sep 2026 05:00:46 +0000</t>
        </is>
      </c>
      <c r="G326" s="62" t="inlineStr">
        <is>
          <t>Es el fin de la era de la dependencia ciega de Oriente Medio.</t>
        </is>
      </c>
      <c r="H326" s="62" t="inlineStr">
        <is>
          <t>Desde la óptica estadounidense, estamos ante un cambio de paradigma excepcional.</t>
        </is>
      </c>
      <c r="I326" s="62" t="inlineStr">
        <is>
          <t>Es mover el eje gravitacional del petróleo desde las arenas árabes hacia nuestra propia región, hacia América Latina.</t>
        </is>
      </c>
      <c r="J326" s="38" t="n"/>
      <c r="K326" s="62" t="n"/>
      <c r="L326" s="38" t="n"/>
      <c r="M326" s="62" t="n"/>
      <c r="N326" s="38" t="n"/>
      <c r="O326" s="62" t="n"/>
      <c r="P326" s="38" t="n"/>
      <c r="Q326" s="62" t="n"/>
      <c r="R326" s="38" t="n"/>
      <c r="S326" s="62" t="n"/>
      <c r="T326" s="38" t="n"/>
      <c r="U326" s="62" t="n"/>
      <c r="V326" s="38" t="n"/>
      <c r="W326" s="62" t="n"/>
      <c r="X326" s="38" t="n"/>
      <c r="Y326" s="62" t="n"/>
      <c r="Z326" s="38" t="n"/>
      <c r="AA326" s="62" t="n"/>
      <c r="AB326" s="38" t="n"/>
      <c r="AC326" s="62" t="n"/>
      <c r="AD326" s="38" t="n"/>
      <c r="AE326" s="38" t="n"/>
      <c r="AF326" s="61">
        <f>IF(COUNTIF($B$5:B326,B326)=1,1,0)</f>
        <v/>
      </c>
      <c r="AG326" s="62" t="inlineStr">
        <is>
          <t>https://www.semana.com/opinion/articulo/impudico/202646/</t>
        </is>
      </c>
    </row>
    <row r="327" ht="15" customHeight="1" s="31">
      <c r="A327" s="38" t="inlineStr">
        <is>
          <t>https://www.semana.com/opinion/articulo/impudico/202646/</t>
        </is>
      </c>
      <c r="B327" s="38" t="inlineStr">
        <is>
          <t>https://www.semana.com/opinion/articulo/impudico/202646/_S09</t>
        </is>
      </c>
      <c r="C327" s="38" t="inlineStr">
        <is>
          <t>Semana</t>
        </is>
      </c>
      <c r="D327" s="38" t="inlineStr">
        <is>
          <t>Relación con Estados Unidos</t>
        </is>
      </c>
      <c r="E327" s="38" t="inlineStr">
        <is>
          <t>Opinión-análisis</t>
        </is>
      </c>
      <c r="F327" s="38" t="inlineStr">
        <is>
          <t>Sat, 05 Sep 2026 05:00:46 +0000</t>
        </is>
      </c>
      <c r="G327" s="62" t="inlineStr">
        <is>
          <t>Es mover el eje gravitacional del petróleo desde las arenas árabes hacia nuestra propia región, hacia América Latina.</t>
        </is>
      </c>
      <c r="H327" s="62" t="inlineStr">
        <is>
          <t>Es el fin de la era de la dependencia ciega de Oriente Medio.</t>
        </is>
      </c>
      <c r="I327" s="62" t="inlineStr">
        <is>
          <t>No es un tema menor.</t>
        </is>
      </c>
      <c r="J327" s="38" t="n"/>
      <c r="K327" s="62" t="n"/>
      <c r="L327" s="38" t="n"/>
      <c r="M327" s="62" t="n"/>
      <c r="N327" s="38" t="n"/>
      <c r="O327" s="62" t="n"/>
      <c r="P327" s="38" t="n"/>
      <c r="Q327" s="62" t="n"/>
      <c r="R327" s="38" t="n"/>
      <c r="S327" s="62" t="n"/>
      <c r="T327" s="38" t="n"/>
      <c r="U327" s="62" t="n"/>
      <c r="V327" s="38" t="n"/>
      <c r="W327" s="62" t="n"/>
      <c r="X327" s="38" t="n"/>
      <c r="Y327" s="62" t="n"/>
      <c r="Z327" s="38" t="n"/>
      <c r="AA327" s="62" t="n"/>
      <c r="AB327" s="38" t="n"/>
      <c r="AC327" s="62" t="n"/>
      <c r="AD327" s="38" t="n"/>
      <c r="AE327" s="38" t="n"/>
      <c r="AF327" s="61">
        <f>IF(COUNTIF($B$5:B327,B327)=1,1,0)</f>
        <v/>
      </c>
      <c r="AG327" s="62" t="inlineStr">
        <is>
          <t>https://www.semana.com/opinion/articulo/impudico/202646/</t>
        </is>
      </c>
    </row>
    <row r="328" ht="15" customHeight="1" s="31">
      <c r="A328" s="38" t="inlineStr">
        <is>
          <t>https://www.semana.com/opinion/articulo/impudico/202646/</t>
        </is>
      </c>
      <c r="B328" s="38" t="inlineStr">
        <is>
          <t>https://www.semana.com/opinion/articulo/impudico/202646/_S10</t>
        </is>
      </c>
      <c r="C328" s="38" t="inlineStr">
        <is>
          <t>Semana</t>
        </is>
      </c>
      <c r="D328" s="38" t="inlineStr">
        <is>
          <t>Relación con Estados Unidos</t>
        </is>
      </c>
      <c r="E328" s="38" t="inlineStr">
        <is>
          <t>Opinión-análisis</t>
        </is>
      </c>
      <c r="F328" s="38" t="inlineStr">
        <is>
          <t>Sat, 05 Sep 2026 05:00:46 +0000</t>
        </is>
      </c>
      <c r="G328" s="62" t="inlineStr">
        <is>
          <t>No es un tema menor.</t>
        </is>
      </c>
      <c r="H328" s="62" t="inlineStr">
        <is>
          <t>Es mover el eje gravitacional del petróleo desde las arenas árabes hacia nuestra propia región, hacia América Latina.</t>
        </is>
      </c>
      <c r="I328" s="62" t="n"/>
      <c r="J328" s="38" t="n"/>
      <c r="K328" s="62" t="n"/>
      <c r="L328" s="38" t="n"/>
      <c r="M328" s="62" t="n"/>
      <c r="N328" s="38" t="n"/>
      <c r="O328" s="62" t="n"/>
      <c r="P328" s="38" t="n"/>
      <c r="Q328" s="62" t="n"/>
      <c r="R328" s="38" t="n"/>
      <c r="S328" s="62" t="n"/>
      <c r="T328" s="38" t="n"/>
      <c r="U328" s="62" t="n"/>
      <c r="V328" s="38" t="n"/>
      <c r="W328" s="62" t="n"/>
      <c r="X328" s="38" t="n"/>
      <c r="Y328" s="62" t="n"/>
      <c r="Z328" s="38" t="n"/>
      <c r="AA328" s="62" t="n"/>
      <c r="AB328" s="38" t="n"/>
      <c r="AC328" s="62" t="n"/>
      <c r="AD328" s="38" t="n"/>
      <c r="AE328" s="38" t="n"/>
      <c r="AF328" s="61">
        <f>IF(COUNTIF($B$5:B328,B328)=1,1,0)</f>
        <v/>
      </c>
      <c r="AG328" s="62" t="inlineStr">
        <is>
          <t>https://www.semana.com/opinion/articulo/impudico/202646/</t>
        </is>
      </c>
    </row>
    <row r="329" ht="15" customHeight="1" s="31">
      <c r="A329" s="38" t="inlineStr">
        <is>
          <t>https://www.semana.com/opinion/articulo/un-terremoto-en-las-fauces-del-neoliberalismo/202635/</t>
        </is>
      </c>
      <c r="B329" s="38" t="inlineStr">
        <is>
          <t>https://www.semana.com/opinion/articulo/un-terremoto-en-las-fauces-del-neoliberalismo/202635/_S01</t>
        </is>
      </c>
      <c r="C329" s="38" t="inlineStr">
        <is>
          <t>Semana</t>
        </is>
      </c>
      <c r="D329" s="38" t="inlineStr">
        <is>
          <t>Respuesta a la emergencia del terremoto</t>
        </is>
      </c>
      <c r="E329" s="38" t="inlineStr">
        <is>
          <t>Opinión-análisis</t>
        </is>
      </c>
      <c r="F329" s="38" t="inlineStr">
        <is>
          <t>Sat, 05 Sep 2026 04:59:35 +0000</t>
        </is>
      </c>
      <c r="G329" s="62" t="inlineStr">
        <is>
          <t>Si se escogiera el peor momento para un terremoto en Colombia, la respuesta sería el 10 de agosto de 2026.</t>
        </is>
      </c>
      <c r="H329" s="62" t="n"/>
      <c r="I329" s="62" t="inlineStr">
        <is>
          <t>No solo porque es una fecha inmediata de la transición del gobierno de Petro al de Abelardo De La Espriella, sino porque la situación fiscal del país es de las peores en las últimas décadas, con una deuda pública en niveles del 60 por ciento del PIB, contratada a costosas tasas de interés.</t>
        </is>
      </c>
      <c r="J329" s="38" t="n"/>
      <c r="K329" s="62" t="n"/>
      <c r="L329" s="38" t="n"/>
      <c r="M329" s="62" t="n"/>
      <c r="N329" s="38" t="n"/>
      <c r="O329" s="62" t="n"/>
      <c r="P329" s="38" t="n"/>
      <c r="Q329" s="62" t="n"/>
      <c r="R329" s="38" t="n"/>
      <c r="S329" s="62" t="n"/>
      <c r="T329" s="38" t="n"/>
      <c r="U329" s="62" t="n"/>
      <c r="V329" s="38" t="n"/>
      <c r="W329" s="62" t="n"/>
      <c r="X329" s="38" t="n"/>
      <c r="Y329" s="62" t="n"/>
      <c r="Z329" s="38" t="n"/>
      <c r="AA329" s="62" t="n"/>
      <c r="AB329" s="38" t="n"/>
      <c r="AC329" s="62" t="n"/>
      <c r="AD329" s="38" t="n"/>
      <c r="AE329" s="38" t="n"/>
      <c r="AF329" s="61">
        <f>IF(COUNTIF($B$5:B329,B329)=1,1,0)</f>
        <v/>
      </c>
      <c r="AG329" s="62" t="inlineStr">
        <is>
          <t>https://www.semana.com/opinion/articulo/un-terremoto-en-las-fauces-del-neoliberalismo/202635/</t>
        </is>
      </c>
    </row>
    <row r="330" ht="15" customHeight="1" s="31">
      <c r="A330" s="38" t="inlineStr">
        <is>
          <t>https://www.semana.com/opinion/articulo/un-terremoto-en-las-fauces-del-neoliberalismo/202635/</t>
        </is>
      </c>
      <c r="B330" s="38" t="inlineStr">
        <is>
          <t>https://www.semana.com/opinion/articulo/un-terremoto-en-las-fauces-del-neoliberalismo/202635/_S02</t>
        </is>
      </c>
      <c r="C330" s="38" t="inlineStr">
        <is>
          <t>Semana</t>
        </is>
      </c>
      <c r="D330" s="38" t="inlineStr">
        <is>
          <t>Respuesta a la emergencia del terremoto</t>
        </is>
      </c>
      <c r="E330" s="38" t="inlineStr">
        <is>
          <t>Opinión-análisis</t>
        </is>
      </c>
      <c r="F330" s="38" t="inlineStr">
        <is>
          <t>Sat, 05 Sep 2026 04:59:35 +0000</t>
        </is>
      </c>
      <c r="G330" s="62" t="inlineStr">
        <is>
          <t>No solo porque es una fecha inmediata de la transición del gobierno de Petro al de Abelardo De La Espriella, sino porque la situación fiscal del país es de las peores en las últimas décadas, con una deuda pública en niveles del 60 por ciento del PIB, contratada a costosas tasas de interés.</t>
        </is>
      </c>
      <c r="H330" s="62" t="inlineStr">
        <is>
          <t>Si se escogiera el peor momento para un terremoto en Colombia, la respuesta sería el 10 de agosto de 2026.</t>
        </is>
      </c>
      <c r="I330" s="62" t="inlineStr">
        <is>
          <t>La asfixia es tanta que, por cada peso que se abona al principal, se piden prestados tres.</t>
        </is>
      </c>
      <c r="J330" s="38" t="n"/>
      <c r="K330" s="62" t="n"/>
      <c r="L330" s="38" t="n"/>
      <c r="M330" s="62" t="n"/>
      <c r="N330" s="38" t="n"/>
      <c r="O330" s="62" t="n"/>
      <c r="P330" s="38" t="n"/>
      <c r="Q330" s="62" t="n"/>
      <c r="R330" s="38" t="n"/>
      <c r="S330" s="62" t="n"/>
      <c r="T330" s="38" t="n"/>
      <c r="U330" s="62" t="n"/>
      <c r="V330" s="38" t="n"/>
      <c r="W330" s="62" t="n"/>
      <c r="X330" s="38" t="n"/>
      <c r="Y330" s="62" t="n"/>
      <c r="Z330" s="38" t="n"/>
      <c r="AA330" s="62" t="n"/>
      <c r="AB330" s="38" t="n"/>
      <c r="AC330" s="62" t="n"/>
      <c r="AD330" s="38" t="n"/>
      <c r="AE330" s="38" t="n"/>
      <c r="AF330" s="61">
        <f>IF(COUNTIF($B$5:B330,B330)=1,1,0)</f>
        <v/>
      </c>
      <c r="AG330" s="62" t="inlineStr">
        <is>
          <t>https://www.semana.com/opinion/articulo/un-terremoto-en-las-fauces-del-neoliberalismo/202635/</t>
        </is>
      </c>
    </row>
    <row r="331" ht="15" customHeight="1" s="31">
      <c r="A331" s="38" t="inlineStr">
        <is>
          <t>https://www.semana.com/opinion/articulo/un-terremoto-en-las-fauces-del-neoliberalismo/202635/</t>
        </is>
      </c>
      <c r="B331" s="38" t="inlineStr">
        <is>
          <t>https://www.semana.com/opinion/articulo/un-terremoto-en-las-fauces-del-neoliberalismo/202635/_S03</t>
        </is>
      </c>
      <c r="C331" s="38" t="inlineStr">
        <is>
          <t>Semana</t>
        </is>
      </c>
      <c r="D331" s="38" t="inlineStr">
        <is>
          <t>Respuesta a la emergencia del terremoto</t>
        </is>
      </c>
      <c r="E331" s="38" t="inlineStr">
        <is>
          <t>Opinión-análisis</t>
        </is>
      </c>
      <c r="F331" s="38" t="inlineStr">
        <is>
          <t>Sat, 05 Sep 2026 04:59:35 +0000</t>
        </is>
      </c>
      <c r="G331" s="62" t="inlineStr">
        <is>
          <t>La asfixia es tanta que, por cada peso que se abona al principal, se piden prestados tres.</t>
        </is>
      </c>
      <c r="H331" s="62" t="inlineStr">
        <is>
          <t>No solo porque es una fecha inmediata de la transición del gobierno de Petro al de Abelardo De La Espriella, sino porque la situación fiscal del país es de las peores en las últimas décadas, con una deuda pública en niveles del 60 por ciento del PIB, contratada a costosas tasas de interés.</t>
        </is>
      </c>
      <c r="I331" s="62" t="inlineStr">
        <is>
          <t>La experiencia histórica es que la fórmula para reconstruir una región luego de un terremoto se reduce a dos palabras: Estado y plata.</t>
        </is>
      </c>
      <c r="J331" s="38" t="n"/>
      <c r="K331" s="62" t="n"/>
      <c r="L331" s="38" t="n"/>
      <c r="M331" s="62" t="n"/>
      <c r="N331" s="38" t="n"/>
      <c r="O331" s="62" t="n"/>
      <c r="P331" s="38" t="n"/>
      <c r="Q331" s="62" t="n"/>
      <c r="R331" s="38" t="n"/>
      <c r="S331" s="62" t="n"/>
      <c r="T331" s="38" t="n"/>
      <c r="U331" s="62" t="n"/>
      <c r="V331" s="38" t="n"/>
      <c r="W331" s="62" t="n"/>
      <c r="X331" s="38" t="n"/>
      <c r="Y331" s="62" t="n"/>
      <c r="Z331" s="38" t="n"/>
      <c r="AA331" s="62" t="n"/>
      <c r="AB331" s="38" t="n"/>
      <c r="AC331" s="62" t="n"/>
      <c r="AD331" s="38" t="n"/>
      <c r="AE331" s="38" t="n"/>
      <c r="AF331" s="61">
        <f>IF(COUNTIF($B$5:B331,B331)=1,1,0)</f>
        <v/>
      </c>
      <c r="AG331" s="62" t="inlineStr">
        <is>
          <t>https://www.semana.com/opinion/articulo/un-terremoto-en-las-fauces-del-neoliberalismo/202635/</t>
        </is>
      </c>
    </row>
    <row r="332" ht="15" customHeight="1" s="31">
      <c r="A332" s="38" t="inlineStr">
        <is>
          <t>https://www.semana.com/opinion/articulo/un-terremoto-en-las-fauces-del-neoliberalismo/202635/</t>
        </is>
      </c>
      <c r="B332" s="38" t="inlineStr">
        <is>
          <t>https://www.semana.com/opinion/articulo/un-terremoto-en-las-fauces-del-neoliberalismo/202635/_S04</t>
        </is>
      </c>
      <c r="C332" s="38" t="inlineStr">
        <is>
          <t>Semana</t>
        </is>
      </c>
      <c r="D332" s="38" t="inlineStr">
        <is>
          <t>Respuesta a la emergencia del terremoto</t>
        </is>
      </c>
      <c r="E332" s="38" t="inlineStr">
        <is>
          <t>Opinión-análisis</t>
        </is>
      </c>
      <c r="F332" s="38" t="inlineStr">
        <is>
          <t>Sat, 05 Sep 2026 04:59:35 +0000</t>
        </is>
      </c>
      <c r="G332" s="62" t="inlineStr">
        <is>
          <t>La experiencia histórica es que la fórmula para reconstruir una región luego de un terremoto se reduce a dos palabras: Estado y plata.</t>
        </is>
      </c>
      <c r="H332" s="62" t="inlineStr">
        <is>
          <t>La asfixia es tanta que, por cada peso que se abona al principal, se piden prestados tres.</t>
        </is>
      </c>
      <c r="I332" s="62" t="inlineStr">
        <is>
          <t>Sin estos dos elementos a tope, el sufrimiento de las personas es mayor, el periodo para recomponer es más largo y la recuperación económica puede quedar a mitad de camino.</t>
        </is>
      </c>
      <c r="J332" s="38" t="n"/>
      <c r="K332" s="62" t="n"/>
      <c r="L332" s="38" t="n"/>
      <c r="M332" s="62" t="n"/>
      <c r="N332" s="38" t="n"/>
      <c r="O332" s="62" t="n"/>
      <c r="P332" s="38" t="n"/>
      <c r="Q332" s="62" t="n"/>
      <c r="R332" s="38" t="n"/>
      <c r="S332" s="62" t="n"/>
      <c r="T332" s="38" t="n"/>
      <c r="U332" s="62" t="n"/>
      <c r="V332" s="38" t="n"/>
      <c r="W332" s="62" t="n"/>
      <c r="X332" s="38" t="n"/>
      <c r="Y332" s="62" t="n"/>
      <c r="Z332" s="38" t="n"/>
      <c r="AA332" s="62" t="n"/>
      <c r="AB332" s="38" t="n"/>
      <c r="AC332" s="62" t="n"/>
      <c r="AD332" s="38" t="n"/>
      <c r="AE332" s="38" t="n"/>
      <c r="AF332" s="61">
        <f>IF(COUNTIF($B$5:B332,B332)=1,1,0)</f>
        <v/>
      </c>
      <c r="AG332" s="62" t="inlineStr">
        <is>
          <t>https://www.semana.com/opinion/articulo/un-terremoto-en-las-fauces-del-neoliberalismo/202635/</t>
        </is>
      </c>
    </row>
    <row r="333" ht="15" customHeight="1" s="31">
      <c r="A333" s="38" t="inlineStr">
        <is>
          <t>https://www.semana.com/opinion/articulo/un-terremoto-en-las-fauces-del-neoliberalismo/202635/</t>
        </is>
      </c>
      <c r="B333" s="38" t="inlineStr">
        <is>
          <t>https://www.semana.com/opinion/articulo/un-terremoto-en-las-fauces-del-neoliberalismo/202635/_S05</t>
        </is>
      </c>
      <c r="C333" s="38" t="inlineStr">
        <is>
          <t>Semana</t>
        </is>
      </c>
      <c r="D333" s="38" t="inlineStr">
        <is>
          <t>Respuesta a la emergencia del terremoto</t>
        </is>
      </c>
      <c r="E333" s="38" t="inlineStr">
        <is>
          <t>Opinión-análisis</t>
        </is>
      </c>
      <c r="F333" s="38" t="inlineStr">
        <is>
          <t>Sat, 05 Sep 2026 04:59:35 +0000</t>
        </is>
      </c>
      <c r="G333" s="62" t="inlineStr">
        <is>
          <t>Sin estos dos elementos a tope, el sufrimiento de las personas es mayor, el periodo para recomponer es más largo y la recuperación económica puede quedar a mitad de camino.</t>
        </is>
      </c>
      <c r="H333" s="62" t="inlineStr">
        <is>
          <t>La experiencia histórica es que la fórmula para reconstruir una región luego de un terremoto se reduce a dos palabras: Estado y plata.</t>
        </is>
      </c>
      <c r="I333" s="62" t="inlineStr">
        <is>
          <t>Dos reglas universales de los terremotos indican que el costo de arreglar es igual a 2 o a 2,5 veces el de lo derruido (Banco Mundial), y el tiempo de la operación de rescate se aproxima a 1.000 días por grado de intensidad del siniestro, lo que para uno de escala 7 será entre seis y diez años (ONU).</t>
        </is>
      </c>
      <c r="J333" s="38" t="n"/>
      <c r="K333" s="62" t="n"/>
      <c r="L333" s="38" t="n"/>
      <c r="M333" s="62" t="n"/>
      <c r="N333" s="38" t="n"/>
      <c r="O333" s="62" t="n"/>
      <c r="P333" s="38" t="n"/>
      <c r="Q333" s="62" t="n"/>
      <c r="R333" s="38" t="n"/>
      <c r="S333" s="62" t="n"/>
      <c r="T333" s="38" t="n"/>
      <c r="U333" s="62" t="n"/>
      <c r="V333" s="38" t="n"/>
      <c r="W333" s="62" t="n"/>
      <c r="X333" s="38" t="n"/>
      <c r="Y333" s="62" t="n"/>
      <c r="Z333" s="38" t="n"/>
      <c r="AA333" s="62" t="n"/>
      <c r="AB333" s="38" t="n"/>
      <c r="AC333" s="62" t="n"/>
      <c r="AD333" s="38" t="n"/>
      <c r="AE333" s="38" t="n"/>
      <c r="AF333" s="61">
        <f>IF(COUNTIF($B$5:B333,B333)=1,1,0)</f>
        <v/>
      </c>
      <c r="AG333" s="62" t="inlineStr">
        <is>
          <t>https://www.semana.com/opinion/articulo/un-terremoto-en-las-fauces-del-neoliberalismo/202635/</t>
        </is>
      </c>
    </row>
    <row r="334" ht="15" customHeight="1" s="31">
      <c r="A334" s="38" t="inlineStr">
        <is>
          <t>https://www.semana.com/opinion/articulo/un-terremoto-en-las-fauces-del-neoliberalismo/202635/</t>
        </is>
      </c>
      <c r="B334" s="38" t="inlineStr">
        <is>
          <t>https://www.semana.com/opinion/articulo/un-terremoto-en-las-fauces-del-neoliberalismo/202635/_S06</t>
        </is>
      </c>
      <c r="C334" s="38" t="inlineStr">
        <is>
          <t>Semana</t>
        </is>
      </c>
      <c r="D334" s="38" t="inlineStr">
        <is>
          <t>Respuesta a la emergencia del terremoto</t>
        </is>
      </c>
      <c r="E334" s="38" t="inlineStr">
        <is>
          <t>Opinión-análisis</t>
        </is>
      </c>
      <c r="F334" s="38" t="inlineStr">
        <is>
          <t>Sat, 05 Sep 2026 04:59:35 +0000</t>
        </is>
      </c>
      <c r="G334" s="62" t="inlineStr">
        <is>
          <t>Dos reglas universales de los terremotos indican que el costo de arreglar es igual a 2 o a 2,5 veces el de lo derruido (Banco Mundial), y el tiempo de la operación de rescate se aproxima a 1.000 días por grado de intensidad del siniestro, lo que para uno de escala 7 será entre seis y diez años (ONU).</t>
        </is>
      </c>
      <c r="H334" s="62" t="inlineStr">
        <is>
          <t>Sin estos dos elementos a tope, el sufrimiento de las personas es mayor, el periodo para recomponer es más largo y la recuperación económica puede quedar a mitad de camino.</t>
        </is>
      </c>
      <c r="I334" s="62" t="inlineStr">
        <is>
          <t>Esos importes y el periodo aumentarían si los centros económicos fueron golpeados como ahora, en primer lugar, en el caso de Pereira.</t>
        </is>
      </c>
      <c r="J334" s="38" t="n"/>
      <c r="K334" s="62" t="n"/>
      <c r="L334" s="38" t="n"/>
      <c r="M334" s="62" t="n"/>
      <c r="N334" s="38" t="n"/>
      <c r="O334" s="62" t="n"/>
      <c r="P334" s="38" t="n"/>
      <c r="Q334" s="62" t="n"/>
      <c r="R334" s="38" t="n"/>
      <c r="S334" s="62" t="n"/>
      <c r="T334" s="38" t="n"/>
      <c r="U334" s="62" t="n"/>
      <c r="V334" s="38" t="n"/>
      <c r="W334" s="62" t="n"/>
      <c r="X334" s="38" t="n"/>
      <c r="Y334" s="62" t="n"/>
      <c r="Z334" s="38" t="n"/>
      <c r="AA334" s="62" t="n"/>
      <c r="AB334" s="38" t="n"/>
      <c r="AC334" s="62" t="n"/>
      <c r="AD334" s="38" t="n"/>
      <c r="AE334" s="38" t="n"/>
      <c r="AF334" s="61">
        <f>IF(COUNTIF($B$5:B334,B334)=1,1,0)</f>
        <v/>
      </c>
      <c r="AG334" s="62" t="inlineStr">
        <is>
          <t>https://www.semana.com/opinion/articulo/un-terremoto-en-las-fauces-del-neoliberalismo/202635/</t>
        </is>
      </c>
    </row>
    <row r="335" ht="15" customHeight="1" s="31">
      <c r="A335" s="38" t="inlineStr">
        <is>
          <t>https://www.semana.com/opinion/articulo/un-terremoto-en-las-fauces-del-neoliberalismo/202635/</t>
        </is>
      </c>
      <c r="B335" s="38" t="inlineStr">
        <is>
          <t>https://www.semana.com/opinion/articulo/un-terremoto-en-las-fauces-del-neoliberalismo/202635/_S07</t>
        </is>
      </c>
      <c r="C335" s="38" t="inlineStr">
        <is>
          <t>Semana</t>
        </is>
      </c>
      <c r="D335" s="38" t="inlineStr">
        <is>
          <t>Respuesta a la emergencia del terremoto</t>
        </is>
      </c>
      <c r="E335" s="38" t="inlineStr">
        <is>
          <t>Opinión-análisis</t>
        </is>
      </c>
      <c r="F335" s="38" t="inlineStr">
        <is>
          <t>Sat, 05 Sep 2026 04:59:35 +0000</t>
        </is>
      </c>
      <c r="G335" s="62" t="inlineStr">
        <is>
          <t>Esos importes y el periodo aumentarían si los centros económicos fueron golpeados como ahora, en primer lugar, en el caso de Pereira.</t>
        </is>
      </c>
      <c r="H335" s="62" t="inlineStr">
        <is>
          <t>Dos reglas universales de los terremotos indican que el costo de arreglar es igual a 2 o a 2,5 veces el de lo derruido (Banco Mundial), y el tiempo de la operación de rescate se aproxima a 1.000 días por grado de intensidad del siniestro, lo que para uno de escala 7 será entre seis y diez años (ONU).</t>
        </is>
      </c>
      <c r="I335" s="62" t="inlineStr">
        <is>
          <t>Hay ejemplos recientes que ratifican lo anterior.</t>
        </is>
      </c>
      <c r="J335" s="38" t="n"/>
      <c r="K335" s="62" t="n"/>
      <c r="L335" s="38" t="n"/>
      <c r="M335" s="62" t="n"/>
      <c r="N335" s="38" t="n"/>
      <c r="O335" s="62" t="n"/>
      <c r="P335" s="38" t="n"/>
      <c r="Q335" s="62" t="n"/>
      <c r="R335" s="38" t="n"/>
      <c r="S335" s="62" t="n"/>
      <c r="T335" s="38" t="n"/>
      <c r="U335" s="62" t="n"/>
      <c r="V335" s="38" t="n"/>
      <c r="W335" s="62" t="n"/>
      <c r="X335" s="38" t="n"/>
      <c r="Y335" s="62" t="n"/>
      <c r="Z335" s="38" t="n"/>
      <c r="AA335" s="62" t="n"/>
      <c r="AB335" s="38" t="n"/>
      <c r="AC335" s="62" t="n"/>
      <c r="AD335" s="38" t="n"/>
      <c r="AE335" s="38" t="n"/>
      <c r="AF335" s="61">
        <f>IF(COUNTIF($B$5:B335,B335)=1,1,0)</f>
        <v/>
      </c>
      <c r="AG335" s="62" t="inlineStr">
        <is>
          <t>https://www.semana.com/opinion/articulo/un-terremoto-en-las-fauces-del-neoliberalismo/202635/</t>
        </is>
      </c>
    </row>
    <row r="336" ht="15" customHeight="1" s="31">
      <c r="A336" s="38" t="inlineStr">
        <is>
          <t>https://www.semana.com/opinion/articulo/un-terremoto-en-las-fauces-del-neoliberalismo/202635/</t>
        </is>
      </c>
      <c r="B336" s="38" t="inlineStr">
        <is>
          <t>https://www.semana.com/opinion/articulo/un-terremoto-en-las-fauces-del-neoliberalismo/202635/_S08</t>
        </is>
      </c>
      <c r="C336" s="38" t="inlineStr">
        <is>
          <t>Semana</t>
        </is>
      </c>
      <c r="D336" s="38" t="inlineStr">
        <is>
          <t>Respuesta a la emergencia del terremoto</t>
        </is>
      </c>
      <c r="E336" s="38" t="inlineStr">
        <is>
          <t>Opinión-análisis</t>
        </is>
      </c>
      <c r="F336" s="38" t="inlineStr">
        <is>
          <t>Sat, 05 Sep 2026 04:59:35 +0000</t>
        </is>
      </c>
      <c r="G336" s="62" t="inlineStr">
        <is>
          <t>Hay ejemplos recientes que ratifican lo anterior.</t>
        </is>
      </c>
      <c r="H336" s="62" t="inlineStr">
        <is>
          <t>Esos importes y el periodo aumentarían si los centros económicos fueron golpeados como ahora, en primer lugar, en el caso de Pereira.</t>
        </is>
      </c>
      <c r="I336" s="62" t="inlineStr">
        <is>
          <t>El peor es Haití en 2010, con una intensidad de 7 en la escala de Richter.</t>
        </is>
      </c>
      <c r="J336" s="38" t="n"/>
      <c r="K336" s="62" t="n"/>
      <c r="L336" s="38" t="n"/>
      <c r="M336" s="62" t="n"/>
      <c r="N336" s="38" t="n"/>
      <c r="O336" s="62" t="n"/>
      <c r="P336" s="38" t="n"/>
      <c r="Q336" s="62" t="n"/>
      <c r="R336" s="38" t="n"/>
      <c r="S336" s="62" t="n"/>
      <c r="T336" s="38" t="n"/>
      <c r="U336" s="62" t="n"/>
      <c r="V336" s="38" t="n"/>
      <c r="W336" s="62" t="n"/>
      <c r="X336" s="38" t="n"/>
      <c r="Y336" s="62" t="n"/>
      <c r="Z336" s="38" t="n"/>
      <c r="AA336" s="62" t="n"/>
      <c r="AB336" s="38" t="n"/>
      <c r="AC336" s="62" t="n"/>
      <c r="AD336" s="38" t="n"/>
      <c r="AE336" s="38" t="n"/>
      <c r="AF336" s="61">
        <f>IF(COUNTIF($B$5:B336,B336)=1,1,0)</f>
        <v/>
      </c>
      <c r="AG336" s="62" t="inlineStr">
        <is>
          <t>https://www.semana.com/opinion/articulo/un-terremoto-en-las-fauces-del-neoliberalismo/202635/</t>
        </is>
      </c>
    </row>
    <row r="337" ht="15" customHeight="1" s="31">
      <c r="A337" s="38" t="inlineStr">
        <is>
          <t>https://www.semana.com/opinion/articulo/un-terremoto-en-las-fauces-del-neoliberalismo/202635/</t>
        </is>
      </c>
      <c r="B337" s="38" t="inlineStr">
        <is>
          <t>https://www.semana.com/opinion/articulo/un-terremoto-en-las-fauces-del-neoliberalismo/202635/_S09</t>
        </is>
      </c>
      <c r="C337" s="38" t="inlineStr">
        <is>
          <t>Semana</t>
        </is>
      </c>
      <c r="D337" s="38" t="inlineStr">
        <is>
          <t>Respuesta a la emergencia del terremoto</t>
        </is>
      </c>
      <c r="E337" s="38" t="inlineStr">
        <is>
          <t>Opinión-análisis</t>
        </is>
      </c>
      <c r="F337" s="38" t="inlineStr">
        <is>
          <t>Sat, 05 Sep 2026 04:59:35 +0000</t>
        </is>
      </c>
      <c r="G337" s="62" t="inlineStr">
        <is>
          <t>El peor es Haití en 2010, con una intensidad de 7 en la escala de Richter.</t>
        </is>
      </c>
      <c r="H337" s="62" t="inlineStr">
        <is>
          <t>Hay ejemplos recientes que ratifican lo anterior.</t>
        </is>
      </c>
      <c r="I337" s="62" t="inlineStr">
        <is>
          <t>La mortandad fue descomunal, con centenares de miles de muertos, la reconstrucción lleva 14 años y no ha terminado, porque hubo otro en la zona sur del país en 2021.</t>
        </is>
      </c>
      <c r="J337" s="38" t="n"/>
      <c r="K337" s="62" t="n"/>
      <c r="L337" s="38" t="n"/>
      <c r="M337" s="62" t="n"/>
      <c r="N337" s="38" t="n"/>
      <c r="O337" s="62" t="n"/>
      <c r="P337" s="38" t="n"/>
      <c r="Q337" s="62" t="n"/>
      <c r="R337" s="38" t="n"/>
      <c r="S337" s="62" t="n"/>
      <c r="T337" s="38" t="n"/>
      <c r="U337" s="62" t="n"/>
      <c r="V337" s="38" t="n"/>
      <c r="W337" s="62" t="n"/>
      <c r="X337" s="38" t="n"/>
      <c r="Y337" s="62" t="n"/>
      <c r="Z337" s="38" t="n"/>
      <c r="AA337" s="62" t="n"/>
      <c r="AB337" s="38" t="n"/>
      <c r="AC337" s="62" t="n"/>
      <c r="AD337" s="38" t="n"/>
      <c r="AE337" s="38" t="n"/>
      <c r="AF337" s="61">
        <f>IF(COUNTIF($B$5:B337,B337)=1,1,0)</f>
        <v/>
      </c>
      <c r="AG337" s="62" t="inlineStr">
        <is>
          <t>https://www.semana.com/opinion/articulo/un-terremoto-en-las-fauces-del-neoliberalismo/202635/</t>
        </is>
      </c>
    </row>
    <row r="338" ht="15" customHeight="1" s="31">
      <c r="A338" s="38" t="inlineStr">
        <is>
          <t>https://www.semana.com/opinion/articulo/un-terremoto-en-las-fauces-del-neoliberalismo/202635/</t>
        </is>
      </c>
      <c r="B338" s="38" t="inlineStr">
        <is>
          <t>https://www.semana.com/opinion/articulo/un-terremoto-en-las-fauces-del-neoliberalismo/202635/_S10</t>
        </is>
      </c>
      <c r="C338" s="38" t="inlineStr">
        <is>
          <t>Semana</t>
        </is>
      </c>
      <c r="D338" s="38" t="inlineStr">
        <is>
          <t>Respuesta a la emergencia del terremoto</t>
        </is>
      </c>
      <c r="E338" s="38" t="inlineStr">
        <is>
          <t>Opinión-análisis</t>
        </is>
      </c>
      <c r="F338" s="38" t="inlineStr">
        <is>
          <t>Sat, 05 Sep 2026 04:59:35 +0000</t>
        </is>
      </c>
      <c r="G338" s="62" t="inlineStr">
        <is>
          <t>La mortandad fue descomunal, con centenares de miles de muertos, la reconstrucción lleva 14 años y no ha terminado, porque hubo otro en la zona sur del país en 2021.</t>
        </is>
      </c>
      <c r="H338" s="62" t="inlineStr">
        <is>
          <t>El peor es Haití en 2010, con una intensidad de 7 en la escala de Richter.</t>
        </is>
      </c>
      <c r="I338" s="62" t="n"/>
      <c r="J338" s="38" t="n"/>
      <c r="K338" s="62" t="n"/>
      <c r="L338" s="38" t="n"/>
      <c r="M338" s="62" t="n"/>
      <c r="N338" s="38" t="n"/>
      <c r="O338" s="62" t="n"/>
      <c r="P338" s="38" t="n"/>
      <c r="Q338" s="62" t="n"/>
      <c r="R338" s="38" t="n"/>
      <c r="S338" s="62" t="n"/>
      <c r="T338" s="38" t="n"/>
      <c r="U338" s="62" t="n"/>
      <c r="V338" s="38" t="n"/>
      <c r="W338" s="62" t="n"/>
      <c r="X338" s="38" t="n"/>
      <c r="Y338" s="62" t="n"/>
      <c r="Z338" s="38" t="n"/>
      <c r="AA338" s="62" t="n"/>
      <c r="AB338" s="38" t="n"/>
      <c r="AC338" s="62" t="n"/>
      <c r="AD338" s="38" t="n"/>
      <c r="AE338" s="38" t="n"/>
      <c r="AF338" s="61">
        <f>IF(COUNTIF($B$5:B338,B338)=1,1,0)</f>
        <v/>
      </c>
      <c r="AG338" s="62" t="inlineStr">
        <is>
          <t>https://www.semana.com/opinion/articulo/un-terremoto-en-las-fauces-del-neoliberalismo/202635/</t>
        </is>
      </c>
    </row>
    <row r="339" ht="15" customHeight="1" s="31">
      <c r="A339" s="38" t="inlineStr">
        <is>
          <t>https://www.semana.com/opinion/articulo/la-muerte-como-trofeo/202603/</t>
        </is>
      </c>
      <c r="B339" s="38" t="inlineStr">
        <is>
          <t>https://www.semana.com/opinion/articulo/la-muerte-como-trofeo/202603/_S01</t>
        </is>
      </c>
      <c r="C339" s="38" t="inlineStr">
        <is>
          <t>Semana</t>
        </is>
      </c>
      <c r="D339" s="38" t="inlineStr">
        <is>
          <t>Transición de gobierno y relación con la oposición</t>
        </is>
      </c>
      <c r="E339" s="38" t="inlineStr">
        <is>
          <t>Opinión-análisis</t>
        </is>
      </c>
      <c r="F339" s="38" t="inlineStr">
        <is>
          <t>Sat, 05 Sep 2026 04:59:03 +0000</t>
        </is>
      </c>
      <c r="G339" s="62" t="inlineStr">
        <is>
          <t>Durante la época de la Colonia, especialmente en los siglos XVII y XVIII, la Corona española utilizó la ejecución, el descuartizamiento y la exhibición pública de los restos de algunos condenados como un mecanismo de escarmiento.</t>
        </is>
      </c>
      <c r="H339" s="62" t="n"/>
      <c r="I339" s="62" t="inlineStr">
        <is>
          <t>No todos los ejecutados eran exhibidos públicamente; este acto estaba reservado para los traidores y los cabecillas de las insurrecciones, y tenía un mensaje claro: la muerte es el final seguro de quienes desafiaran al rey, que quería mostrar con esta exhibición que no había perdido el control del territorio ni la autoridad.</t>
        </is>
      </c>
      <c r="J339" s="38" t="n"/>
      <c r="K339" s="62" t="n"/>
      <c r="L339" s="38" t="n"/>
      <c r="M339" s="62" t="n"/>
      <c r="N339" s="38" t="n"/>
      <c r="O339" s="62" t="n"/>
      <c r="P339" s="38" t="n"/>
      <c r="Q339" s="62" t="n"/>
      <c r="R339" s="38" t="n"/>
      <c r="S339" s="62" t="n"/>
      <c r="T339" s="38" t="n"/>
      <c r="U339" s="62" t="n"/>
      <c r="V339" s="38" t="n"/>
      <c r="W339" s="62" t="n"/>
      <c r="X339" s="38" t="n"/>
      <c r="Y339" s="62" t="n"/>
      <c r="Z339" s="38" t="n"/>
      <c r="AA339" s="62" t="n"/>
      <c r="AB339" s="38" t="n"/>
      <c r="AC339" s="62" t="n"/>
      <c r="AD339" s="38" t="n"/>
      <c r="AE339" s="38" t="n"/>
      <c r="AF339" s="61">
        <f>IF(COUNTIF($B$5:B339,B339)=1,1,0)</f>
        <v/>
      </c>
      <c r="AG339" s="62" t="inlineStr">
        <is>
          <t>https://www.semana.com/opinion/articulo/la-muerte-como-trofeo/202603/</t>
        </is>
      </c>
    </row>
    <row r="340" ht="15" customHeight="1" s="31">
      <c r="A340" s="38" t="inlineStr">
        <is>
          <t>https://www.semana.com/opinion/articulo/la-muerte-como-trofeo/202603/</t>
        </is>
      </c>
      <c r="B340" s="38" t="inlineStr">
        <is>
          <t>https://www.semana.com/opinion/articulo/la-muerte-como-trofeo/202603/_S02</t>
        </is>
      </c>
      <c r="C340" s="38" t="inlineStr">
        <is>
          <t>Semana</t>
        </is>
      </c>
      <c r="D340" s="38" t="inlineStr">
        <is>
          <t>Transición de gobierno y relación con la oposición</t>
        </is>
      </c>
      <c r="E340" s="38" t="inlineStr">
        <is>
          <t>Opinión-análisis</t>
        </is>
      </c>
      <c r="F340" s="38" t="inlineStr">
        <is>
          <t>Sat, 05 Sep 2026 04:59:03 +0000</t>
        </is>
      </c>
      <c r="G340" s="62" t="inlineStr">
        <is>
          <t>No todos los ejecutados eran exhibidos públicamente; este acto estaba reservado para los traidores y los cabecillas de las insurrecciones, y tenía un mensaje claro: la muerte es el final seguro de quienes desafiaran al rey, que quería mostrar con esta exhibición que no había perdido el control del territorio ni la autoridad.</t>
        </is>
      </c>
      <c r="H340" s="62" t="inlineStr">
        <is>
          <t>Durante la época de la Colonia, especialmente en los siglos XVII y XVIII, la Corona española utilizó la ejecución, el descuartizamiento y la exhibición pública de los restos de algunos condenados como un mecanismo de escarmiento.</t>
        </is>
      </c>
      <c r="I340" s="62" t="inlineStr">
        <is>
          <t>En el mundo colonial también se utilizaban las mutilaciones posteriores a la muerte y partes del cuerpo del condenado eran exhibidas en picotas, estacas u horcas situadas en lugares públicos.</t>
        </is>
      </c>
      <c r="J340" s="38" t="n"/>
      <c r="K340" s="62" t="n"/>
      <c r="L340" s="38" t="n"/>
      <c r="M340" s="62" t="n"/>
      <c r="N340" s="38" t="n"/>
      <c r="O340" s="62" t="n"/>
      <c r="P340" s="38" t="n"/>
      <c r="Q340" s="62" t="n"/>
      <c r="R340" s="38" t="n"/>
      <c r="S340" s="62" t="n"/>
      <c r="T340" s="38" t="n"/>
      <c r="U340" s="62" t="n"/>
      <c r="V340" s="38" t="n"/>
      <c r="W340" s="62" t="n"/>
      <c r="X340" s="38" t="n"/>
      <c r="Y340" s="62" t="n"/>
      <c r="Z340" s="38" t="n"/>
      <c r="AA340" s="62" t="n"/>
      <c r="AB340" s="38" t="n"/>
      <c r="AC340" s="62" t="n"/>
      <c r="AD340" s="38" t="n"/>
      <c r="AE340" s="38" t="n"/>
      <c r="AF340" s="61">
        <f>IF(COUNTIF($B$5:B340,B340)=1,1,0)</f>
        <v/>
      </c>
      <c r="AG340" s="62" t="inlineStr">
        <is>
          <t>https://www.semana.com/opinion/articulo/la-muerte-como-trofeo/202603/</t>
        </is>
      </c>
    </row>
    <row r="341" ht="15" customHeight="1" s="31">
      <c r="A341" s="38" t="inlineStr">
        <is>
          <t>https://www.semana.com/opinion/articulo/la-muerte-como-trofeo/202603/</t>
        </is>
      </c>
      <c r="B341" s="38" t="inlineStr">
        <is>
          <t>https://www.semana.com/opinion/articulo/la-muerte-como-trofeo/202603/_S03</t>
        </is>
      </c>
      <c r="C341" s="38" t="inlineStr">
        <is>
          <t>Semana</t>
        </is>
      </c>
      <c r="D341" s="38" t="inlineStr">
        <is>
          <t>Transición de gobierno y relación con la oposición</t>
        </is>
      </c>
      <c r="E341" s="38" t="inlineStr">
        <is>
          <t>Opinión-análisis</t>
        </is>
      </c>
      <c r="F341" s="38" t="inlineStr">
        <is>
          <t>Sat, 05 Sep 2026 04:59:03 +0000</t>
        </is>
      </c>
      <c r="G341" s="62" t="inlineStr">
        <is>
          <t>En el mundo colonial también se utilizaban las mutilaciones posteriores a la muerte y partes del cuerpo del condenado eran exhibidas en picotas, estacas u horcas situadas en lugares públicos.</t>
        </is>
      </c>
      <c r="H341" s="62" t="inlineStr">
        <is>
          <t>No todos los ejecutados eran exhibidos públicamente; este acto estaba reservado para los traidores y los cabecillas de las insurrecciones, y tenía un mensaje claro: la muerte es el final seguro de quienes desafiaran al rey, que quería mostrar con esta exhibición que no había perdido el control del territorio ni la autoridad.</t>
        </is>
      </c>
      <c r="I341" s="62" t="inlineStr">
        <is>
          <t>El caso más emblemático es el de José Antonio Galán.</t>
        </is>
      </c>
      <c r="J341" s="38" t="n"/>
      <c r="K341" s="62" t="n"/>
      <c r="L341" s="38" t="n"/>
      <c r="M341" s="62" t="n"/>
      <c r="N341" s="38" t="n"/>
      <c r="O341" s="62" t="n"/>
      <c r="P341" s="38" t="n"/>
      <c r="Q341" s="62" t="n"/>
      <c r="R341" s="38" t="n"/>
      <c r="S341" s="62" t="n"/>
      <c r="T341" s="38" t="n"/>
      <c r="U341" s="62" t="n"/>
      <c r="V341" s="38" t="n"/>
      <c r="W341" s="62" t="n"/>
      <c r="X341" s="38" t="n"/>
      <c r="Y341" s="62" t="n"/>
      <c r="Z341" s="38" t="n"/>
      <c r="AA341" s="62" t="n"/>
      <c r="AB341" s="38" t="n"/>
      <c r="AC341" s="62" t="n"/>
      <c r="AD341" s="38" t="n"/>
      <c r="AE341" s="38" t="n"/>
      <c r="AF341" s="61">
        <f>IF(COUNTIF($B$5:B341,B341)=1,1,0)</f>
        <v/>
      </c>
      <c r="AG341" s="62" t="inlineStr">
        <is>
          <t>https://www.semana.com/opinion/articulo/la-muerte-como-trofeo/202603/</t>
        </is>
      </c>
    </row>
    <row r="342" ht="15" customHeight="1" s="31">
      <c r="A342" s="38" t="inlineStr">
        <is>
          <t>https://www.semana.com/opinion/articulo/la-muerte-como-trofeo/202603/</t>
        </is>
      </c>
      <c r="B342" s="38" t="inlineStr">
        <is>
          <t>https://www.semana.com/opinion/articulo/la-muerte-como-trofeo/202603/_S04</t>
        </is>
      </c>
      <c r="C342" s="38" t="inlineStr">
        <is>
          <t>Semana</t>
        </is>
      </c>
      <c r="D342" s="38" t="inlineStr">
        <is>
          <t>Transición de gobierno y relación con la oposición</t>
        </is>
      </c>
      <c r="E342" s="38" t="inlineStr">
        <is>
          <t>Opinión-análisis</t>
        </is>
      </c>
      <c r="F342" s="38" t="inlineStr">
        <is>
          <t>Sat, 05 Sep 2026 04:59:03 +0000</t>
        </is>
      </c>
      <c r="G342" s="62" t="inlineStr">
        <is>
          <t>El caso más emblemático es el de José Antonio Galán.</t>
        </is>
      </c>
      <c r="H342" s="62" t="inlineStr">
        <is>
          <t>En el mundo colonial también se utilizaban las mutilaciones posteriores a la muerte y partes del cuerpo del condenado eran exhibidas en picotas, estacas u horcas situadas en lugares públicos.</t>
        </is>
      </c>
      <c r="I342" s="62" t="inlineStr">
        <is>
          <t>En 1782, la corona española ordenó que la mano derecha de Galán fuera enviada al Socorro, la izquierda a San Gil, un pie a Charalá, otro a Mogotes y la cabeza a Guaduas.</t>
        </is>
      </c>
      <c r="J342" s="38" t="n"/>
      <c r="K342" s="62" t="n"/>
      <c r="L342" s="38" t="n"/>
      <c r="M342" s="62" t="n"/>
      <c r="N342" s="38" t="n"/>
      <c r="O342" s="62" t="n"/>
      <c r="P342" s="38" t="n"/>
      <c r="Q342" s="62" t="n"/>
      <c r="R342" s="38" t="n"/>
      <c r="S342" s="62" t="n"/>
      <c r="T342" s="38" t="n"/>
      <c r="U342" s="62" t="n"/>
      <c r="V342" s="38" t="n"/>
      <c r="W342" s="62" t="n"/>
      <c r="X342" s="38" t="n"/>
      <c r="Y342" s="62" t="n"/>
      <c r="Z342" s="38" t="n"/>
      <c r="AA342" s="62" t="n"/>
      <c r="AB342" s="38" t="n"/>
      <c r="AC342" s="62" t="n"/>
      <c r="AD342" s="38" t="n"/>
      <c r="AE342" s="38" t="n"/>
      <c r="AF342" s="61">
        <f>IF(COUNTIF($B$5:B342,B342)=1,1,0)</f>
        <v/>
      </c>
      <c r="AG342" s="62" t="inlineStr">
        <is>
          <t>https://www.semana.com/opinion/articulo/la-muerte-como-trofeo/202603/</t>
        </is>
      </c>
    </row>
    <row r="343" ht="15" customHeight="1" s="31">
      <c r="A343" s="38" t="inlineStr">
        <is>
          <t>https://www.semana.com/opinion/articulo/la-muerte-como-trofeo/202603/</t>
        </is>
      </c>
      <c r="B343" s="38" t="inlineStr">
        <is>
          <t>https://www.semana.com/opinion/articulo/la-muerte-como-trofeo/202603/_S05</t>
        </is>
      </c>
      <c r="C343" s="38" t="inlineStr">
        <is>
          <t>Semana</t>
        </is>
      </c>
      <c r="D343" s="38" t="inlineStr">
        <is>
          <t>Transición de gobierno y relación con la oposición</t>
        </is>
      </c>
      <c r="E343" s="38" t="inlineStr">
        <is>
          <t>Opinión-análisis</t>
        </is>
      </c>
      <c r="F343" s="38" t="inlineStr">
        <is>
          <t>Sat, 05 Sep 2026 04:59:03 +0000</t>
        </is>
      </c>
      <c r="G343" s="62" t="inlineStr">
        <is>
          <t>En 1782, la corona española ordenó que la mano derecha de Galán fuera enviada al Socorro, la izquierda a San Gil, un pie a Charalá, otro a Mogotes y la cabeza a Guaduas.</t>
        </is>
      </c>
      <c r="H343" s="62" t="inlineStr">
        <is>
          <t>El caso más emblemático es el de José Antonio Galán.</t>
        </is>
      </c>
      <c r="I343" s="62" t="inlineStr">
        <is>
          <t>Exhibir la muerte era la comunicación política del poder de la Corona.En la época de la violencia conservadora y liberal, entre las décadas de 1940 y 1950, la exhibición de cuerpos se convirtió en una advertencia entre “chulavitas”, “pájaros” y guerrillas liberales de quién ostentaba el poder.</t>
        </is>
      </c>
      <c r="J343" s="38" t="n"/>
      <c r="K343" s="62" t="n"/>
      <c r="L343" s="38" t="n"/>
      <c r="M343" s="62" t="n"/>
      <c r="N343" s="38" t="n"/>
      <c r="O343" s="62" t="n"/>
      <c r="P343" s="38" t="n"/>
      <c r="Q343" s="62" t="n"/>
      <c r="R343" s="38" t="n"/>
      <c r="S343" s="62" t="n"/>
      <c r="T343" s="38" t="n"/>
      <c r="U343" s="62" t="n"/>
      <c r="V343" s="38" t="n"/>
      <c r="W343" s="62" t="n"/>
      <c r="X343" s="38" t="n"/>
      <c r="Y343" s="62" t="n"/>
      <c r="Z343" s="38" t="n"/>
      <c r="AA343" s="62" t="n"/>
      <c r="AB343" s="38" t="n"/>
      <c r="AC343" s="62" t="n"/>
      <c r="AD343" s="38" t="n"/>
      <c r="AE343" s="38" t="n"/>
      <c r="AF343" s="61">
        <f>IF(COUNTIF($B$5:B343,B343)=1,1,0)</f>
        <v/>
      </c>
      <c r="AG343" s="62" t="inlineStr">
        <is>
          <t>https://www.semana.com/opinion/articulo/la-muerte-como-trofeo/202603/</t>
        </is>
      </c>
    </row>
    <row r="344" ht="15" customHeight="1" s="31">
      <c r="A344" s="38" t="inlineStr">
        <is>
          <t>https://www.semana.com/opinion/articulo/la-muerte-como-trofeo/202603/</t>
        </is>
      </c>
      <c r="B344" s="38" t="inlineStr">
        <is>
          <t>https://www.semana.com/opinion/articulo/la-muerte-como-trofeo/202603/_S06</t>
        </is>
      </c>
      <c r="C344" s="38" t="inlineStr">
        <is>
          <t>Semana</t>
        </is>
      </c>
      <c r="D344" s="38" t="inlineStr">
        <is>
          <t>Transición de gobierno y relación con la oposición</t>
        </is>
      </c>
      <c r="E344" s="38" t="inlineStr">
        <is>
          <t>Opinión-análisis</t>
        </is>
      </c>
      <c r="F344" s="38" t="inlineStr">
        <is>
          <t>Sat, 05 Sep 2026 04:59:03 +0000</t>
        </is>
      </c>
      <c r="G344" s="62" t="inlineStr">
        <is>
          <t>Exhibir la muerte era la comunicación política del poder de la Corona.En la época de la violencia conservadora y liberal, entre las décadas de 1940 y 1950, la exhibición de cuerpos se convirtió en una advertencia entre “chulavitas”, “pájaros” y guerrillas liberales de quién ostentaba el poder.</t>
        </is>
      </c>
      <c r="H344" s="62" t="inlineStr">
        <is>
          <t>En 1782, la corona española ordenó que la mano derecha de Galán fuera enviada al Socorro, la izquierda a San Gil, un pie a Charalá, otro a Mogotes y la cabeza a Guaduas.</t>
        </is>
      </c>
      <c r="I344" s="62" t="inlineStr">
        <is>
          <t>El “corte de franela”, como se llamaba a los cuerpos cortados por los hombros, o el “corte de corbata”, que exhibía las cabezas con las lenguas colgando por la herida, fueron utilizados como mensajes para sembrar el terror.</t>
        </is>
      </c>
      <c r="J344" s="38" t="n"/>
      <c r="K344" s="62" t="n"/>
      <c r="L344" s="38" t="n"/>
      <c r="M344" s="62" t="n"/>
      <c r="N344" s="38" t="n"/>
      <c r="O344" s="62" t="n"/>
      <c r="P344" s="38" t="n"/>
      <c r="Q344" s="62" t="n"/>
      <c r="R344" s="38" t="n"/>
      <c r="S344" s="62" t="n"/>
      <c r="T344" s="38" t="n"/>
      <c r="U344" s="62" t="n"/>
      <c r="V344" s="38" t="n"/>
      <c r="W344" s="62" t="n"/>
      <c r="X344" s="38" t="n"/>
      <c r="Y344" s="62" t="n"/>
      <c r="Z344" s="38" t="n"/>
      <c r="AA344" s="62" t="n"/>
      <c r="AB344" s="38" t="n"/>
      <c r="AC344" s="62" t="n"/>
      <c r="AD344" s="38" t="n"/>
      <c r="AE344" s="38" t="n"/>
      <c r="AF344" s="61">
        <f>IF(COUNTIF($B$5:B344,B344)=1,1,0)</f>
        <v/>
      </c>
      <c r="AG344" s="62" t="inlineStr">
        <is>
          <t>https://www.semana.com/opinion/articulo/la-muerte-como-trofeo/202603/</t>
        </is>
      </c>
    </row>
    <row r="345" ht="15" customHeight="1" s="31">
      <c r="A345" s="38" t="inlineStr">
        <is>
          <t>https://www.semana.com/opinion/articulo/la-muerte-como-trofeo/202603/</t>
        </is>
      </c>
      <c r="B345" s="38" t="inlineStr">
        <is>
          <t>https://www.semana.com/opinion/articulo/la-muerte-como-trofeo/202603/_S07</t>
        </is>
      </c>
      <c r="C345" s="38" t="inlineStr">
        <is>
          <t>Semana</t>
        </is>
      </c>
      <c r="D345" s="38" t="inlineStr">
        <is>
          <t>Transición de gobierno y relación con la oposición</t>
        </is>
      </c>
      <c r="E345" s="38" t="inlineStr">
        <is>
          <t>Opinión-análisis</t>
        </is>
      </c>
      <c r="F345" s="38" t="inlineStr">
        <is>
          <t>Sat, 05 Sep 2026 04:59:03 +0000</t>
        </is>
      </c>
      <c r="G345" s="62" t="inlineStr">
        <is>
          <t>El “corte de franela”, como se llamaba a los cuerpos cortados por los hombros, o el “corte de corbata”, que exhibía las cabezas con las lenguas colgando por la herida, fueron utilizados como mensajes para sembrar el terror.</t>
        </is>
      </c>
      <c r="H345" s="62" t="inlineStr">
        <is>
          <t>Exhibir la muerte era la comunicación política del poder de la Corona.En la época de la violencia conservadora y liberal, entre las décadas de 1940 y 1950, la exhibición de cuerpos se convirtió en una advertencia entre “chulavitas”, “pájaros” y guerrillas liberales de quién ostentaba el poder.</t>
        </is>
      </c>
      <c r="I345" s="62" t="inlineStr">
        <is>
          <t>Otra vez la violencia como mensaje político.Lo mismo ocurrió en la guerra entre paramilitares y guerrilla que dominó a Colombia entre los años noventa y 2000.</t>
        </is>
      </c>
      <c r="J345" s="38" t="n"/>
      <c r="K345" s="62" t="n"/>
      <c r="L345" s="38" t="n"/>
      <c r="M345" s="62" t="n"/>
      <c r="N345" s="38" t="n"/>
      <c r="O345" s="62" t="n"/>
      <c r="P345" s="38" t="n"/>
      <c r="Q345" s="62" t="n"/>
      <c r="R345" s="38" t="n"/>
      <c r="S345" s="62" t="n"/>
      <c r="T345" s="38" t="n"/>
      <c r="U345" s="62" t="n"/>
      <c r="V345" s="38" t="n"/>
      <c r="W345" s="62" t="n"/>
      <c r="X345" s="38" t="n"/>
      <c r="Y345" s="62" t="n"/>
      <c r="Z345" s="38" t="n"/>
      <c r="AA345" s="62" t="n"/>
      <c r="AB345" s="38" t="n"/>
      <c r="AC345" s="62" t="n"/>
      <c r="AD345" s="38" t="n"/>
      <c r="AE345" s="38" t="n"/>
      <c r="AF345" s="61">
        <f>IF(COUNTIF($B$5:B345,B345)=1,1,0)</f>
        <v/>
      </c>
      <c r="AG345" s="62" t="inlineStr">
        <is>
          <t>https://www.semana.com/opinion/articulo/la-muerte-como-trofeo/202603/</t>
        </is>
      </c>
    </row>
    <row r="346" ht="15" customHeight="1" s="31">
      <c r="A346" s="38" t="inlineStr">
        <is>
          <t>https://www.semana.com/opinion/articulo/la-muerte-como-trofeo/202603/</t>
        </is>
      </c>
      <c r="B346" s="38" t="inlineStr">
        <is>
          <t>https://www.semana.com/opinion/articulo/la-muerte-como-trofeo/202603/_S08</t>
        </is>
      </c>
      <c r="C346" s="38" t="inlineStr">
        <is>
          <t>Semana</t>
        </is>
      </c>
      <c r="D346" s="38" t="inlineStr">
        <is>
          <t>Transición de gobierno y relación con la oposición</t>
        </is>
      </c>
      <c r="E346" s="38" t="inlineStr">
        <is>
          <t>Opinión-análisis</t>
        </is>
      </c>
      <c r="F346" s="38" t="inlineStr">
        <is>
          <t>Sat, 05 Sep 2026 04:59:03 +0000</t>
        </is>
      </c>
      <c r="G346" s="62" t="inlineStr">
        <is>
          <t>Otra vez la violencia como mensaje político.Lo mismo ocurrió en la guerra entre paramilitares y guerrilla que dominó a Colombia entre los años noventa y 2000.</t>
        </is>
      </c>
      <c r="H346" s="62" t="inlineStr">
        <is>
          <t>El “corte de franela”, como se llamaba a los cuerpos cortados por los hombros, o el “corte de corbata”, que exhibía las cabezas con las lenguas colgando por la herida, fueron utilizados como mensajes para sembrar el terror.</t>
        </is>
      </c>
      <c r="I346" s="62" t="inlineStr">
        <is>
          <t>De dolorosa recordación es la masacre ocurrida el 18 de febrero de 2000 en El Salado (Bolívar), donde los paramilitares obligaron a los habitantes a concentrarse en el parque y en la cancha de microfútbol.</t>
        </is>
      </c>
      <c r="J346" s="38" t="n"/>
      <c r="K346" s="62" t="n"/>
      <c r="L346" s="38" t="n"/>
      <c r="M346" s="62" t="n"/>
      <c r="N346" s="38" t="n"/>
      <c r="O346" s="62" t="n"/>
      <c r="P346" s="38" t="n"/>
      <c r="Q346" s="62" t="n"/>
      <c r="R346" s="38" t="n"/>
      <c r="S346" s="62" t="n"/>
      <c r="T346" s="38" t="n"/>
      <c r="U346" s="62" t="n"/>
      <c r="V346" s="38" t="n"/>
      <c r="W346" s="62" t="n"/>
      <c r="X346" s="38" t="n"/>
      <c r="Y346" s="62" t="n"/>
      <c r="Z346" s="38" t="n"/>
      <c r="AA346" s="62" t="n"/>
      <c r="AB346" s="38" t="n"/>
      <c r="AC346" s="62" t="n"/>
      <c r="AD346" s="38" t="n"/>
      <c r="AE346" s="38" t="n"/>
      <c r="AF346" s="61">
        <f>IF(COUNTIF($B$5:B346,B346)=1,1,0)</f>
        <v/>
      </c>
      <c r="AG346" s="62" t="inlineStr">
        <is>
          <t>https://www.semana.com/opinion/articulo/la-muerte-como-trofeo/202603/</t>
        </is>
      </c>
    </row>
    <row r="347" ht="15" customHeight="1" s="31">
      <c r="A347" s="38" t="inlineStr">
        <is>
          <t>https://www.semana.com/opinion/articulo/la-muerte-como-trofeo/202603/</t>
        </is>
      </c>
      <c r="B347" s="38" t="inlineStr">
        <is>
          <t>https://www.semana.com/opinion/articulo/la-muerte-como-trofeo/202603/_S09</t>
        </is>
      </c>
      <c r="C347" s="38" t="inlineStr">
        <is>
          <t>Semana</t>
        </is>
      </c>
      <c r="D347" s="38" t="inlineStr">
        <is>
          <t>Transición de gobierno y relación con la oposición</t>
        </is>
      </c>
      <c r="E347" s="38" t="inlineStr">
        <is>
          <t>Opinión-análisis</t>
        </is>
      </c>
      <c r="F347" s="38" t="inlineStr">
        <is>
          <t>Sat, 05 Sep 2026 04:59:03 +0000</t>
        </is>
      </c>
      <c r="G347" s="62" t="inlineStr">
        <is>
          <t>De dolorosa recordación es la masacre ocurrida el 18 de febrero de 2000 en El Salado (Bolívar), donde los paramilitares obligaron a los habitantes a concentrarse en el parque y en la cancha de microfútbol.</t>
        </is>
      </c>
      <c r="H347" s="62" t="inlineStr">
        <is>
          <t>Otra vez la violencia como mensaje político.Lo mismo ocurrió en la guerra entre paramilitares y guerrilla que dominó a Colombia entre los años noventa y 2000.</t>
        </is>
      </c>
      <c r="I347" s="62" t="inlineStr">
        <is>
          <t>Enfrente de todos, fueron asesinadas 17 personas en la cancha y los paramilitares impidieron que los familiares recogieran los cuerpos.</t>
        </is>
      </c>
      <c r="J347" s="38" t="n"/>
      <c r="K347" s="62" t="n"/>
      <c r="L347" s="38" t="n"/>
      <c r="M347" s="62" t="n"/>
      <c r="N347" s="38" t="n"/>
      <c r="O347" s="62" t="n"/>
      <c r="P347" s="38" t="n"/>
      <c r="Q347" s="62" t="n"/>
      <c r="R347" s="38" t="n"/>
      <c r="S347" s="62" t="n"/>
      <c r="T347" s="38" t="n"/>
      <c r="U347" s="62" t="n"/>
      <c r="V347" s="38" t="n"/>
      <c r="W347" s="62" t="n"/>
      <c r="X347" s="38" t="n"/>
      <c r="Y347" s="62" t="n"/>
      <c r="Z347" s="38" t="n"/>
      <c r="AA347" s="62" t="n"/>
      <c r="AB347" s="38" t="n"/>
      <c r="AC347" s="62" t="n"/>
      <c r="AD347" s="38" t="n"/>
      <c r="AE347" s="38" t="n"/>
      <c r="AF347" s="61">
        <f>IF(COUNTIF($B$5:B347,B347)=1,1,0)</f>
        <v/>
      </c>
      <c r="AG347" s="62" t="inlineStr">
        <is>
          <t>https://www.semana.com/opinion/articulo/la-muerte-como-trofeo/202603/</t>
        </is>
      </c>
    </row>
    <row r="348" ht="15" customHeight="1" s="31">
      <c r="A348" s="38" t="inlineStr">
        <is>
          <t>https://www.semana.com/opinion/articulo/la-muerte-como-trofeo/202603/</t>
        </is>
      </c>
      <c r="B348" s="38" t="inlineStr">
        <is>
          <t>https://www.semana.com/opinion/articulo/la-muerte-como-trofeo/202603/_S10</t>
        </is>
      </c>
      <c r="C348" s="38" t="inlineStr">
        <is>
          <t>Semana</t>
        </is>
      </c>
      <c r="D348" s="38" t="inlineStr">
        <is>
          <t>Transición de gobierno y relación con la oposición</t>
        </is>
      </c>
      <c r="E348" s="38" t="inlineStr">
        <is>
          <t>Opinión-análisis</t>
        </is>
      </c>
      <c r="F348" s="38" t="inlineStr">
        <is>
          <t>Sat, 05 Sep 2026 04:59:03 +0000</t>
        </is>
      </c>
      <c r="G348" s="62" t="inlineStr">
        <is>
          <t>Enfrente de todos, fueron asesinadas 17 personas en la cancha y los paramilitares impidieron que los familiares recogieran los cuerpos.</t>
        </is>
      </c>
      <c r="H348" s="62" t="inlineStr">
        <is>
          <t>De dolorosa recordación es la masacre ocurrida el 18 de febrero de 2000 en El Salado (Bolívar), donde los paramilitares obligaron a los habitantes a concentrarse en el parque y en la cancha de microfútbol.</t>
        </is>
      </c>
      <c r="I348" s="62" t="n"/>
      <c r="J348" s="38" t="n"/>
      <c r="K348" s="62" t="n"/>
      <c r="L348" s="38" t="n"/>
      <c r="M348" s="62" t="n"/>
      <c r="N348" s="38" t="n"/>
      <c r="O348" s="62" t="n"/>
      <c r="P348" s="38" t="n"/>
      <c r="Q348" s="62" t="n"/>
      <c r="R348" s="38" t="n"/>
      <c r="S348" s="62" t="n"/>
      <c r="T348" s="38" t="n"/>
      <c r="U348" s="62" t="n"/>
      <c r="V348" s="38" t="n"/>
      <c r="W348" s="62" t="n"/>
      <c r="X348" s="38" t="n"/>
      <c r="Y348" s="62" t="n"/>
      <c r="Z348" s="38" t="n"/>
      <c r="AA348" s="62" t="n"/>
      <c r="AB348" s="38" t="n"/>
      <c r="AC348" s="62" t="n"/>
      <c r="AD348" s="38" t="n"/>
      <c r="AE348" s="38" t="n"/>
      <c r="AF348" s="61">
        <f>IF(COUNTIF($B$5:B348,B348)=1,1,0)</f>
        <v/>
      </c>
      <c r="AG348" s="62" t="inlineStr">
        <is>
          <t>https://www.semana.com/opinion/articulo/la-muerte-como-trofeo/202603/</t>
        </is>
      </c>
    </row>
    <row r="349" ht="15" customHeight="1" s="31">
      <c r="A349" s="38" t="inlineStr">
        <is>
          <t>https://www.semana.com/opinion/articulo/y-las-otras-victimas/202646/</t>
        </is>
      </c>
      <c r="B349" s="38" t="inlineStr">
        <is>
          <t>https://www.semana.com/opinion/articulo/y-las-otras-victimas/202646/_S01</t>
        </is>
      </c>
      <c r="C349" s="38" t="inlineStr">
        <is>
          <t>Semana</t>
        </is>
      </c>
      <c r="D349" s="38" t="inlineStr">
        <is>
          <t>Reformas sociales en disputa (pensional/tributaria)</t>
        </is>
      </c>
      <c r="E349" s="38" t="inlineStr">
        <is>
          <t>Opinión-análisis</t>
        </is>
      </c>
      <c r="F349" s="38" t="inlineStr">
        <is>
          <t>Sat, 05 Sep 2026 04:53:46 +0000</t>
        </is>
      </c>
      <c r="G349" s="62" t="inlineStr">
        <is>
          <t>Si la libertad significa algo, es el derecho a decirles a los demás lo que no quieren oír”, escribió George Orwell.</t>
        </is>
      </c>
      <c r="H349" s="62" t="n"/>
      <c r="I349" s="62" t="inlineStr">
        <is>
          <t>Esa frase resume una de las grandes tensiones de la democracia.</t>
        </is>
      </c>
      <c r="J349" s="38" t="n"/>
      <c r="K349" s="62" t="n"/>
      <c r="L349" s="38" t="n"/>
      <c r="M349" s="62" t="n"/>
      <c r="N349" s="38" t="n"/>
      <c r="O349" s="62" t="n"/>
      <c r="P349" s="38" t="n"/>
      <c r="Q349" s="62" t="n"/>
      <c r="R349" s="38" t="n"/>
      <c r="S349" s="62" t="n"/>
      <c r="T349" s="38" t="n"/>
      <c r="U349" s="62" t="n"/>
      <c r="V349" s="38" t="n"/>
      <c r="W349" s="62" t="n"/>
      <c r="X349" s="38" t="n"/>
      <c r="Y349" s="62" t="n"/>
      <c r="Z349" s="38" t="n"/>
      <c r="AA349" s="62" t="n"/>
      <c r="AB349" s="38" t="n"/>
      <c r="AC349" s="62" t="n"/>
      <c r="AD349" s="38" t="n"/>
      <c r="AE349" s="38" t="n"/>
      <c r="AF349" s="61">
        <f>IF(COUNTIF($B$5:B349,B349)=1,1,0)</f>
        <v/>
      </c>
      <c r="AG349" s="62" t="inlineStr">
        <is>
          <t>https://www.semana.com/opinion/articulo/y-las-otras-victimas/202646/</t>
        </is>
      </c>
    </row>
    <row r="350" ht="15" customHeight="1" s="31">
      <c r="A350" s="38" t="inlineStr">
        <is>
          <t>https://www.semana.com/opinion/articulo/y-las-otras-victimas/202646/</t>
        </is>
      </c>
      <c r="B350" s="38" t="inlineStr">
        <is>
          <t>https://www.semana.com/opinion/articulo/y-las-otras-victimas/202646/_S02</t>
        </is>
      </c>
      <c r="C350" s="38" t="inlineStr">
        <is>
          <t>Semana</t>
        </is>
      </c>
      <c r="D350" s="38" t="inlineStr">
        <is>
          <t>Reformas sociales en disputa (pensional/tributaria)</t>
        </is>
      </c>
      <c r="E350" s="38" t="inlineStr">
        <is>
          <t>Opinión-análisis</t>
        </is>
      </c>
      <c r="F350" s="38" t="inlineStr">
        <is>
          <t>Sat, 05 Sep 2026 04:53:46 +0000</t>
        </is>
      </c>
      <c r="G350" s="62" t="inlineStr">
        <is>
          <t>Esa frase resume una de las grandes tensiones de la democracia.</t>
        </is>
      </c>
      <c r="H350" s="62" t="inlineStr">
        <is>
          <t>Si la libertad significa algo, es el derecho a decirles a los demás lo que no quieren oír”, escribió George Orwell.</t>
        </is>
      </c>
      <c r="I350" s="62" t="inlineStr">
        <is>
          <t>La libertad de expresión adquiere todo su valor cuando protege las ideas que incomodan, contradice el relato dominante y obliga a revisar aquello que algunos quisieran convertir en verdad definitiva.</t>
        </is>
      </c>
      <c r="J350" s="38" t="n"/>
      <c r="K350" s="62" t="n"/>
      <c r="L350" s="38" t="n"/>
      <c r="M350" s="62" t="n"/>
      <c r="N350" s="38" t="n"/>
      <c r="O350" s="62" t="n"/>
      <c r="P350" s="38" t="n"/>
      <c r="Q350" s="62" t="n"/>
      <c r="R350" s="38" t="n"/>
      <c r="S350" s="62" t="n"/>
      <c r="T350" s="38" t="n"/>
      <c r="U350" s="62" t="n"/>
      <c r="V350" s="38" t="n"/>
      <c r="W350" s="62" t="n"/>
      <c r="X350" s="38" t="n"/>
      <c r="Y350" s="62" t="n"/>
      <c r="Z350" s="38" t="n"/>
      <c r="AA350" s="62" t="n"/>
      <c r="AB350" s="38" t="n"/>
      <c r="AC350" s="62" t="n"/>
      <c r="AD350" s="38" t="n"/>
      <c r="AE350" s="38" t="n"/>
      <c r="AF350" s="61">
        <f>IF(COUNTIF($B$5:B350,B350)=1,1,0)</f>
        <v/>
      </c>
      <c r="AG350" s="62" t="inlineStr">
        <is>
          <t>https://www.semana.com/opinion/articulo/y-las-otras-victimas/202646/</t>
        </is>
      </c>
    </row>
    <row r="351" ht="15" customHeight="1" s="31">
      <c r="A351" s="38" t="inlineStr">
        <is>
          <t>https://www.semana.com/opinion/articulo/y-las-otras-victimas/202646/</t>
        </is>
      </c>
      <c r="B351" s="38" t="inlineStr">
        <is>
          <t>https://www.semana.com/opinion/articulo/y-las-otras-victimas/202646/_S03</t>
        </is>
      </c>
      <c r="C351" s="38" t="inlineStr">
        <is>
          <t>Semana</t>
        </is>
      </c>
      <c r="D351" s="38" t="inlineStr">
        <is>
          <t>Reformas sociales en disputa (pensional/tributaria)</t>
        </is>
      </c>
      <c r="E351" s="38" t="inlineStr">
        <is>
          <t>Opinión-análisis</t>
        </is>
      </c>
      <c r="F351" s="38" t="inlineStr">
        <is>
          <t>Sat, 05 Sep 2026 04:53:46 +0000</t>
        </is>
      </c>
      <c r="G351" s="62" t="inlineStr">
        <is>
          <t>La libertad de expresión adquiere todo su valor cuando protege las ideas que incomodan, contradice el relato dominante y obliga a revisar aquello que algunos quisieran convertir en verdad definitiva.</t>
        </is>
      </c>
      <c r="H351" s="62" t="inlineStr">
        <is>
          <t>Esa frase resume una de las grandes tensiones de la democracia.</t>
        </is>
      </c>
      <c r="I351" s="62" t="inlineStr">
        <is>
          <t>Eso ocurrió durante una entrevista con Daniel Pacheco para La Silla Vacía.</t>
        </is>
      </c>
      <c r="J351" s="38" t="n"/>
      <c r="K351" s="62" t="n"/>
      <c r="L351" s="38" t="n"/>
      <c r="M351" s="62" t="n"/>
      <c r="N351" s="38" t="n"/>
      <c r="O351" s="62" t="n"/>
      <c r="P351" s="38" t="n"/>
      <c r="Q351" s="62" t="n"/>
      <c r="R351" s="38" t="n"/>
      <c r="S351" s="62" t="n"/>
      <c r="T351" s="38" t="n"/>
      <c r="U351" s="62" t="n"/>
      <c r="V351" s="38" t="n"/>
      <c r="W351" s="62" t="n"/>
      <c r="X351" s="38" t="n"/>
      <c r="Y351" s="62" t="n"/>
      <c r="Z351" s="38" t="n"/>
      <c r="AA351" s="62" t="n"/>
      <c r="AB351" s="38" t="n"/>
      <c r="AC351" s="62" t="n"/>
      <c r="AD351" s="38" t="n"/>
      <c r="AE351" s="38" t="n"/>
      <c r="AF351" s="61">
        <f>IF(COUNTIF($B$5:B351,B351)=1,1,0)</f>
        <v/>
      </c>
      <c r="AG351" s="62" t="inlineStr">
        <is>
          <t>https://www.semana.com/opinion/articulo/y-las-otras-victimas/202646/</t>
        </is>
      </c>
    </row>
    <row r="352" ht="15" customHeight="1" s="31">
      <c r="A352" s="38" t="inlineStr">
        <is>
          <t>https://www.semana.com/opinion/articulo/y-las-otras-victimas/202646/</t>
        </is>
      </c>
      <c r="B352" s="38" t="inlineStr">
        <is>
          <t>https://www.semana.com/opinion/articulo/y-las-otras-victimas/202646/_S04</t>
        </is>
      </c>
      <c r="C352" s="38" t="inlineStr">
        <is>
          <t>Semana</t>
        </is>
      </c>
      <c r="D352" s="38" t="inlineStr">
        <is>
          <t>Reformas sociales en disputa (pensional/tributaria)</t>
        </is>
      </c>
      <c r="E352" s="38" t="inlineStr">
        <is>
          <t>Opinión-análisis</t>
        </is>
      </c>
      <c r="F352" s="38" t="inlineStr">
        <is>
          <t>Sat, 05 Sep 2026 04:53:46 +0000</t>
        </is>
      </c>
      <c r="G352" s="62" t="inlineStr">
        <is>
          <t>Eso ocurrió durante una entrevista con Daniel Pacheco para La Silla Vacía.</t>
        </is>
      </c>
      <c r="H352" s="62" t="inlineStr">
        <is>
          <t>La libertad de expresión adquiere todo su valor cuando protege las ideas que incomodan, contradice el relato dominante y obliga a revisar aquello que algunos quisieran convertir en verdad definitiva.</t>
        </is>
      </c>
      <c r="I352" s="62" t="inlineStr">
        <is>
          <t>Él afirmó que el Estado había exterminado a la Unión Patriótica.</t>
        </is>
      </c>
      <c r="J352" s="38" t="n"/>
      <c r="K352" s="62" t="n"/>
      <c r="L352" s="38" t="n"/>
      <c r="M352" s="62" t="n"/>
      <c r="N352" s="38" t="n"/>
      <c r="O352" s="62" t="n"/>
      <c r="P352" s="38" t="n"/>
      <c r="Q352" s="62" t="n"/>
      <c r="R352" s="38" t="n"/>
      <c r="S352" s="62" t="n"/>
      <c r="T352" s="38" t="n"/>
      <c r="U352" s="62" t="n"/>
      <c r="V352" s="38" t="n"/>
      <c r="W352" s="62" t="n"/>
      <c r="X352" s="38" t="n"/>
      <c r="Y352" s="62" t="n"/>
      <c r="Z352" s="38" t="n"/>
      <c r="AA352" s="62" t="n"/>
      <c r="AB352" s="38" t="n"/>
      <c r="AC352" s="62" t="n"/>
      <c r="AD352" s="38" t="n"/>
      <c r="AE352" s="38" t="n"/>
      <c r="AF352" s="61">
        <f>IF(COUNTIF($B$5:B352,B352)=1,1,0)</f>
        <v/>
      </c>
      <c r="AG352" s="62" t="inlineStr">
        <is>
          <t>https://www.semana.com/opinion/articulo/y-las-otras-victimas/202646/</t>
        </is>
      </c>
    </row>
    <row r="353" ht="15" customHeight="1" s="31">
      <c r="A353" s="38" t="inlineStr">
        <is>
          <t>https://www.semana.com/opinion/articulo/y-las-otras-victimas/202646/</t>
        </is>
      </c>
      <c r="B353" s="38" t="inlineStr">
        <is>
          <t>https://www.semana.com/opinion/articulo/y-las-otras-victimas/202646/_S05</t>
        </is>
      </c>
      <c r="C353" s="38" t="inlineStr">
        <is>
          <t>Semana</t>
        </is>
      </c>
      <c r="D353" s="38" t="inlineStr">
        <is>
          <t>Reformas sociales en disputa (pensional/tributaria)</t>
        </is>
      </c>
      <c r="E353" s="38" t="inlineStr">
        <is>
          <t>Opinión-análisis</t>
        </is>
      </c>
      <c r="F353" s="38" t="inlineStr">
        <is>
          <t>Sat, 05 Sep 2026 04:53:46 +0000</t>
        </is>
      </c>
      <c r="G353" s="62" t="inlineStr">
        <is>
          <t>Él afirmó que el Estado había exterminado a la Unión Patriótica.</t>
        </is>
      </c>
      <c r="H353" s="62" t="inlineStr">
        <is>
          <t>Eso ocurrió durante una entrevista con Daniel Pacheco para La Silla Vacía.</t>
        </is>
      </c>
      <c r="I353" s="62" t="inlineStr">
        <is>
          <t>Yo rechacé que la compleja historia de violencia contra la UP pudiera reducirse a una explicación única.</t>
        </is>
      </c>
      <c r="J353" s="38" t="n"/>
      <c r="K353" s="62" t="n"/>
      <c r="L353" s="38" t="n"/>
      <c r="M353" s="62" t="n"/>
      <c r="N353" s="38" t="n"/>
      <c r="O353" s="62" t="n"/>
      <c r="P353" s="38" t="n"/>
      <c r="Q353" s="62" t="n"/>
      <c r="R353" s="38" t="n"/>
      <c r="S353" s="62" t="n"/>
      <c r="T353" s="38" t="n"/>
      <c r="U353" s="62" t="n"/>
      <c r="V353" s="38" t="n"/>
      <c r="W353" s="62" t="n"/>
      <c r="X353" s="38" t="n"/>
      <c r="Y353" s="62" t="n"/>
      <c r="Z353" s="38" t="n"/>
      <c r="AA353" s="62" t="n"/>
      <c r="AB353" s="38" t="n"/>
      <c r="AC353" s="62" t="n"/>
      <c r="AD353" s="38" t="n"/>
      <c r="AE353" s="38" t="n"/>
      <c r="AF353" s="61">
        <f>IF(COUNTIF($B$5:B353,B353)=1,1,0)</f>
        <v/>
      </c>
      <c r="AG353" s="62" t="inlineStr">
        <is>
          <t>https://www.semana.com/opinion/articulo/y-las-otras-victimas/202646/</t>
        </is>
      </c>
    </row>
    <row r="354" ht="15" customHeight="1" s="31">
      <c r="A354" s="38" t="inlineStr">
        <is>
          <t>https://www.semana.com/opinion/articulo/y-las-otras-victimas/202646/</t>
        </is>
      </c>
      <c r="B354" s="38" t="inlineStr">
        <is>
          <t>https://www.semana.com/opinion/articulo/y-las-otras-victimas/202646/_S06</t>
        </is>
      </c>
      <c r="C354" s="38" t="inlineStr">
        <is>
          <t>Semana</t>
        </is>
      </c>
      <c r="D354" s="38" t="inlineStr">
        <is>
          <t>Reformas sociales en disputa (pensional/tributaria)</t>
        </is>
      </c>
      <c r="E354" s="38" t="inlineStr">
        <is>
          <t>Opinión-análisis</t>
        </is>
      </c>
      <c r="F354" s="38" t="inlineStr">
        <is>
          <t>Sat, 05 Sep 2026 04:53:46 +0000</t>
        </is>
      </c>
      <c r="G354" s="62" t="inlineStr">
        <is>
          <t>Yo rechacé que la compleja historia de violencia contra la UP pudiera reducirse a una explicación única.</t>
        </is>
      </c>
      <c r="H354" s="62" t="inlineStr">
        <is>
          <t>Él afirmó que el Estado había exterminado a la Unión Patriótica.</t>
        </is>
      </c>
      <c r="I354" s="62" t="inlineStr">
        <is>
          <t>Reconocí la tragedia sufrida por sus militantes y señalé que existen investigaciones sobre hechos atribuidos a distintos actores armados.</t>
        </is>
      </c>
      <c r="J354" s="38" t="n"/>
      <c r="K354" s="62" t="n"/>
      <c r="L354" s="38" t="n"/>
      <c r="M354" s="62" t="n"/>
      <c r="N354" s="38" t="n"/>
      <c r="O354" s="62" t="n"/>
      <c r="P354" s="38" t="n"/>
      <c r="Q354" s="62" t="n"/>
      <c r="R354" s="38" t="n"/>
      <c r="S354" s="62" t="n"/>
      <c r="T354" s="38" t="n"/>
      <c r="U354" s="62" t="n"/>
      <c r="V354" s="38" t="n"/>
      <c r="W354" s="62" t="n"/>
      <c r="X354" s="38" t="n"/>
      <c r="Y354" s="62" t="n"/>
      <c r="Z354" s="38" t="n"/>
      <c r="AA354" s="62" t="n"/>
      <c r="AB354" s="38" t="n"/>
      <c r="AC354" s="62" t="n"/>
      <c r="AD354" s="38" t="n"/>
      <c r="AE354" s="38" t="n"/>
      <c r="AF354" s="61">
        <f>IF(COUNTIF($B$5:B354,B354)=1,1,0)</f>
        <v/>
      </c>
      <c r="AG354" s="62" t="inlineStr">
        <is>
          <t>https://www.semana.com/opinion/articulo/y-las-otras-victimas/202646/</t>
        </is>
      </c>
    </row>
    <row r="355" ht="15" customHeight="1" s="31">
      <c r="A355" s="38" t="inlineStr">
        <is>
          <t>https://www.semana.com/opinion/articulo/y-las-otras-victimas/202646/</t>
        </is>
      </c>
      <c r="B355" s="38" t="inlineStr">
        <is>
          <t>https://www.semana.com/opinion/articulo/y-las-otras-victimas/202646/_S07</t>
        </is>
      </c>
      <c r="C355" s="38" t="inlineStr">
        <is>
          <t>Semana</t>
        </is>
      </c>
      <c r="D355" s="38" t="inlineStr">
        <is>
          <t>Reformas sociales en disputa (pensional/tributaria)</t>
        </is>
      </c>
      <c r="E355" s="38" t="inlineStr">
        <is>
          <t>Opinión-análisis</t>
        </is>
      </c>
      <c r="F355" s="38" t="inlineStr">
        <is>
          <t>Sat, 05 Sep 2026 04:53:46 +0000</t>
        </is>
      </c>
      <c r="G355" s="62" t="inlineStr">
        <is>
          <t>Reconocí la tragedia sufrida por sus militantes y señalé que existen investigaciones sobre hechos atribuidos a distintos actores armados.</t>
        </is>
      </c>
      <c r="H355" s="62" t="inlineStr">
        <is>
          <t>Yo rechacé que la compleja historia de violencia contra la UP pudiera reducirse a una explicación única.</t>
        </is>
      </c>
      <c r="I355" s="62" t="inlineStr">
        <is>
          <t>La defensora del Pueblo, Iris Marín, reaccionó con una carta asegurando que mis palabras reproducían el discurso estigmatizante utilizado como instrumento en el exterminio de la Unión Patriótica.</t>
        </is>
      </c>
      <c r="J355" s="38" t="n"/>
      <c r="K355" s="62" t="n"/>
      <c r="L355" s="38" t="n"/>
      <c r="M355" s="62" t="n"/>
      <c r="N355" s="38" t="n"/>
      <c r="O355" s="62" t="n"/>
      <c r="P355" s="38" t="n"/>
      <c r="Q355" s="62" t="n"/>
      <c r="R355" s="38" t="n"/>
      <c r="S355" s="62" t="n"/>
      <c r="T355" s="38" t="n"/>
      <c r="U355" s="62" t="n"/>
      <c r="V355" s="38" t="n"/>
      <c r="W355" s="62" t="n"/>
      <c r="X355" s="38" t="n"/>
      <c r="Y355" s="62" t="n"/>
      <c r="Z355" s="38" t="n"/>
      <c r="AA355" s="62" t="n"/>
      <c r="AB355" s="38" t="n"/>
      <c r="AC355" s="62" t="n"/>
      <c r="AD355" s="38" t="n"/>
      <c r="AE355" s="38" t="n"/>
      <c r="AF355" s="61">
        <f>IF(COUNTIF($B$5:B355,B355)=1,1,0)</f>
        <v/>
      </c>
      <c r="AG355" s="62" t="inlineStr">
        <is>
          <t>https://www.semana.com/opinion/articulo/y-las-otras-victimas/202646/</t>
        </is>
      </c>
    </row>
    <row r="356" ht="15" customHeight="1" s="31">
      <c r="A356" s="38" t="inlineStr">
        <is>
          <t>https://www.semana.com/opinion/articulo/y-las-otras-victimas/202646/</t>
        </is>
      </c>
      <c r="B356" s="38" t="inlineStr">
        <is>
          <t>https://www.semana.com/opinion/articulo/y-las-otras-victimas/202646/_S08</t>
        </is>
      </c>
      <c r="C356" s="38" t="inlineStr">
        <is>
          <t>Semana</t>
        </is>
      </c>
      <c r="D356" s="38" t="inlineStr">
        <is>
          <t>Reformas sociales en disputa (pensional/tributaria)</t>
        </is>
      </c>
      <c r="E356" s="38" t="inlineStr">
        <is>
          <t>Opinión-análisis</t>
        </is>
      </c>
      <c r="F356" s="38" t="inlineStr">
        <is>
          <t>Sat, 05 Sep 2026 04:53:46 +0000</t>
        </is>
      </c>
      <c r="G356" s="62" t="inlineStr">
        <is>
          <t>La defensora del Pueblo, Iris Marín, reaccionó con una carta asegurando que mis palabras reproducían el discurso estigmatizante utilizado como instrumento en el exterminio de la Unión Patriótica.</t>
        </is>
      </c>
      <c r="H356" s="62" t="inlineStr">
        <is>
          <t>Reconocí la tragedia sufrida por sus militantes y señalé que existen investigaciones sobre hechos atribuidos a distintos actores armados.</t>
        </is>
      </c>
      <c r="I356" s="62" t="inlineStr">
        <is>
          <t>La acusación es enorme.</t>
        </is>
      </c>
      <c r="J356" s="38" t="n"/>
      <c r="K356" s="62" t="n"/>
      <c r="L356" s="38" t="n"/>
      <c r="M356" s="62" t="n"/>
      <c r="N356" s="38" t="n"/>
      <c r="O356" s="62" t="n"/>
      <c r="P356" s="38" t="n"/>
      <c r="Q356" s="62" t="n"/>
      <c r="R356" s="38" t="n"/>
      <c r="S356" s="62" t="n"/>
      <c r="T356" s="38" t="n"/>
      <c r="U356" s="62" t="n"/>
      <c r="V356" s="38" t="n"/>
      <c r="W356" s="62" t="n"/>
      <c r="X356" s="38" t="n"/>
      <c r="Y356" s="62" t="n"/>
      <c r="Z356" s="38" t="n"/>
      <c r="AA356" s="62" t="n"/>
      <c r="AB356" s="38" t="n"/>
      <c r="AC356" s="62" t="n"/>
      <c r="AD356" s="38" t="n"/>
      <c r="AE356" s="38" t="n"/>
      <c r="AF356" s="61">
        <f>IF(COUNTIF($B$5:B356,B356)=1,1,0)</f>
        <v/>
      </c>
      <c r="AG356" s="62" t="inlineStr">
        <is>
          <t>https://www.semana.com/opinion/articulo/y-las-otras-victimas/202646/</t>
        </is>
      </c>
    </row>
    <row r="357" ht="15" customHeight="1" s="31">
      <c r="A357" s="38" t="inlineStr">
        <is>
          <t>https://www.semana.com/opinion/articulo/y-las-otras-victimas/202646/</t>
        </is>
      </c>
      <c r="B357" s="38" t="inlineStr">
        <is>
          <t>https://www.semana.com/opinion/articulo/y-las-otras-victimas/202646/_S09</t>
        </is>
      </c>
      <c r="C357" s="38" t="inlineStr">
        <is>
          <t>Semana</t>
        </is>
      </c>
      <c r="D357" s="38" t="inlineStr">
        <is>
          <t>Reformas sociales en disputa (pensional/tributaria)</t>
        </is>
      </c>
      <c r="E357" s="38" t="inlineStr">
        <is>
          <t>Opinión-análisis</t>
        </is>
      </c>
      <c r="F357" s="38" t="inlineStr">
        <is>
          <t>Sat, 05 Sep 2026 04:53:46 +0000</t>
        </is>
      </c>
      <c r="G357" s="62" t="inlineStr">
        <is>
          <t>La acusación es enorme.</t>
        </is>
      </c>
      <c r="H357" s="62" t="inlineStr">
        <is>
          <t>La defensora del Pueblo, Iris Marín, reaccionó con una carta asegurando que mis palabras reproducían el discurso estigmatizante utilizado como instrumento en el exterminio de la Unión Patriótica.</t>
        </is>
      </c>
      <c r="I357" s="62" t="inlineStr">
        <is>
          <t>Marín puso en una misma categoría a quienes promovieron o ejecutaron crímenes contra la UP y a quienes creemos que ese periodo debe examinarse en toda su complejidad.</t>
        </is>
      </c>
      <c r="J357" s="38" t="n"/>
      <c r="K357" s="62" t="n"/>
      <c r="L357" s="38" t="n"/>
      <c r="M357" s="62" t="n"/>
      <c r="N357" s="38" t="n"/>
      <c r="O357" s="62" t="n"/>
      <c r="P357" s="38" t="n"/>
      <c r="Q357" s="62" t="n"/>
      <c r="R357" s="38" t="n"/>
      <c r="S357" s="62" t="n"/>
      <c r="T357" s="38" t="n"/>
      <c r="U357" s="62" t="n"/>
      <c r="V357" s="38" t="n"/>
      <c r="W357" s="62" t="n"/>
      <c r="X357" s="38" t="n"/>
      <c r="Y357" s="62" t="n"/>
      <c r="Z357" s="38" t="n"/>
      <c r="AA357" s="62" t="n"/>
      <c r="AB357" s="38" t="n"/>
      <c r="AC357" s="62" t="n"/>
      <c r="AD357" s="38" t="n"/>
      <c r="AE357" s="38" t="n"/>
      <c r="AF357" s="61">
        <f>IF(COUNTIF($B$5:B357,B357)=1,1,0)</f>
        <v/>
      </c>
      <c r="AG357" s="62" t="inlineStr">
        <is>
          <t>https://www.semana.com/opinion/articulo/y-las-otras-victimas/202646/</t>
        </is>
      </c>
    </row>
    <row r="358" ht="15" customHeight="1" s="31">
      <c r="A358" s="38" t="inlineStr">
        <is>
          <t>https://www.semana.com/opinion/articulo/y-las-otras-victimas/202646/</t>
        </is>
      </c>
      <c r="B358" s="38" t="inlineStr">
        <is>
          <t>https://www.semana.com/opinion/articulo/y-las-otras-victimas/202646/_S10</t>
        </is>
      </c>
      <c r="C358" s="38" t="inlineStr">
        <is>
          <t>Semana</t>
        </is>
      </c>
      <c r="D358" s="38" t="inlineStr">
        <is>
          <t>Reformas sociales en disputa (pensional/tributaria)</t>
        </is>
      </c>
      <c r="E358" s="38" t="inlineStr">
        <is>
          <t>Opinión-análisis</t>
        </is>
      </c>
      <c r="F358" s="38" t="inlineStr">
        <is>
          <t>Sat, 05 Sep 2026 04:53:46 +0000</t>
        </is>
      </c>
      <c r="G358" s="62" t="inlineStr">
        <is>
          <t>Marín puso en una misma categoría a quienes promovieron o ejecutaron crímenes contra la UP y a quienes creemos que ese periodo debe examinarse en toda su complejidad.</t>
        </is>
      </c>
      <c r="H358" s="62" t="inlineStr">
        <is>
          <t>La acusación es enorme.</t>
        </is>
      </c>
      <c r="I358" s="62" t="n"/>
      <c r="J358" s="38" t="n"/>
      <c r="K358" s="62" t="n"/>
      <c r="L358" s="38" t="n"/>
      <c r="M358" s="62" t="n"/>
      <c r="N358" s="38" t="n"/>
      <c r="O358" s="62" t="n"/>
      <c r="P358" s="38" t="n"/>
      <c r="Q358" s="62" t="n"/>
      <c r="R358" s="38" t="n"/>
      <c r="S358" s="62" t="n"/>
      <c r="T358" s="38" t="n"/>
      <c r="U358" s="62" t="n"/>
      <c r="V358" s="38" t="n"/>
      <c r="W358" s="62" t="n"/>
      <c r="X358" s="38" t="n"/>
      <c r="Y358" s="62" t="n"/>
      <c r="Z358" s="38" t="n"/>
      <c r="AA358" s="62" t="n"/>
      <c r="AB358" s="38" t="n"/>
      <c r="AC358" s="62" t="n"/>
      <c r="AD358" s="38" t="n"/>
      <c r="AE358" s="38" t="n"/>
      <c r="AF358" s="61">
        <f>IF(COUNTIF($B$5:B358,B358)=1,1,0)</f>
        <v/>
      </c>
      <c r="AG358" s="62" t="inlineStr">
        <is>
          <t>https://www.semana.com/opinion/articulo/y-las-otras-victimas/202646/</t>
        </is>
      </c>
    </row>
    <row r="359" ht="15" customHeight="1" s="31">
      <c r="A359" s="38" t="inlineStr">
        <is>
          <t>https://www.semana.com/opinion/articulo/una-venezuela-prospera-y-democratica-fundamental-para-colombia/202600/</t>
        </is>
      </c>
      <c r="B359" s="38" t="inlineStr">
        <is>
          <t>https://www.semana.com/opinion/articulo/una-venezuela-prospera-y-democratica-fundamental-para-colombia/202600/_S01</t>
        </is>
      </c>
      <c r="C359" s="38" t="inlineStr">
        <is>
          <t>Semana</t>
        </is>
      </c>
      <c r="D359" s="38" t="inlineStr">
        <is>
          <t>Seguridad y orden público</t>
        </is>
      </c>
      <c r="E359" s="38" t="inlineStr">
        <is>
          <t>Opinión-análisis</t>
        </is>
      </c>
      <c r="F359" s="38" t="inlineStr">
        <is>
          <t>Fri, 04 Sep 2026 10:00:00 +0000</t>
        </is>
      </c>
      <c r="G359" s="62" t="inlineStr">
        <is>
          <t>Mucho se ha hablado del “histórico megaacuerdo” petrolero entre los Estados Unidos y Venezuela.</t>
        </is>
      </c>
      <c r="H359" s="62" t="n"/>
      <c r="I359" s="62" t="inlineStr">
        <is>
          <t>Dejando de lado las consideraciones legales y políticas que pudiera tener, habrá que saber cuáles son las eventuales consecuencias que podría tener para nuestro país.</t>
        </is>
      </c>
      <c r="J359" s="38" t="n"/>
      <c r="K359" s="62" t="n"/>
      <c r="L359" s="38" t="n"/>
      <c r="M359" s="62" t="n"/>
      <c r="N359" s="38" t="n"/>
      <c r="O359" s="62" t="n"/>
      <c r="P359" s="38" t="n"/>
      <c r="Q359" s="62" t="n"/>
      <c r="R359" s="38" t="n"/>
      <c r="S359" s="62" t="n"/>
      <c r="T359" s="38" t="n"/>
      <c r="U359" s="62" t="n"/>
      <c r="V359" s="38" t="n"/>
      <c r="W359" s="62" t="n"/>
      <c r="X359" s="38" t="n"/>
      <c r="Y359" s="62" t="n"/>
      <c r="Z359" s="38" t="n"/>
      <c r="AA359" s="62" t="n"/>
      <c r="AB359" s="38" t="n"/>
      <c r="AC359" s="62" t="n"/>
      <c r="AD359" s="38" t="n"/>
      <c r="AE359" s="38" t="n"/>
      <c r="AF359" s="61">
        <f>IF(COUNTIF($B$5:B359,B359)=1,1,0)</f>
        <v/>
      </c>
      <c r="AG359" s="62" t="inlineStr">
        <is>
          <t>https://www.semana.com/opinion/articulo/una-venezuela-prospera-y-democratica-fundamental-para-colombia/202600/</t>
        </is>
      </c>
    </row>
    <row r="360" ht="15" customHeight="1" s="31">
      <c r="A360" s="38" t="inlineStr">
        <is>
          <t>https://www.semana.com/opinion/articulo/una-venezuela-prospera-y-democratica-fundamental-para-colombia/202600/</t>
        </is>
      </c>
      <c r="B360" s="38" t="inlineStr">
        <is>
          <t>https://www.semana.com/opinion/articulo/una-venezuela-prospera-y-democratica-fundamental-para-colombia/202600/_S02</t>
        </is>
      </c>
      <c r="C360" s="38" t="inlineStr">
        <is>
          <t>Semana</t>
        </is>
      </c>
      <c r="D360" s="38" t="inlineStr">
        <is>
          <t>Seguridad y orden público</t>
        </is>
      </c>
      <c r="E360" s="38" t="inlineStr">
        <is>
          <t>Opinión-análisis</t>
        </is>
      </c>
      <c r="F360" s="38" t="inlineStr">
        <is>
          <t>Fri, 04 Sep 2026 10:00:00 +0000</t>
        </is>
      </c>
      <c r="G360" s="62" t="inlineStr">
        <is>
          <t>Dejando de lado las consideraciones legales y políticas que pudiera tener, habrá que saber cuáles son las eventuales consecuencias que podría tener para nuestro país.</t>
        </is>
      </c>
      <c r="H360" s="62" t="inlineStr">
        <is>
          <t>Mucho se ha hablado del “histórico megaacuerdo” petrolero entre los Estados Unidos y Venezuela.</t>
        </is>
      </c>
      <c r="I360" s="62" t="inlineStr">
        <is>
          <t>Hay hechos que son determinantes y que se derivan del transcurrir de los años de existencia de las dos repúblicas.</t>
        </is>
      </c>
      <c r="J360" s="38" t="n"/>
      <c r="K360" s="62" t="n"/>
      <c r="L360" s="38" t="n"/>
      <c r="M360" s="62" t="n"/>
      <c r="N360" s="38" t="n"/>
      <c r="O360" s="62" t="n"/>
      <c r="P360" s="38" t="n"/>
      <c r="Q360" s="62" t="n"/>
      <c r="R360" s="38" t="n"/>
      <c r="S360" s="62" t="n"/>
      <c r="T360" s="38" t="n"/>
      <c r="U360" s="62" t="n"/>
      <c r="V360" s="38" t="n"/>
      <c r="W360" s="62" t="n"/>
      <c r="X360" s="38" t="n"/>
      <c r="Y360" s="62" t="n"/>
      <c r="Z360" s="38" t="n"/>
      <c r="AA360" s="62" t="n"/>
      <c r="AB360" s="38" t="n"/>
      <c r="AC360" s="62" t="n"/>
      <c r="AD360" s="38" t="n"/>
      <c r="AE360" s="38" t="n"/>
      <c r="AF360" s="61">
        <f>IF(COUNTIF($B$5:B360,B360)=1,1,0)</f>
        <v/>
      </c>
      <c r="AG360" s="62" t="inlineStr">
        <is>
          <t>https://www.semana.com/opinion/articulo/una-venezuela-prospera-y-democratica-fundamental-para-colombia/202600/</t>
        </is>
      </c>
    </row>
    <row r="361" ht="15" customHeight="1" s="31">
      <c r="A361" s="38" t="inlineStr">
        <is>
          <t>https://www.semana.com/opinion/articulo/una-venezuela-prospera-y-democratica-fundamental-para-colombia/202600/</t>
        </is>
      </c>
      <c r="B361" s="38" t="inlineStr">
        <is>
          <t>https://www.semana.com/opinion/articulo/una-venezuela-prospera-y-democratica-fundamental-para-colombia/202600/_S03</t>
        </is>
      </c>
      <c r="C361" s="38" t="inlineStr">
        <is>
          <t>Semana</t>
        </is>
      </c>
      <c r="D361" s="38" t="inlineStr">
        <is>
          <t>Seguridad y orden público</t>
        </is>
      </c>
      <c r="E361" s="38" t="inlineStr">
        <is>
          <t>Opinión-análisis</t>
        </is>
      </c>
      <c r="F361" s="38" t="inlineStr">
        <is>
          <t>Fri, 04 Sep 2026 10:00:00 +0000</t>
        </is>
      </c>
      <c r="G361" s="62" t="inlineStr">
        <is>
          <t>Hay hechos que son determinantes y que se derivan del transcurrir de los años de existencia de las dos repúblicas.</t>
        </is>
      </c>
      <c r="H361" s="62" t="inlineStr">
        <is>
          <t>Dejando de lado las consideraciones legales y políticas que pudiera tener, habrá que saber cuáles son las eventuales consecuencias que podría tener para nuestro país.</t>
        </is>
      </c>
      <c r="I361" s="62" t="inlineStr">
        <is>
          <t>Ante todo, Colombia no tiene los recursos que posee Venezuela.</t>
        </is>
      </c>
      <c r="J361" s="38" t="n"/>
      <c r="K361" s="62" t="n"/>
      <c r="L361" s="38" t="n"/>
      <c r="M361" s="62" t="n"/>
      <c r="N361" s="38" t="n"/>
      <c r="O361" s="62" t="n"/>
      <c r="P361" s="38" t="n"/>
      <c r="Q361" s="62" t="n"/>
      <c r="R361" s="38" t="n"/>
      <c r="S361" s="62" t="n"/>
      <c r="T361" s="38" t="n"/>
      <c r="U361" s="62" t="n"/>
      <c r="V361" s="38" t="n"/>
      <c r="W361" s="62" t="n"/>
      <c r="X361" s="38" t="n"/>
      <c r="Y361" s="62" t="n"/>
      <c r="Z361" s="38" t="n"/>
      <c r="AA361" s="62" t="n"/>
      <c r="AB361" s="38" t="n"/>
      <c r="AC361" s="62" t="n"/>
      <c r="AD361" s="38" t="n"/>
      <c r="AE361" s="38" t="n"/>
      <c r="AF361" s="61">
        <f>IF(COUNTIF($B$5:B361,B361)=1,1,0)</f>
        <v/>
      </c>
      <c r="AG361" s="62" t="inlineStr">
        <is>
          <t>https://www.semana.com/opinion/articulo/una-venezuela-prospera-y-democratica-fundamental-para-colombia/202600/</t>
        </is>
      </c>
    </row>
    <row r="362" ht="15" customHeight="1" s="31">
      <c r="A362" s="38" t="inlineStr">
        <is>
          <t>https://www.semana.com/opinion/articulo/una-venezuela-prospera-y-democratica-fundamental-para-colombia/202600/</t>
        </is>
      </c>
      <c r="B362" s="38" t="inlineStr">
        <is>
          <t>https://www.semana.com/opinion/articulo/una-venezuela-prospera-y-democratica-fundamental-para-colombia/202600/_S04</t>
        </is>
      </c>
      <c r="C362" s="38" t="inlineStr">
        <is>
          <t>Semana</t>
        </is>
      </c>
      <c r="D362" s="38" t="inlineStr">
        <is>
          <t>Seguridad y orden público</t>
        </is>
      </c>
      <c r="E362" s="38" t="inlineStr">
        <is>
          <t>Opinión-análisis</t>
        </is>
      </c>
      <c r="F362" s="38" t="inlineStr">
        <is>
          <t>Fri, 04 Sep 2026 10:00:00 +0000</t>
        </is>
      </c>
      <c r="G362" s="62" t="inlineStr">
        <is>
          <t>Ante todo, Colombia no tiene los recursos que posee Venezuela.</t>
        </is>
      </c>
      <c r="H362" s="62" t="inlineStr">
        <is>
          <t>Hay hechos que son determinantes y que se derivan del transcurrir de los años de existencia de las dos repúblicas.</t>
        </is>
      </c>
      <c r="I362" s="62" t="inlineStr">
        <is>
          <t>Se recuerda a algún personaje colombiano que decía a mediados del siglo XX que, por cualquier parte por donde se trazara la línea fronteriza con Venezuela, el petróleo siempre estaría del otro lado.</t>
        </is>
      </c>
      <c r="J362" s="38" t="n"/>
      <c r="K362" s="62" t="n"/>
      <c r="L362" s="38" t="n"/>
      <c r="M362" s="62" t="n"/>
      <c r="N362" s="38" t="n"/>
      <c r="O362" s="62" t="n"/>
      <c r="P362" s="38" t="n"/>
      <c r="Q362" s="62" t="n"/>
      <c r="R362" s="38" t="n"/>
      <c r="S362" s="62" t="n"/>
      <c r="T362" s="38" t="n"/>
      <c r="U362" s="62" t="n"/>
      <c r="V362" s="38" t="n"/>
      <c r="W362" s="62" t="n"/>
      <c r="X362" s="38" t="n"/>
      <c r="Y362" s="62" t="n"/>
      <c r="Z362" s="38" t="n"/>
      <c r="AA362" s="62" t="n"/>
      <c r="AB362" s="38" t="n"/>
      <c r="AC362" s="62" t="n"/>
      <c r="AD362" s="38" t="n"/>
      <c r="AE362" s="38" t="n"/>
      <c r="AF362" s="61">
        <f>IF(COUNTIF($B$5:B362,B362)=1,1,0)</f>
        <v/>
      </c>
      <c r="AG362" s="62" t="inlineStr">
        <is>
          <t>https://www.semana.com/opinion/articulo/una-venezuela-prospera-y-democratica-fundamental-para-colombia/202600/</t>
        </is>
      </c>
    </row>
    <row r="363" ht="15" customHeight="1" s="31">
      <c r="A363" s="38" t="inlineStr">
        <is>
          <t>https://www.semana.com/opinion/articulo/una-venezuela-prospera-y-democratica-fundamental-para-colombia/202600/</t>
        </is>
      </c>
      <c r="B363" s="38" t="inlineStr">
        <is>
          <t>https://www.semana.com/opinion/articulo/una-venezuela-prospera-y-democratica-fundamental-para-colombia/202600/_S05</t>
        </is>
      </c>
      <c r="C363" s="38" t="inlineStr">
        <is>
          <t>Semana</t>
        </is>
      </c>
      <c r="D363" s="38" t="inlineStr">
        <is>
          <t>Seguridad y orden público</t>
        </is>
      </c>
      <c r="E363" s="38" t="inlineStr">
        <is>
          <t>Opinión-análisis</t>
        </is>
      </c>
      <c r="F363" s="38" t="inlineStr">
        <is>
          <t>Fri, 04 Sep 2026 10:00:00 +0000</t>
        </is>
      </c>
      <c r="G363" s="62" t="inlineStr">
        <is>
          <t>Se recuerda a algún personaje colombiano que decía a mediados del siglo XX que, por cualquier parte por donde se trazara la línea fronteriza con Venezuela, el petróleo siempre estaría del otro lado.</t>
        </is>
      </c>
      <c r="H363" s="62" t="inlineStr">
        <is>
          <t>Ante todo, Colombia no tiene los recursos que posee Venezuela.</t>
        </is>
      </c>
      <c r="I363" s="62" t="inlineStr">
        <is>
          <t>No solamente es el petróleo, sino el gas, el hierro, la bauxita, el acero, el coltán, las tierras raras y la energía eléctrica, para no hablar del oro y de algunos otros metales preciosos.</t>
        </is>
      </c>
      <c r="J363" s="38" t="n"/>
      <c r="K363" s="62" t="n"/>
      <c r="L363" s="38" t="n"/>
      <c r="M363" s="62" t="n"/>
      <c r="N363" s="38" t="n"/>
      <c r="O363" s="62" t="n"/>
      <c r="P363" s="38" t="n"/>
      <c r="Q363" s="62" t="n"/>
      <c r="R363" s="38" t="n"/>
      <c r="S363" s="62" t="n"/>
      <c r="T363" s="38" t="n"/>
      <c r="U363" s="62" t="n"/>
      <c r="V363" s="38" t="n"/>
      <c r="W363" s="62" t="n"/>
      <c r="X363" s="38" t="n"/>
      <c r="Y363" s="62" t="n"/>
      <c r="Z363" s="38" t="n"/>
      <c r="AA363" s="62" t="n"/>
      <c r="AB363" s="38" t="n"/>
      <c r="AC363" s="62" t="n"/>
      <c r="AD363" s="38" t="n"/>
      <c r="AE363" s="38" t="n"/>
      <c r="AF363" s="61">
        <f>IF(COUNTIF($B$5:B363,B363)=1,1,0)</f>
        <v/>
      </c>
      <c r="AG363" s="62" t="inlineStr">
        <is>
          <t>https://www.semana.com/opinion/articulo/una-venezuela-prospera-y-democratica-fundamental-para-colombia/202600/</t>
        </is>
      </c>
    </row>
    <row r="364" ht="15" customHeight="1" s="31">
      <c r="A364" s="38" t="inlineStr">
        <is>
          <t>https://www.semana.com/opinion/articulo/una-venezuela-prospera-y-democratica-fundamental-para-colombia/202600/</t>
        </is>
      </c>
      <c r="B364" s="38" t="inlineStr">
        <is>
          <t>https://www.semana.com/opinion/articulo/una-venezuela-prospera-y-democratica-fundamental-para-colombia/202600/_S06</t>
        </is>
      </c>
      <c r="C364" s="38" t="inlineStr">
        <is>
          <t>Semana</t>
        </is>
      </c>
      <c r="D364" s="38" t="inlineStr">
        <is>
          <t>Seguridad y orden público</t>
        </is>
      </c>
      <c r="E364" s="38" t="inlineStr">
        <is>
          <t>Opinión-análisis</t>
        </is>
      </c>
      <c r="F364" s="38" t="inlineStr">
        <is>
          <t>Fri, 04 Sep 2026 10:00:00 +0000</t>
        </is>
      </c>
      <c r="G364" s="62" t="inlineStr">
        <is>
          <t>No solamente es el petróleo, sino el gas, el hierro, la bauxita, el acero, el coltán, las tierras raras y la energía eléctrica, para no hablar del oro y de algunos otros metales preciosos.</t>
        </is>
      </c>
      <c r="H364" s="62" t="inlineStr">
        <is>
          <t>Se recuerda a algún personaje colombiano que decía a mediados del siglo XX que, por cualquier parte por donde se trazara la línea fronteriza con Venezuela, el petróleo siempre estaría del otro lado.</t>
        </is>
      </c>
      <c r="I364" s="62" t="inlineStr">
        <is>
          <t>En esas condiciones, a Colombia le interesa tener como vecina no solo a una Venezuela rica y floreciente, sino también democrática, aunque eso resulte más difícil, ya que gran parte de la vida republicana de la hermana república ha estado enmarcada dentro de gobiernos militares o sostenidos por ellos, incluso en gobiernos democráticos, en los que el estamento militar ha sido determinante.</t>
        </is>
      </c>
      <c r="J364" s="38" t="n"/>
      <c r="K364" s="62" t="n"/>
      <c r="L364" s="38" t="n"/>
      <c r="M364" s="62" t="n"/>
      <c r="N364" s="38" t="n"/>
      <c r="O364" s="62" t="n"/>
      <c r="P364" s="38" t="n"/>
      <c r="Q364" s="62" t="n"/>
      <c r="R364" s="38" t="n"/>
      <c r="S364" s="62" t="n"/>
      <c r="T364" s="38" t="n"/>
      <c r="U364" s="62" t="n"/>
      <c r="V364" s="38" t="n"/>
      <c r="W364" s="62" t="n"/>
      <c r="X364" s="38" t="n"/>
      <c r="Y364" s="62" t="n"/>
      <c r="Z364" s="38" t="n"/>
      <c r="AA364" s="62" t="n"/>
      <c r="AB364" s="38" t="n"/>
      <c r="AC364" s="62" t="n"/>
      <c r="AD364" s="38" t="n"/>
      <c r="AE364" s="38" t="n"/>
      <c r="AF364" s="61">
        <f>IF(COUNTIF($B$5:B364,B364)=1,1,0)</f>
        <v/>
      </c>
      <c r="AG364" s="62" t="inlineStr">
        <is>
          <t>https://www.semana.com/opinion/articulo/una-venezuela-prospera-y-democratica-fundamental-para-colombia/202600/</t>
        </is>
      </c>
    </row>
    <row r="365" ht="15" customHeight="1" s="31">
      <c r="A365" s="38" t="inlineStr">
        <is>
          <t>https://www.semana.com/opinion/articulo/una-venezuela-prospera-y-democratica-fundamental-para-colombia/202600/</t>
        </is>
      </c>
      <c r="B365" s="38" t="inlineStr">
        <is>
          <t>https://www.semana.com/opinion/articulo/una-venezuela-prospera-y-democratica-fundamental-para-colombia/202600/_S07</t>
        </is>
      </c>
      <c r="C365" s="38" t="inlineStr">
        <is>
          <t>Semana</t>
        </is>
      </c>
      <c r="D365" s="38" t="inlineStr">
        <is>
          <t>Seguridad y orden público</t>
        </is>
      </c>
      <c r="E365" s="38" t="inlineStr">
        <is>
          <t>Opinión-análisis</t>
        </is>
      </c>
      <c r="F365" s="38" t="inlineStr">
        <is>
          <t>Fri, 04 Sep 2026 10:00:00 +0000</t>
        </is>
      </c>
      <c r="G365" s="62" t="inlineStr">
        <is>
          <t>En esas condiciones, a Colombia le interesa tener como vecina no solo a una Venezuela rica y floreciente, sino también democrática, aunque eso resulte más difícil, ya que gran parte de la vida republicana de la hermana república ha estado enmarcada dentro de gobiernos militares o sostenidos por ellos, incluso en gobiernos democráticos, en los que el estamento militar ha sido determinante.</t>
        </is>
      </c>
      <c r="H365" s="62" t="inlineStr">
        <is>
          <t>No solamente es el petróleo, sino el gas, el hierro, la bauxita, el acero, el coltán, las tierras raras y la energía eléctrica, para no hablar del oro y de algunos otros metales preciosos.</t>
        </is>
      </c>
      <c r="I365" s="62" t="inlineStr">
        <is>
          <t>A esa condición se ha acostumbrado la población, a la que además le gustan los militares, que son los que dicen la última palabra, incluso en asuntos que van desde la política exterior hasta el manejo de la economía.</t>
        </is>
      </c>
      <c r="J365" s="38" t="n"/>
      <c r="K365" s="62" t="n"/>
      <c r="L365" s="38" t="n"/>
      <c r="M365" s="62" t="n"/>
      <c r="N365" s="38" t="n"/>
      <c r="O365" s="62" t="n"/>
      <c r="P365" s="38" t="n"/>
      <c r="Q365" s="62" t="n"/>
      <c r="R365" s="38" t="n"/>
      <c r="S365" s="62" t="n"/>
      <c r="T365" s="38" t="n"/>
      <c r="U365" s="62" t="n"/>
      <c r="V365" s="38" t="n"/>
      <c r="W365" s="62" t="n"/>
      <c r="X365" s="38" t="n"/>
      <c r="Y365" s="62" t="n"/>
      <c r="Z365" s="38" t="n"/>
      <c r="AA365" s="62" t="n"/>
      <c r="AB365" s="38" t="n"/>
      <c r="AC365" s="62" t="n"/>
      <c r="AD365" s="38" t="n"/>
      <c r="AE365" s="38" t="n"/>
      <c r="AF365" s="61">
        <f>IF(COUNTIF($B$5:B365,B365)=1,1,0)</f>
        <v/>
      </c>
      <c r="AG365" s="62" t="inlineStr">
        <is>
          <t>https://www.semana.com/opinion/articulo/una-venezuela-prospera-y-democratica-fundamental-para-colombia/202600/</t>
        </is>
      </c>
    </row>
    <row r="366" ht="15" customHeight="1" s="31">
      <c r="A366" s="38" t="inlineStr">
        <is>
          <t>https://www.semana.com/opinion/articulo/una-venezuela-prospera-y-democratica-fundamental-para-colombia/202600/</t>
        </is>
      </c>
      <c r="B366" s="38" t="inlineStr">
        <is>
          <t>https://www.semana.com/opinion/articulo/una-venezuela-prospera-y-democratica-fundamental-para-colombia/202600/_S08</t>
        </is>
      </c>
      <c r="C366" s="38" t="inlineStr">
        <is>
          <t>Semana</t>
        </is>
      </c>
      <c r="D366" s="38" t="inlineStr">
        <is>
          <t>Seguridad y orden público</t>
        </is>
      </c>
      <c r="E366" s="38" t="inlineStr">
        <is>
          <t>Opinión-análisis</t>
        </is>
      </c>
      <c r="F366" s="38" t="inlineStr">
        <is>
          <t>Fri, 04 Sep 2026 10:00:00 +0000</t>
        </is>
      </c>
      <c r="G366" s="62" t="inlineStr">
        <is>
          <t>A esa condición se ha acostumbrado la población, a la que además le gustan los militares, que son los que dicen la última palabra, incluso en asuntos que van desde la política exterior hasta el manejo de la economía.</t>
        </is>
      </c>
      <c r="H366" s="62" t="inlineStr">
        <is>
          <t>En esas condiciones, a Colombia le interesa tener como vecina no solo a una Venezuela rica y floreciente, sino también democrática, aunque eso resulte más difícil, ya que gran parte de la vida republicana de la hermana república ha estado enmarcada dentro de gobiernos militares o sostenidos por ellos, incluso en gobiernos democráticos, en los que el estamento militar ha sido determinante.</t>
        </is>
      </c>
      <c r="I366" s="62" t="inlineStr">
        <is>
          <t>Sabiendo desde hace años que los delincuentes y los grupos armados colombianos consiguen refugio en Venezuela, es indispensable que su gobierno actúe decididamente para reprimirlos y coordine con Colombia acciones efectivas para lograrlo.</t>
        </is>
      </c>
      <c r="J366" s="38" t="n"/>
      <c r="K366" s="62" t="n"/>
      <c r="L366" s="38" t="n"/>
      <c r="M366" s="62" t="n"/>
      <c r="N366" s="38" t="n"/>
      <c r="O366" s="62" t="n"/>
      <c r="P366" s="38" t="n"/>
      <c r="Q366" s="62" t="n"/>
      <c r="R366" s="38" t="n"/>
      <c r="S366" s="62" t="n"/>
      <c r="T366" s="38" t="n"/>
      <c r="U366" s="62" t="n"/>
      <c r="V366" s="38" t="n"/>
      <c r="W366" s="62" t="n"/>
      <c r="X366" s="38" t="n"/>
      <c r="Y366" s="62" t="n"/>
      <c r="Z366" s="38" t="n"/>
      <c r="AA366" s="62" t="n"/>
      <c r="AB366" s="38" t="n"/>
      <c r="AC366" s="62" t="n"/>
      <c r="AD366" s="38" t="n"/>
      <c r="AE366" s="38" t="n"/>
      <c r="AF366" s="61">
        <f>IF(COUNTIF($B$5:B366,B366)=1,1,0)</f>
        <v/>
      </c>
      <c r="AG366" s="62" t="inlineStr">
        <is>
          <t>https://www.semana.com/opinion/articulo/una-venezuela-prospera-y-democratica-fundamental-para-colombia/202600/</t>
        </is>
      </c>
    </row>
    <row r="367" ht="15" customHeight="1" s="31">
      <c r="A367" s="38" t="inlineStr">
        <is>
          <t>https://www.semana.com/opinion/articulo/una-venezuela-prospera-y-democratica-fundamental-para-colombia/202600/</t>
        </is>
      </c>
      <c r="B367" s="38" t="inlineStr">
        <is>
          <t>https://www.semana.com/opinion/articulo/una-venezuela-prospera-y-democratica-fundamental-para-colombia/202600/_S09</t>
        </is>
      </c>
      <c r="C367" s="38" t="inlineStr">
        <is>
          <t>Semana</t>
        </is>
      </c>
      <c r="D367" s="38" t="inlineStr">
        <is>
          <t>Seguridad y orden público</t>
        </is>
      </c>
      <c r="E367" s="38" t="inlineStr">
        <is>
          <t>Opinión-análisis</t>
        </is>
      </c>
      <c r="F367" s="38" t="inlineStr">
        <is>
          <t>Fri, 04 Sep 2026 10:00:00 +0000</t>
        </is>
      </c>
      <c r="G367" s="62" t="inlineStr">
        <is>
          <t>Sabiendo desde hace años que los delincuentes y los grupos armados colombianos consiguen refugio en Venezuela, es indispensable que su gobierno actúe decididamente para reprimirlos y coordine con Colombia acciones efectivas para lograrlo.</t>
        </is>
      </c>
      <c r="H367" s="62" t="inlineStr">
        <is>
          <t>A esa condición se ha acostumbrado la población, a la que además le gustan los militares, que son los que dicen la última palabra, incluso en asuntos que van desde la política exterior hasta el manejo de la economía.</t>
        </is>
      </c>
      <c r="I367" s="62" t="inlineStr">
        <is>
          <t>Venezuela debe saber que Colombia nunca los invadirá, a pesar de que durante muchos años las Fuerzas Armadas venezolanas y algunos dirigentes políticos de ese país así lo preveían.</t>
        </is>
      </c>
      <c r="J367" s="38" t="n"/>
      <c r="K367" s="62" t="n"/>
      <c r="L367" s="38" t="n"/>
      <c r="M367" s="62" t="n"/>
      <c r="N367" s="38" t="n"/>
      <c r="O367" s="62" t="n"/>
      <c r="P367" s="38" t="n"/>
      <c r="Q367" s="62" t="n"/>
      <c r="R367" s="38" t="n"/>
      <c r="S367" s="62" t="n"/>
      <c r="T367" s="38" t="n"/>
      <c r="U367" s="62" t="n"/>
      <c r="V367" s="38" t="n"/>
      <c r="W367" s="62" t="n"/>
      <c r="X367" s="38" t="n"/>
      <c r="Y367" s="62" t="n"/>
      <c r="Z367" s="38" t="n"/>
      <c r="AA367" s="62" t="n"/>
      <c r="AB367" s="38" t="n"/>
      <c r="AC367" s="62" t="n"/>
      <c r="AD367" s="38" t="n"/>
      <c r="AE367" s="38" t="n"/>
      <c r="AF367" s="61">
        <f>IF(COUNTIF($B$5:B367,B367)=1,1,0)</f>
        <v/>
      </c>
      <c r="AG367" s="62" t="inlineStr">
        <is>
          <t>https://www.semana.com/opinion/articulo/una-venezuela-prospera-y-democratica-fundamental-para-colombia/202600/</t>
        </is>
      </c>
    </row>
    <row r="368" ht="15" customHeight="1" s="31">
      <c r="A368" s="38" t="inlineStr">
        <is>
          <t>https://www.semana.com/opinion/articulo/una-venezuela-prospera-y-democratica-fundamental-para-colombia/202600/</t>
        </is>
      </c>
      <c r="B368" s="38" t="inlineStr">
        <is>
          <t>https://www.semana.com/opinion/articulo/una-venezuela-prospera-y-democratica-fundamental-para-colombia/202600/_S10</t>
        </is>
      </c>
      <c r="C368" s="38" t="inlineStr">
        <is>
          <t>Semana</t>
        </is>
      </c>
      <c r="D368" s="38" t="inlineStr">
        <is>
          <t>Seguridad y orden público</t>
        </is>
      </c>
      <c r="E368" s="38" t="inlineStr">
        <is>
          <t>Opinión-análisis</t>
        </is>
      </c>
      <c r="F368" s="38" t="inlineStr">
        <is>
          <t>Fri, 04 Sep 2026 10:00:00 +0000</t>
        </is>
      </c>
      <c r="G368" s="62" t="inlineStr">
        <is>
          <t>Venezuela debe saber que Colombia nunca los invadirá, a pesar de que durante muchos años las Fuerzas Armadas venezolanas y algunos dirigentes políticos de ese país así lo preveían.</t>
        </is>
      </c>
      <c r="H368" s="62" t="inlineStr">
        <is>
          <t>Sabiendo desde hace años que los delincuentes y los grupos armados colombianos consiguen refugio en Venezuela, es indispensable que su gobierno actúe decididamente para reprimirlos y coordine con Colombia acciones efectivas para lograrlo.</t>
        </is>
      </c>
      <c r="I368" s="62" t="n"/>
      <c r="J368" s="38" t="n"/>
      <c r="K368" s="62" t="n"/>
      <c r="L368" s="38" t="n"/>
      <c r="M368" s="62" t="n"/>
      <c r="N368" s="38" t="n"/>
      <c r="O368" s="62" t="n"/>
      <c r="P368" s="38" t="n"/>
      <c r="Q368" s="62" t="n"/>
      <c r="R368" s="38" t="n"/>
      <c r="S368" s="62" t="n"/>
      <c r="T368" s="38" t="n"/>
      <c r="U368" s="62" t="n"/>
      <c r="V368" s="38" t="n"/>
      <c r="W368" s="62" t="n"/>
      <c r="X368" s="38" t="n"/>
      <c r="Y368" s="62" t="n"/>
      <c r="Z368" s="38" t="n"/>
      <c r="AA368" s="62" t="n"/>
      <c r="AB368" s="38" t="n"/>
      <c r="AC368" s="62" t="n"/>
      <c r="AD368" s="38" t="n"/>
      <c r="AE368" s="38" t="n"/>
      <c r="AF368" s="61">
        <f>IF(COUNTIF($B$5:B368,B368)=1,1,0)</f>
        <v/>
      </c>
      <c r="AG368" s="62" t="inlineStr">
        <is>
          <t>https://www.semana.com/opinion/articulo/una-venezuela-prospera-y-democratica-fundamental-para-colombia/202600/</t>
        </is>
      </c>
    </row>
    <row r="369" ht="15" customHeight="1" s="31">
      <c r="A369" s="38" t="inlineStr">
        <is>
          <t>https://www.eltiempo.com/economia/finanzas-personales/que-pasa-con-su-dinero-si-no-alcanza-a-cumplir-las-semanas-necesarias-para-pensionarse-consulte-que-hacer-si-esta-en-porvenir-o-colpensiones-3583613</t>
        </is>
      </c>
      <c r="B369" s="38" t="inlineStr">
        <is>
          <t>https://www.eltiempo.com/economia/finanzas-personales/que-pasa-con-su-dinero-si-no-alcanza-a-cumplir-las-semanas-necesarias-para-pensionarse-consulte-que-hacer-si-esta-en-porvenir-o-colpensiones-3583613_S01</t>
        </is>
      </c>
      <c r="C369" s="38" t="inlineStr">
        <is>
          <t>El Tiempo</t>
        </is>
      </c>
      <c r="D369" s="38" t="inlineStr">
        <is>
          <t>Reformas sociales en disputa (pensional/tributaria)</t>
        </is>
      </c>
      <c r="E369" s="38" t="inlineStr">
        <is>
          <t>Noticia dura</t>
        </is>
      </c>
      <c r="F369" s="38" t="inlineStr">
        <is>
          <t>2026-09-05T01:05:59-05:00</t>
        </is>
      </c>
      <c r="G369" s="62" t="inlineStr">
        <is>
          <t>Llegar a la edad de pensión no significa automáticamente que una persona vaya a recibir una mesada mensual.</t>
        </is>
      </c>
      <c r="H369" s="62" t="n"/>
      <c r="I369" s="62" t="inlineStr">
        <is>
          <t>Para pensionarse también debe cumplir determinadas condiciones, que dependen del régimen al que esté afiliado.</t>
        </is>
      </c>
      <c r="J369" s="38" t="n"/>
      <c r="K369" s="62" t="n"/>
      <c r="L369" s="38" t="n"/>
      <c r="M369" s="62" t="n"/>
      <c r="N369" s="38" t="n"/>
      <c r="O369" s="62" t="n"/>
      <c r="P369" s="38" t="n"/>
      <c r="Q369" s="62" t="n"/>
      <c r="R369" s="38" t="n"/>
      <c r="S369" s="62" t="n"/>
      <c r="T369" s="38" t="n"/>
      <c r="U369" s="62" t="n"/>
      <c r="V369" s="38" t="n"/>
      <c r="W369" s="62" t="n"/>
      <c r="X369" s="38" t="n"/>
      <c r="Y369" s="62" t="n"/>
      <c r="Z369" s="38" t="n"/>
      <c r="AA369" s="62" t="n"/>
      <c r="AB369" s="38" t="n"/>
      <c r="AC369" s="62" t="n"/>
      <c r="AD369" s="38" t="n"/>
      <c r="AE369" s="38" t="n"/>
      <c r="AF369" s="61">
        <f>IF(COUNTIF($B$5:B369,B369)=1,1,0)</f>
        <v/>
      </c>
      <c r="AG369" s="62" t="inlineStr">
        <is>
          <t>https://www.eltiempo.com/economia/finanzas-personales/que-pasa-con-su-dinero-si-no-alcanza-a-cumplir-las-semanas-necesarias-para-pensionarse-consulte-que-hacer-si-esta-en-porvenir-o-colpensiones-3583613</t>
        </is>
      </c>
    </row>
    <row r="370" ht="15" customHeight="1" s="31">
      <c r="A370" s="38" t="inlineStr">
        <is>
          <t>https://www.eltiempo.com/economia/finanzas-personales/que-pasa-con-su-dinero-si-no-alcanza-a-cumplir-las-semanas-necesarias-para-pensionarse-consulte-que-hacer-si-esta-en-porvenir-o-colpensiones-3583613</t>
        </is>
      </c>
      <c r="B370" s="38" t="inlineStr">
        <is>
          <t>https://www.eltiempo.com/economia/finanzas-personales/que-pasa-con-su-dinero-si-no-alcanza-a-cumplir-las-semanas-necesarias-para-pensionarse-consulte-que-hacer-si-esta-en-porvenir-o-colpensiones-3583613_S02</t>
        </is>
      </c>
      <c r="C370" s="38" t="inlineStr">
        <is>
          <t>El Tiempo</t>
        </is>
      </c>
      <c r="D370" s="38" t="inlineStr">
        <is>
          <t>Reformas sociales en disputa (pensional/tributaria)</t>
        </is>
      </c>
      <c r="E370" s="38" t="inlineStr">
        <is>
          <t>Noticia dura</t>
        </is>
      </c>
      <c r="F370" s="38" t="inlineStr">
        <is>
          <t>2026-09-05T01:05:59-05:00</t>
        </is>
      </c>
      <c r="G370" s="62" t="inlineStr">
        <is>
          <t>Para pensionarse también debe cumplir determinadas condiciones, que dependen del régimen al que esté afiliado.</t>
        </is>
      </c>
      <c r="H370" s="62" t="inlineStr">
        <is>
          <t>Llegar a la edad de pensión no significa automáticamente que una persona vaya a recibir una mesada mensual.</t>
        </is>
      </c>
      <c r="I370" s="62" t="n"/>
      <c r="J370" s="38" t="n"/>
      <c r="K370" s="62" t="n"/>
      <c r="L370" s="38" t="n"/>
      <c r="M370" s="62" t="n"/>
      <c r="N370" s="38" t="n"/>
      <c r="O370" s="62" t="n"/>
      <c r="P370" s="38" t="n"/>
      <c r="Q370" s="62" t="n"/>
      <c r="R370" s="38" t="n"/>
      <c r="S370" s="62" t="n"/>
      <c r="T370" s="38" t="n"/>
      <c r="U370" s="62" t="n"/>
      <c r="V370" s="38" t="n"/>
      <c r="W370" s="62" t="n"/>
      <c r="X370" s="38" t="n"/>
      <c r="Y370" s="62" t="n"/>
      <c r="Z370" s="38" t="n"/>
      <c r="AA370" s="62" t="n"/>
      <c r="AB370" s="38" t="n"/>
      <c r="AC370" s="62" t="n"/>
      <c r="AD370" s="38" t="n"/>
      <c r="AE370" s="38" t="n"/>
      <c r="AF370" s="61">
        <f>IF(COUNTIF($B$5:B370,B370)=1,1,0)</f>
        <v/>
      </c>
      <c r="AG370" s="62" t="inlineStr">
        <is>
          <t>https://www.eltiempo.com/economia/finanzas-personales/que-pasa-con-su-dinero-si-no-alcanza-a-cumplir-las-semanas-necesarias-para-pensionarse-consulte-que-hacer-si-esta-en-porvenir-o-colpensiones-3583613</t>
        </is>
      </c>
    </row>
    <row r="371" ht="15" customHeight="1" s="31">
      <c r="A371" s="38" t="inlineStr">
        <is>
          <t>https://www.eltiempo.com/opinion/columnistas/con-el-favor-de-dios-3582274</t>
        </is>
      </c>
      <c r="B371" s="38" t="inlineStr">
        <is>
          <t>https://www.eltiempo.com/opinion/columnistas/con-el-favor-de-dios-3582274_S01</t>
        </is>
      </c>
      <c r="C371" s="38" t="inlineStr">
        <is>
          <t>El Tiempo</t>
        </is>
      </c>
      <c r="D371" s="38" t="inlineStr">
        <is>
          <t>Respuesta a la emergencia del terremoto</t>
        </is>
      </c>
      <c r="E371" s="38" t="inlineStr">
        <is>
          <t>Opinión-análisis</t>
        </is>
      </c>
      <c r="F371" s="38" t="inlineStr">
        <is>
          <t>2026-08-30T23:15:00-05:00</t>
        </is>
      </c>
      <c r="G371" s="62" t="inlineStr">
        <is>
          <t>El pasado viernes, 29 de agosto, “se convocó”, (¿?) a través de las redes sociales, una “Velatón por las Víctimas del Terremoto, Jornada de Oración” en la plaza de Bolívar, que recomiendo ver en videos con el logo oficial de la Presidencia.</t>
        </is>
      </c>
      <c r="H371" s="62" t="n"/>
      <c r="I371" s="62" t="inlineStr">
        <is>
          <t>Si bien los objetivos de recoger fondos y “orar” por las víctimas son loables, cabe preguntarse quién está detrás de la voz pasiva de esa convocatoria, y de aquella romería performática, y qué rol juega cada personaje, desde los protagónicos hasta los secundarios.</t>
        </is>
      </c>
      <c r="J371" s="38" t="n"/>
      <c r="K371" s="62" t="n"/>
      <c r="L371" s="38" t="n"/>
      <c r="M371" s="62" t="n"/>
      <c r="N371" s="38" t="n"/>
      <c r="O371" s="62" t="n"/>
      <c r="P371" s="38" t="n"/>
      <c r="Q371" s="62" t="n"/>
      <c r="R371" s="38" t="n"/>
      <c r="S371" s="62" t="n"/>
      <c r="T371" s="38" t="n"/>
      <c r="U371" s="62" t="n"/>
      <c r="V371" s="38" t="n"/>
      <c r="W371" s="62" t="n"/>
      <c r="X371" s="38" t="n"/>
      <c r="Y371" s="62" t="n"/>
      <c r="Z371" s="38" t="n"/>
      <c r="AA371" s="62" t="n"/>
      <c r="AB371" s="38" t="n"/>
      <c r="AC371" s="62" t="n"/>
      <c r="AD371" s="38" t="n"/>
      <c r="AE371" s="38" t="n"/>
      <c r="AF371" s="61">
        <f>IF(COUNTIF($B$5:B371,B371)=1,1,0)</f>
        <v/>
      </c>
      <c r="AG371" s="62" t="inlineStr">
        <is>
          <t>https://www.eltiempo.com/opinion/columnistas/con-el-favor-de-dios-3582274</t>
        </is>
      </c>
    </row>
    <row r="372" ht="15" customHeight="1" s="31">
      <c r="A372" s="38" t="inlineStr">
        <is>
          <t>https://www.eltiempo.com/opinion/columnistas/con-el-favor-de-dios-3582274</t>
        </is>
      </c>
      <c r="B372" s="38" t="inlineStr">
        <is>
          <t>https://www.eltiempo.com/opinion/columnistas/con-el-favor-de-dios-3582274_S02</t>
        </is>
      </c>
      <c r="C372" s="38" t="inlineStr">
        <is>
          <t>El Tiempo</t>
        </is>
      </c>
      <c r="D372" s="38" t="inlineStr">
        <is>
          <t>Respuesta a la emergencia del terremoto</t>
        </is>
      </c>
      <c r="E372" s="38" t="inlineStr">
        <is>
          <t>Opinión-análisis</t>
        </is>
      </c>
      <c r="F372" s="38" t="inlineStr">
        <is>
          <t>2026-08-30T23:15:00-05:00</t>
        </is>
      </c>
      <c r="G372" s="62" t="inlineStr">
        <is>
          <t>Si bien los objetivos de recoger fondos y “orar” por las víctimas son loables, cabe preguntarse quién está detrás de la voz pasiva de esa convocatoria, y de aquella romería performática, y qué rol juega cada personaje, desde los protagónicos hasta los secundarios.</t>
        </is>
      </c>
      <c r="H372" s="62" t="inlineStr">
        <is>
          <t>El pasado viernes, 29 de agosto, “se convocó”, (¿?) a través de las redes sociales, una “Velatón por las Víctimas del Terremoto, Jornada de Oración” en la plaza de Bolívar, que recomiendo ver en videos con el logo oficial de la Presidencia.</t>
        </is>
      </c>
      <c r="I372" s="62" t="inlineStr">
        <is>
          <t>Y, como en toda puesta en escena hay una trama y un guion, y también un subtexto y unas referencias de culto, el episodio del viernes ya muestra los motivos centrales de la “batalla cultural” que seguramente serán desarrollados en sucesivas temporadas.</t>
        </is>
      </c>
      <c r="J372" s="38" t="n"/>
      <c r="K372" s="62" t="n"/>
      <c r="L372" s="38" t="n"/>
      <c r="M372" s="62" t="n"/>
      <c r="N372" s="38" t="n"/>
      <c r="O372" s="62" t="n"/>
      <c r="P372" s="38" t="n"/>
      <c r="Q372" s="62" t="n"/>
      <c r="R372" s="38" t="n"/>
      <c r="S372" s="62" t="n"/>
      <c r="T372" s="38" t="n"/>
      <c r="U372" s="62" t="n"/>
      <c r="V372" s="38" t="n"/>
      <c r="W372" s="62" t="n"/>
      <c r="X372" s="38" t="n"/>
      <c r="Y372" s="62" t="n"/>
      <c r="Z372" s="38" t="n"/>
      <c r="AA372" s="62" t="n"/>
      <c r="AB372" s="38" t="n"/>
      <c r="AC372" s="62" t="n"/>
      <c r="AD372" s="38" t="n"/>
      <c r="AE372" s="38" t="n"/>
      <c r="AF372" s="61">
        <f>IF(COUNTIF($B$5:B372,B372)=1,1,0)</f>
        <v/>
      </c>
      <c r="AG372" s="62" t="inlineStr">
        <is>
          <t>https://www.eltiempo.com/opinion/columnistas/con-el-favor-de-dios-3582274</t>
        </is>
      </c>
    </row>
    <row r="373" ht="15" customHeight="1" s="31">
      <c r="A373" s="38" t="inlineStr">
        <is>
          <t>https://www.eltiempo.com/opinion/columnistas/con-el-favor-de-dios-3582274</t>
        </is>
      </c>
      <c r="B373" s="38" t="inlineStr">
        <is>
          <t>https://www.eltiempo.com/opinion/columnistas/con-el-favor-de-dios-3582274_S03</t>
        </is>
      </c>
      <c r="C373" s="38" t="inlineStr">
        <is>
          <t>El Tiempo</t>
        </is>
      </c>
      <c r="D373" s="38" t="inlineStr">
        <is>
          <t>Respuesta a la emergencia del terremoto</t>
        </is>
      </c>
      <c r="E373" s="38" t="inlineStr">
        <is>
          <t>Opinión-análisis</t>
        </is>
      </c>
      <c r="F373" s="38" t="inlineStr">
        <is>
          <t>2026-08-30T23:15:00-05:00</t>
        </is>
      </c>
      <c r="G373" s="62" t="inlineStr">
        <is>
          <t>Y, como en toda puesta en escena hay una trama y un guion, y también un subtexto y unas referencias de culto, el episodio del viernes ya muestra los motivos centrales de la “batalla cultural” que seguramente serán desarrollados en sucesivas temporadas.</t>
        </is>
      </c>
      <c r="H373" s="62" t="inlineStr">
        <is>
          <t>Si bien los objetivos de recoger fondos y “orar” por las víctimas son loables, cabe preguntarse quién está detrás de la voz pasiva de esa convocatoria, y de aquella romería performática, y qué rol juega cada personaje, desde los protagónicos hasta los secundarios.</t>
        </is>
      </c>
      <c r="I373" s="62" t="inlineStr">
        <is>
          <t>Lo primero para decir es que el guion (de texto, imágenes y música) no es malo, para los objetivos que persigue, aunque tampoco es original.</t>
        </is>
      </c>
      <c r="J373" s="38" t="n"/>
      <c r="K373" s="62" t="n"/>
      <c r="L373" s="38" t="n"/>
      <c r="M373" s="62" t="n"/>
      <c r="N373" s="38" t="n"/>
      <c r="O373" s="62" t="n"/>
      <c r="P373" s="38" t="n"/>
      <c r="Q373" s="62" t="n"/>
      <c r="R373" s="38" t="n"/>
      <c r="S373" s="62" t="n"/>
      <c r="T373" s="38" t="n"/>
      <c r="U373" s="62" t="n"/>
      <c r="V373" s="38" t="n"/>
      <c r="W373" s="62" t="n"/>
      <c r="X373" s="38" t="n"/>
      <c r="Y373" s="62" t="n"/>
      <c r="Z373" s="38" t="n"/>
      <c r="AA373" s="62" t="n"/>
      <c r="AB373" s="38" t="n"/>
      <c r="AC373" s="62" t="n"/>
      <c r="AD373" s="38" t="n"/>
      <c r="AE373" s="38" t="n"/>
      <c r="AF373" s="61">
        <f>IF(COUNTIF($B$5:B373,B373)=1,1,0)</f>
        <v/>
      </c>
      <c r="AG373" s="62" t="inlineStr">
        <is>
          <t>https://www.eltiempo.com/opinion/columnistas/con-el-favor-de-dios-3582274</t>
        </is>
      </c>
    </row>
    <row r="374" ht="15" customHeight="1" s="31">
      <c r="A374" s="38" t="inlineStr">
        <is>
          <t>https://www.eltiempo.com/opinion/columnistas/con-el-favor-de-dios-3582274</t>
        </is>
      </c>
      <c r="B374" s="38" t="inlineStr">
        <is>
          <t>https://www.eltiempo.com/opinion/columnistas/con-el-favor-de-dios-3582274_S04</t>
        </is>
      </c>
      <c r="C374" s="38" t="inlineStr">
        <is>
          <t>El Tiempo</t>
        </is>
      </c>
      <c r="D374" s="38" t="inlineStr">
        <is>
          <t>Respuesta a la emergencia del terremoto</t>
        </is>
      </c>
      <c r="E374" s="38" t="inlineStr">
        <is>
          <t>Opinión-análisis</t>
        </is>
      </c>
      <c r="F374" s="38" t="inlineStr">
        <is>
          <t>2026-08-30T23:15:00-05:00</t>
        </is>
      </c>
      <c r="G374" s="62" t="inlineStr">
        <is>
          <t>Lo primero para decir es que el guion (de texto, imágenes y música) no es malo, para los objetivos que persigue, aunque tampoco es original.</t>
        </is>
      </c>
      <c r="H374" s="62" t="inlineStr">
        <is>
          <t>Y, como en toda puesta en escena hay una trama y un guion, y también un subtexto y unas referencias de culto, el episodio del viernes ya muestra los motivos centrales de la “batalla cultural” que seguramente serán desarrollados en sucesivas temporadas.</t>
        </is>
      </c>
      <c r="I374" s="62" t="inlineStr">
        <is>
          <t>Y lo segundo es que, a pesar de cierta obviedad, la paleta de colores del vestuario (primera dama/Virgen de Fátima) funciona bien, e incluso se refuerza con personajes secundarios como la esposa del Vicepresidente, puesta ahí, al parecer, para dar continuidad a un decorado pastel claro.</t>
        </is>
      </c>
      <c r="J374" s="38" t="n"/>
      <c r="K374" s="62" t="n"/>
      <c r="L374" s="38" t="n"/>
      <c r="M374" s="62" t="n"/>
      <c r="N374" s="38" t="n"/>
      <c r="O374" s="62" t="n"/>
      <c r="P374" s="38" t="n"/>
      <c r="Q374" s="62" t="n"/>
      <c r="R374" s="38" t="n"/>
      <c r="S374" s="62" t="n"/>
      <c r="T374" s="38" t="n"/>
      <c r="U374" s="62" t="n"/>
      <c r="V374" s="38" t="n"/>
      <c r="W374" s="62" t="n"/>
      <c r="X374" s="38" t="n"/>
      <c r="Y374" s="62" t="n"/>
      <c r="Z374" s="38" t="n"/>
      <c r="AA374" s="62" t="n"/>
      <c r="AB374" s="38" t="n"/>
      <c r="AC374" s="62" t="n"/>
      <c r="AD374" s="38" t="n"/>
      <c r="AE374" s="38" t="n"/>
      <c r="AF374" s="61">
        <f>IF(COUNTIF($B$5:B374,B374)=1,1,0)</f>
        <v/>
      </c>
      <c r="AG374" s="62" t="inlineStr">
        <is>
          <t>https://www.eltiempo.com/opinion/columnistas/con-el-favor-de-dios-3582274</t>
        </is>
      </c>
    </row>
    <row r="375" ht="15" customHeight="1" s="31">
      <c r="A375" s="38" t="inlineStr">
        <is>
          <t>https://www.eltiempo.com/opinion/columnistas/con-el-favor-de-dios-3582274</t>
        </is>
      </c>
      <c r="B375" s="38" t="inlineStr">
        <is>
          <t>https://www.eltiempo.com/opinion/columnistas/con-el-favor-de-dios-3582274_S05</t>
        </is>
      </c>
      <c r="C375" s="38" t="inlineStr">
        <is>
          <t>El Tiempo</t>
        </is>
      </c>
      <c r="D375" s="38" t="inlineStr">
        <is>
          <t>Respuesta a la emergencia del terremoto</t>
        </is>
      </c>
      <c r="E375" s="38" t="inlineStr">
        <is>
          <t>Opinión-análisis</t>
        </is>
      </c>
      <c r="F375" s="38" t="inlineStr">
        <is>
          <t>2026-08-30T23:15:00-05:00</t>
        </is>
      </c>
      <c r="G375" s="62" t="inlineStr">
        <is>
          <t>Y lo segundo es que, a pesar de cierta obviedad, la paleta de colores del vestuario (primera dama/Virgen de Fátima) funciona bien, e incluso se refuerza con personajes secundarios como la esposa del Vicepresidente, puesta ahí, al parecer, para dar continuidad a un decorado pastel claro.</t>
        </is>
      </c>
      <c r="H375" s="62" t="inlineStr">
        <is>
          <t>Lo primero para decir es que el guion (de texto, imágenes y música) no es malo, para los objetivos que persigue, aunque tampoco es original.</t>
        </is>
      </c>
      <c r="I375" s="62" t="inlineStr">
        <is>
          <t>Es un acierto también el orden de aparición de los “líderes interreligiosos”, como los llama la primera dama en su discurso de invocación.</t>
        </is>
      </c>
      <c r="J375" s="38" t="n"/>
      <c r="K375" s="62" t="n"/>
      <c r="L375" s="38" t="n"/>
      <c r="M375" s="62" t="n"/>
      <c r="N375" s="38" t="n"/>
      <c r="O375" s="62" t="n"/>
      <c r="P375" s="38" t="n"/>
      <c r="Q375" s="62" t="n"/>
      <c r="R375" s="38" t="n"/>
      <c r="S375" s="62" t="n"/>
      <c r="T375" s="38" t="n"/>
      <c r="U375" s="62" t="n"/>
      <c r="V375" s="38" t="n"/>
      <c r="W375" s="62" t="n"/>
      <c r="X375" s="38" t="n"/>
      <c r="Y375" s="62" t="n"/>
      <c r="Z375" s="38" t="n"/>
      <c r="AA375" s="62" t="n"/>
      <c r="AB375" s="38" t="n"/>
      <c r="AC375" s="62" t="n"/>
      <c r="AD375" s="38" t="n"/>
      <c r="AE375" s="38" t="n"/>
      <c r="AF375" s="61">
        <f>IF(COUNTIF($B$5:B375,B375)=1,1,0)</f>
        <v/>
      </c>
      <c r="AG375" s="62" t="inlineStr">
        <is>
          <t>https://www.eltiempo.com/opinion/columnistas/con-el-favor-de-dios-3582274</t>
        </is>
      </c>
    </row>
    <row r="376" ht="15" customHeight="1" s="31">
      <c r="A376" s="38" t="inlineStr">
        <is>
          <t>https://www.eltiempo.com/opinion/columnistas/con-el-favor-de-dios-3582274</t>
        </is>
      </c>
      <c r="B376" s="38" t="inlineStr">
        <is>
          <t>https://www.eltiempo.com/opinion/columnistas/con-el-favor-de-dios-3582274_S06</t>
        </is>
      </c>
      <c r="C376" s="38" t="inlineStr">
        <is>
          <t>El Tiempo</t>
        </is>
      </c>
      <c r="D376" s="38" t="inlineStr">
        <is>
          <t>Respuesta a la emergencia del terremoto</t>
        </is>
      </c>
      <c r="E376" s="38" t="inlineStr">
        <is>
          <t>Opinión-análisis</t>
        </is>
      </c>
      <c r="F376" s="38" t="inlineStr">
        <is>
          <t>2026-08-30T23:15:00-05:00</t>
        </is>
      </c>
      <c r="G376" s="62" t="inlineStr">
        <is>
          <t>Es un acierto también el orden de aparición de los “líderes interreligiosos”, como los llama la primera dama en su discurso de invocación.</t>
        </is>
      </c>
      <c r="H376" s="62" t="inlineStr">
        <is>
          <t>Y lo segundo es que, a pesar de cierta obviedad, la paleta de colores del vestuario (primera dama/Virgen de Fátima) funciona bien, e incluso se refuerza con personajes secundarios como la esposa del Vicepresidente, puesta ahí, al parecer, para dar continuidad a un decorado pastel claro.</t>
        </is>
      </c>
      <c r="I376" s="62" t="n"/>
      <c r="J376" s="38" t="n"/>
      <c r="K376" s="62" t="n"/>
      <c r="L376" s="38" t="n"/>
      <c r="M376" s="62" t="n"/>
      <c r="N376" s="38" t="n"/>
      <c r="O376" s="62" t="n"/>
      <c r="P376" s="38" t="n"/>
      <c r="Q376" s="62" t="n"/>
      <c r="R376" s="38" t="n"/>
      <c r="S376" s="62" t="n"/>
      <c r="T376" s="38" t="n"/>
      <c r="U376" s="62" t="n"/>
      <c r="V376" s="38" t="n"/>
      <c r="W376" s="62" t="n"/>
      <c r="X376" s="38" t="n"/>
      <c r="Y376" s="62" t="n"/>
      <c r="Z376" s="38" t="n"/>
      <c r="AA376" s="62" t="n"/>
      <c r="AB376" s="38" t="n"/>
      <c r="AC376" s="62" t="n"/>
      <c r="AD376" s="38" t="n"/>
      <c r="AE376" s="38" t="n"/>
      <c r="AF376" s="61">
        <f>IF(COUNTIF($B$5:B376,B376)=1,1,0)</f>
        <v/>
      </c>
      <c r="AG376" s="62" t="inlineStr">
        <is>
          <t>https://www.eltiempo.com/opinion/columnistas/con-el-favor-de-dios-3582274</t>
        </is>
      </c>
    </row>
    <row r="377" ht="15" customHeight="1" s="31">
      <c r="A377" s="38" t="inlineStr">
        <is>
          <t>https://www.elespectador.com/politica/gobierno-colombiano-solicito-a-rusia-y-ucrania-detener-el-reclutamiento-de-colombianos-para-su-guerra/</t>
        </is>
      </c>
      <c r="B377" s="38" t="inlineStr">
        <is>
          <t>https://www.elespectador.com/politica/gobierno-colombiano-solicito-a-rusia-y-ucrania-detener-el-reclutamiento-de-colombianos-para-su-guerra/_S01</t>
        </is>
      </c>
      <c r="C377" s="38" t="inlineStr">
        <is>
          <t>El Espectador</t>
        </is>
      </c>
      <c r="D377" s="38" t="inlineStr">
        <is>
          <t>Transición de gobierno y relación con la oposición</t>
        </is>
      </c>
      <c r="E377" s="38" t="inlineStr">
        <is>
          <t>Noticia dura</t>
        </is>
      </c>
      <c r="F377" s="38" t="inlineStr">
        <is>
          <t>Sat, 05 Sep 2026 23:46:44 +0000</t>
        </is>
      </c>
      <c r="G377" s="62" t="inlineStr">
        <is>
          <t>En medio del conflicto entre Rusia y Ucrania que lleva más de cuatro años y donde cientos de colombianos se han convertido en alfiles de su guerra, el Ministerio de Relaciones Exteriores de Colombia le solicitó a ambos países que cesen toda vinculación de ciudadanos colombianos a sus fuerzas armadas.</t>
        </is>
      </c>
      <c r="H377" s="62" t="n"/>
      <c r="I377" s="62" t="inlineStr">
        <is>
          <t>“Colombia no apoya, incentiva ni autoriza la participación de ciudadanos colombianos en conflictos armados internacionales”, señaló la Cancillería.</t>
        </is>
      </c>
      <c r="J377" s="38" t="n"/>
      <c r="K377" s="62" t="n"/>
      <c r="L377" s="38" t="n"/>
      <c r="M377" s="62" t="n"/>
      <c r="N377" s="38" t="n"/>
      <c r="O377" s="62" t="n"/>
      <c r="P377" s="38" t="n"/>
      <c r="Q377" s="62" t="n"/>
      <c r="R377" s="38" t="n"/>
      <c r="S377" s="62" t="n"/>
      <c r="T377" s="38" t="n"/>
      <c r="U377" s="62" t="n"/>
      <c r="V377" s="38" t="n"/>
      <c r="W377" s="62" t="n"/>
      <c r="X377" s="38" t="n"/>
      <c r="Y377" s="62" t="n"/>
      <c r="Z377" s="38" t="n"/>
      <c r="AA377" s="62" t="n"/>
      <c r="AB377" s="38" t="n"/>
      <c r="AC377" s="62" t="n"/>
      <c r="AD377" s="38" t="n"/>
      <c r="AE377" s="38" t="n"/>
      <c r="AF377" s="61">
        <f>IF(COUNTIF($B$5:B377,B377)=1,1,0)</f>
        <v/>
      </c>
      <c r="AG377" s="62" t="inlineStr">
        <is>
          <t>https://www.elespectador.com/politica/gobierno-colombiano-solicito-a-rusia-y-ucrania-detener-el-reclutamiento-de-colombianos-para-su-guerra/</t>
        </is>
      </c>
    </row>
    <row r="378" ht="15" customHeight="1" s="31">
      <c r="A378" s="38" t="inlineStr">
        <is>
          <t>https://www.elespectador.com/politica/gobierno-colombiano-solicito-a-rusia-y-ucrania-detener-el-reclutamiento-de-colombianos-para-su-guerra/</t>
        </is>
      </c>
      <c r="B378" s="38" t="inlineStr">
        <is>
          <t>https://www.elespectador.com/politica/gobierno-colombiano-solicito-a-rusia-y-ucrania-detener-el-reclutamiento-de-colombianos-para-su-guerra/_S02</t>
        </is>
      </c>
      <c r="C378" s="38" t="inlineStr">
        <is>
          <t>El Espectador</t>
        </is>
      </c>
      <c r="D378" s="38" t="inlineStr">
        <is>
          <t>Transición de gobierno y relación con la oposición</t>
        </is>
      </c>
      <c r="E378" s="38" t="inlineStr">
        <is>
          <t>Noticia dura</t>
        </is>
      </c>
      <c r="F378" s="38" t="inlineStr">
        <is>
          <t>Sat, 05 Sep 2026 23:46:44 +0000</t>
        </is>
      </c>
      <c r="G378" s="62" t="inlineStr">
        <is>
          <t>“Colombia no apoya, incentiva ni autoriza la participación de ciudadanos colombianos en conflictos armados internacionales”, señaló la Cancillería.</t>
        </is>
      </c>
      <c r="H378" s="62" t="inlineStr">
        <is>
          <t>En medio del conflicto entre Rusia y Ucrania que lleva más de cuatro años y donde cientos de colombianos se han convertido en alfiles de su guerra, el Ministerio de Relaciones Exteriores de Colombia le solicitó a ambos países que cesen toda vinculación de ciudadanos colombianos a sus fuerzas armadas.</t>
        </is>
      </c>
      <c r="I378" s="62" t="inlineStr">
        <is>
          <t>Le recomendamos: Detrás de las UTL de los congresistas: estas son las redes de varios políticos</t>
        </is>
      </c>
      <c r="J378" s="38" t="n"/>
      <c r="K378" s="62" t="n"/>
      <c r="L378" s="38" t="n"/>
      <c r="M378" s="62" t="n"/>
      <c r="N378" s="38" t="n"/>
      <c r="O378" s="62" t="n"/>
      <c r="P378" s="38" t="n"/>
      <c r="Q378" s="62" t="n"/>
      <c r="R378" s="38" t="n"/>
      <c r="S378" s="62" t="n"/>
      <c r="T378" s="38" t="n"/>
      <c r="U378" s="62" t="n"/>
      <c r="V378" s="38" t="n"/>
      <c r="W378" s="62" t="n"/>
      <c r="X378" s="38" t="n"/>
      <c r="Y378" s="62" t="n"/>
      <c r="Z378" s="38" t="n"/>
      <c r="AA378" s="62" t="n"/>
      <c r="AB378" s="38" t="n"/>
      <c r="AC378" s="62" t="n"/>
      <c r="AD378" s="38" t="n"/>
      <c r="AE378" s="38" t="n"/>
      <c r="AF378" s="61">
        <f>IF(COUNTIF($B$5:B378,B378)=1,1,0)</f>
        <v/>
      </c>
      <c r="AG378" s="62" t="inlineStr">
        <is>
          <t>https://www.elespectador.com/politica/gobierno-colombiano-solicito-a-rusia-y-ucrania-detener-el-reclutamiento-de-colombianos-para-su-guerra/</t>
        </is>
      </c>
    </row>
    <row r="379" ht="15" customHeight="1" s="31">
      <c r="A379" s="38" t="inlineStr">
        <is>
          <t>https://www.elespectador.com/politica/gobierno-colombiano-solicito-a-rusia-y-ucrania-detener-el-reclutamiento-de-colombianos-para-su-guerra/</t>
        </is>
      </c>
      <c r="B379" s="38" t="inlineStr">
        <is>
          <t>https://www.elespectador.com/politica/gobierno-colombiano-solicito-a-rusia-y-ucrania-detener-el-reclutamiento-de-colombianos-para-su-guerra/_S03</t>
        </is>
      </c>
      <c r="C379" s="38" t="inlineStr">
        <is>
          <t>El Espectador</t>
        </is>
      </c>
      <c r="D379" s="38" t="inlineStr">
        <is>
          <t>Transición de gobierno y relación con la oposición</t>
        </is>
      </c>
      <c r="E379" s="38" t="inlineStr">
        <is>
          <t>Noticia dura</t>
        </is>
      </c>
      <c r="F379" s="38" t="inlineStr">
        <is>
          <t>Sat, 05 Sep 2026 23:46:44 +0000</t>
        </is>
      </c>
      <c r="G379" s="62" t="inlineStr">
        <is>
          <t>Le recomendamos: Detrás de las UTL de los congresistas: estas son las redes de varios políticos</t>
        </is>
      </c>
      <c r="H379" s="62" t="inlineStr">
        <is>
          <t>“Colombia no apoya, incentiva ni autoriza la participación de ciudadanos colombianos en conflictos armados internacionales”, señaló la Cancillería.</t>
        </is>
      </c>
      <c r="I379" s="62" t="inlineStr">
        <is>
          <t>A septiembre de 2026, la Cancillería registró 863 solicitudes de asistencia consular relacionadas con connacionales en Ucrania y 890 relacionadas con connacionales en la Federación de Rusia.</t>
        </is>
      </c>
      <c r="J379" s="38" t="n"/>
      <c r="K379" s="62" t="n"/>
      <c r="L379" s="38" t="n"/>
      <c r="M379" s="62" t="n"/>
      <c r="N379" s="38" t="n"/>
      <c r="O379" s="62" t="n"/>
      <c r="P379" s="38" t="n"/>
      <c r="Q379" s="62" t="n"/>
      <c r="R379" s="38" t="n"/>
      <c r="S379" s="62" t="n"/>
      <c r="T379" s="38" t="n"/>
      <c r="U379" s="62" t="n"/>
      <c r="V379" s="38" t="n"/>
      <c r="W379" s="62" t="n"/>
      <c r="X379" s="38" t="n"/>
      <c r="Y379" s="62" t="n"/>
      <c r="Z379" s="38" t="n"/>
      <c r="AA379" s="62" t="n"/>
      <c r="AB379" s="38" t="n"/>
      <c r="AC379" s="62" t="n"/>
      <c r="AD379" s="38" t="n"/>
      <c r="AE379" s="38" t="n"/>
      <c r="AF379" s="61">
        <f>IF(COUNTIF($B$5:B379,B379)=1,1,0)</f>
        <v/>
      </c>
      <c r="AG379" s="62" t="inlineStr">
        <is>
          <t>https://www.elespectador.com/politica/gobierno-colombiano-solicito-a-rusia-y-ucrania-detener-el-reclutamiento-de-colombianos-para-su-guerra/</t>
        </is>
      </c>
    </row>
    <row r="380" ht="15" customHeight="1" s="31">
      <c r="A380" s="38" t="inlineStr">
        <is>
          <t>https://www.elespectador.com/politica/gobierno-colombiano-solicito-a-rusia-y-ucrania-detener-el-reclutamiento-de-colombianos-para-su-guerra/</t>
        </is>
      </c>
      <c r="B380" s="38" t="inlineStr">
        <is>
          <t>https://www.elespectador.com/politica/gobierno-colombiano-solicito-a-rusia-y-ucrania-detener-el-reclutamiento-de-colombianos-para-su-guerra/_S04</t>
        </is>
      </c>
      <c r="C380" s="38" t="inlineStr">
        <is>
          <t>El Espectador</t>
        </is>
      </c>
      <c r="D380" s="38" t="inlineStr">
        <is>
          <t>Transición de gobierno y relación con la oposición</t>
        </is>
      </c>
      <c r="E380" s="38" t="inlineStr">
        <is>
          <t>Noticia dura</t>
        </is>
      </c>
      <c r="F380" s="38" t="inlineStr">
        <is>
          <t>Sat, 05 Sep 2026 23:46:44 +0000</t>
        </is>
      </c>
      <c r="G380" s="62" t="inlineStr">
        <is>
          <t>A septiembre de 2026, la Cancillería registró 863 solicitudes de asistencia consular relacionadas con connacionales en Ucrania y 890 relacionadas con connacionales en la Federación de Rusia.</t>
        </is>
      </c>
      <c r="H380" s="62" t="inlineStr">
        <is>
          <t>Le recomendamos: Detrás de las UTL de los congresistas: estas son las redes de varios políticos</t>
        </is>
      </c>
      <c r="I380" s="62" t="inlineStr">
        <is>
          <t>Estas solicitudes corresponden a diferentes situaciones, entre ellas ciudadanos fallecidos cuyos restos han sido repatriados o sepultados en el exterior por decisión de sus familias; casos en proceso de repatriación; connacionales declarados desaparecidos en combate por las autoridades competentes; personas reportadas como desaparecidas por sus familiares sin confirmación oficial; y ciudadanos detenidos, tanto en casos confirmados por las autoridades como en aquellos reportados por sus familiares.</t>
        </is>
      </c>
      <c r="J380" s="38" t="n"/>
      <c r="K380" s="62" t="n"/>
      <c r="L380" s="38" t="n"/>
      <c r="M380" s="62" t="n"/>
      <c r="N380" s="38" t="n"/>
      <c r="O380" s="62" t="n"/>
      <c r="P380" s="38" t="n"/>
      <c r="Q380" s="62" t="n"/>
      <c r="R380" s="38" t="n"/>
      <c r="S380" s="62" t="n"/>
      <c r="T380" s="38" t="n"/>
      <c r="U380" s="62" t="n"/>
      <c r="V380" s="38" t="n"/>
      <c r="W380" s="62" t="n"/>
      <c r="X380" s="38" t="n"/>
      <c r="Y380" s="62" t="n"/>
      <c r="Z380" s="38" t="n"/>
      <c r="AA380" s="62" t="n"/>
      <c r="AB380" s="38" t="n"/>
      <c r="AC380" s="62" t="n"/>
      <c r="AD380" s="38" t="n"/>
      <c r="AE380" s="38" t="n"/>
      <c r="AF380" s="61">
        <f>IF(COUNTIF($B$5:B380,B380)=1,1,0)</f>
        <v/>
      </c>
      <c r="AG380" s="62" t="inlineStr">
        <is>
          <t>https://www.elespectador.com/politica/gobierno-colombiano-solicito-a-rusia-y-ucrania-detener-el-reclutamiento-de-colombianos-para-su-guerra/</t>
        </is>
      </c>
    </row>
    <row r="381" ht="15" customHeight="1" s="31">
      <c r="A381" s="38" t="inlineStr">
        <is>
          <t>https://www.elespectador.com/politica/gobierno-colombiano-solicito-a-rusia-y-ucrania-detener-el-reclutamiento-de-colombianos-para-su-guerra/</t>
        </is>
      </c>
      <c r="B381" s="38" t="inlineStr">
        <is>
          <t>https://www.elespectador.com/politica/gobierno-colombiano-solicito-a-rusia-y-ucrania-detener-el-reclutamiento-de-colombianos-para-su-guerra/_S05</t>
        </is>
      </c>
      <c r="C381" s="38" t="inlineStr">
        <is>
          <t>El Espectador</t>
        </is>
      </c>
      <c r="D381" s="38" t="inlineStr">
        <is>
          <t>Transición de gobierno y relación con la oposición</t>
        </is>
      </c>
      <c r="E381" s="38" t="inlineStr">
        <is>
          <t>Noticia dura</t>
        </is>
      </c>
      <c r="F381" s="38" t="inlineStr">
        <is>
          <t>Sat, 05 Sep 2026 23:46:44 +0000</t>
        </is>
      </c>
      <c r="G381" s="62" t="inlineStr">
        <is>
          <t>Estas solicitudes corresponden a diferentes situaciones, entre ellas ciudadanos fallecidos cuyos restos han sido repatriados o sepultados en el exterior por decisión de sus familias; casos en proceso de repatriación; connacionales declarados desaparecidos en combate por las autoridades competentes; personas reportadas como desaparecidas por sus familiares sin confirmación oficial; y ciudadanos detenidos, tanto en casos confirmados por las autoridades como en aquellos reportados por sus familiares.</t>
        </is>
      </c>
      <c r="H381" s="62" t="inlineStr">
        <is>
          <t>A septiembre de 2026, la Cancillería registró 863 solicitudes de asistencia consular relacionadas con connacionales en Ucrania y 890 relacionadas con connacionales en la Federación de Rusia.</t>
        </is>
      </c>
      <c r="I381" s="62" t="inlineStr">
        <is>
          <t>Esta petición a ambas naciones enviada por la Cancillería ocurre en medio de las acciones diplomáticas, consulares y preventivas frente al reclutamiento de connacionales para participar en conflictos armados en el extranjero.</t>
        </is>
      </c>
      <c r="J381" s="38" t="n"/>
      <c r="K381" s="62" t="n"/>
      <c r="L381" s="38" t="n"/>
      <c r="M381" s="62" t="n"/>
      <c r="N381" s="38" t="n"/>
      <c r="O381" s="62" t="n"/>
      <c r="P381" s="38" t="n"/>
      <c r="Q381" s="62" t="n"/>
      <c r="R381" s="38" t="n"/>
      <c r="S381" s="62" t="n"/>
      <c r="T381" s="38" t="n"/>
      <c r="U381" s="62" t="n"/>
      <c r="V381" s="38" t="n"/>
      <c r="W381" s="62" t="n"/>
      <c r="X381" s="38" t="n"/>
      <c r="Y381" s="62" t="n"/>
      <c r="Z381" s="38" t="n"/>
      <c r="AA381" s="62" t="n"/>
      <c r="AB381" s="38" t="n"/>
      <c r="AC381" s="62" t="n"/>
      <c r="AD381" s="38" t="n"/>
      <c r="AE381" s="38" t="n"/>
      <c r="AF381" s="61">
        <f>IF(COUNTIF($B$5:B381,B381)=1,1,0)</f>
        <v/>
      </c>
      <c r="AG381" s="62" t="inlineStr">
        <is>
          <t>https://www.elespectador.com/politica/gobierno-colombiano-solicito-a-rusia-y-ucrania-detener-el-reclutamiento-de-colombianos-para-su-guerra/</t>
        </is>
      </c>
    </row>
    <row r="382" ht="15" customHeight="1" s="31">
      <c r="A382" s="38" t="inlineStr">
        <is>
          <t>https://www.elespectador.com/politica/gobierno-colombiano-solicito-a-rusia-y-ucrania-detener-el-reclutamiento-de-colombianos-para-su-guerra/</t>
        </is>
      </c>
      <c r="B382" s="38" t="inlineStr">
        <is>
          <t>https://www.elespectador.com/politica/gobierno-colombiano-solicito-a-rusia-y-ucrania-detener-el-reclutamiento-de-colombianos-para-su-guerra/_S06</t>
        </is>
      </c>
      <c r="C382" s="38" t="inlineStr">
        <is>
          <t>El Espectador</t>
        </is>
      </c>
      <c r="D382" s="38" t="inlineStr">
        <is>
          <t>Transición de gobierno y relación con la oposición</t>
        </is>
      </c>
      <c r="E382" s="38" t="inlineStr">
        <is>
          <t>Noticia dura</t>
        </is>
      </c>
      <c r="F382" s="38" t="inlineStr">
        <is>
          <t>Sat, 05 Sep 2026 23:46:44 +0000</t>
        </is>
      </c>
      <c r="G382" s="62" t="inlineStr">
        <is>
          <t>Esta petición a ambas naciones enviada por la Cancillería ocurre en medio de las acciones diplomáticas, consulares y preventivas frente al reclutamiento de connacionales para participar en conflictos armados en el extranjero.</t>
        </is>
      </c>
      <c r="H382" s="62" t="inlineStr">
        <is>
          <t>Estas solicitudes corresponden a diferentes situaciones, entre ellas ciudadanos fallecidos cuyos restos han sido repatriados o sepultados en el exterior por decisión de sus familias; casos en proceso de repatriación; connacionales declarados desaparecidos en combate por las autoridades competentes; personas reportadas como desaparecidas por sus familiares sin confirmación oficial; y ciudadanos detenidos, tanto en casos confirmados por las autoridades como en aquellos reportados por sus familiares.</t>
        </is>
      </c>
      <c r="I382" s="62" t="n"/>
      <c r="J382" s="38" t="n"/>
      <c r="K382" s="62" t="n"/>
      <c r="L382" s="38" t="n"/>
      <c r="M382" s="62" t="n"/>
      <c r="N382" s="38" t="n"/>
      <c r="O382" s="62" t="n"/>
      <c r="P382" s="38" t="n"/>
      <c r="Q382" s="62" t="n"/>
      <c r="R382" s="38" t="n"/>
      <c r="S382" s="62" t="n"/>
      <c r="T382" s="38" t="n"/>
      <c r="U382" s="62" t="n"/>
      <c r="V382" s="38" t="n"/>
      <c r="W382" s="62" t="n"/>
      <c r="X382" s="38" t="n"/>
      <c r="Y382" s="62" t="n"/>
      <c r="Z382" s="38" t="n"/>
      <c r="AA382" s="62" t="n"/>
      <c r="AB382" s="38" t="n"/>
      <c r="AC382" s="62" t="n"/>
      <c r="AD382" s="38" t="n"/>
      <c r="AE382" s="38" t="n"/>
      <c r="AF382" s="61">
        <f>IF(COUNTIF($B$5:B382,B382)=1,1,0)</f>
        <v/>
      </c>
      <c r="AG382" s="62" t="inlineStr">
        <is>
          <t>https://www.elespectador.com/politica/gobierno-colombiano-solicito-a-rusia-y-ucrania-detener-el-reclutamiento-de-colombianos-para-su-guerra/</t>
        </is>
      </c>
    </row>
    <row r="383" ht="15" customHeight="1" s="31">
      <c r="A383" s="38" t="inlineStr">
        <is>
          <t>https://www.elespectador.com/politica/avianca-confirma-que-cancelo-tiquetes-de-petro-a-mexico-esto-dijo-el-expresidente/</t>
        </is>
      </c>
      <c r="B383" s="38" t="inlineStr">
        <is>
          <t>https://www.elespectador.com/politica/avianca-confirma-que-cancelo-tiquetes-de-petro-a-mexico-esto-dijo-el-expresidente/_S01</t>
        </is>
      </c>
      <c r="C383" s="38" t="inlineStr">
        <is>
          <t>El Espectador</t>
        </is>
      </c>
      <c r="D383" s="38" t="inlineStr">
        <is>
          <t>Relación con Estados Unidos</t>
        </is>
      </c>
      <c r="E383" s="38" t="inlineStr">
        <is>
          <t>Noticia dura</t>
        </is>
      </c>
      <c r="F383" s="38" t="inlineStr">
        <is>
          <t>Fri, 04 Sep 2026 23:58:00 +0000</t>
        </is>
      </c>
      <c r="G383" s="62" t="inlineStr">
        <is>
          <t>La aerolínea Avianca confirmó que canceló los tiquetes adquiridos por el expresidente Gustavo Petro para su viaje a México debido a que está incluido en la lista OFAC.</t>
        </is>
      </c>
      <c r="H383" s="62" t="n"/>
      <c r="I383" s="62" t="inlineStr">
        <is>
          <t>El expresidente les respondió.</t>
        </is>
      </c>
      <c r="J383" s="38" t="n"/>
      <c r="K383" s="62" t="n"/>
      <c r="L383" s="38" t="n"/>
      <c r="M383" s="62" t="n"/>
      <c r="N383" s="38" t="n"/>
      <c r="O383" s="62" t="n"/>
      <c r="P383" s="38" t="n"/>
      <c r="Q383" s="62" t="n"/>
      <c r="R383" s="38" t="n"/>
      <c r="S383" s="62" t="n"/>
      <c r="T383" s="38" t="n"/>
      <c r="U383" s="62" t="n"/>
      <c r="V383" s="38" t="n"/>
      <c r="W383" s="62" t="n"/>
      <c r="X383" s="38" t="n"/>
      <c r="Y383" s="62" t="n"/>
      <c r="Z383" s="38" t="n"/>
      <c r="AA383" s="62" t="n"/>
      <c r="AB383" s="38" t="n"/>
      <c r="AC383" s="62" t="n"/>
      <c r="AD383" s="38" t="n"/>
      <c r="AE383" s="38" t="n"/>
      <c r="AF383" s="61">
        <f>IF(COUNTIF($B$5:B383,B383)=1,1,0)</f>
        <v/>
      </c>
      <c r="AG383" s="62" t="inlineStr">
        <is>
          <t>https://www.elespectador.com/politica/avianca-confirma-que-cancelo-tiquetes-de-petro-a-mexico-esto-dijo-el-expresidente/</t>
        </is>
      </c>
    </row>
    <row r="384" ht="15" customHeight="1" s="31">
      <c r="A384" s="38" t="inlineStr">
        <is>
          <t>https://www.elespectador.com/politica/avianca-confirma-que-cancelo-tiquetes-de-petro-a-mexico-esto-dijo-el-expresidente/</t>
        </is>
      </c>
      <c r="B384" s="38" t="inlineStr">
        <is>
          <t>https://www.elespectador.com/politica/avianca-confirma-que-cancelo-tiquetes-de-petro-a-mexico-esto-dijo-el-expresidente/_S02</t>
        </is>
      </c>
      <c r="C384" s="38" t="inlineStr">
        <is>
          <t>El Espectador</t>
        </is>
      </c>
      <c r="D384" s="38" t="inlineStr">
        <is>
          <t>Relación con Estados Unidos</t>
        </is>
      </c>
      <c r="E384" s="38" t="inlineStr">
        <is>
          <t>Noticia dura</t>
        </is>
      </c>
      <c r="F384" s="38" t="inlineStr">
        <is>
          <t>Fri, 04 Sep 2026 23:58:00 +0000</t>
        </is>
      </c>
      <c r="G384" s="62" t="inlineStr">
        <is>
          <t>El expresidente les respondió.</t>
        </is>
      </c>
      <c r="H384" s="62" t="inlineStr">
        <is>
          <t>La aerolínea Avianca confirmó que canceló los tiquetes adquiridos por el expresidente Gustavo Petro para su viaje a México debido a que está incluido en la lista OFAC.</t>
        </is>
      </c>
      <c r="I384" s="62" t="inlineStr">
        <is>
          <t>Avianca aseguró que al ser una aerolínea colombiana que opera en territorio estadounidense y “realiza de forma permanente transacciones con su sistema financiero”, se encuentra sujeta a “las regulaciones de sanciones económicas administradas por la Oficina de Control de Activos Extranjeros (OFAC por sus siglas en inglés) del Departamento del Tesoro de los Estados Unidos de América”.</t>
        </is>
      </c>
      <c r="J384" s="38" t="n"/>
      <c r="K384" s="62" t="n"/>
      <c r="L384" s="38" t="n"/>
      <c r="M384" s="62" t="n"/>
      <c r="N384" s="38" t="n"/>
      <c r="O384" s="62" t="n"/>
      <c r="P384" s="38" t="n"/>
      <c r="Q384" s="62" t="n"/>
      <c r="R384" s="38" t="n"/>
      <c r="S384" s="62" t="n"/>
      <c r="T384" s="38" t="n"/>
      <c r="U384" s="62" t="n"/>
      <c r="V384" s="38" t="n"/>
      <c r="W384" s="62" t="n"/>
      <c r="X384" s="38" t="n"/>
      <c r="Y384" s="62" t="n"/>
      <c r="Z384" s="38" t="n"/>
      <c r="AA384" s="62" t="n"/>
      <c r="AB384" s="38" t="n"/>
      <c r="AC384" s="62" t="n"/>
      <c r="AD384" s="38" t="n"/>
      <c r="AE384" s="38" t="n"/>
      <c r="AF384" s="61">
        <f>IF(COUNTIF($B$5:B384,B384)=1,1,0)</f>
        <v/>
      </c>
      <c r="AG384" s="62" t="inlineStr">
        <is>
          <t>https://www.elespectador.com/politica/avianca-confirma-que-cancelo-tiquetes-de-petro-a-mexico-esto-dijo-el-expresidente/</t>
        </is>
      </c>
    </row>
    <row r="385" ht="15" customHeight="1" s="31">
      <c r="A385" s="38" t="inlineStr">
        <is>
          <t>https://www.elespectador.com/politica/avianca-confirma-que-cancelo-tiquetes-de-petro-a-mexico-esto-dijo-el-expresidente/</t>
        </is>
      </c>
      <c r="B385" s="38" t="inlineStr">
        <is>
          <t>https://www.elespectador.com/politica/avianca-confirma-que-cancelo-tiquetes-de-petro-a-mexico-esto-dijo-el-expresidente/_S03</t>
        </is>
      </c>
      <c r="C385" s="38" t="inlineStr">
        <is>
          <t>El Espectador</t>
        </is>
      </c>
      <c r="D385" s="38" t="inlineStr">
        <is>
          <t>Relación con Estados Unidos</t>
        </is>
      </c>
      <c r="E385" s="38" t="inlineStr">
        <is>
          <t>Noticia dura</t>
        </is>
      </c>
      <c r="F385" s="38" t="inlineStr">
        <is>
          <t>Fri, 04 Sep 2026 23:58:00 +0000</t>
        </is>
      </c>
      <c r="G385" s="62" t="inlineStr">
        <is>
          <t>Avianca aseguró que al ser una aerolínea colombiana que opera en territorio estadounidense y “realiza de forma permanente transacciones con su sistema financiero”, se encuentra sujeta a “las regulaciones de sanciones económicas administradas por la Oficina de Control de Activos Extranjeros (OFAC por sus siglas en inglés) del Departamento del Tesoro de los Estados Unidos de América”.</t>
        </is>
      </c>
      <c r="H385" s="62" t="inlineStr">
        <is>
          <t>El expresidente les respondió.</t>
        </is>
      </c>
      <c r="I385" s="62" t="inlineStr">
        <is>
          <t>Lea: Gobernadores se reunieron con presidente De la Espriella y elevaron peticiones regionales</t>
        </is>
      </c>
      <c r="J385" s="38" t="n"/>
      <c r="K385" s="62" t="n"/>
      <c r="L385" s="38" t="n"/>
      <c r="M385" s="62" t="n"/>
      <c r="N385" s="38" t="n"/>
      <c r="O385" s="62" t="n"/>
      <c r="P385" s="38" t="n"/>
      <c r="Q385" s="62" t="n"/>
      <c r="R385" s="38" t="n"/>
      <c r="S385" s="62" t="n"/>
      <c r="T385" s="38" t="n"/>
      <c r="U385" s="62" t="n"/>
      <c r="V385" s="38" t="n"/>
      <c r="W385" s="62" t="n"/>
      <c r="X385" s="38" t="n"/>
      <c r="Y385" s="62" t="n"/>
      <c r="Z385" s="38" t="n"/>
      <c r="AA385" s="62" t="n"/>
      <c r="AB385" s="38" t="n"/>
      <c r="AC385" s="62" t="n"/>
      <c r="AD385" s="38" t="n"/>
      <c r="AE385" s="38" t="n"/>
      <c r="AF385" s="61">
        <f>IF(COUNTIF($B$5:B385,B385)=1,1,0)</f>
        <v/>
      </c>
      <c r="AG385" s="62" t="inlineStr">
        <is>
          <t>https://www.elespectador.com/politica/avianca-confirma-que-cancelo-tiquetes-de-petro-a-mexico-esto-dijo-el-expresidente/</t>
        </is>
      </c>
    </row>
    <row r="386" ht="15" customHeight="1" s="31">
      <c r="A386" s="38" t="inlineStr">
        <is>
          <t>https://www.elespectador.com/politica/avianca-confirma-que-cancelo-tiquetes-de-petro-a-mexico-esto-dijo-el-expresidente/</t>
        </is>
      </c>
      <c r="B386" s="38" t="inlineStr">
        <is>
          <t>https://www.elespectador.com/politica/avianca-confirma-que-cancelo-tiquetes-de-petro-a-mexico-esto-dijo-el-expresidente/_S04</t>
        </is>
      </c>
      <c r="C386" s="38" t="inlineStr">
        <is>
          <t>El Espectador</t>
        </is>
      </c>
      <c r="D386" s="38" t="inlineStr">
        <is>
          <t>Relación con Estados Unidos</t>
        </is>
      </c>
      <c r="E386" s="38" t="inlineStr">
        <is>
          <t>Noticia dura</t>
        </is>
      </c>
      <c r="F386" s="38" t="inlineStr">
        <is>
          <t>Fri, 04 Sep 2026 23:58:00 +0000</t>
        </is>
      </c>
      <c r="G386" s="62" t="inlineStr">
        <is>
          <t>Lea: Gobernadores se reunieron con presidente De la Espriella y elevaron peticiones regionales</t>
        </is>
      </c>
      <c r="H386" s="62" t="inlineStr">
        <is>
          <t>Avianca aseguró que al ser una aerolínea colombiana que opera en territorio estadounidense y “realiza de forma permanente transacciones con su sistema financiero”, se encuentra sujeta a “las regulaciones de sanciones económicas administradas por la Oficina de Control de Activos Extranjeros (OFAC por sus siglas en inglés) del Departamento del Tesoro de los Estados Unidos de América”.</t>
        </is>
      </c>
      <c r="I386" s="62" t="inlineStr">
        <is>
          <t>“Dichas regulaciones prohíben a las personas y entidades que, como Avianca, tienen vínculos económicos y financieros con los Estados Unidos de América, realizar transacciones, incluida la prestación de servicios, a favor de cualquier persona cuyos bienes e intereses se encuentren bloqueados por figurar en la Lista de Nacionales Especialmente Designados y Personas Bloqueadas (Lista SDN)”, agregaron.</t>
        </is>
      </c>
      <c r="J386" s="38" t="n"/>
      <c r="K386" s="62" t="n"/>
      <c r="L386" s="38" t="n"/>
      <c r="M386" s="62" t="n"/>
      <c r="N386" s="38" t="n"/>
      <c r="O386" s="62" t="n"/>
      <c r="P386" s="38" t="n"/>
      <c r="Q386" s="62" t="n"/>
      <c r="R386" s="38" t="n"/>
      <c r="S386" s="62" t="n"/>
      <c r="T386" s="38" t="n"/>
      <c r="U386" s="62" t="n"/>
      <c r="V386" s="38" t="n"/>
      <c r="W386" s="62" t="n"/>
      <c r="X386" s="38" t="n"/>
      <c r="Y386" s="62" t="n"/>
      <c r="Z386" s="38" t="n"/>
      <c r="AA386" s="62" t="n"/>
      <c r="AB386" s="38" t="n"/>
      <c r="AC386" s="62" t="n"/>
      <c r="AD386" s="38" t="n"/>
      <c r="AE386" s="38" t="n"/>
      <c r="AF386" s="61">
        <f>IF(COUNTIF($B$5:B386,B386)=1,1,0)</f>
        <v/>
      </c>
      <c r="AG386" s="62" t="inlineStr">
        <is>
          <t>https://www.elespectador.com/politica/avianca-confirma-que-cancelo-tiquetes-de-petro-a-mexico-esto-dijo-el-expresidente/</t>
        </is>
      </c>
    </row>
    <row r="387" ht="15" customHeight="1" s="31">
      <c r="A387" s="38" t="inlineStr">
        <is>
          <t>https://www.elespectador.com/politica/avianca-confirma-que-cancelo-tiquetes-de-petro-a-mexico-esto-dijo-el-expresidente/</t>
        </is>
      </c>
      <c r="B387" s="38" t="inlineStr">
        <is>
          <t>https://www.elespectador.com/politica/avianca-confirma-que-cancelo-tiquetes-de-petro-a-mexico-esto-dijo-el-expresidente/_S05</t>
        </is>
      </c>
      <c r="C387" s="38" t="inlineStr">
        <is>
          <t>El Espectador</t>
        </is>
      </c>
      <c r="D387" s="38" t="inlineStr">
        <is>
          <t>Relación con Estados Unidos</t>
        </is>
      </c>
      <c r="E387" s="38" t="inlineStr">
        <is>
          <t>Noticia dura</t>
        </is>
      </c>
      <c r="F387" s="38" t="inlineStr">
        <is>
          <t>Fri, 04 Sep 2026 23:58:00 +0000</t>
        </is>
      </c>
      <c r="G387" s="62" t="inlineStr">
        <is>
          <t>“Dichas regulaciones prohíben a las personas y entidades que, como Avianca, tienen vínculos económicos y financieros con los Estados Unidos de América, realizar transacciones, incluida la prestación de servicios, a favor de cualquier persona cuyos bienes e intereses se encuentren bloqueados por figurar en la Lista de Nacionales Especialmente Designados y Personas Bloqueadas (Lista SDN)”, agregaron.</t>
        </is>
      </c>
      <c r="H387" s="62" t="inlineStr">
        <is>
          <t>Lea: Gobernadores se reunieron con presidente De la Espriella y elevaron peticiones regionales</t>
        </is>
      </c>
      <c r="I387" s="62" t="inlineStr">
        <is>
          <t>Por esta razón, la aerolínea canceló las reservas que fueron hechas por el expresidente Gustavo Petro y reembolsó la totalidad del valor que había sido pagado.</t>
        </is>
      </c>
      <c r="J387" s="38" t="n"/>
      <c r="K387" s="62" t="n"/>
      <c r="L387" s="38" t="n"/>
      <c r="M387" s="62" t="n"/>
      <c r="N387" s="38" t="n"/>
      <c r="O387" s="62" t="n"/>
      <c r="P387" s="38" t="n"/>
      <c r="Q387" s="62" t="n"/>
      <c r="R387" s="38" t="n"/>
      <c r="S387" s="62" t="n"/>
      <c r="T387" s="38" t="n"/>
      <c r="U387" s="62" t="n"/>
      <c r="V387" s="38" t="n"/>
      <c r="W387" s="62" t="n"/>
      <c r="X387" s="38" t="n"/>
      <c r="Y387" s="62" t="n"/>
      <c r="Z387" s="38" t="n"/>
      <c r="AA387" s="62" t="n"/>
      <c r="AB387" s="38" t="n"/>
      <c r="AC387" s="62" t="n"/>
      <c r="AD387" s="38" t="n"/>
      <c r="AE387" s="38" t="n"/>
      <c r="AF387" s="61">
        <f>IF(COUNTIF($B$5:B387,B387)=1,1,0)</f>
        <v/>
      </c>
      <c r="AG387" s="62" t="inlineStr">
        <is>
          <t>https://www.elespectador.com/politica/avianca-confirma-que-cancelo-tiquetes-de-petro-a-mexico-esto-dijo-el-expresidente/</t>
        </is>
      </c>
    </row>
    <row r="388" ht="15" customHeight="1" s="31">
      <c r="A388" s="38" t="inlineStr">
        <is>
          <t>https://www.elespectador.com/politica/avianca-confirma-que-cancelo-tiquetes-de-petro-a-mexico-esto-dijo-el-expresidente/</t>
        </is>
      </c>
      <c r="B388" s="38" t="inlineStr">
        <is>
          <t>https://www.elespectador.com/politica/avianca-confirma-que-cancelo-tiquetes-de-petro-a-mexico-esto-dijo-el-expresidente/_S06</t>
        </is>
      </c>
      <c r="C388" s="38" t="inlineStr">
        <is>
          <t>El Espectador</t>
        </is>
      </c>
      <c r="D388" s="38" t="inlineStr">
        <is>
          <t>Relación con Estados Unidos</t>
        </is>
      </c>
      <c r="E388" s="38" t="inlineStr">
        <is>
          <t>Noticia dura</t>
        </is>
      </c>
      <c r="F388" s="38" t="inlineStr">
        <is>
          <t>Fri, 04 Sep 2026 23:58:00 +0000</t>
        </is>
      </c>
      <c r="G388" s="62" t="inlineStr">
        <is>
          <t>Por esta razón, la aerolínea canceló las reservas que fueron hechas por el expresidente Gustavo Petro y reembolsó la totalidad del valor que había sido pagado.</t>
        </is>
      </c>
      <c r="H388" s="62" t="inlineStr">
        <is>
          <t>“Dichas regulaciones prohíben a las personas y entidades que, como Avianca, tienen vínculos económicos y financieros con los Estados Unidos de América, realizar transacciones, incluida la prestación de servicios, a favor de cualquier persona cuyos bienes e intereses se encuentren bloqueados por figurar en la Lista de Nacionales Especialmente Designados y Personas Bloqueadas (Lista SDN)”, agregaron.</t>
        </is>
      </c>
      <c r="I388" s="62" t="n"/>
      <c r="J388" s="38" t="n"/>
      <c r="K388" s="62" t="n"/>
      <c r="L388" s="38" t="n"/>
      <c r="M388" s="62" t="n"/>
      <c r="N388" s="38" t="n"/>
      <c r="O388" s="62" t="n"/>
      <c r="P388" s="38" t="n"/>
      <c r="Q388" s="62" t="n"/>
      <c r="R388" s="38" t="n"/>
      <c r="S388" s="62" t="n"/>
      <c r="T388" s="38" t="n"/>
      <c r="U388" s="62" t="n"/>
      <c r="V388" s="38" t="n"/>
      <c r="W388" s="62" t="n"/>
      <c r="X388" s="38" t="n"/>
      <c r="Y388" s="62" t="n"/>
      <c r="Z388" s="38" t="n"/>
      <c r="AA388" s="62" t="n"/>
      <c r="AB388" s="38" t="n"/>
      <c r="AC388" s="62" t="n"/>
      <c r="AD388" s="38" t="n"/>
      <c r="AE388" s="38" t="n"/>
      <c r="AF388" s="61">
        <f>IF(COUNTIF($B$5:B388,B388)=1,1,0)</f>
        <v/>
      </c>
      <c r="AG388" s="62" t="inlineStr">
        <is>
          <t>https://www.elespectador.com/politica/avianca-confirma-que-cancelo-tiquetes-de-petro-a-mexico-esto-dijo-el-expresidente/</t>
        </is>
      </c>
    </row>
    <row r="389" ht="15" customHeight="1" s="31">
      <c r="A389" s="38" t="inlineStr">
        <is>
          <t>https://www.elespectador.com/judicial/mindefensa-anuncia-nuevas-medidas-de-seguridad-tras-ataque-con-drones-del-eln-en-ocana/</t>
        </is>
      </c>
      <c r="B389" s="38" t="inlineStr">
        <is>
          <t>https://www.elespectador.com/judicial/mindefensa-anuncia-nuevas-medidas-de-seguridad-tras-ataque-con-drones-del-eln-en-ocana/_S01</t>
        </is>
      </c>
      <c r="C389" s="38" t="inlineStr">
        <is>
          <t>El Espectador</t>
        </is>
      </c>
      <c r="D389" s="38" t="inlineStr">
        <is>
          <t>Seguridad y orden público</t>
        </is>
      </c>
      <c r="E389" s="38" t="inlineStr">
        <is>
          <t>Noticia dura</t>
        </is>
      </c>
      <c r="F389" s="38" t="inlineStr">
        <is>
          <t>Sun, 06 Sep 2026 00:22:17 +0000</t>
        </is>
      </c>
      <c r="G389" s="62" t="inlineStr">
        <is>
          <t>El general (r) Jorge Eduardo Mora, junto con la cúpula militar y de Policía, anunció un nuevo paquete de medidas para reforzar la seguridad y el control territorial en Ocaña y el Catatumbo, tras el ataque terrorista perpetrado por el Eln la noche del pasado 4 de septiembre contra el Cantón Militar El Trapiche, que dejó tres militares muertos.</t>
        </is>
      </c>
      <c r="H389" s="62" t="n"/>
      <c r="I389" s="62" t="inlineStr">
        <is>
          <t>En contexto: Tres soldados mueren en combate tras ataque del Eln con drones en Norte de Santander</t>
        </is>
      </c>
      <c r="J389" s="38" t="n"/>
      <c r="K389" s="62" t="n"/>
      <c r="L389" s="38" t="n"/>
      <c r="M389" s="62" t="n"/>
      <c r="N389" s="38" t="n"/>
      <c r="O389" s="62" t="n"/>
      <c r="P389" s="38" t="n"/>
      <c r="Q389" s="62" t="n"/>
      <c r="R389" s="38" t="n"/>
      <c r="S389" s="62" t="n"/>
      <c r="T389" s="38" t="n"/>
      <c r="U389" s="62" t="n"/>
      <c r="V389" s="38" t="n"/>
      <c r="W389" s="62" t="n"/>
      <c r="X389" s="38" t="n"/>
      <c r="Y389" s="62" t="n"/>
      <c r="Z389" s="38" t="n"/>
      <c r="AA389" s="62" t="n"/>
      <c r="AB389" s="38" t="n"/>
      <c r="AC389" s="62" t="n"/>
      <c r="AD389" s="38" t="n"/>
      <c r="AE389" s="38" t="n"/>
      <c r="AF389" s="61">
        <f>IF(COUNTIF($B$5:B389,B389)=1,1,0)</f>
        <v/>
      </c>
      <c r="AG389" s="62" t="inlineStr">
        <is>
          <t>https://www.elespectador.com/judicial/mindefensa-anuncia-nuevas-medidas-de-seguridad-tras-ataque-con-drones-del-eln-en-ocana/</t>
        </is>
      </c>
    </row>
    <row r="390" ht="15" customHeight="1" s="31">
      <c r="A390" s="38" t="inlineStr">
        <is>
          <t>https://www.elespectador.com/judicial/mindefensa-anuncia-nuevas-medidas-de-seguridad-tras-ataque-con-drones-del-eln-en-ocana/</t>
        </is>
      </c>
      <c r="B390" s="38" t="inlineStr">
        <is>
          <t>https://www.elespectador.com/judicial/mindefensa-anuncia-nuevas-medidas-de-seguridad-tras-ataque-con-drones-del-eln-en-ocana/_S02</t>
        </is>
      </c>
      <c r="C390" s="38" t="inlineStr">
        <is>
          <t>El Espectador</t>
        </is>
      </c>
      <c r="D390" s="38" t="inlineStr">
        <is>
          <t>Seguridad y orden público</t>
        </is>
      </c>
      <c r="E390" s="38" t="inlineStr">
        <is>
          <t>Noticia dura</t>
        </is>
      </c>
      <c r="F390" s="38" t="inlineStr">
        <is>
          <t>Sun, 06 Sep 2026 00:22:17 +0000</t>
        </is>
      </c>
      <c r="G390" s="62" t="inlineStr">
        <is>
          <t>En contexto: Tres soldados mueren en combate tras ataque del Eln con drones en Norte de Santander</t>
        </is>
      </c>
      <c r="H390" s="62" t="inlineStr">
        <is>
          <t>El general (r) Jorge Eduardo Mora, junto con la cúpula militar y de Policía, anunció un nuevo paquete de medidas para reforzar la seguridad y el control territorial en Ocaña y el Catatumbo, tras el ataque terrorista perpetrado por el Eln la noche del pasado 4 de septiembre contra el Cantón Militar El Trapiche, que dejó tres militares muertos.</t>
        </is>
      </c>
      <c r="I390" s="62" t="inlineStr">
        <is>
          <t>Las decisiones se adoptaron en un consejo de seguridad en el que participaron el gobernador de Norte de Santander y altos mandos militares y policiales de la región.</t>
        </is>
      </c>
      <c r="J390" s="38" t="n"/>
      <c r="K390" s="62" t="n"/>
      <c r="L390" s="38" t="n"/>
      <c r="M390" s="62" t="n"/>
      <c r="N390" s="38" t="n"/>
      <c r="O390" s="62" t="n"/>
      <c r="P390" s="38" t="n"/>
      <c r="Q390" s="62" t="n"/>
      <c r="R390" s="38" t="n"/>
      <c r="S390" s="62" t="n"/>
      <c r="T390" s="38" t="n"/>
      <c r="U390" s="62" t="n"/>
      <c r="V390" s="38" t="n"/>
      <c r="W390" s="62" t="n"/>
      <c r="X390" s="38" t="n"/>
      <c r="Y390" s="62" t="n"/>
      <c r="Z390" s="38" t="n"/>
      <c r="AA390" s="62" t="n"/>
      <c r="AB390" s="38" t="n"/>
      <c r="AC390" s="62" t="n"/>
      <c r="AD390" s="38" t="n"/>
      <c r="AE390" s="38" t="n"/>
      <c r="AF390" s="61">
        <f>IF(COUNTIF($B$5:B390,B390)=1,1,0)</f>
        <v/>
      </c>
      <c r="AG390" s="62" t="inlineStr">
        <is>
          <t>https://www.elespectador.com/judicial/mindefensa-anuncia-nuevas-medidas-de-seguridad-tras-ataque-con-drones-del-eln-en-ocana/</t>
        </is>
      </c>
    </row>
    <row r="391" ht="15" customHeight="1" s="31">
      <c r="A391" s="38" t="inlineStr">
        <is>
          <t>https://www.elespectador.com/judicial/mindefensa-anuncia-nuevas-medidas-de-seguridad-tras-ataque-con-drones-del-eln-en-ocana/</t>
        </is>
      </c>
      <c r="B391" s="38" t="inlineStr">
        <is>
          <t>https://www.elespectador.com/judicial/mindefensa-anuncia-nuevas-medidas-de-seguridad-tras-ataque-con-drones-del-eln-en-ocana/_S03</t>
        </is>
      </c>
      <c r="C391" s="38" t="inlineStr">
        <is>
          <t>El Espectador</t>
        </is>
      </c>
      <c r="D391" s="38" t="inlineStr">
        <is>
          <t>Seguridad y orden público</t>
        </is>
      </c>
      <c r="E391" s="38" t="inlineStr">
        <is>
          <t>Noticia dura</t>
        </is>
      </c>
      <c r="F391" s="38" t="inlineStr">
        <is>
          <t>Sun, 06 Sep 2026 00:22:17 +0000</t>
        </is>
      </c>
      <c r="G391" s="62" t="inlineStr">
        <is>
          <t>Las decisiones se adoptaron en un consejo de seguridad en el que participaron el gobernador de Norte de Santander y altos mandos militares y policiales de la región.</t>
        </is>
      </c>
      <c r="H391" s="62" t="inlineStr">
        <is>
          <t>En contexto: Tres soldados mueren en combate tras ataque del Eln con drones en Norte de Santander</t>
        </is>
      </c>
      <c r="I391" s="62" t="inlineStr">
        <is>
          <t>Como primera medida, se ordenó la reestructuración, reorganización y activación de la campaña militar y policial “Esparta”, que tendrá su sede en Ocaña y buscará articular las capacidades de las Fuerzas Militares y de la Policía Nacional para enfrentar a las estructuras criminales que operan en la zona.</t>
        </is>
      </c>
      <c r="J391" s="38" t="n"/>
      <c r="K391" s="62" t="n"/>
      <c r="L391" s="38" t="n"/>
      <c r="M391" s="62" t="n"/>
      <c r="N391" s="38" t="n"/>
      <c r="O391" s="62" t="n"/>
      <c r="P391" s="38" t="n"/>
      <c r="Q391" s="62" t="n"/>
      <c r="R391" s="38" t="n"/>
      <c r="S391" s="62" t="n"/>
      <c r="T391" s="38" t="n"/>
      <c r="U391" s="62" t="n"/>
      <c r="V391" s="38" t="n"/>
      <c r="W391" s="62" t="n"/>
      <c r="X391" s="38" t="n"/>
      <c r="Y391" s="62" t="n"/>
      <c r="Z391" s="38" t="n"/>
      <c r="AA391" s="62" t="n"/>
      <c r="AB391" s="38" t="n"/>
      <c r="AC391" s="62" t="n"/>
      <c r="AD391" s="38" t="n"/>
      <c r="AE391" s="38" t="n"/>
      <c r="AF391" s="61">
        <f>IF(COUNTIF($B$5:B391,B391)=1,1,0)</f>
        <v/>
      </c>
      <c r="AG391" s="62" t="inlineStr">
        <is>
          <t>https://www.elespectador.com/judicial/mindefensa-anuncia-nuevas-medidas-de-seguridad-tras-ataque-con-drones-del-eln-en-ocana/</t>
        </is>
      </c>
    </row>
    <row r="392" ht="15" customHeight="1" s="31">
      <c r="A392" s="38" t="inlineStr">
        <is>
          <t>https://www.elespectador.com/judicial/mindefensa-anuncia-nuevas-medidas-de-seguridad-tras-ataque-con-drones-del-eln-en-ocana/</t>
        </is>
      </c>
      <c r="B392" s="38" t="inlineStr">
        <is>
          <t>https://www.elespectador.com/judicial/mindefensa-anuncia-nuevas-medidas-de-seguridad-tras-ataque-con-drones-del-eln-en-ocana/_S04</t>
        </is>
      </c>
      <c r="C392" s="38" t="inlineStr">
        <is>
          <t>El Espectador</t>
        </is>
      </c>
      <c r="D392" s="38" t="inlineStr">
        <is>
          <t>Seguridad y orden público</t>
        </is>
      </c>
      <c r="E392" s="38" t="inlineStr">
        <is>
          <t>Noticia dura</t>
        </is>
      </c>
      <c r="F392" s="38" t="inlineStr">
        <is>
          <t>Sun, 06 Sep 2026 00:22:17 +0000</t>
        </is>
      </c>
      <c r="G392" s="62" t="inlineStr">
        <is>
          <t>Como primera medida, se ordenó la reestructuración, reorganización y activación de la campaña militar y policial “Esparta”, que tendrá su sede en Ocaña y buscará articular las capacidades de las Fuerzas Militares y de la Policía Nacional para enfrentar a las estructuras criminales que operan en la zona.</t>
        </is>
      </c>
      <c r="H392" s="62" t="inlineStr">
        <is>
          <t>Las decisiones se adoptaron en un consejo de seguridad en el que participaron el gobernador de Norte de Santander y altos mandos militares y policiales de la región.</t>
        </is>
      </c>
      <c r="I392" s="62" t="inlineStr">
        <is>
          <t>También se dispuso fortalecer el bloqueo y la contención de los corredores utilizados por los grupos armados ilegales para movilizar hombres, armas, explosivos y recursos ilícitos entre el sur del Cesar y Ocaña.</t>
        </is>
      </c>
      <c r="J392" s="38" t="n"/>
      <c r="K392" s="62" t="n"/>
      <c r="L392" s="38" t="n"/>
      <c r="M392" s="62" t="n"/>
      <c r="N392" s="38" t="n"/>
      <c r="O392" s="62" t="n"/>
      <c r="P392" s="38" t="n"/>
      <c r="Q392" s="62" t="n"/>
      <c r="R392" s="38" t="n"/>
      <c r="S392" s="62" t="n"/>
      <c r="T392" s="38" t="n"/>
      <c r="U392" s="62" t="n"/>
      <c r="V392" s="38" t="n"/>
      <c r="W392" s="62" t="n"/>
      <c r="X392" s="38" t="n"/>
      <c r="Y392" s="62" t="n"/>
      <c r="Z392" s="38" t="n"/>
      <c r="AA392" s="62" t="n"/>
      <c r="AB392" s="38" t="n"/>
      <c r="AC392" s="62" t="n"/>
      <c r="AD392" s="38" t="n"/>
      <c r="AE392" s="38" t="n"/>
      <c r="AF392" s="61">
        <f>IF(COUNTIF($B$5:B392,B392)=1,1,0)</f>
        <v/>
      </c>
      <c r="AG392" s="62" t="inlineStr">
        <is>
          <t>https://www.elespectador.com/judicial/mindefensa-anuncia-nuevas-medidas-de-seguridad-tras-ataque-con-drones-del-eln-en-ocana/</t>
        </is>
      </c>
    </row>
    <row r="393" ht="15" customHeight="1" s="31">
      <c r="A393" s="38" t="inlineStr">
        <is>
          <t>https://www.elespectador.com/judicial/mindefensa-anuncia-nuevas-medidas-de-seguridad-tras-ataque-con-drones-del-eln-en-ocana/</t>
        </is>
      </c>
      <c r="B393" s="38" t="inlineStr">
        <is>
          <t>https://www.elespectador.com/judicial/mindefensa-anuncia-nuevas-medidas-de-seguridad-tras-ataque-con-drones-del-eln-en-ocana/_S05</t>
        </is>
      </c>
      <c r="C393" s="38" t="inlineStr">
        <is>
          <t>El Espectador</t>
        </is>
      </c>
      <c r="D393" s="38" t="inlineStr">
        <is>
          <t>Seguridad y orden público</t>
        </is>
      </c>
      <c r="E393" s="38" t="inlineStr">
        <is>
          <t>Noticia dura</t>
        </is>
      </c>
      <c r="F393" s="38" t="inlineStr">
        <is>
          <t>Sun, 06 Sep 2026 00:22:17 +0000</t>
        </is>
      </c>
      <c r="G393" s="62" t="inlineStr">
        <is>
          <t>También se dispuso fortalecer el bloqueo y la contención de los corredores utilizados por los grupos armados ilegales para movilizar hombres, armas, explosivos y recursos ilícitos entre el sur del Cesar y Ocaña.</t>
        </is>
      </c>
      <c r="H393" s="62" t="inlineStr">
        <is>
          <t>Como primera medida, se ordenó la reestructuración, reorganización y activación de la campaña militar y policial “Esparta”, que tendrá su sede en Ocaña y buscará articular las capacidades de las Fuerzas Militares y de la Policía Nacional para enfrentar a las estructuras criminales que operan en la zona.</t>
        </is>
      </c>
      <c r="I393" s="62" t="inlineStr">
        <is>
          <t>Lea: Nuevo juez restringe bombardeos en Guaviare por riesgo a menores reclutados por disidencias</t>
        </is>
      </c>
      <c r="J393" s="38" t="n"/>
      <c r="K393" s="62" t="n"/>
      <c r="L393" s="38" t="n"/>
      <c r="M393" s="62" t="n"/>
      <c r="N393" s="38" t="n"/>
      <c r="O393" s="62" t="n"/>
      <c r="P393" s="38" t="n"/>
      <c r="Q393" s="62" t="n"/>
      <c r="R393" s="38" t="n"/>
      <c r="S393" s="62" t="n"/>
      <c r="T393" s="38" t="n"/>
      <c r="U393" s="62" t="n"/>
      <c r="V393" s="38" t="n"/>
      <c r="W393" s="62" t="n"/>
      <c r="X393" s="38" t="n"/>
      <c r="Y393" s="62" t="n"/>
      <c r="Z393" s="38" t="n"/>
      <c r="AA393" s="62" t="n"/>
      <c r="AB393" s="38" t="n"/>
      <c r="AC393" s="62" t="n"/>
      <c r="AD393" s="38" t="n"/>
      <c r="AE393" s="38" t="n"/>
      <c r="AF393" s="61">
        <f>IF(COUNTIF($B$5:B393,B393)=1,1,0)</f>
        <v/>
      </c>
      <c r="AG393" s="62" t="inlineStr">
        <is>
          <t>https://www.elespectador.com/judicial/mindefensa-anuncia-nuevas-medidas-de-seguridad-tras-ataque-con-drones-del-eln-en-ocana/</t>
        </is>
      </c>
    </row>
    <row r="394" ht="15" customHeight="1" s="31">
      <c r="A394" s="38" t="inlineStr">
        <is>
          <t>https://www.elespectador.com/judicial/mindefensa-anuncia-nuevas-medidas-de-seguridad-tras-ataque-con-drones-del-eln-en-ocana/</t>
        </is>
      </c>
      <c r="B394" s="38" t="inlineStr">
        <is>
          <t>https://www.elespectador.com/judicial/mindefensa-anuncia-nuevas-medidas-de-seguridad-tras-ataque-con-drones-del-eln-en-ocana/_S06</t>
        </is>
      </c>
      <c r="C394" s="38" t="inlineStr">
        <is>
          <t>El Espectador</t>
        </is>
      </c>
      <c r="D394" s="38" t="inlineStr">
        <is>
          <t>Seguridad y orden público</t>
        </is>
      </c>
      <c r="E394" s="38" t="inlineStr">
        <is>
          <t>Noticia dura</t>
        </is>
      </c>
      <c r="F394" s="38" t="inlineStr">
        <is>
          <t>Sun, 06 Sep 2026 00:22:17 +0000</t>
        </is>
      </c>
      <c r="G394" s="62" t="inlineStr">
        <is>
          <t>Lea: Nuevo juez restringe bombardeos en Guaviare por riesgo a menores reclutados por disidencias</t>
        </is>
      </c>
      <c r="H394" s="62" t="inlineStr">
        <is>
          <t>También se dispuso fortalecer el bloqueo y la contención de los corredores utilizados por los grupos armados ilegales para movilizar hombres, armas, explosivos y recursos ilícitos entre el sur del Cesar y Ocaña.</t>
        </is>
      </c>
      <c r="I394" s="62" t="n"/>
      <c r="J394" s="38" t="n"/>
      <c r="K394" s="62" t="n"/>
      <c r="L394" s="38" t="n"/>
      <c r="M394" s="62" t="n"/>
      <c r="N394" s="38" t="n"/>
      <c r="O394" s="62" t="n"/>
      <c r="P394" s="38" t="n"/>
      <c r="Q394" s="62" t="n"/>
      <c r="R394" s="38" t="n"/>
      <c r="S394" s="62" t="n"/>
      <c r="T394" s="38" t="n"/>
      <c r="U394" s="62" t="n"/>
      <c r="V394" s="38" t="n"/>
      <c r="W394" s="62" t="n"/>
      <c r="X394" s="38" t="n"/>
      <c r="Y394" s="62" t="n"/>
      <c r="Z394" s="38" t="n"/>
      <c r="AA394" s="62" t="n"/>
      <c r="AB394" s="38" t="n"/>
      <c r="AC394" s="62" t="n"/>
      <c r="AD394" s="38" t="n"/>
      <c r="AE394" s="38" t="n"/>
      <c r="AF394" s="61">
        <f>IF(COUNTIF($B$5:B394,B394)=1,1,0)</f>
        <v/>
      </c>
      <c r="AG394" s="62" t="inlineStr">
        <is>
          <t>https://www.elespectador.com/judicial/mindefensa-anuncia-nuevas-medidas-de-seguridad-tras-ataque-con-drones-del-eln-en-ocana/</t>
        </is>
      </c>
    </row>
    <row r="395" ht="15" customHeight="1" s="31">
      <c r="A395" s="38" t="inlineStr">
        <is>
          <t>https://www.infobae.com/colombia/2026/09/05/cuerpo-de-bendito-menor-fue-entregado-a-sus-familiares-en-riohacha-asi-fue-el-sepelio-del-lider-criminal/</t>
        </is>
      </c>
      <c r="B395" s="38" t="inlineStr">
        <is>
          <t>https://www.infobae.com/colombia/2026/09/05/cuerpo-de-bendito-menor-fue-entregado-a-sus-familiares-en-riohacha-asi-fue-el-sepelio-del-lider-criminal/_S01</t>
        </is>
      </c>
      <c r="C395" s="38" t="inlineStr">
        <is>
          <t>Infobae Colombia</t>
        </is>
      </c>
      <c r="D395" s="38" t="inlineStr">
        <is>
          <t>Transición de gobierno y relación con la oposición</t>
        </is>
      </c>
      <c r="E395" s="38" t="inlineStr">
        <is>
          <t>Noticia dura</t>
        </is>
      </c>
      <c r="F395" s="38" t="inlineStr">
        <is>
          <t>Sun, 06 Sep 2026 00:24:00 +0000</t>
        </is>
      </c>
      <c r="G395" s="62" t="inlineStr">
        <is>
          <t>El país sigue hablando sobre la muerte de Naín Andrés Pérez Toncel, alias Bendito Menor, cabecilla de las Autodefensas Conquistadoras de la Sierra, que perdió la vida en un operativo de la Policía en Riohacha, donde fue abatido junto con su compañera sentimental y dos escoltas.</t>
        </is>
      </c>
      <c r="H395" s="62" t="n"/>
      <c r="I395" s="62" t="inlineStr">
        <is>
          <t>Un día después del hecho, el cuerpo del líder criminal fue entregado a su familia, después de que Medicina Legal lo tuviera en su poder e hiciera los procedimientos de identificación y el presidente Abelardo de la Espriella lo presentara ante los medios dentro de una bolsa blanca, junto con las otras cuatro bajas.</t>
        </is>
      </c>
      <c r="J395" s="38" t="n"/>
      <c r="K395" s="62" t="n"/>
      <c r="L395" s="38" t="n"/>
      <c r="M395" s="62" t="n"/>
      <c r="N395" s="38" t="n"/>
      <c r="O395" s="62" t="n"/>
      <c r="P395" s="38" t="n"/>
      <c r="Q395" s="62" t="n"/>
      <c r="R395" s="38" t="n"/>
      <c r="S395" s="62" t="n"/>
      <c r="T395" s="38" t="n"/>
      <c r="U395" s="62" t="n"/>
      <c r="V395" s="38" t="n"/>
      <c r="W395" s="62" t="n"/>
      <c r="X395" s="38" t="n"/>
      <c r="Y395" s="62" t="n"/>
      <c r="Z395" s="38" t="n"/>
      <c r="AA395" s="62" t="n"/>
      <c r="AB395" s="38" t="n"/>
      <c r="AC395" s="62" t="n"/>
      <c r="AD395" s="38" t="n"/>
      <c r="AE395" s="38" t="n"/>
      <c r="AF395" s="61">
        <f>IF(COUNTIF($B$5:B395,B395)=1,1,0)</f>
        <v/>
      </c>
      <c r="AG395" s="62" t="inlineStr">
        <is>
          <t>https://www.infobae.com/colombia/2026/09/05/cuerpo-de-bendito-menor-fue-entregado-a-sus-familiares-en-riohacha-asi-fue-el-sepelio-del-lider-criminal/</t>
        </is>
      </c>
    </row>
    <row r="396" ht="15" customHeight="1" s="31">
      <c r="A396" s="38" t="inlineStr">
        <is>
          <t>https://www.infobae.com/colombia/2026/09/05/cuerpo-de-bendito-menor-fue-entregado-a-sus-familiares-en-riohacha-asi-fue-el-sepelio-del-lider-criminal/</t>
        </is>
      </c>
      <c r="B396" s="38" t="inlineStr">
        <is>
          <t>https://www.infobae.com/colombia/2026/09/05/cuerpo-de-bendito-menor-fue-entregado-a-sus-familiares-en-riohacha-asi-fue-el-sepelio-del-lider-criminal/_S02</t>
        </is>
      </c>
      <c r="C396" s="38" t="inlineStr">
        <is>
          <t>Infobae Colombia</t>
        </is>
      </c>
      <c r="D396" s="38" t="inlineStr">
        <is>
          <t>Transición de gobierno y relación con la oposición</t>
        </is>
      </c>
      <c r="E396" s="38" t="inlineStr">
        <is>
          <t>Noticia dura</t>
        </is>
      </c>
      <c r="F396" s="38" t="inlineStr">
        <is>
          <t>Sun, 06 Sep 2026 00:24:00 +0000</t>
        </is>
      </c>
      <c r="G396" s="62" t="inlineStr">
        <is>
          <t>Un día después del hecho, el cuerpo del líder criminal fue entregado a su familia, después de que Medicina Legal lo tuviera en su poder e hiciera los procedimientos de identificación y el presidente Abelardo de la Espriella lo presentara ante los medios dentro de una bolsa blanca, junto con las otras cuatro bajas.</t>
        </is>
      </c>
      <c r="H396" s="62" t="inlineStr">
        <is>
          <t>El país sigue hablando sobre la muerte de Naín Andrés Pérez Toncel, alias Bendito Menor, cabecilla de las Autodefensas Conquistadoras de la Sierra, que perdió la vida en un operativo de la Policía en Riohacha, donde fue abatido junto con su compañera sentimental y dos escoltas.</t>
        </is>
      </c>
      <c r="I396" s="62" t="inlineStr">
        <is>
          <t>Por otro lado, las Autodefensas Conquistadoras de la Sierra se pronunciaron por la muerte de Bendito Menor y aseguraron que no habrá ningún acto de retaliación, además de enviar condolencias a sus familiares y seres más cercanos.</t>
        </is>
      </c>
      <c r="J396" s="38" t="n"/>
      <c r="K396" s="62" t="n"/>
      <c r="L396" s="38" t="n"/>
      <c r="M396" s="62" t="n"/>
      <c r="N396" s="38" t="n"/>
      <c r="O396" s="62" t="n"/>
      <c r="P396" s="38" t="n"/>
      <c r="Q396" s="62" t="n"/>
      <c r="R396" s="38" t="n"/>
      <c r="S396" s="62" t="n"/>
      <c r="T396" s="38" t="n"/>
      <c r="U396" s="62" t="n"/>
      <c r="V396" s="38" t="n"/>
      <c r="W396" s="62" t="n"/>
      <c r="X396" s="38" t="n"/>
      <c r="Y396" s="62" t="n"/>
      <c r="Z396" s="38" t="n"/>
      <c r="AA396" s="62" t="n"/>
      <c r="AB396" s="38" t="n"/>
      <c r="AC396" s="62" t="n"/>
      <c r="AD396" s="38" t="n"/>
      <c r="AE396" s="38" t="n"/>
      <c r="AF396" s="61">
        <f>IF(COUNTIF($B$5:B396,B396)=1,1,0)</f>
        <v/>
      </c>
      <c r="AG396" s="62" t="inlineStr">
        <is>
          <t>https://www.infobae.com/colombia/2026/09/05/cuerpo-de-bendito-menor-fue-entregado-a-sus-familiares-en-riohacha-asi-fue-el-sepelio-del-lider-criminal/</t>
        </is>
      </c>
    </row>
    <row r="397" ht="15" customHeight="1" s="31">
      <c r="A397" s="38" t="inlineStr">
        <is>
          <t>https://www.infobae.com/colombia/2026/09/05/cuerpo-de-bendito-menor-fue-entregado-a-sus-familiares-en-riohacha-asi-fue-el-sepelio-del-lider-criminal/</t>
        </is>
      </c>
      <c r="B397" s="38" t="inlineStr">
        <is>
          <t>https://www.infobae.com/colombia/2026/09/05/cuerpo-de-bendito-menor-fue-entregado-a-sus-familiares-en-riohacha-asi-fue-el-sepelio-del-lider-criminal/_S03</t>
        </is>
      </c>
      <c r="C397" s="38" t="inlineStr">
        <is>
          <t>Infobae Colombia</t>
        </is>
      </c>
      <c r="D397" s="38" t="inlineStr">
        <is>
          <t>Transición de gobierno y relación con la oposición</t>
        </is>
      </c>
      <c r="E397" s="38" t="inlineStr">
        <is>
          <t>Noticia dura</t>
        </is>
      </c>
      <c r="F397" s="38" t="inlineStr">
        <is>
          <t>Sun, 06 Sep 2026 00:24:00 +0000</t>
        </is>
      </c>
      <c r="G397" s="62" t="inlineStr">
        <is>
          <t>Por otro lado, las Autodefensas Conquistadoras de la Sierra se pronunciaron por la muerte de Bendito Menor y aseguraron que no habrá ningún acto de retaliación, además de enviar condolencias a sus familiares y seres más cercanos.</t>
        </is>
      </c>
      <c r="H397" s="62" t="inlineStr">
        <is>
          <t>Un día después del hecho, el cuerpo del líder criminal fue entregado a su familia, después de que Medicina Legal lo tuviera en su poder e hiciera los procedimientos de identificación y el presidente Abelardo de la Espriella lo presentara ante los medios dentro de una bolsa blanca, junto con las otras cuatro bajas.</t>
        </is>
      </c>
      <c r="I397" s="62" t="inlineStr">
        <is>
          <t>La entrega del cuerpo de ‘Bendito Menor’</t>
        </is>
      </c>
      <c r="J397" s="38" t="n"/>
      <c r="K397" s="62" t="n"/>
      <c r="L397" s="38" t="n"/>
      <c r="M397" s="62" t="n"/>
      <c r="N397" s="38" t="n"/>
      <c r="O397" s="62" t="n"/>
      <c r="P397" s="38" t="n"/>
      <c r="Q397" s="62" t="n"/>
      <c r="R397" s="38" t="n"/>
      <c r="S397" s="62" t="n"/>
      <c r="T397" s="38" t="n"/>
      <c r="U397" s="62" t="n"/>
      <c r="V397" s="38" t="n"/>
      <c r="W397" s="62" t="n"/>
      <c r="X397" s="38" t="n"/>
      <c r="Y397" s="62" t="n"/>
      <c r="Z397" s="38" t="n"/>
      <c r="AA397" s="62" t="n"/>
      <c r="AB397" s="38" t="n"/>
      <c r="AC397" s="62" t="n"/>
      <c r="AD397" s="38" t="n"/>
      <c r="AE397" s="38" t="n"/>
      <c r="AF397" s="61">
        <f>IF(COUNTIF($B$5:B397,B397)=1,1,0)</f>
        <v/>
      </c>
      <c r="AG397" s="62" t="inlineStr">
        <is>
          <t>https://www.infobae.com/colombia/2026/09/05/cuerpo-de-bendito-menor-fue-entregado-a-sus-familiares-en-riohacha-asi-fue-el-sepelio-del-lider-criminal/</t>
        </is>
      </c>
    </row>
    <row r="398" ht="15" customHeight="1" s="31">
      <c r="A398" s="38" t="inlineStr">
        <is>
          <t>https://www.infobae.com/colombia/2026/09/05/cuerpo-de-bendito-menor-fue-entregado-a-sus-familiares-en-riohacha-asi-fue-el-sepelio-del-lider-criminal/</t>
        </is>
      </c>
      <c r="B398" s="38" t="inlineStr">
        <is>
          <t>https://www.infobae.com/colombia/2026/09/05/cuerpo-de-bendito-menor-fue-entregado-a-sus-familiares-en-riohacha-asi-fue-el-sepelio-del-lider-criminal/_S04</t>
        </is>
      </c>
      <c r="C398" s="38" t="inlineStr">
        <is>
          <t>Infobae Colombia</t>
        </is>
      </c>
      <c r="D398" s="38" t="inlineStr">
        <is>
          <t>Transición de gobierno y relación con la oposición</t>
        </is>
      </c>
      <c r="E398" s="38" t="inlineStr">
        <is>
          <t>Noticia dura</t>
        </is>
      </c>
      <c r="F398" s="38" t="inlineStr">
        <is>
          <t>Sun, 06 Sep 2026 00:24:00 +0000</t>
        </is>
      </c>
      <c r="G398" s="62" t="inlineStr">
        <is>
          <t>La entrega del cuerpo de ‘Bendito Menor’</t>
        </is>
      </c>
      <c r="H398" s="62" t="inlineStr">
        <is>
          <t>Por otro lado, las Autodefensas Conquistadoras de la Sierra se pronunciaron por la muerte de Bendito Menor y aseguraron que no habrá ningún acto de retaliación, además de enviar condolencias a sus familiares y seres más cercanos.</t>
        </is>
      </c>
      <c r="I398" s="62" t="inlineStr">
        <is>
          <t>La entrega de los cuerpos de Naín Andrés Pérez Toncel, alias Bendito Menor; Rosa Angélica Tarazona “La Bebecita” y otros dos acompañantes, abatidos en un operativo de la Dijín en Riohacha, abrió un nuevo capítulo tras la incursión policial de la madrugada del 4 de septiembre.</t>
        </is>
      </c>
      <c r="J398" s="38" t="n"/>
      <c r="K398" s="62" t="n"/>
      <c r="L398" s="38" t="n"/>
      <c r="M398" s="62" t="n"/>
      <c r="N398" s="38" t="n"/>
      <c r="O398" s="62" t="n"/>
      <c r="P398" s="38" t="n"/>
      <c r="Q398" s="62" t="n"/>
      <c r="R398" s="38" t="n"/>
      <c r="S398" s="62" t="n"/>
      <c r="T398" s="38" t="n"/>
      <c r="U398" s="62" t="n"/>
      <c r="V398" s="38" t="n"/>
      <c r="W398" s="62" t="n"/>
      <c r="X398" s="38" t="n"/>
      <c r="Y398" s="62" t="n"/>
      <c r="Z398" s="38" t="n"/>
      <c r="AA398" s="62" t="n"/>
      <c r="AB398" s="38" t="n"/>
      <c r="AC398" s="62" t="n"/>
      <c r="AD398" s="38" t="n"/>
      <c r="AE398" s="38" t="n"/>
      <c r="AF398" s="61">
        <f>IF(COUNTIF($B$5:B398,B398)=1,1,0)</f>
        <v/>
      </c>
      <c r="AG398" s="62" t="inlineStr">
        <is>
          <t>https://www.infobae.com/colombia/2026/09/05/cuerpo-de-bendito-menor-fue-entregado-a-sus-familiares-en-riohacha-asi-fue-el-sepelio-del-lider-criminal/</t>
        </is>
      </c>
    </row>
    <row r="399" ht="15" customHeight="1" s="31">
      <c r="A399" s="38" t="inlineStr">
        <is>
          <t>https://www.infobae.com/colombia/2026/09/05/cuerpo-de-bendito-menor-fue-entregado-a-sus-familiares-en-riohacha-asi-fue-el-sepelio-del-lider-criminal/</t>
        </is>
      </c>
      <c r="B399" s="38" t="inlineStr">
        <is>
          <t>https://www.infobae.com/colombia/2026/09/05/cuerpo-de-bendito-menor-fue-entregado-a-sus-familiares-en-riohacha-asi-fue-el-sepelio-del-lider-criminal/_S05</t>
        </is>
      </c>
      <c r="C399" s="38" t="inlineStr">
        <is>
          <t>Infobae Colombia</t>
        </is>
      </c>
      <c r="D399" s="38" t="inlineStr">
        <is>
          <t>Transición de gobierno y relación con la oposición</t>
        </is>
      </c>
      <c r="E399" s="38" t="inlineStr">
        <is>
          <t>Noticia dura</t>
        </is>
      </c>
      <c r="F399" s="38" t="inlineStr">
        <is>
          <t>Sun, 06 Sep 2026 00:24:00 +0000</t>
        </is>
      </c>
      <c r="G399" s="62" t="inlineStr">
        <is>
          <t>La entrega de los cuerpos de Naín Andrés Pérez Toncel, alias Bendito Menor; Rosa Angélica Tarazona “La Bebecita” y otros dos acompañantes, abatidos en un operativo de la Dijín en Riohacha, abrió un nuevo capítulo tras la incursión policial de la madrugada del 4 de septiembre.</t>
        </is>
      </c>
      <c r="H399" s="62" t="inlineStr">
        <is>
          <t>La entrega del cuerpo de ‘Bendito Menor’</t>
        </is>
      </c>
      <c r="I399" s="62" t="inlineStr">
        <is>
          <t>De acuerdo con Medicina Legal, los cuerpos fueron examinados por equipos forenses de Barranquilla y quedaron habilitados para su entrega a los familiares, una vez mediara la autorización de las autoridades competentes.</t>
        </is>
      </c>
      <c r="J399" s="38" t="n"/>
      <c r="K399" s="62" t="n"/>
      <c r="L399" s="38" t="n"/>
      <c r="M399" s="62" t="n"/>
      <c r="N399" s="38" t="n"/>
      <c r="O399" s="62" t="n"/>
      <c r="P399" s="38" t="n"/>
      <c r="Q399" s="62" t="n"/>
      <c r="R399" s="38" t="n"/>
      <c r="S399" s="62" t="n"/>
      <c r="T399" s="38" t="n"/>
      <c r="U399" s="62" t="n"/>
      <c r="V399" s="38" t="n"/>
      <c r="W399" s="62" t="n"/>
      <c r="X399" s="38" t="n"/>
      <c r="Y399" s="62" t="n"/>
      <c r="Z399" s="38" t="n"/>
      <c r="AA399" s="62" t="n"/>
      <c r="AB399" s="38" t="n"/>
      <c r="AC399" s="62" t="n"/>
      <c r="AD399" s="38" t="n"/>
      <c r="AE399" s="38" t="n"/>
      <c r="AF399" s="61">
        <f>IF(COUNTIF($B$5:B399,B399)=1,1,0)</f>
        <v/>
      </c>
      <c r="AG399" s="62" t="inlineStr">
        <is>
          <t>https://www.infobae.com/colombia/2026/09/05/cuerpo-de-bendito-menor-fue-entregado-a-sus-familiares-en-riohacha-asi-fue-el-sepelio-del-lider-criminal/</t>
        </is>
      </c>
    </row>
    <row r="400" ht="15" customHeight="1" s="31">
      <c r="A400" s="38" t="inlineStr">
        <is>
          <t>https://www.infobae.com/colombia/2026/09/05/cuerpo-de-bendito-menor-fue-entregado-a-sus-familiares-en-riohacha-asi-fue-el-sepelio-del-lider-criminal/</t>
        </is>
      </c>
      <c r="B400" s="38" t="inlineStr">
        <is>
          <t>https://www.infobae.com/colombia/2026/09/05/cuerpo-de-bendito-menor-fue-entregado-a-sus-familiares-en-riohacha-asi-fue-el-sepelio-del-lider-criminal/_S06</t>
        </is>
      </c>
      <c r="C400" s="38" t="inlineStr">
        <is>
          <t>Infobae Colombia</t>
        </is>
      </c>
      <c r="D400" s="38" t="inlineStr">
        <is>
          <t>Transición de gobierno y relación con la oposición</t>
        </is>
      </c>
      <c r="E400" s="38" t="inlineStr">
        <is>
          <t>Noticia dura</t>
        </is>
      </c>
      <c r="F400" s="38" t="inlineStr">
        <is>
          <t>Sun, 06 Sep 2026 00:24:00 +0000</t>
        </is>
      </c>
      <c r="G400" s="62" t="inlineStr">
        <is>
          <t>De acuerdo con Medicina Legal, los cuerpos fueron examinados por equipos forenses de Barranquilla y quedaron habilitados para su entrega a los familiares, una vez mediara la autorización de las autoridades competentes.</t>
        </is>
      </c>
      <c r="H400" s="62" t="inlineStr">
        <is>
          <t>La entrega de los cuerpos de Naín Andrés Pérez Toncel, alias Bendito Menor; Rosa Angélica Tarazona “La Bebecita” y otros dos acompañantes, abatidos en un operativo de la Dijín en Riohacha, abrió un nuevo capítulo tras la incursión policial de la madrugada del 4 de septiembre.</t>
        </is>
      </c>
      <c r="I400" s="62" t="n"/>
      <c r="J400" s="38" t="n"/>
      <c r="K400" s="62" t="n"/>
      <c r="L400" s="38" t="n"/>
      <c r="M400" s="62" t="n"/>
      <c r="N400" s="38" t="n"/>
      <c r="O400" s="62" t="n"/>
      <c r="P400" s="38" t="n"/>
      <c r="Q400" s="62" t="n"/>
      <c r="R400" s="38" t="n"/>
      <c r="S400" s="62" t="n"/>
      <c r="T400" s="38" t="n"/>
      <c r="U400" s="62" t="n"/>
      <c r="V400" s="38" t="n"/>
      <c r="W400" s="62" t="n"/>
      <c r="X400" s="38" t="n"/>
      <c r="Y400" s="62" t="n"/>
      <c r="Z400" s="38" t="n"/>
      <c r="AA400" s="62" t="n"/>
      <c r="AB400" s="38" t="n"/>
      <c r="AC400" s="62" t="n"/>
      <c r="AD400" s="38" t="n"/>
      <c r="AE400" s="38" t="n"/>
      <c r="AF400" s="61">
        <f>IF(COUNTIF($B$5:B400,B400)=1,1,0)</f>
        <v/>
      </c>
      <c r="AG400" s="62" t="inlineStr">
        <is>
          <t>https://www.infobae.com/colombia/2026/09/05/cuerpo-de-bendito-menor-fue-entregado-a-sus-familiares-en-riohacha-asi-fue-el-sepelio-del-lider-criminal/</t>
        </is>
      </c>
    </row>
    <row r="401" ht="15" customHeight="1" s="31">
      <c r="A401" s="38" t="inlineStr">
        <is>
          <t>https://www.infobae.com/colombia/2026/09/06/cayeron-cinco-presuntos-narcotraficantes-vinculados-las-disidencias-farc-el-eln-y-el-clan-del-golfo-tenian-antecedentes-en-ee-uu/</t>
        </is>
      </c>
      <c r="B401" s="38" t="inlineStr">
        <is>
          <t>https://www.infobae.com/colombia/2026/09/06/cayeron-cinco-presuntos-narcotraficantes-vinculados-las-disidencias-farc-el-eln-y-el-clan-del-golfo-tenian-antecedentes-en-ee-uu/_S01</t>
        </is>
      </c>
      <c r="C401" s="38" t="inlineStr">
        <is>
          <t>Infobae Colombia</t>
        </is>
      </c>
      <c r="D401" s="38" t="inlineStr">
        <is>
          <t>Relación con Estados Unidos</t>
        </is>
      </c>
      <c r="E401" s="38" t="inlineStr">
        <is>
          <t>Noticia dura</t>
        </is>
      </c>
      <c r="F401" s="38" t="inlineStr">
        <is>
          <t>Sun, 06 Sep 2026 00:20:43 +0000</t>
        </is>
      </c>
      <c r="G401" s="62" t="inlineStr">
        <is>
          <t>La Policía Nacional de Colombia capturó con fines de extradición a cinco personas señaladas de integrar una red dedicada al tráfico de clorhidrato de cocaína hacia Centroamérica, Estados Unidos y Europa desde Colombia.</t>
        </is>
      </c>
      <c r="H401" s="62" t="n"/>
      <c r="I401" s="62" t="inlineStr">
        <is>
          <t>El procedimiento, denominado Operación Troya, se desarrolló a través de acciones coordinadas en los departamentos de Cundinamarca, Magdalena y Cesar.</t>
        </is>
      </c>
      <c r="J401" s="38" t="n"/>
      <c r="K401" s="62" t="n"/>
      <c r="L401" s="38" t="n"/>
      <c r="M401" s="62" t="n"/>
      <c r="N401" s="38" t="n"/>
      <c r="O401" s="62" t="n"/>
      <c r="P401" s="38" t="n"/>
      <c r="Q401" s="62" t="n"/>
      <c r="R401" s="38" t="n"/>
      <c r="S401" s="62" t="n"/>
      <c r="T401" s="38" t="n"/>
      <c r="U401" s="62" t="n"/>
      <c r="V401" s="38" t="n"/>
      <c r="W401" s="62" t="n"/>
      <c r="X401" s="38" t="n"/>
      <c r="Y401" s="62" t="n"/>
      <c r="Z401" s="38" t="n"/>
      <c r="AA401" s="62" t="n"/>
      <c r="AB401" s="38" t="n"/>
      <c r="AC401" s="62" t="n"/>
      <c r="AD401" s="38" t="n"/>
      <c r="AE401" s="38" t="n"/>
      <c r="AF401" s="61">
        <f>IF(COUNTIF($B$5:B401,B401)=1,1,0)</f>
        <v/>
      </c>
      <c r="AG401" s="62" t="inlineStr">
        <is>
          <t>https://www.infobae.com/colombia/2026/09/06/cayeron-cinco-presuntos-narcotraficantes-vinculados-las-disidencias-farc-el-eln-y-el-clan-del-golfo-tenian-antecedentes-en-ee-uu/</t>
        </is>
      </c>
    </row>
    <row r="402" ht="15" customHeight="1" s="31">
      <c r="A402" s="38" t="inlineStr">
        <is>
          <t>https://www.infobae.com/colombia/2026/09/06/cayeron-cinco-presuntos-narcotraficantes-vinculados-las-disidencias-farc-el-eln-y-el-clan-del-golfo-tenian-antecedentes-en-ee-uu/</t>
        </is>
      </c>
      <c r="B402" s="38" t="inlineStr">
        <is>
          <t>https://www.infobae.com/colombia/2026/09/06/cayeron-cinco-presuntos-narcotraficantes-vinculados-las-disidencias-farc-el-eln-y-el-clan-del-golfo-tenian-antecedentes-en-ee-uu/_S02</t>
        </is>
      </c>
      <c r="C402" s="38" t="inlineStr">
        <is>
          <t>Infobae Colombia</t>
        </is>
      </c>
      <c r="D402" s="38" t="inlineStr">
        <is>
          <t>Relación con Estados Unidos</t>
        </is>
      </c>
      <c r="E402" s="38" t="inlineStr">
        <is>
          <t>Noticia dura</t>
        </is>
      </c>
      <c r="F402" s="38" t="inlineStr">
        <is>
          <t>Sun, 06 Sep 2026 00:20:43 +0000</t>
        </is>
      </c>
      <c r="G402" s="62" t="inlineStr">
        <is>
          <t>El procedimiento, denominado Operación Troya, se desarrolló a través de acciones coordinadas en los departamentos de Cundinamarca, Magdalena y Cesar.</t>
        </is>
      </c>
      <c r="H402" s="62" t="inlineStr">
        <is>
          <t>La Policía Nacional de Colombia capturó con fines de extradición a cinco personas señaladas de integrar una red dedicada al tráfico de clorhidrato de cocaína hacia Centroamérica, Estados Unidos y Europa desde Colombia.</t>
        </is>
      </c>
      <c r="I402" s="62" t="inlineStr">
        <is>
          <t>La Dirección de Antinarcóticos realizó las acciones como parte de la Estrategia Esmeralda Plus, con apoyo de la Administración para el Control de Drogas de Estados Unidos (DEA) y la Fiscalía General de la Nación.</t>
        </is>
      </c>
      <c r="J402" s="38" t="n"/>
      <c r="K402" s="62" t="n"/>
      <c r="L402" s="38" t="n"/>
      <c r="M402" s="62" t="n"/>
      <c r="N402" s="38" t="n"/>
      <c r="O402" s="62" t="n"/>
      <c r="P402" s="38" t="n"/>
      <c r="Q402" s="62" t="n"/>
      <c r="R402" s="38" t="n"/>
      <c r="S402" s="62" t="n"/>
      <c r="T402" s="38" t="n"/>
      <c r="U402" s="62" t="n"/>
      <c r="V402" s="38" t="n"/>
      <c r="W402" s="62" t="n"/>
      <c r="X402" s="38" t="n"/>
      <c r="Y402" s="62" t="n"/>
      <c r="Z402" s="38" t="n"/>
      <c r="AA402" s="62" t="n"/>
      <c r="AB402" s="38" t="n"/>
      <c r="AC402" s="62" t="n"/>
      <c r="AD402" s="38" t="n"/>
      <c r="AE402" s="38" t="n"/>
      <c r="AF402" s="61">
        <f>IF(COUNTIF($B$5:B402,B402)=1,1,0)</f>
        <v/>
      </c>
      <c r="AG402" s="62" t="inlineStr">
        <is>
          <t>https://www.infobae.com/colombia/2026/09/06/cayeron-cinco-presuntos-narcotraficantes-vinculados-las-disidencias-farc-el-eln-y-el-clan-del-golfo-tenian-antecedentes-en-ee-uu/</t>
        </is>
      </c>
    </row>
    <row r="403" ht="15" customHeight="1" s="31">
      <c r="A403" s="38" t="inlineStr">
        <is>
          <t>https://www.infobae.com/colombia/2026/09/06/cayeron-cinco-presuntos-narcotraficantes-vinculados-las-disidencias-farc-el-eln-y-el-clan-del-golfo-tenian-antecedentes-en-ee-uu/</t>
        </is>
      </c>
      <c r="B403" s="38" t="inlineStr">
        <is>
          <t>https://www.infobae.com/colombia/2026/09/06/cayeron-cinco-presuntos-narcotraficantes-vinculados-las-disidencias-farc-el-eln-y-el-clan-del-golfo-tenian-antecedentes-en-ee-uu/_S03</t>
        </is>
      </c>
      <c r="C403" s="38" t="inlineStr">
        <is>
          <t>Infobae Colombia</t>
        </is>
      </c>
      <c r="D403" s="38" t="inlineStr">
        <is>
          <t>Relación con Estados Unidos</t>
        </is>
      </c>
      <c r="E403" s="38" t="inlineStr">
        <is>
          <t>Noticia dura</t>
        </is>
      </c>
      <c r="F403" s="38" t="inlineStr">
        <is>
          <t>Sun, 06 Sep 2026 00:20:43 +0000</t>
        </is>
      </c>
      <c r="G403" s="62" t="inlineStr">
        <is>
          <t>La Dirección de Antinarcóticos realizó las acciones como parte de la Estrategia Esmeralda Plus, con apoyo de la Administración para el Control de Drogas de Estados Unidos (DEA) y la Fiscalía General de la Nación.</t>
        </is>
      </c>
      <c r="H403" s="62" t="inlineStr">
        <is>
          <t>El procedimiento, denominado Operación Troya, se desarrolló a través de acciones coordinadas en los departamentos de Cundinamarca, Magdalena y Cesar.</t>
        </is>
      </c>
      <c r="I403" s="62" t="inlineStr">
        <is>
          <t>Los detenidos son requeridos por autoridades judiciales de los distritos de Nueva York, Illinois y Texas por delitos relacionados con concierto para delinquir, terrorismo y tráfico de drogas ilícitas, según informó la Policía.</t>
        </is>
      </c>
      <c r="J403" s="38" t="n"/>
      <c r="K403" s="62" t="n"/>
      <c r="L403" s="38" t="n"/>
      <c r="M403" s="62" t="n"/>
      <c r="N403" s="38" t="n"/>
      <c r="O403" s="62" t="n"/>
      <c r="P403" s="38" t="n"/>
      <c r="Q403" s="62" t="n"/>
      <c r="R403" s="38" t="n"/>
      <c r="S403" s="62" t="n"/>
      <c r="T403" s="38" t="n"/>
      <c r="U403" s="62" t="n"/>
      <c r="V403" s="38" t="n"/>
      <c r="W403" s="62" t="n"/>
      <c r="X403" s="38" t="n"/>
      <c r="Y403" s="62" t="n"/>
      <c r="Z403" s="38" t="n"/>
      <c r="AA403" s="62" t="n"/>
      <c r="AB403" s="38" t="n"/>
      <c r="AC403" s="62" t="n"/>
      <c r="AD403" s="38" t="n"/>
      <c r="AE403" s="38" t="n"/>
      <c r="AF403" s="61">
        <f>IF(COUNTIF($B$5:B403,B403)=1,1,0)</f>
        <v/>
      </c>
      <c r="AG403" s="62" t="inlineStr">
        <is>
          <t>https://www.infobae.com/colombia/2026/09/06/cayeron-cinco-presuntos-narcotraficantes-vinculados-las-disidencias-farc-el-eln-y-el-clan-del-golfo-tenian-antecedentes-en-ee-uu/</t>
        </is>
      </c>
    </row>
    <row r="404" ht="15" customHeight="1" s="31">
      <c r="A404" s="38" t="inlineStr">
        <is>
          <t>https://www.infobae.com/colombia/2026/09/06/cayeron-cinco-presuntos-narcotraficantes-vinculados-las-disidencias-farc-el-eln-y-el-clan-del-golfo-tenian-antecedentes-en-ee-uu/</t>
        </is>
      </c>
      <c r="B404" s="38" t="inlineStr">
        <is>
          <t>https://www.infobae.com/colombia/2026/09/06/cayeron-cinco-presuntos-narcotraficantes-vinculados-las-disidencias-farc-el-eln-y-el-clan-del-golfo-tenian-antecedentes-en-ee-uu/_S04</t>
        </is>
      </c>
      <c r="C404" s="38" t="inlineStr">
        <is>
          <t>Infobae Colombia</t>
        </is>
      </c>
      <c r="D404" s="38" t="inlineStr">
        <is>
          <t>Relación con Estados Unidos</t>
        </is>
      </c>
      <c r="E404" s="38" t="inlineStr">
        <is>
          <t>Noticia dura</t>
        </is>
      </c>
      <c r="F404" s="38" t="inlineStr">
        <is>
          <t>Sun, 06 Sep 2026 00:20:43 +0000</t>
        </is>
      </c>
      <c r="G404" s="62" t="inlineStr">
        <is>
          <t>Los detenidos son requeridos por autoridades judiciales de los distritos de Nueva York, Illinois y Texas por delitos relacionados con concierto para delinquir, terrorismo y tráfico de drogas ilícitas, según informó la Policía.</t>
        </is>
      </c>
      <c r="H404" s="62" t="inlineStr">
        <is>
          <t>La Dirección de Antinarcóticos realizó las acciones como parte de la Estrategia Esmeralda Plus, con apoyo de la Administración para el Control de Drogas de Estados Unidos (DEA) y la Fiscalía General de la Nación.</t>
        </is>
      </c>
      <c r="I404" s="62" t="inlineStr">
        <is>
          <t>La organización tenía conexiones con redes de México, Guatemala y Costa Rica</t>
        </is>
      </c>
      <c r="J404" s="38" t="n"/>
      <c r="K404" s="62" t="n"/>
      <c r="L404" s="38" t="n"/>
      <c r="M404" s="62" t="n"/>
      <c r="N404" s="38" t="n"/>
      <c r="O404" s="62" t="n"/>
      <c r="P404" s="38" t="n"/>
      <c r="Q404" s="62" t="n"/>
      <c r="R404" s="38" t="n"/>
      <c r="S404" s="62" t="n"/>
      <c r="T404" s="38" t="n"/>
      <c r="U404" s="62" t="n"/>
      <c r="V404" s="38" t="n"/>
      <c r="W404" s="62" t="n"/>
      <c r="X404" s="38" t="n"/>
      <c r="Y404" s="62" t="n"/>
      <c r="Z404" s="38" t="n"/>
      <c r="AA404" s="62" t="n"/>
      <c r="AB404" s="38" t="n"/>
      <c r="AC404" s="62" t="n"/>
      <c r="AD404" s="38" t="n"/>
      <c r="AE404" s="38" t="n"/>
      <c r="AF404" s="61">
        <f>IF(COUNTIF($B$5:B404,B404)=1,1,0)</f>
        <v/>
      </c>
      <c r="AG404" s="62" t="inlineStr">
        <is>
          <t>https://www.infobae.com/colombia/2026/09/06/cayeron-cinco-presuntos-narcotraficantes-vinculados-las-disidencias-farc-el-eln-y-el-clan-del-golfo-tenian-antecedentes-en-ee-uu/</t>
        </is>
      </c>
    </row>
    <row r="405" ht="15" customHeight="1" s="31">
      <c r="A405" s="38" t="inlineStr">
        <is>
          <t>https://www.infobae.com/colombia/2026/09/06/cayeron-cinco-presuntos-narcotraficantes-vinculados-las-disidencias-farc-el-eln-y-el-clan-del-golfo-tenian-antecedentes-en-ee-uu/</t>
        </is>
      </c>
      <c r="B405" s="38" t="inlineStr">
        <is>
          <t>https://www.infobae.com/colombia/2026/09/06/cayeron-cinco-presuntos-narcotraficantes-vinculados-las-disidencias-farc-el-eln-y-el-clan-del-golfo-tenian-antecedentes-en-ee-uu/_S05</t>
        </is>
      </c>
      <c r="C405" s="38" t="inlineStr">
        <is>
          <t>Infobae Colombia</t>
        </is>
      </c>
      <c r="D405" s="38" t="inlineStr">
        <is>
          <t>Relación con Estados Unidos</t>
        </is>
      </c>
      <c r="E405" s="38" t="inlineStr">
        <is>
          <t>Noticia dura</t>
        </is>
      </c>
      <c r="F405" s="38" t="inlineStr">
        <is>
          <t>Sun, 06 Sep 2026 00:20:43 +0000</t>
        </is>
      </c>
      <c r="G405" s="62" t="inlineStr">
        <is>
          <t>La organización tenía conexiones con redes de México, Guatemala y Costa Rica</t>
        </is>
      </c>
      <c r="H405" s="62" t="inlineStr">
        <is>
          <t>Los detenidos son requeridos por autoridades judiciales de los distritos de Nueva York, Illinois y Texas por delitos relacionados con concierto para delinquir, terrorismo y tráfico de drogas ilícitas, según informó la Policía.</t>
        </is>
      </c>
      <c r="I405" s="62" t="inlineStr">
        <is>
          <t>De acuerdo con la institución, la estructura contaba con contactos internacionales y alianzas con organizaciones narcotraficantes de México, Guatemala y Costa Rica.</t>
        </is>
      </c>
      <c r="J405" s="38" t="n"/>
      <c r="K405" s="62" t="n"/>
      <c r="L405" s="38" t="n"/>
      <c r="M405" s="62" t="n"/>
      <c r="N405" s="38" t="n"/>
      <c r="O405" s="62" t="n"/>
      <c r="P405" s="38" t="n"/>
      <c r="Q405" s="62" t="n"/>
      <c r="R405" s="38" t="n"/>
      <c r="S405" s="62" t="n"/>
      <c r="T405" s="38" t="n"/>
      <c r="U405" s="62" t="n"/>
      <c r="V405" s="38" t="n"/>
      <c r="W405" s="62" t="n"/>
      <c r="X405" s="38" t="n"/>
      <c r="Y405" s="62" t="n"/>
      <c r="Z405" s="38" t="n"/>
      <c r="AA405" s="62" t="n"/>
      <c r="AB405" s="38" t="n"/>
      <c r="AC405" s="62" t="n"/>
      <c r="AD405" s="38" t="n"/>
      <c r="AE405" s="38" t="n"/>
      <c r="AF405" s="61">
        <f>IF(COUNTIF($B$5:B405,B405)=1,1,0)</f>
        <v/>
      </c>
      <c r="AG405" s="62" t="inlineStr">
        <is>
          <t>https://www.infobae.com/colombia/2026/09/06/cayeron-cinco-presuntos-narcotraficantes-vinculados-las-disidencias-farc-el-eln-y-el-clan-del-golfo-tenian-antecedentes-en-ee-uu/</t>
        </is>
      </c>
    </row>
    <row r="406" ht="15" customHeight="1" s="31">
      <c r="A406" s="38" t="inlineStr">
        <is>
          <t>https://www.infobae.com/colombia/2026/09/06/cayeron-cinco-presuntos-narcotraficantes-vinculados-las-disidencias-farc-el-eln-y-el-clan-del-golfo-tenian-antecedentes-en-ee-uu/</t>
        </is>
      </c>
      <c r="B406" s="38" t="inlineStr">
        <is>
          <t>https://www.infobae.com/colombia/2026/09/06/cayeron-cinco-presuntos-narcotraficantes-vinculados-las-disidencias-farc-el-eln-y-el-clan-del-golfo-tenian-antecedentes-en-ee-uu/_S06</t>
        </is>
      </c>
      <c r="C406" s="38" t="inlineStr">
        <is>
          <t>Infobae Colombia</t>
        </is>
      </c>
      <c r="D406" s="38" t="inlineStr">
        <is>
          <t>Relación con Estados Unidos</t>
        </is>
      </c>
      <c r="E406" s="38" t="inlineStr">
        <is>
          <t>Noticia dura</t>
        </is>
      </c>
      <c r="F406" s="38" t="inlineStr">
        <is>
          <t>Sun, 06 Sep 2026 00:20:43 +0000</t>
        </is>
      </c>
      <c r="G406" s="62" t="inlineStr">
        <is>
          <t>De acuerdo con la institución, la estructura contaba con contactos internacionales y alianzas con organizaciones narcotraficantes de México, Guatemala y Costa Rica.</t>
        </is>
      </c>
      <c r="H406" s="62" t="inlineStr">
        <is>
          <t>La organización tenía conexiones con redes de México, Guatemala y Costa Rica</t>
        </is>
      </c>
      <c r="I406" s="62" t="n"/>
      <c r="J406" s="38" t="n"/>
      <c r="K406" s="62" t="n"/>
      <c r="L406" s="38" t="n"/>
      <c r="M406" s="62" t="n"/>
      <c r="N406" s="38" t="n"/>
      <c r="O406" s="62" t="n"/>
      <c r="P406" s="38" t="n"/>
      <c r="Q406" s="62" t="n"/>
      <c r="R406" s="38" t="n"/>
      <c r="S406" s="62" t="n"/>
      <c r="T406" s="38" t="n"/>
      <c r="U406" s="62" t="n"/>
      <c r="V406" s="38" t="n"/>
      <c r="W406" s="62" t="n"/>
      <c r="X406" s="38" t="n"/>
      <c r="Y406" s="62" t="n"/>
      <c r="Z406" s="38" t="n"/>
      <c r="AA406" s="62" t="n"/>
      <c r="AB406" s="38" t="n"/>
      <c r="AC406" s="62" t="n"/>
      <c r="AD406" s="38" t="n"/>
      <c r="AE406" s="38" t="n"/>
      <c r="AF406" s="61">
        <f>IF(COUNTIF($B$5:B406,B406)=1,1,0)</f>
        <v/>
      </c>
      <c r="AG406" s="62" t="inlineStr">
        <is>
          <t>https://www.infobae.com/colombia/2026/09/06/cayeron-cinco-presuntos-narcotraficantes-vinculados-las-disidencias-farc-el-eln-y-el-clan-del-golfo-tenian-antecedentes-en-ee-uu/</t>
        </is>
      </c>
    </row>
    <row r="407" ht="15" customHeight="1" s="31">
      <c r="A407" s="38" t="inlineStr">
        <is>
          <t>https://www.infobae.com/colombia/2026/09/05/toman-medidas-para-reforzar-la-seguridad-en-ocana-y-norte-de-santander-tras-atentado-del-eln-activaran-la-campana-militar-y-policial-esparta/</t>
        </is>
      </c>
      <c r="B407" s="38" t="inlineStr">
        <is>
          <t>https://www.infobae.com/colombia/2026/09/05/toman-medidas-para-reforzar-la-seguridad-en-ocana-y-norte-de-santander-tras-atentado-del-eln-activaran-la-campana-militar-y-policial-esparta/_S01</t>
        </is>
      </c>
      <c r="C407" s="38" t="inlineStr">
        <is>
          <t>Infobae Colombia</t>
        </is>
      </c>
      <c r="D407" s="38" t="inlineStr">
        <is>
          <t>Seguridad y orden público</t>
        </is>
      </c>
      <c r="E407" s="38" t="inlineStr">
        <is>
          <t>Noticia dura</t>
        </is>
      </c>
      <c r="F407" s="38" t="inlineStr">
        <is>
          <t>Sat, 05 Sep 2026 23:40:04 +0000</t>
        </is>
      </c>
      <c r="G407" s="62" t="inlineStr">
        <is>
          <t>Tras el ataque terrorista que perpetró el Ejército de Liberación Nacional (ELN) el 4 de septiembre contra el Cantón Militar El Trapiche, ubicado en Ocaña, Norte de Santander, se llevó a cabo un consejo de seguridad extraordinario para atender la situación de orden público.</t>
        </is>
      </c>
      <c r="H407" s="62" t="n"/>
      <c r="I407" s="62" t="inlineStr">
        <is>
          <t>El atentado y los combates que se presentaron posteriormente dejaron tres militares asesinados: el capitán Marco David Pirajón Montezuma y los soldados profesionales Joel Alberto Jiménez Jaramillo y Jhon Carlo Marrugo Manjarrez.</t>
        </is>
      </c>
      <c r="J407" s="38" t="n"/>
      <c r="K407" s="62" t="n"/>
      <c r="L407" s="38" t="n"/>
      <c r="M407" s="62" t="n"/>
      <c r="N407" s="38" t="n"/>
      <c r="O407" s="62" t="n"/>
      <c r="P407" s="38" t="n"/>
      <c r="Q407" s="62" t="n"/>
      <c r="R407" s="38" t="n"/>
      <c r="S407" s="62" t="n"/>
      <c r="T407" s="38" t="n"/>
      <c r="U407" s="62" t="n"/>
      <c r="V407" s="38" t="n"/>
      <c r="W407" s="62" t="n"/>
      <c r="X407" s="38" t="n"/>
      <c r="Y407" s="62" t="n"/>
      <c r="Z407" s="38" t="n"/>
      <c r="AA407" s="62" t="n"/>
      <c r="AB407" s="38" t="n"/>
      <c r="AC407" s="62" t="n"/>
      <c r="AD407" s="38" t="n"/>
      <c r="AE407" s="38" t="n"/>
      <c r="AF407" s="61">
        <f>IF(COUNTIF($B$5:B407,B407)=1,1,0)</f>
        <v/>
      </c>
      <c r="AG407" s="62" t="inlineStr">
        <is>
          <t>https://www.infobae.com/colombia/2026/09/05/toman-medidas-para-reforzar-la-seguridad-en-ocana-y-norte-de-santander-tras-atentado-del-eln-activaran-la-campana-militar-y-policial-esparta/</t>
        </is>
      </c>
    </row>
    <row r="408" ht="15" customHeight="1" s="31">
      <c r="A408" s="38" t="inlineStr">
        <is>
          <t>https://www.infobae.com/colombia/2026/09/05/toman-medidas-para-reforzar-la-seguridad-en-ocana-y-norte-de-santander-tras-atentado-del-eln-activaran-la-campana-militar-y-policial-esparta/</t>
        </is>
      </c>
      <c r="B408" s="38" t="inlineStr">
        <is>
          <t>https://www.infobae.com/colombia/2026/09/05/toman-medidas-para-reforzar-la-seguridad-en-ocana-y-norte-de-santander-tras-atentado-del-eln-activaran-la-campana-militar-y-policial-esparta/_S02</t>
        </is>
      </c>
      <c r="C408" s="38" t="inlineStr">
        <is>
          <t>Infobae Colombia</t>
        </is>
      </c>
      <c r="D408" s="38" t="inlineStr">
        <is>
          <t>Seguridad y orden público</t>
        </is>
      </c>
      <c r="E408" s="38" t="inlineStr">
        <is>
          <t>Noticia dura</t>
        </is>
      </c>
      <c r="F408" s="38" t="inlineStr">
        <is>
          <t>Sat, 05 Sep 2026 23:40:04 +0000</t>
        </is>
      </c>
      <c r="G408" s="62" t="inlineStr">
        <is>
          <t>El atentado y los combates que se presentaron posteriormente dejaron tres militares asesinados: el capitán Marco David Pirajón Montezuma y los soldados profesionales Joel Alberto Jiménez Jaramillo y Jhon Carlo Marrugo Manjarrez.</t>
        </is>
      </c>
      <c r="H408" s="62" t="inlineStr">
        <is>
          <t>Tras el ataque terrorista que perpetró el Ejército de Liberación Nacional (ELN) el 4 de septiembre contra el Cantón Militar El Trapiche, ubicado en Ocaña, Norte de Santander, se llevó a cabo un consejo de seguridad extraordinario para atender la situación de orden público.</t>
        </is>
      </c>
      <c r="I408" s="62" t="inlineStr">
        <is>
          <t>Ante la gravedad de estos hechos, se establecieron nuevas medidas para reforzar la seguridad y el control territorial en Ocaña y en la región del Catatumbo.</t>
        </is>
      </c>
      <c r="J408" s="38" t="n"/>
      <c r="K408" s="62" t="n"/>
      <c r="L408" s="38" t="n"/>
      <c r="M408" s="62" t="n"/>
      <c r="N408" s="38" t="n"/>
      <c r="O408" s="62" t="n"/>
      <c r="P408" s="38" t="n"/>
      <c r="Q408" s="62" t="n"/>
      <c r="R408" s="38" t="n"/>
      <c r="S408" s="62" t="n"/>
      <c r="T408" s="38" t="n"/>
      <c r="U408" s="62" t="n"/>
      <c r="V408" s="38" t="n"/>
      <c r="W408" s="62" t="n"/>
      <c r="X408" s="38" t="n"/>
      <c r="Y408" s="62" t="n"/>
      <c r="Z408" s="38" t="n"/>
      <c r="AA408" s="62" t="n"/>
      <c r="AB408" s="38" t="n"/>
      <c r="AC408" s="62" t="n"/>
      <c r="AD408" s="38" t="n"/>
      <c r="AE408" s="38" t="n"/>
      <c r="AF408" s="61">
        <f>IF(COUNTIF($B$5:B408,B408)=1,1,0)</f>
        <v/>
      </c>
      <c r="AG408" s="62" t="inlineStr">
        <is>
          <t>https://www.infobae.com/colombia/2026/09/05/toman-medidas-para-reforzar-la-seguridad-en-ocana-y-norte-de-santander-tras-atentado-del-eln-activaran-la-campana-militar-y-policial-esparta/</t>
        </is>
      </c>
    </row>
    <row r="409" ht="15" customHeight="1" s="31">
      <c r="A409" s="38" t="inlineStr">
        <is>
          <t>https://www.infobae.com/colombia/2026/09/05/toman-medidas-para-reforzar-la-seguridad-en-ocana-y-norte-de-santander-tras-atentado-del-eln-activaran-la-campana-militar-y-policial-esparta/</t>
        </is>
      </c>
      <c r="B409" s="38" t="inlineStr">
        <is>
          <t>https://www.infobae.com/colombia/2026/09/05/toman-medidas-para-reforzar-la-seguridad-en-ocana-y-norte-de-santander-tras-atentado-del-eln-activaran-la-campana-militar-y-policial-esparta/_S03</t>
        </is>
      </c>
      <c r="C409" s="38" t="inlineStr">
        <is>
          <t>Infobae Colombia</t>
        </is>
      </c>
      <c r="D409" s="38" t="inlineStr">
        <is>
          <t>Seguridad y orden público</t>
        </is>
      </c>
      <c r="E409" s="38" t="inlineStr">
        <is>
          <t>Noticia dura</t>
        </is>
      </c>
      <c r="F409" s="38" t="inlineStr">
        <is>
          <t>Sat, 05 Sep 2026 23:40:04 +0000</t>
        </is>
      </c>
      <c r="G409" s="62" t="inlineStr">
        <is>
          <t>Ante la gravedad de estos hechos, se establecieron nuevas medidas para reforzar la seguridad y el control territorial en Ocaña y en la región del Catatumbo.</t>
        </is>
      </c>
      <c r="H409" s="62" t="inlineStr">
        <is>
          <t>El atentado y los combates que se presentaron posteriormente dejaron tres militares asesinados: el capitán Marco David Pirajón Montezuma y los soldados profesionales Joel Alberto Jiménez Jaramillo y Jhon Carlo Marrugo Manjarrez.</t>
        </is>
      </c>
      <c r="I409" s="62" t="inlineStr">
        <is>
          <t>Durante la reunión, en la que estuvo el Ministerio de Defensa Nacional, la cúpula militar y de la Policía Nacional, y el gobernador de Norte de Santander, William Villamizar Laguado, el Gobierno del presidente Abelardo de la Espriella y las autoridades concertaron hacer una reestructuración y activación de la campaña militar y policial Esparta, con sede en Ocaña, para articular capacidades de las Fuerzas Militares y la Policía Nacional frente a las estructuras criminales que operan en la zona.</t>
        </is>
      </c>
      <c r="J409" s="38" t="n"/>
      <c r="K409" s="62" t="n"/>
      <c r="L409" s="38" t="n"/>
      <c r="M409" s="62" t="n"/>
      <c r="N409" s="38" t="n"/>
      <c r="O409" s="62" t="n"/>
      <c r="P409" s="38" t="n"/>
      <c r="Q409" s="62" t="n"/>
      <c r="R409" s="38" t="n"/>
      <c r="S409" s="62" t="n"/>
      <c r="T409" s="38" t="n"/>
      <c r="U409" s="62" t="n"/>
      <c r="V409" s="38" t="n"/>
      <c r="W409" s="62" t="n"/>
      <c r="X409" s="38" t="n"/>
      <c r="Y409" s="62" t="n"/>
      <c r="Z409" s="38" t="n"/>
      <c r="AA409" s="62" t="n"/>
      <c r="AB409" s="38" t="n"/>
      <c r="AC409" s="62" t="n"/>
      <c r="AD409" s="38" t="n"/>
      <c r="AE409" s="38" t="n"/>
      <c r="AF409" s="61">
        <f>IF(COUNTIF($B$5:B409,B409)=1,1,0)</f>
        <v/>
      </c>
      <c r="AG409" s="62" t="inlineStr">
        <is>
          <t>https://www.infobae.com/colombia/2026/09/05/toman-medidas-para-reforzar-la-seguridad-en-ocana-y-norte-de-santander-tras-atentado-del-eln-activaran-la-campana-militar-y-policial-esparta/</t>
        </is>
      </c>
    </row>
    <row r="410" ht="15" customHeight="1" s="31">
      <c r="A410" s="38" t="inlineStr">
        <is>
          <t>https://www.infobae.com/colombia/2026/09/05/toman-medidas-para-reforzar-la-seguridad-en-ocana-y-norte-de-santander-tras-atentado-del-eln-activaran-la-campana-militar-y-policial-esparta/</t>
        </is>
      </c>
      <c r="B410" s="38" t="inlineStr">
        <is>
          <t>https://www.infobae.com/colombia/2026/09/05/toman-medidas-para-reforzar-la-seguridad-en-ocana-y-norte-de-santander-tras-atentado-del-eln-activaran-la-campana-militar-y-policial-esparta/_S04</t>
        </is>
      </c>
      <c r="C410" s="38" t="inlineStr">
        <is>
          <t>Infobae Colombia</t>
        </is>
      </c>
      <c r="D410" s="38" t="inlineStr">
        <is>
          <t>Seguridad y orden público</t>
        </is>
      </c>
      <c r="E410" s="38" t="inlineStr">
        <is>
          <t>Noticia dura</t>
        </is>
      </c>
      <c r="F410" s="38" t="inlineStr">
        <is>
          <t>Sat, 05 Sep 2026 23:40:04 +0000</t>
        </is>
      </c>
      <c r="G410" s="62" t="inlineStr">
        <is>
          <t>Durante la reunión, en la que estuvo el Ministerio de Defensa Nacional, la cúpula militar y de la Policía Nacional, y el gobernador de Norte de Santander, William Villamizar Laguado, el Gobierno del presidente Abelardo de la Espriella y las autoridades concertaron hacer una reestructuración y activación de la campaña militar y policial Esparta, con sede en Ocaña, para articular capacidades de las Fuerzas Militares y la Policía Nacional frente a las estructuras criminales que operan en la zona.</t>
        </is>
      </c>
      <c r="H410" s="62" t="inlineStr">
        <is>
          <t>Ante la gravedad de estos hechos, se establecieron nuevas medidas para reforzar la seguridad y el control territorial en Ocaña y en la región del Catatumbo.</t>
        </is>
      </c>
      <c r="I410" s="62" t="inlineStr">
        <is>
          <t>“Se reforzarán los corredores de movilidad ilegal, las capacidades de inteligencia y la coordinación con la @FiscaliaCol para identificar, capturar y judicializar a los responsables.</t>
        </is>
      </c>
      <c r="J410" s="38" t="n"/>
      <c r="K410" s="62" t="n"/>
      <c r="L410" s="38" t="n"/>
      <c r="M410" s="62" t="n"/>
      <c r="N410" s="38" t="n"/>
      <c r="O410" s="62" t="n"/>
      <c r="P410" s="38" t="n"/>
      <c r="Q410" s="62" t="n"/>
      <c r="R410" s="38" t="n"/>
      <c r="S410" s="62" t="n"/>
      <c r="T410" s="38" t="n"/>
      <c r="U410" s="62" t="n"/>
      <c r="V410" s="38" t="n"/>
      <c r="W410" s="62" t="n"/>
      <c r="X410" s="38" t="n"/>
      <c r="Y410" s="62" t="n"/>
      <c r="Z410" s="38" t="n"/>
      <c r="AA410" s="62" t="n"/>
      <c r="AB410" s="38" t="n"/>
      <c r="AC410" s="62" t="n"/>
      <c r="AD410" s="38" t="n"/>
      <c r="AE410" s="38" t="n"/>
      <c r="AF410" s="61">
        <f>IF(COUNTIF($B$5:B410,B410)=1,1,0)</f>
        <v/>
      </c>
      <c r="AG410" s="62" t="inlineStr">
        <is>
          <t>https://www.infobae.com/colombia/2026/09/05/toman-medidas-para-reforzar-la-seguridad-en-ocana-y-norte-de-santander-tras-atentado-del-eln-activaran-la-campana-militar-y-policial-esparta/</t>
        </is>
      </c>
    </row>
    <row r="411" ht="15" customHeight="1" s="31">
      <c r="A411" s="38" t="inlineStr">
        <is>
          <t>https://www.infobae.com/colombia/2026/09/05/toman-medidas-para-reforzar-la-seguridad-en-ocana-y-norte-de-santander-tras-atentado-del-eln-activaran-la-campana-militar-y-policial-esparta/</t>
        </is>
      </c>
      <c r="B411" s="38" t="inlineStr">
        <is>
          <t>https://www.infobae.com/colombia/2026/09/05/toman-medidas-para-reforzar-la-seguridad-en-ocana-y-norte-de-santander-tras-atentado-del-eln-activaran-la-campana-militar-y-policial-esparta/_S05</t>
        </is>
      </c>
      <c r="C411" s="38" t="inlineStr">
        <is>
          <t>Infobae Colombia</t>
        </is>
      </c>
      <c r="D411" s="38" t="inlineStr">
        <is>
          <t>Seguridad y orden público</t>
        </is>
      </c>
      <c r="E411" s="38" t="inlineStr">
        <is>
          <t>Noticia dura</t>
        </is>
      </c>
      <c r="F411" s="38" t="inlineStr">
        <is>
          <t>Sat, 05 Sep 2026 23:40:04 +0000</t>
        </is>
      </c>
      <c r="G411" s="62" t="inlineStr">
        <is>
          <t>“Se reforzarán los corredores de movilidad ilegal, las capacidades de inteligencia y la coordinación con la @FiscaliaCol para identificar, capturar y judicializar a los responsables.</t>
        </is>
      </c>
      <c r="H411" s="62" t="inlineStr">
        <is>
          <t>Durante la reunión, en la que estuvo el Ministerio de Defensa Nacional, la cúpula militar y de la Policía Nacional, y el gobernador de Norte de Santander, William Villamizar Laguado, el Gobierno del presidente Abelardo de la Espriella y las autoridades concertaron hacer una reestructuración y activación de la campaña militar y policial Esparta, con sede en Ocaña, para articular capacidades de las Fuerzas Militares y la Policía Nacional frente a las estructuras criminales que operan en la zona.</t>
        </is>
      </c>
      <c r="I411" s="62" t="inlineStr">
        <is>
          <t>Las @FuerzasMilCol y la @PoliciaColombia mantienen desplegadas todas sus capacidades para proteger a la población y enfrentar con contundencia a quienes atenten contra la seguridad del #Catatumbo”, indicaron las Fuerzas Militares en X.</t>
        </is>
      </c>
      <c r="J411" s="38" t="n"/>
      <c r="K411" s="62" t="n"/>
      <c r="L411" s="38" t="n"/>
      <c r="M411" s="62" t="n"/>
      <c r="N411" s="38" t="n"/>
      <c r="O411" s="62" t="n"/>
      <c r="P411" s="38" t="n"/>
      <c r="Q411" s="62" t="n"/>
      <c r="R411" s="38" t="n"/>
      <c r="S411" s="62" t="n"/>
      <c r="T411" s="38" t="n"/>
      <c r="U411" s="62" t="n"/>
      <c r="V411" s="38" t="n"/>
      <c r="W411" s="62" t="n"/>
      <c r="X411" s="38" t="n"/>
      <c r="Y411" s="62" t="n"/>
      <c r="Z411" s="38" t="n"/>
      <c r="AA411" s="62" t="n"/>
      <c r="AB411" s="38" t="n"/>
      <c r="AC411" s="62" t="n"/>
      <c r="AD411" s="38" t="n"/>
      <c r="AE411" s="38" t="n"/>
      <c r="AF411" s="61">
        <f>IF(COUNTIF($B$5:B411,B411)=1,1,0)</f>
        <v/>
      </c>
      <c r="AG411" s="62" t="inlineStr">
        <is>
          <t>https://www.infobae.com/colombia/2026/09/05/toman-medidas-para-reforzar-la-seguridad-en-ocana-y-norte-de-santander-tras-atentado-del-eln-activaran-la-campana-militar-y-policial-esparta/</t>
        </is>
      </c>
    </row>
    <row r="412" ht="15" customHeight="1" s="31">
      <c r="A412" s="38" t="inlineStr">
        <is>
          <t>https://www.infobae.com/colombia/2026/09/05/toman-medidas-para-reforzar-la-seguridad-en-ocana-y-norte-de-santander-tras-atentado-del-eln-activaran-la-campana-militar-y-policial-esparta/</t>
        </is>
      </c>
      <c r="B412" s="38" t="inlineStr">
        <is>
          <t>https://www.infobae.com/colombia/2026/09/05/toman-medidas-para-reforzar-la-seguridad-en-ocana-y-norte-de-santander-tras-atentado-del-eln-activaran-la-campana-militar-y-policial-esparta/_S06</t>
        </is>
      </c>
      <c r="C412" s="38" t="inlineStr">
        <is>
          <t>Infobae Colombia</t>
        </is>
      </c>
      <c r="D412" s="38" t="inlineStr">
        <is>
          <t>Seguridad y orden público</t>
        </is>
      </c>
      <c r="E412" s="38" t="inlineStr">
        <is>
          <t>Noticia dura</t>
        </is>
      </c>
      <c r="F412" s="38" t="inlineStr">
        <is>
          <t>Sat, 05 Sep 2026 23:40:04 +0000</t>
        </is>
      </c>
      <c r="G412" s="62" t="inlineStr">
        <is>
          <t>Las @FuerzasMilCol y la @PoliciaColombia mantienen desplegadas todas sus capacidades para proteger a la población y enfrentar con contundencia a quienes atenten contra la seguridad del #Catatumbo”, indicaron las Fuerzas Militares en X.</t>
        </is>
      </c>
      <c r="H412" s="62" t="inlineStr">
        <is>
          <t>“Se reforzarán los corredores de movilidad ilegal, las capacidades de inteligencia y la coordinación con la @FiscaliaCol para identificar, capturar y judicializar a los responsables.</t>
        </is>
      </c>
      <c r="I412" s="62" t="n"/>
      <c r="J412" s="38" t="n"/>
      <c r="K412" s="62" t="n"/>
      <c r="L412" s="38" t="n"/>
      <c r="M412" s="62" t="n"/>
      <c r="N412" s="38" t="n"/>
      <c r="O412" s="62" t="n"/>
      <c r="P412" s="38" t="n"/>
      <c r="Q412" s="62" t="n"/>
      <c r="R412" s="38" t="n"/>
      <c r="S412" s="62" t="n"/>
      <c r="T412" s="38" t="n"/>
      <c r="U412" s="62" t="n"/>
      <c r="V412" s="38" t="n"/>
      <c r="W412" s="62" t="n"/>
      <c r="X412" s="38" t="n"/>
      <c r="Y412" s="62" t="n"/>
      <c r="Z412" s="38" t="n"/>
      <c r="AA412" s="62" t="n"/>
      <c r="AB412" s="38" t="n"/>
      <c r="AC412" s="62" t="n"/>
      <c r="AD412" s="38" t="n"/>
      <c r="AE412" s="38" t="n"/>
      <c r="AF412" s="61">
        <f>IF(COUNTIF($B$5:B412,B412)=1,1,0)</f>
        <v/>
      </c>
      <c r="AG412" s="62" t="inlineStr">
        <is>
          <t>https://www.infobae.com/colombia/2026/09/05/toman-medidas-para-reforzar-la-seguridad-en-ocana-y-norte-de-santander-tras-atentado-del-eln-activaran-la-campana-militar-y-policial-esparta/</t>
        </is>
      </c>
    </row>
    <row r="413" ht="15" customHeight="1" s="31">
      <c r="A413" s="38" t="inlineStr">
        <is>
          <t>https://www.elespectador.com/colombia-20/paz-y-memoria/alerta-por-expansion-de-autodefensas-conquistadoras-y-guerra-con-eln-y-disidencias-en-maicao-y-la-guajira-segun-defensoria/</t>
        </is>
      </c>
      <c r="B413" s="38" t="inlineStr">
        <is>
          <t>https://www.elespectador.com/colombia-20/paz-y-memoria/alerta-por-expansion-de-autodefensas-conquistadoras-y-guerra-con-eln-y-disidencias-en-maicao-y-la-guajira-segun-defensoria/_S01</t>
        </is>
      </c>
      <c r="C413" s="38" t="inlineStr">
        <is>
          <t>El Espectador</t>
        </is>
      </c>
      <c r="D413" s="38" t="inlineStr">
        <is>
          <t>Seguridad y orden público</t>
        </is>
      </c>
      <c r="E413" s="38" t="inlineStr">
        <is>
          <t>Noticia dura</t>
        </is>
      </c>
      <c r="F413" s="38" t="inlineStr">
        <is>
          <t>Mon, 29 Jun 2026 18:35:06 +0000</t>
        </is>
      </c>
      <c r="G413" s="62" t="inlineStr">
        <is>
          <t>La expansión de las Autodefensas Conquistadoras de la Sierra Nevada (ACSN) hacia Maicao está modificando el mapa del conflicto armado en La Guajira.</t>
        </is>
      </c>
      <c r="H413" s="62" t="n"/>
      <c r="I413" s="62" t="inlineStr">
        <is>
          <t>Esa es la principal conclusión de la Alerta Temprana de Inminencia 013 de 2026, emitida por la Defensoría del Pueblo el pasado 17 de junio, pero divulgada este lunes, en la que advierte que el municipio fronterizo enfrenta un riesgo creciente de confrontaciones entre grupos armados ilegales y de nuevas afectaciones contra la población civil.</t>
        </is>
      </c>
      <c r="J413" s="38" t="n"/>
      <c r="K413" s="62" t="n"/>
      <c r="L413" s="38" t="n"/>
      <c r="M413" s="62" t="n"/>
      <c r="N413" s="38" t="n"/>
      <c r="O413" s="62" t="n"/>
      <c r="P413" s="38" t="n"/>
      <c r="Q413" s="62" t="n"/>
      <c r="R413" s="38" t="n"/>
      <c r="S413" s="62" t="n"/>
      <c r="T413" s="38" t="n"/>
      <c r="U413" s="62" t="n"/>
      <c r="V413" s="38" t="n"/>
      <c r="W413" s="62" t="n"/>
      <c r="X413" s="38" t="n"/>
      <c r="Y413" s="62" t="n"/>
      <c r="Z413" s="38" t="n"/>
      <c r="AA413" s="62" t="n"/>
      <c r="AB413" s="38" t="n"/>
      <c r="AC413" s="62" t="n"/>
      <c r="AD413" s="38" t="n"/>
      <c r="AE413" s="38" t="n"/>
      <c r="AF413" s="61">
        <f>IF(COUNTIF($B$5:B413,B413)=1,1,0)</f>
        <v/>
      </c>
      <c r="AG413" s="62" t="inlineStr">
        <is>
          <t>https://www.elespectador.com/colombia-20/paz-y-memoria/alerta-por-expansion-de-autodefensas-conquistadoras-y-guerra-con-eln-y-disidencias-en-maicao-y-la-guajira-segun-defensoria/</t>
        </is>
      </c>
    </row>
    <row r="414" ht="15" customHeight="1" s="31">
      <c r="A414" s="38" t="inlineStr">
        <is>
          <t>https://www.elespectador.com/colombia-20/paz-y-memoria/alerta-por-expansion-de-autodefensas-conquistadoras-y-guerra-con-eln-y-disidencias-en-maicao-y-la-guajira-segun-defensoria/</t>
        </is>
      </c>
      <c r="B414" s="38" t="inlineStr">
        <is>
          <t>https://www.elespectador.com/colombia-20/paz-y-memoria/alerta-por-expansion-de-autodefensas-conquistadoras-y-guerra-con-eln-y-disidencias-en-maicao-y-la-guajira-segun-defensoria/_S02</t>
        </is>
      </c>
      <c r="C414" s="38" t="inlineStr">
        <is>
          <t>El Espectador</t>
        </is>
      </c>
      <c r="D414" s="38" t="inlineStr">
        <is>
          <t>Seguridad y orden público</t>
        </is>
      </c>
      <c r="E414" s="38" t="inlineStr">
        <is>
          <t>Noticia dura</t>
        </is>
      </c>
      <c r="F414" s="38" t="inlineStr">
        <is>
          <t>Mon, 29 Jun 2026 18:35:06 +0000</t>
        </is>
      </c>
      <c r="G414" s="62" t="inlineStr">
        <is>
          <t>Esa es la principal conclusión de la Alerta Temprana de Inminencia 013 de 2026, emitida por la Defensoría del Pueblo el pasado 17 de junio, pero divulgada este lunes, en la que advierte que el municipio fronterizo enfrenta un riesgo creciente de confrontaciones entre grupos armados ilegales y de nuevas afectaciones contra la población civil.</t>
        </is>
      </c>
      <c r="H414" s="62" t="inlineStr">
        <is>
          <t>La expansión de las Autodefensas Conquistadoras de la Sierra Nevada (ACSN) hacia Maicao está modificando el mapa del conflicto armado en La Guajira.</t>
        </is>
      </c>
      <c r="I414" s="62" t="inlineStr">
        <is>
          <t>En Maicao confluyen el Ejército de Liberación Nacional (ELN), las disidencias de las FARC agrupadas en la Segunda Marquetalia, las ACSN y varias estructuras de criminalidad organizada, tanto locales como transnacionales, que disputan rentas ilegales derivadas de la extorsión, el narcotráfico, el contrabando y el control de pasos fronterizos.</t>
        </is>
      </c>
      <c r="J414" s="38" t="n"/>
      <c r="K414" s="62" t="n"/>
      <c r="L414" s="38" t="n"/>
      <c r="M414" s="62" t="n"/>
      <c r="N414" s="38" t="n"/>
      <c r="O414" s="62" t="n"/>
      <c r="P414" s="38" t="n"/>
      <c r="Q414" s="62" t="n"/>
      <c r="R414" s="38" t="n"/>
      <c r="S414" s="62" t="n"/>
      <c r="T414" s="38" t="n"/>
      <c r="U414" s="62" t="n"/>
      <c r="V414" s="38" t="n"/>
      <c r="W414" s="62" t="n"/>
      <c r="X414" s="38" t="n"/>
      <c r="Y414" s="62" t="n"/>
      <c r="Z414" s="38" t="n"/>
      <c r="AA414" s="62" t="n"/>
      <c r="AB414" s="38" t="n"/>
      <c r="AC414" s="62" t="n"/>
      <c r="AD414" s="38" t="n"/>
      <c r="AE414" s="38" t="n"/>
      <c r="AF414" s="61">
        <f>IF(COUNTIF($B$5:B414,B414)=1,1,0)</f>
        <v/>
      </c>
      <c r="AG414" s="62" t="inlineStr">
        <is>
          <t>https://www.elespectador.com/colombia-20/paz-y-memoria/alerta-por-expansion-de-autodefensas-conquistadoras-y-guerra-con-eln-y-disidencias-en-maicao-y-la-guajira-segun-defensoria/</t>
        </is>
      </c>
    </row>
    <row r="415" ht="15" customHeight="1" s="31">
      <c r="A415" s="38" t="inlineStr">
        <is>
          <t>https://www.elespectador.com/colombia-20/paz-y-memoria/alerta-por-expansion-de-autodefensas-conquistadoras-y-guerra-con-eln-y-disidencias-en-maicao-y-la-guajira-segun-defensoria/</t>
        </is>
      </c>
      <c r="B415" s="38" t="inlineStr">
        <is>
          <t>https://www.elespectador.com/colombia-20/paz-y-memoria/alerta-por-expansion-de-autodefensas-conquistadoras-y-guerra-con-eln-y-disidencias-en-maicao-y-la-guajira-segun-defensoria/_S03</t>
        </is>
      </c>
      <c r="C415" s="38" t="inlineStr">
        <is>
          <t>El Espectador</t>
        </is>
      </c>
      <c r="D415" s="38" t="inlineStr">
        <is>
          <t>Seguridad y orden público</t>
        </is>
      </c>
      <c r="E415" s="38" t="inlineStr">
        <is>
          <t>Noticia dura</t>
        </is>
      </c>
      <c r="F415" s="38" t="inlineStr">
        <is>
          <t>Mon, 29 Jun 2026 18:35:06 +0000</t>
        </is>
      </c>
      <c r="G415" s="62" t="inlineStr">
        <is>
          <t>En Maicao confluyen el Ejército de Liberación Nacional (ELN), las disidencias de las FARC agrupadas en la Segunda Marquetalia, las ACSN y varias estructuras de criminalidad organizada, tanto locales como transnacionales, que disputan rentas ilegales derivadas de la extorsión, el narcotráfico, el contrabando y el control de pasos fronterizos.</t>
        </is>
      </c>
      <c r="H415" s="62" t="inlineStr">
        <is>
          <t>Esa es la principal conclusión de la Alerta Temprana de Inminencia 013 de 2026, emitida por la Defensoría del Pueblo el pasado 17 de junio, pero divulgada este lunes, en la que advierte que el municipio fronterizo enfrenta un riesgo creciente de confrontaciones entre grupos armados ilegales y de nuevas afectaciones contra la población civil.</t>
        </is>
      </c>
      <c r="I415" s="62" t="inlineStr">
        <is>
          <t>Según el documento, “la pretensión de consolidación de las Autodefensas Conquistadoras de la Sierra Nevada, la presencia del ELN y de las disidencias de las FARC-Segunda Marquetalia, así como el accionar de estructuras de criminalidad organizada, tanto transnacional como local, configuran un escenario de alto riesgo para la población civil”.</t>
        </is>
      </c>
      <c r="J415" s="38" t="n"/>
      <c r="K415" s="62" t="n"/>
      <c r="L415" s="38" t="n"/>
      <c r="M415" s="62" t="n"/>
      <c r="N415" s="38" t="n"/>
      <c r="O415" s="62" t="n"/>
      <c r="P415" s="38" t="n"/>
      <c r="Q415" s="62" t="n"/>
      <c r="R415" s="38" t="n"/>
      <c r="S415" s="62" t="n"/>
      <c r="T415" s="38" t="n"/>
      <c r="U415" s="62" t="n"/>
      <c r="V415" s="38" t="n"/>
      <c r="W415" s="62" t="n"/>
      <c r="X415" s="38" t="n"/>
      <c r="Y415" s="62" t="n"/>
      <c r="Z415" s="38" t="n"/>
      <c r="AA415" s="62" t="n"/>
      <c r="AB415" s="38" t="n"/>
      <c r="AC415" s="62" t="n"/>
      <c r="AD415" s="38" t="n"/>
      <c r="AE415" s="38" t="n"/>
      <c r="AF415" s="61">
        <f>IF(COUNTIF($B$5:B415,B415)=1,1,0)</f>
        <v/>
      </c>
      <c r="AG415" s="62" t="inlineStr">
        <is>
          <t>https://www.elespectador.com/colombia-20/paz-y-memoria/alerta-por-expansion-de-autodefensas-conquistadoras-y-guerra-con-eln-y-disidencias-en-maicao-y-la-guajira-segun-defensoria/</t>
        </is>
      </c>
    </row>
    <row r="416" ht="15" customHeight="1" s="31">
      <c r="A416" s="38" t="inlineStr">
        <is>
          <t>https://www.elespectador.com/colombia-20/paz-y-memoria/alerta-por-expansion-de-autodefensas-conquistadoras-y-guerra-con-eln-y-disidencias-en-maicao-y-la-guajira-segun-defensoria/</t>
        </is>
      </c>
      <c r="B416" s="38" t="inlineStr">
        <is>
          <t>https://www.elespectador.com/colombia-20/paz-y-memoria/alerta-por-expansion-de-autodefensas-conquistadoras-y-guerra-con-eln-y-disidencias-en-maicao-y-la-guajira-segun-defensoria/_S04</t>
        </is>
      </c>
      <c r="C416" s="38" t="inlineStr">
        <is>
          <t>El Espectador</t>
        </is>
      </c>
      <c r="D416" s="38" t="inlineStr">
        <is>
          <t>Seguridad y orden público</t>
        </is>
      </c>
      <c r="E416" s="38" t="inlineStr">
        <is>
          <t>Noticia dura</t>
        </is>
      </c>
      <c r="F416" s="38" t="inlineStr">
        <is>
          <t>Mon, 29 Jun 2026 18:35:06 +0000</t>
        </is>
      </c>
      <c r="G416" s="62" t="inlineStr">
        <is>
          <t>Según el documento, “la pretensión de consolidación de las Autodefensas Conquistadoras de la Sierra Nevada, la presencia del ELN y de las disidencias de las FARC-Segunda Marquetalia, así como el accionar de estructuras de criminalidad organizada, tanto transnacional como local, configuran un escenario de alto riesgo para la población civil”.</t>
        </is>
      </c>
      <c r="H416" s="62" t="inlineStr">
        <is>
          <t>En Maicao confluyen el Ejército de Liberación Nacional (ELN), las disidencias de las FARC agrupadas en la Segunda Marquetalia, las ACSN y varias estructuras de criminalidad organizada, tanto locales como transnacionales, que disputan rentas ilegales derivadas de la extorsión, el narcotráfico, el contrabando y el control de pasos fronterizos.</t>
        </is>
      </c>
      <c r="I416" s="62" t="inlineStr">
        <is>
          <t>Para la Defensoría, el principal cambio en el escenario de seguridad es el proceso de expansión territorial de las ACSN, un grupo que hasta hace pocos años concentraba su presencia en la Sierra Nevada de Santa Marta y que ahora busca consolidar su influencia en uno de los corredores fronterizos más estratégicos del Caribe.</t>
        </is>
      </c>
      <c r="J416" s="38" t="n"/>
      <c r="K416" s="62" t="n"/>
      <c r="L416" s="38" t="n"/>
      <c r="M416" s="62" t="n"/>
      <c r="N416" s="38" t="n"/>
      <c r="O416" s="62" t="n"/>
      <c r="P416" s="38" t="n"/>
      <c r="Q416" s="62" t="n"/>
      <c r="R416" s="38" t="n"/>
      <c r="S416" s="62" t="n"/>
      <c r="T416" s="38" t="n"/>
      <c r="U416" s="62" t="n"/>
      <c r="V416" s="38" t="n"/>
      <c r="W416" s="62" t="n"/>
      <c r="X416" s="38" t="n"/>
      <c r="Y416" s="62" t="n"/>
      <c r="Z416" s="38" t="n"/>
      <c r="AA416" s="62" t="n"/>
      <c r="AB416" s="38" t="n"/>
      <c r="AC416" s="62" t="n"/>
      <c r="AD416" s="38" t="n"/>
      <c r="AE416" s="38" t="n"/>
      <c r="AF416" s="61">
        <f>IF(COUNTIF($B$5:B416,B416)=1,1,0)</f>
        <v/>
      </c>
      <c r="AG416" s="62" t="inlineStr">
        <is>
          <t>https://www.elespectador.com/colombia-20/paz-y-memoria/alerta-por-expansion-de-autodefensas-conquistadoras-y-guerra-con-eln-y-disidencias-en-maicao-y-la-guajira-segun-defensoria/</t>
        </is>
      </c>
    </row>
    <row r="417" ht="15" customHeight="1" s="31">
      <c r="A417" s="38" t="inlineStr">
        <is>
          <t>https://www.elespectador.com/colombia-20/paz-y-memoria/alerta-por-expansion-de-autodefensas-conquistadoras-y-guerra-con-eln-y-disidencias-en-maicao-y-la-guajira-segun-defensoria/</t>
        </is>
      </c>
      <c r="B417" s="38" t="inlineStr">
        <is>
          <t>https://www.elespectador.com/colombia-20/paz-y-memoria/alerta-por-expansion-de-autodefensas-conquistadoras-y-guerra-con-eln-y-disidencias-en-maicao-y-la-guajira-segun-defensoria/_S05</t>
        </is>
      </c>
      <c r="C417" s="38" t="inlineStr">
        <is>
          <t>El Espectador</t>
        </is>
      </c>
      <c r="D417" s="38" t="inlineStr">
        <is>
          <t>Seguridad y orden público</t>
        </is>
      </c>
      <c r="E417" s="38" t="inlineStr">
        <is>
          <t>Noticia dura</t>
        </is>
      </c>
      <c r="F417" s="38" t="inlineStr">
        <is>
          <t>Mon, 29 Jun 2026 18:35:06 +0000</t>
        </is>
      </c>
      <c r="G417" s="62" t="inlineStr">
        <is>
          <t>Para la Defensoría, el principal cambio en el escenario de seguridad es el proceso de expansión territorial de las ACSN, un grupo que hasta hace pocos años concentraba su presencia en la Sierra Nevada de Santa Marta y que ahora busca consolidar su influencia en uno de los corredores fronterizos más estratégicos del Caribe.</t>
        </is>
      </c>
      <c r="H417" s="62" t="inlineStr">
        <is>
          <t>Según el documento, “la pretensión de consolidación de las Autodefensas Conquistadoras de la Sierra Nevada, la presencia del ELN y de las disidencias de las FARC-Segunda Marquetalia, así como el accionar de estructuras de criminalidad organizada, tanto transnacional como local, configuran un escenario de alto riesgo para la población civil”.</t>
        </is>
      </c>
      <c r="I417" s="62" t="inlineStr">
        <is>
          <t>Las Autodefensas Conquistadoras son parte de los grupos que están en la paz total de Gustavo Petro, pero esa mesa no ha tenido ningún avance.</t>
        </is>
      </c>
      <c r="J417" s="38" t="n"/>
      <c r="K417" s="62" t="n"/>
      <c r="L417" s="38" t="n"/>
      <c r="M417" s="62" t="n"/>
      <c r="N417" s="38" t="n"/>
      <c r="O417" s="62" t="n"/>
      <c r="P417" s="38" t="n"/>
      <c r="Q417" s="62" t="n"/>
      <c r="R417" s="38" t="n"/>
      <c r="S417" s="62" t="n"/>
      <c r="T417" s="38" t="n"/>
      <c r="U417" s="62" t="n"/>
      <c r="V417" s="38" t="n"/>
      <c r="W417" s="62" t="n"/>
      <c r="X417" s="38" t="n"/>
      <c r="Y417" s="62" t="n"/>
      <c r="Z417" s="38" t="n"/>
      <c r="AA417" s="62" t="n"/>
      <c r="AB417" s="38" t="n"/>
      <c r="AC417" s="62" t="n"/>
      <c r="AD417" s="38" t="n"/>
      <c r="AE417" s="38" t="n"/>
      <c r="AF417" s="61">
        <f>IF(COUNTIF($B$5:B417,B417)=1,1,0)</f>
        <v/>
      </c>
      <c r="AG417" s="62" t="inlineStr">
        <is>
          <t>https://www.elespectador.com/colombia-20/paz-y-memoria/alerta-por-expansion-de-autodefensas-conquistadoras-y-guerra-con-eln-y-disidencias-en-maicao-y-la-guajira-segun-defensoria/</t>
        </is>
      </c>
    </row>
    <row r="418" ht="15" customHeight="1" s="31">
      <c r="A418" s="38" t="inlineStr">
        <is>
          <t>https://www.elespectador.com/colombia-20/paz-y-memoria/alerta-por-expansion-de-autodefensas-conquistadoras-y-guerra-con-eln-y-disidencias-en-maicao-y-la-guajira-segun-defensoria/</t>
        </is>
      </c>
      <c r="B418" s="38" t="inlineStr">
        <is>
          <t>https://www.elespectador.com/colombia-20/paz-y-memoria/alerta-por-expansion-de-autodefensas-conquistadoras-y-guerra-con-eln-y-disidencias-en-maicao-y-la-guajira-segun-defensoria/_S06</t>
        </is>
      </c>
      <c r="C418" s="38" t="inlineStr">
        <is>
          <t>El Espectador</t>
        </is>
      </c>
      <c r="D418" s="38" t="inlineStr">
        <is>
          <t>Seguridad y orden público</t>
        </is>
      </c>
      <c r="E418" s="38" t="inlineStr">
        <is>
          <t>Noticia dura</t>
        </is>
      </c>
      <c r="F418" s="38" t="inlineStr">
        <is>
          <t>Mon, 29 Jun 2026 18:35:06 +0000</t>
        </is>
      </c>
      <c r="G418" s="62" t="inlineStr">
        <is>
          <t>Las Autodefensas Conquistadoras son parte de los grupos que están en la paz total de Gustavo Petro, pero esa mesa no ha tenido ningún avance.</t>
        </is>
      </c>
      <c r="H418" s="62" t="inlineStr">
        <is>
          <t>Para la Defensoría, el principal cambio en el escenario de seguridad es el proceso de expansión territorial de las ACSN, un grupo que hasta hace pocos años concentraba su presencia en la Sierra Nevada de Santa Marta y que ahora busca consolidar su influencia en uno de los corredores fronterizos más estratégicos del Caribe.</t>
        </is>
      </c>
      <c r="I418" s="62" t="inlineStr">
        <is>
          <t>Según la alerta, las ACSN han fortalecido su presencia en el casco urbano y en corregimientos como Carraipía y Paraguachón, en desarrollo de una estrategia para controlar corredores de movilidad y economías ilícitas asociadas a la frontera con Venezuela.</t>
        </is>
      </c>
      <c r="J418" s="38" t="n"/>
      <c r="K418" s="62" t="n"/>
      <c r="L418" s="38" t="n"/>
      <c r="M418" s="62" t="n"/>
      <c r="N418" s="38" t="n"/>
      <c r="O418" s="62" t="n"/>
      <c r="P418" s="38" t="n"/>
      <c r="Q418" s="62" t="n"/>
      <c r="R418" s="38" t="n"/>
      <c r="S418" s="62" t="n"/>
      <c r="T418" s="38" t="n"/>
      <c r="U418" s="62" t="n"/>
      <c r="V418" s="38" t="n"/>
      <c r="W418" s="62" t="n"/>
      <c r="X418" s="38" t="n"/>
      <c r="Y418" s="62" t="n"/>
      <c r="Z418" s="38" t="n"/>
      <c r="AA418" s="62" t="n"/>
      <c r="AB418" s="38" t="n"/>
      <c r="AC418" s="62" t="n"/>
      <c r="AD418" s="38" t="n"/>
      <c r="AE418" s="38" t="n"/>
      <c r="AF418" s="61">
        <f>IF(COUNTIF($B$5:B418,B418)=1,1,0)</f>
        <v/>
      </c>
      <c r="AG418" s="62" t="inlineStr">
        <is>
          <t>https://www.elespectador.com/colombia-20/paz-y-memoria/alerta-por-expansion-de-autodefensas-conquistadoras-y-guerra-con-eln-y-disidencias-en-maicao-y-la-guajira-segun-defensoria/</t>
        </is>
      </c>
    </row>
    <row r="419" ht="15" customHeight="1" s="31">
      <c r="A419" s="38" t="inlineStr">
        <is>
          <t>https://www.elespectador.com/colombia-20/paz-y-memoria/alerta-por-expansion-de-autodefensas-conquistadoras-y-guerra-con-eln-y-disidencias-en-maicao-y-la-guajira-segun-defensoria/</t>
        </is>
      </c>
      <c r="B419" s="38" t="inlineStr">
        <is>
          <t>https://www.elespectador.com/colombia-20/paz-y-memoria/alerta-por-expansion-de-autodefensas-conquistadoras-y-guerra-con-eln-y-disidencias-en-maicao-y-la-guajira-segun-defensoria/_S07</t>
        </is>
      </c>
      <c r="C419" s="38" t="inlineStr">
        <is>
          <t>El Espectador</t>
        </is>
      </c>
      <c r="D419" s="38" t="inlineStr">
        <is>
          <t>Seguridad y orden público</t>
        </is>
      </c>
      <c r="E419" s="38" t="inlineStr">
        <is>
          <t>Noticia dura</t>
        </is>
      </c>
      <c r="F419" s="38" t="inlineStr">
        <is>
          <t>Mon, 29 Jun 2026 18:35:06 +0000</t>
        </is>
      </c>
      <c r="G419" s="62" t="inlineStr">
        <is>
          <t>Según la alerta, las ACSN han fortalecido su presencia en el casco urbano y en corregimientos como Carraipía y Paraguachón, en desarrollo de una estrategia para controlar corredores de movilidad y economías ilícitas asociadas a la frontera con Venezuela.</t>
        </is>
      </c>
      <c r="H419" s="62" t="inlineStr">
        <is>
          <t>Las Autodefensas Conquistadoras son parte de los grupos que están en la paz total de Gustavo Petro, pero esa mesa no ha tenido ningún avance.</t>
        </is>
      </c>
      <c r="I419" s="62" t="inlineStr">
        <is>
          <t>“La incursión de las ACSN en territorios donde otros actores mantienen presencia e influencia incrementa las tensiones y eleva la probabilidad de confrontaciones armadas”, advierte la Defensoría, que también alerta sobre un posible aumento de homicidios, secuestros, amenazas, extorsiones y restricciones a la movilidad de la población civil.</t>
        </is>
      </c>
      <c r="J419" s="38" t="n"/>
      <c r="K419" s="62" t="n"/>
      <c r="L419" s="38" t="n"/>
      <c r="M419" s="62" t="n"/>
      <c r="N419" s="38" t="n"/>
      <c r="O419" s="62" t="n"/>
      <c r="P419" s="38" t="n"/>
      <c r="Q419" s="62" t="n"/>
      <c r="R419" s="38" t="n"/>
      <c r="S419" s="62" t="n"/>
      <c r="T419" s="38" t="n"/>
      <c r="U419" s="62" t="n"/>
      <c r="V419" s="38" t="n"/>
      <c r="W419" s="62" t="n"/>
      <c r="X419" s="38" t="n"/>
      <c r="Y419" s="62" t="n"/>
      <c r="Z419" s="38" t="n"/>
      <c r="AA419" s="62" t="n"/>
      <c r="AB419" s="38" t="n"/>
      <c r="AC419" s="62" t="n"/>
      <c r="AD419" s="38" t="n"/>
      <c r="AE419" s="38" t="n"/>
      <c r="AF419" s="61">
        <f>IF(COUNTIF($B$5:B419,B419)=1,1,0)</f>
        <v/>
      </c>
      <c r="AG419" s="62" t="inlineStr">
        <is>
          <t>https://www.elespectador.com/colombia-20/paz-y-memoria/alerta-por-expansion-de-autodefensas-conquistadoras-y-guerra-con-eln-y-disidencias-en-maicao-y-la-guajira-segun-defensoria/</t>
        </is>
      </c>
    </row>
    <row r="420" ht="15" customHeight="1" s="31">
      <c r="A420" s="38" t="inlineStr">
        <is>
          <t>https://www.elespectador.com/colombia-20/paz-y-memoria/alerta-por-expansion-de-autodefensas-conquistadoras-y-guerra-con-eln-y-disidencias-en-maicao-y-la-guajira-segun-defensoria/</t>
        </is>
      </c>
      <c r="B420" s="38" t="inlineStr">
        <is>
          <t>https://www.elespectador.com/colombia-20/paz-y-memoria/alerta-por-expansion-de-autodefensas-conquistadoras-y-guerra-con-eln-y-disidencias-en-maicao-y-la-guajira-segun-defensoria/_S08</t>
        </is>
      </c>
      <c r="C420" s="38" t="inlineStr">
        <is>
          <t>El Espectador</t>
        </is>
      </c>
      <c r="D420" s="38" t="inlineStr">
        <is>
          <t>Seguridad y orden público</t>
        </is>
      </c>
      <c r="E420" s="38" t="inlineStr">
        <is>
          <t>Noticia dura</t>
        </is>
      </c>
      <c r="F420" s="38" t="inlineStr">
        <is>
          <t>Mon, 29 Jun 2026 18:35:06 +0000</t>
        </is>
      </c>
      <c r="G420" s="62" t="inlineStr">
        <is>
          <t>“La incursión de las ACSN en territorios donde otros actores mantienen presencia e influencia incrementa las tensiones y eleva la probabilidad de confrontaciones armadas”, advierte la Defensoría, que también alerta sobre un posible aumento de homicidios, secuestros, amenazas, extorsiones y restricciones a la movilidad de la población civil.</t>
        </is>
      </c>
      <c r="H420" s="62" t="inlineStr">
        <is>
          <t>Según la alerta, las ACSN han fortalecido su presencia en el casco urbano y en corregimientos como Carraipía y Paraguachón, en desarrollo de una estrategia para controlar corredores de movilidad y economías ilícitas asociadas a la frontera con Venezuela.</t>
        </is>
      </c>
      <c r="I420" s="62" t="inlineStr">
        <is>
          <t>El organismo identifica cuatro dinámicas que hoy explican el riesgo en el municipio.</t>
        </is>
      </c>
      <c r="J420" s="38" t="n"/>
      <c r="K420" s="62" t="n"/>
      <c r="L420" s="38" t="n"/>
      <c r="M420" s="62" t="n"/>
      <c r="N420" s="38" t="n"/>
      <c r="O420" s="62" t="n"/>
      <c r="P420" s="38" t="n"/>
      <c r="Q420" s="62" t="n"/>
      <c r="R420" s="38" t="n"/>
      <c r="S420" s="62" t="n"/>
      <c r="T420" s="38" t="n"/>
      <c r="U420" s="62" t="n"/>
      <c r="V420" s="38" t="n"/>
      <c r="W420" s="62" t="n"/>
      <c r="X420" s="38" t="n"/>
      <c r="Y420" s="62" t="n"/>
      <c r="Z420" s="38" t="n"/>
      <c r="AA420" s="62" t="n"/>
      <c r="AB420" s="38" t="n"/>
      <c r="AC420" s="62" t="n"/>
      <c r="AD420" s="38" t="n"/>
      <c r="AE420" s="38" t="n"/>
      <c r="AF420" s="61">
        <f>IF(COUNTIF($B$5:B420,B420)=1,1,0)</f>
        <v/>
      </c>
      <c r="AG420" s="62" t="inlineStr">
        <is>
          <t>https://www.elespectador.com/colombia-20/paz-y-memoria/alerta-por-expansion-de-autodefensas-conquistadoras-y-guerra-con-eln-y-disidencias-en-maicao-y-la-guajira-segun-defensoria/</t>
        </is>
      </c>
    </row>
    <row r="421" ht="15" customHeight="1" s="31">
      <c r="A421" s="38" t="inlineStr">
        <is>
          <t>https://www.elespectador.com/colombia-20/paz-y-memoria/alerta-por-expansion-de-autodefensas-conquistadoras-y-guerra-con-eln-y-disidencias-en-maicao-y-la-guajira-segun-defensoria/</t>
        </is>
      </c>
      <c r="B421" s="38" t="inlineStr">
        <is>
          <t>https://www.elespectador.com/colombia-20/paz-y-memoria/alerta-por-expansion-de-autodefensas-conquistadoras-y-guerra-con-eln-y-disidencias-en-maicao-y-la-guajira-segun-defensoria/_S09</t>
        </is>
      </c>
      <c r="C421" s="38" t="inlineStr">
        <is>
          <t>El Espectador</t>
        </is>
      </c>
      <c r="D421" s="38" t="inlineStr">
        <is>
          <t>Seguridad y orden público</t>
        </is>
      </c>
      <c r="E421" s="38" t="inlineStr">
        <is>
          <t>Noticia dura</t>
        </is>
      </c>
      <c r="F421" s="38" t="inlineStr">
        <is>
          <t>Mon, 29 Jun 2026 18:35:06 +0000</t>
        </is>
      </c>
      <c r="G421" s="62" t="inlineStr">
        <is>
          <t>El organismo identifica cuatro dinámicas que hoy explican el riesgo en el municipio.</t>
        </is>
      </c>
      <c r="H421" s="62" t="inlineStr">
        <is>
          <t>“La incursión de las ACSN en territorios donde otros actores mantienen presencia e influencia incrementa las tensiones y eleva la probabilidad de confrontaciones armadas”, advierte la Defensoría, que también alerta sobre un posible aumento de homicidios, secuestros, amenazas, extorsiones y restricciones a la movilidad de la población civil.</t>
        </is>
      </c>
      <c r="I421" s="62" t="inlineStr">
        <is>
          <t>La primera corresponde al control histórico que ejerce el ELN sobre los corregimientos de Carraipía y La Majayura.</t>
        </is>
      </c>
      <c r="J421" s="38" t="n"/>
      <c r="K421" s="62" t="n"/>
      <c r="L421" s="38" t="n"/>
      <c r="M421" s="62" t="n"/>
      <c r="N421" s="38" t="n"/>
      <c r="O421" s="62" t="n"/>
      <c r="P421" s="38" t="n"/>
      <c r="Q421" s="62" t="n"/>
      <c r="R421" s="38" t="n"/>
      <c r="S421" s="62" t="n"/>
      <c r="T421" s="38" t="n"/>
      <c r="U421" s="62" t="n"/>
      <c r="V421" s="38" t="n"/>
      <c r="W421" s="62" t="n"/>
      <c r="X421" s="38" t="n"/>
      <c r="Y421" s="62" t="n"/>
      <c r="Z421" s="38" t="n"/>
      <c r="AA421" s="62" t="n"/>
      <c r="AB421" s="38" t="n"/>
      <c r="AC421" s="62" t="n"/>
      <c r="AD421" s="38" t="n"/>
      <c r="AE421" s="38" t="n"/>
      <c r="AF421" s="61">
        <f>IF(COUNTIF($B$5:B421,B421)=1,1,0)</f>
        <v/>
      </c>
      <c r="AG421" s="62" t="inlineStr">
        <is>
          <t>https://www.elespectador.com/colombia-20/paz-y-memoria/alerta-por-expansion-de-autodefensas-conquistadoras-y-guerra-con-eln-y-disidencias-en-maicao-y-la-guajira-segun-defensoria/</t>
        </is>
      </c>
    </row>
    <row r="422" ht="15" customHeight="1" s="31">
      <c r="A422" s="38" t="inlineStr">
        <is>
          <t>https://www.elespectador.com/colombia-20/paz-y-memoria/alerta-por-expansion-de-autodefensas-conquistadoras-y-guerra-con-eln-y-disidencias-en-maicao-y-la-guajira-segun-defensoria/</t>
        </is>
      </c>
      <c r="B422" s="38" t="inlineStr">
        <is>
          <t>https://www.elespectador.com/colombia-20/paz-y-memoria/alerta-por-expansion-de-autodefensas-conquistadoras-y-guerra-con-eln-y-disidencias-en-maicao-y-la-guajira-segun-defensoria/_S10</t>
        </is>
      </c>
      <c r="C422" s="38" t="inlineStr">
        <is>
          <t>El Espectador</t>
        </is>
      </c>
      <c r="D422" s="38" t="inlineStr">
        <is>
          <t>Seguridad y orden público</t>
        </is>
      </c>
      <c r="E422" s="38" t="inlineStr">
        <is>
          <t>Noticia dura</t>
        </is>
      </c>
      <c r="F422" s="38" t="inlineStr">
        <is>
          <t>Mon, 29 Jun 2026 18:35:06 +0000</t>
        </is>
      </c>
      <c r="G422" s="62" t="inlineStr">
        <is>
          <t>La primera corresponde al control histórico que ejerce el ELN sobre los corregimientos de Carraipía y La Majayura.</t>
        </is>
      </c>
      <c r="H422" s="62" t="inlineStr">
        <is>
          <t>El organismo identifica cuatro dinámicas que hoy explican el riesgo en el municipio.</t>
        </is>
      </c>
      <c r="I422" s="62" t="inlineStr">
        <is>
          <t>La segunda ocurre en Paraguachón, donde esa guerrilla y la Segunda Marquetalia mantienen una coexistencia alrededor de los principales pasos ilegales hacia Venezuela, sin enfrentamientos abiertos, pero sí mediante mecanismos de regulación y control sobre las comunidades.</t>
        </is>
      </c>
      <c r="J422" s="38" t="n"/>
      <c r="K422" s="62" t="n"/>
      <c r="L422" s="38" t="n"/>
      <c r="M422" s="62" t="n"/>
      <c r="N422" s="38" t="n"/>
      <c r="O422" s="62" t="n"/>
      <c r="P422" s="38" t="n"/>
      <c r="Q422" s="62" t="n"/>
      <c r="R422" s="38" t="n"/>
      <c r="S422" s="62" t="n"/>
      <c r="T422" s="38" t="n"/>
      <c r="U422" s="62" t="n"/>
      <c r="V422" s="38" t="n"/>
      <c r="W422" s="62" t="n"/>
      <c r="X422" s="38" t="n"/>
      <c r="Y422" s="62" t="n"/>
      <c r="Z422" s="38" t="n"/>
      <c r="AA422" s="62" t="n"/>
      <c r="AB422" s="38" t="n"/>
      <c r="AC422" s="62" t="n"/>
      <c r="AD422" s="38" t="n"/>
      <c r="AE422" s="38" t="n"/>
      <c r="AF422" s="61">
        <f>IF(COUNTIF($B$5:B422,B422)=1,1,0)</f>
        <v/>
      </c>
      <c r="AG422" s="62" t="inlineStr">
        <is>
          <t>https://www.elespectador.com/colombia-20/paz-y-memoria/alerta-por-expansion-de-autodefensas-conquistadoras-y-guerra-con-eln-y-disidencias-en-maicao-y-la-guajira-segun-defensoria/</t>
        </is>
      </c>
    </row>
    <row r="423" ht="15" customHeight="1" s="31">
      <c r="A423" s="38" t="inlineStr">
        <is>
          <t>https://www.elespectador.com/colombia-20/paz-y-memoria/alerta-por-expansion-de-autodefensas-conquistadoras-y-guerra-con-eln-y-disidencias-en-maicao-y-la-guajira-segun-defensoria/</t>
        </is>
      </c>
      <c r="B423" s="38" t="inlineStr">
        <is>
          <t>https://www.elespectador.com/colombia-20/paz-y-memoria/alerta-por-expansion-de-autodefensas-conquistadoras-y-guerra-con-eln-y-disidencias-en-maicao-y-la-guajira-segun-defensoria/_S11</t>
        </is>
      </c>
      <c r="C423" s="38" t="inlineStr">
        <is>
          <t>El Espectador</t>
        </is>
      </c>
      <c r="D423" s="38" t="inlineStr">
        <is>
          <t>Seguridad y orden público</t>
        </is>
      </c>
      <c r="E423" s="38" t="inlineStr">
        <is>
          <t>Noticia dura</t>
        </is>
      </c>
      <c r="F423" s="38" t="inlineStr">
        <is>
          <t>Mon, 29 Jun 2026 18:35:06 +0000</t>
        </is>
      </c>
      <c r="G423" s="62" t="inlineStr">
        <is>
          <t>La segunda ocurre en Paraguachón, donde esa guerrilla y la Segunda Marquetalia mantienen una coexistencia alrededor de los principales pasos ilegales hacia Venezuela, sin enfrentamientos abiertos, pero sí mediante mecanismos de regulación y control sobre las comunidades.</t>
        </is>
      </c>
      <c r="H423" s="62" t="inlineStr">
        <is>
          <t>La primera corresponde al control histórico que ejerce el ELN sobre los corregimientos de Carraipía y La Majayura.</t>
        </is>
      </c>
      <c r="I423" s="62" t="inlineStr">
        <is>
          <t>La tercera dinámica se desarrolla en el casco urbano, donde organizaciones como Los Rafita, Los Payasos y La Banda del Oso disputan el control de economías ilegales y sectores estratégicos del municipio.</t>
        </is>
      </c>
      <c r="J423" s="38" t="n"/>
      <c r="K423" s="62" t="n"/>
      <c r="L423" s="38" t="n"/>
      <c r="M423" s="62" t="n"/>
      <c r="N423" s="38" t="n"/>
      <c r="O423" s="62" t="n"/>
      <c r="P423" s="38" t="n"/>
      <c r="Q423" s="62" t="n"/>
      <c r="R423" s="38" t="n"/>
      <c r="S423" s="62" t="n"/>
      <c r="T423" s="38" t="n"/>
      <c r="U423" s="62" t="n"/>
      <c r="V423" s="38" t="n"/>
      <c r="W423" s="62" t="n"/>
      <c r="X423" s="38" t="n"/>
      <c r="Y423" s="62" t="n"/>
      <c r="Z423" s="38" t="n"/>
      <c r="AA423" s="62" t="n"/>
      <c r="AB423" s="38" t="n"/>
      <c r="AC423" s="62" t="n"/>
      <c r="AD423" s="38" t="n"/>
      <c r="AE423" s="38" t="n"/>
      <c r="AF423" s="61">
        <f>IF(COUNTIF($B$5:B423,B423)=1,1,0)</f>
        <v/>
      </c>
      <c r="AG423" s="62" t="inlineStr">
        <is>
          <t>https://www.elespectador.com/colombia-20/paz-y-memoria/alerta-por-expansion-de-autodefensas-conquistadoras-y-guerra-con-eln-y-disidencias-en-maicao-y-la-guajira-segun-defensoria/</t>
        </is>
      </c>
    </row>
    <row r="424" ht="15" customHeight="1" s="31">
      <c r="A424" s="38" t="inlineStr">
        <is>
          <t>https://www.elespectador.com/colombia-20/paz-y-memoria/alerta-por-expansion-de-autodefensas-conquistadoras-y-guerra-con-eln-y-disidencias-en-maicao-y-la-guajira-segun-defensoria/</t>
        </is>
      </c>
      <c r="B424" s="38" t="inlineStr">
        <is>
          <t>https://www.elespectador.com/colombia-20/paz-y-memoria/alerta-por-expansion-de-autodefensas-conquistadoras-y-guerra-con-eln-y-disidencias-en-maicao-y-la-guajira-segun-defensoria/_S12</t>
        </is>
      </c>
      <c r="C424" s="38" t="inlineStr">
        <is>
          <t>El Espectador</t>
        </is>
      </c>
      <c r="D424" s="38" t="inlineStr">
        <is>
          <t>Seguridad y orden público</t>
        </is>
      </c>
      <c r="E424" s="38" t="inlineStr">
        <is>
          <t>Noticia dura</t>
        </is>
      </c>
      <c r="F424" s="38" t="inlineStr">
        <is>
          <t>Mon, 29 Jun 2026 18:35:06 +0000</t>
        </is>
      </c>
      <c r="G424" s="62" t="inlineStr">
        <is>
          <t>La tercera dinámica se desarrolla en el casco urbano, donde organizaciones como Los Rafita, Los Payasos y La Banda del Oso disputan el control de economías ilegales y sectores estratégicos del municipio.</t>
        </is>
      </c>
      <c r="H424" s="62" t="inlineStr">
        <is>
          <t>La segunda ocurre en Paraguachón, donde esa guerrilla y la Segunda Marquetalia mantienen una coexistencia alrededor de los principales pasos ilegales hacia Venezuela, sin enfrentamientos abiertos, pero sí mediante mecanismos de regulación y control sobre las comunidades.</t>
        </is>
      </c>
      <c r="I424" s="62" t="n"/>
      <c r="J424" s="38" t="n"/>
      <c r="K424" s="62" t="n"/>
      <c r="L424" s="38" t="n"/>
      <c r="M424" s="62" t="n"/>
      <c r="N424" s="38" t="n"/>
      <c r="O424" s="62" t="n"/>
      <c r="P424" s="38" t="n"/>
      <c r="Q424" s="62" t="n"/>
      <c r="R424" s="38" t="n"/>
      <c r="S424" s="62" t="n"/>
      <c r="T424" s="38" t="n"/>
      <c r="U424" s="62" t="n"/>
      <c r="V424" s="38" t="n"/>
      <c r="W424" s="62" t="n"/>
      <c r="X424" s="38" t="n"/>
      <c r="Y424" s="62" t="n"/>
      <c r="Z424" s="38" t="n"/>
      <c r="AA424" s="62" t="n"/>
      <c r="AB424" s="38" t="n"/>
      <c r="AC424" s="62" t="n"/>
      <c r="AD424" s="38" t="n"/>
      <c r="AE424" s="38" t="n"/>
      <c r="AF424" s="61">
        <f>IF(COUNTIF($B$5:B424,B424)=1,1,0)</f>
        <v/>
      </c>
      <c r="AG424" s="62" t="inlineStr">
        <is>
          <t>https://www.elespectador.com/colombia-20/paz-y-memoria/alerta-por-expansion-de-autodefensas-conquistadoras-y-guerra-con-eln-y-disidencias-en-maicao-y-la-guajira-segun-defensoria/</t>
        </is>
      </c>
    </row>
    <row r="425" ht="15" customHeight="1" s="31">
      <c r="A425" s="38" t="inlineStr">
        <is>
          <t>https://www.elespectador.com/colombia-20/paz-y-memoria/eln-da-la-gobierno-hasta-el-23-de-agosto-para-publicar-decreto-que-la-elimina-de-lista-grupo-armados-organizados/</t>
        </is>
      </c>
      <c r="B425" s="38" t="inlineStr">
        <is>
          <t>https://www.elespectador.com/colombia-20/paz-y-memoria/eln-da-la-gobierno-hasta-el-23-de-agosto-para-publicar-decreto-que-la-elimina-de-lista-grupo-armados-organizados/_S01</t>
        </is>
      </c>
      <c r="C425" s="38" t="inlineStr">
        <is>
          <t>El Espectador</t>
        </is>
      </c>
      <c r="D425" s="38" t="inlineStr">
        <is>
          <t>Seguridad y orden público</t>
        </is>
      </c>
      <c r="E425" s="38" t="inlineStr">
        <is>
          <t>Noticia dura</t>
        </is>
      </c>
      <c r="F425" s="38" t="inlineStr">
        <is>
          <t>2024-08-06T18:06:44-05:00</t>
        </is>
      </c>
      <c r="G425" s="62" t="inlineStr">
        <is>
          <t>A través de un comunicado, el Ejército de Liberación Nacional (ELN) dio este martes un ultimátum al Gobierno para publicar el decreto que elimina a esa guerrilla de la lista de Grupos Armados Organizados (GAO) y así poder reanudar la mesa de diálogos.</t>
        </is>
      </c>
      <c r="H425" s="62" t="n"/>
      <c r="I425" s="62" t="inlineStr">
        <is>
          <t>“El Decreto Presidencial para retirar al ELN de la lista de los GAOs debería haberse emitido en junio de 2023, jamás hemos recibido explicación alguna de las razones de no haberlo hecho.</t>
        </is>
      </c>
      <c r="J425" s="38" t="n"/>
      <c r="K425" s="62" t="n"/>
      <c r="L425" s="38" t="n"/>
      <c r="M425" s="62" t="n"/>
      <c r="N425" s="38" t="n"/>
      <c r="O425" s="62" t="n"/>
      <c r="P425" s="38" t="n"/>
      <c r="Q425" s="62" t="n"/>
      <c r="R425" s="38" t="n"/>
      <c r="S425" s="62" t="n"/>
      <c r="T425" s="38" t="n"/>
      <c r="U425" s="62" t="n"/>
      <c r="V425" s="38" t="n"/>
      <c r="W425" s="62" t="n"/>
      <c r="X425" s="38" t="n"/>
      <c r="Y425" s="62" t="n"/>
      <c r="Z425" s="38" t="n"/>
      <c r="AA425" s="62" t="n"/>
      <c r="AB425" s="38" t="n"/>
      <c r="AC425" s="62" t="n"/>
      <c r="AD425" s="38" t="n"/>
      <c r="AE425" s="38" t="n"/>
      <c r="AF425" s="61">
        <f>IF(COUNTIF($B$5:B425,B425)=1,1,0)</f>
        <v/>
      </c>
      <c r="AG425" s="62" t="inlineStr">
        <is>
          <t>https://www.elespectador.com/colombia-20/paz-y-memoria/eln-da-la-gobierno-hasta-el-23-de-agosto-para-publicar-decreto-que-la-elimina-de-lista-grupo-armados-organizados/</t>
        </is>
      </c>
    </row>
    <row r="426" ht="15" customHeight="1" s="31">
      <c r="A426" s="38" t="inlineStr">
        <is>
          <t>https://www.elespectador.com/colombia-20/paz-y-memoria/eln-da-la-gobierno-hasta-el-23-de-agosto-para-publicar-decreto-que-la-elimina-de-lista-grupo-armados-organizados/</t>
        </is>
      </c>
      <c r="B426" s="38" t="inlineStr">
        <is>
          <t>https://www.elespectador.com/colombia-20/paz-y-memoria/eln-da-la-gobierno-hasta-el-23-de-agosto-para-publicar-decreto-que-la-elimina-de-lista-grupo-armados-organizados/_S02</t>
        </is>
      </c>
      <c r="C426" s="38" t="inlineStr">
        <is>
          <t>El Espectador</t>
        </is>
      </c>
      <c r="D426" s="38" t="inlineStr">
        <is>
          <t>Seguridad y orden público</t>
        </is>
      </c>
      <c r="E426" s="38" t="inlineStr">
        <is>
          <t>Noticia dura</t>
        </is>
      </c>
      <c r="F426" s="38" t="inlineStr">
        <is>
          <t>2024-08-06T18:06:44-05:00</t>
        </is>
      </c>
      <c r="G426" s="62" t="inlineStr">
        <is>
          <t>“El Decreto Presidencial para retirar al ELN de la lista de los GAOs debería haberse emitido en junio de 2023, jamás hemos recibido explicación alguna de las razones de no haberlo hecho.</t>
        </is>
      </c>
      <c r="H426" s="62" t="inlineStr">
        <is>
          <t>A través de un comunicado, el Ejército de Liberación Nacional (ELN) dio este martes un ultimátum al Gobierno para publicar el decreto que elimina a esa guerrilla de la lista de Grupos Armados Organizados (GAO) y así poder reanudar la mesa de diálogos.</t>
        </is>
      </c>
      <c r="I426" s="62" t="n"/>
      <c r="J426" s="38" t="n"/>
      <c r="K426" s="62" t="n"/>
      <c r="L426" s="38" t="n"/>
      <c r="M426" s="62" t="n"/>
      <c r="N426" s="38" t="n"/>
      <c r="O426" s="62" t="n"/>
      <c r="P426" s="38" t="n"/>
      <c r="Q426" s="62" t="n"/>
      <c r="R426" s="38" t="n"/>
      <c r="S426" s="62" t="n"/>
      <c r="T426" s="38" t="n"/>
      <c r="U426" s="62" t="n"/>
      <c r="V426" s="38" t="n"/>
      <c r="W426" s="62" t="n"/>
      <c r="X426" s="38" t="n"/>
      <c r="Y426" s="62" t="n"/>
      <c r="Z426" s="38" t="n"/>
      <c r="AA426" s="62" t="n"/>
      <c r="AB426" s="38" t="n"/>
      <c r="AC426" s="62" t="n"/>
      <c r="AD426" s="38" t="n"/>
      <c r="AE426" s="38" t="n"/>
      <c r="AF426" s="61">
        <f>IF(COUNTIF($B$5:B426,B426)=1,1,0)</f>
        <v/>
      </c>
      <c r="AG426" s="62" t="inlineStr">
        <is>
          <t>https://www.elespectador.com/colombia-20/paz-y-memoria/eln-da-la-gobierno-hasta-el-23-de-agosto-para-publicar-decreto-que-la-elimina-de-lista-grupo-armados-organizados/</t>
        </is>
      </c>
    </row>
    <row r="427" ht="15" customHeight="1" s="31">
      <c r="A427" s="38" t="inlineStr">
        <is>
          <t>https://www.eltiempo.com/economia/sectores/carrera-contra-el-reloj-del-gobierno-para-sacar-adelante-presupuesto-de-634-9-billones-estos-son-los-obstaculos-3583762</t>
        </is>
      </c>
      <c r="B427" s="38" t="inlineStr">
        <is>
          <t>https://www.eltiempo.com/economia/sectores/carrera-contra-el-reloj-del-gobierno-para-sacar-adelante-presupuesto-de-634-9-billones-estos-son-los-obstaculos-3583762_S01</t>
        </is>
      </c>
      <c r="C427" s="38" t="inlineStr">
        <is>
          <t>El Tiempo</t>
        </is>
      </c>
      <c r="D427" s="38" t="inlineStr">
        <is>
          <t>Respuesta a la emergencia del terremoto</t>
        </is>
      </c>
      <c r="E427" s="38" t="inlineStr">
        <is>
          <t>Noticia dura</t>
        </is>
      </c>
      <c r="F427" s="38" t="inlineStr">
        <is>
          <t>2026-09-05T21:05:00-05:00</t>
        </is>
      </c>
      <c r="G427" s="62" t="inlineStr">
        <is>
          <t>Al gobierno de Abelardo De La Espriella le quedan pocos días para superar la primera gran prueba de su nuevo Presupuesto General de la Nación (PGN) para el 2027.</t>
        </is>
      </c>
      <c r="H427" s="62" t="n"/>
      <c r="I427" s="62" t="n"/>
      <c r="J427" s="38" t="n"/>
      <c r="K427" s="62" t="n"/>
      <c r="L427" s="38" t="n"/>
      <c r="M427" s="62" t="n"/>
      <c r="N427" s="38" t="n"/>
      <c r="O427" s="62" t="n"/>
      <c r="P427" s="38" t="n"/>
      <c r="Q427" s="62" t="n"/>
      <c r="R427" s="38" t="n"/>
      <c r="S427" s="62" t="n"/>
      <c r="T427" s="38" t="n"/>
      <c r="U427" s="62" t="n"/>
      <c r="V427" s="38" t="n"/>
      <c r="W427" s="62" t="n"/>
      <c r="X427" s="38" t="n"/>
      <c r="Y427" s="62" t="n"/>
      <c r="Z427" s="38" t="n"/>
      <c r="AA427" s="62" t="n"/>
      <c r="AB427" s="38" t="n"/>
      <c r="AC427" s="62" t="n"/>
      <c r="AD427" s="38" t="n"/>
      <c r="AE427" s="38" t="n"/>
      <c r="AF427" s="61">
        <f>IF(COUNTIF($B$5:B427,B427)=1,1,0)</f>
        <v/>
      </c>
      <c r="AG427" s="62" t="inlineStr">
        <is>
          <t>https://www.eltiempo.com/economia/sectores/carrera-contra-el-reloj-del-gobierno-para-sacar-adelante-presupuesto-de-634-9-billones-estos-son-los-obstaculos-3583762</t>
        </is>
      </c>
    </row>
    <row r="428" ht="15" customHeight="1" s="31">
      <c r="A428" s="38" t="inlineStr">
        <is>
          <t>https://www.lasillavacia.com/?p=443584</t>
        </is>
      </c>
      <c r="B428" s="38" t="inlineStr">
        <is>
          <t>https://www.lasillavacia.com/?p=443584_S01</t>
        </is>
      </c>
      <c r="C428" s="38" t="inlineStr">
        <is>
          <t>La Silla Vacía</t>
        </is>
      </c>
      <c r="D428" s="38" t="inlineStr">
        <is>
          <t>Respuesta a la emergencia del terremoto</t>
        </is>
      </c>
      <c r="E428" s="38" t="inlineStr">
        <is>
          <t>Opinión-análisis</t>
        </is>
      </c>
      <c r="F428" s="38" t="inlineStr">
        <is>
          <t>Sat, 05 Sep 2026 23:48:18 +0000</t>
        </is>
      </c>
      <c r="G428" s="62" t="inlineStr">
        <is>
          <t>“Patria Milagro” es la expresión escogida por el presidente Abelardo de la Espriella para identificar su proyecto de gobierno.</t>
        </is>
      </c>
      <c r="H428" s="62" t="n"/>
      <c r="I428" s="62" t="n"/>
      <c r="J428" s="38" t="n"/>
      <c r="K428" s="62" t="n"/>
      <c r="L428" s="38" t="n"/>
      <c r="M428" s="62" t="n"/>
      <c r="N428" s="38" t="n"/>
      <c r="O428" s="62" t="n"/>
      <c r="P428" s="38" t="n"/>
      <c r="Q428" s="62" t="n"/>
      <c r="R428" s="38" t="n"/>
      <c r="S428" s="62" t="n"/>
      <c r="T428" s="38" t="n"/>
      <c r="U428" s="62" t="n"/>
      <c r="V428" s="38" t="n"/>
      <c r="W428" s="62" t="n"/>
      <c r="X428" s="38" t="n"/>
      <c r="Y428" s="62" t="n"/>
      <c r="Z428" s="38" t="n"/>
      <c r="AA428" s="62" t="n"/>
      <c r="AB428" s="38" t="n"/>
      <c r="AC428" s="62" t="n"/>
      <c r="AD428" s="38" t="n"/>
      <c r="AE428" s="38" t="n"/>
      <c r="AF428" s="61">
        <f>IF(COUNTIF($B$5:B428,B428)=1,1,0)</f>
        <v/>
      </c>
      <c r="AG428" s="62" t="inlineStr">
        <is>
          <t>https://www.lasillavacia.com/red-de-expertos/dios-proveera-sobre-la-idea-de-una-patria-milagro/</t>
        </is>
      </c>
    </row>
    <row r="429" ht="15" customHeight="1" s="31">
      <c r="A429" s="38" t="inlineStr">
        <is>
          <t>https://www.lasillavacia.com/?p=443506</t>
        </is>
      </c>
      <c r="B429" s="38" t="inlineStr">
        <is>
          <t>https://www.lasillavacia.com/?p=443506_S01</t>
        </is>
      </c>
      <c r="C429" s="38" t="inlineStr">
        <is>
          <t>La Silla Vacía</t>
        </is>
      </c>
      <c r="D429" s="38" t="inlineStr">
        <is>
          <t>Transición de gobierno y relación con la oposición</t>
        </is>
      </c>
      <c r="E429" s="38" t="inlineStr">
        <is>
          <t>Opinión-análisis</t>
        </is>
      </c>
      <c r="F429" s="38" t="inlineStr">
        <is>
          <t>Sat, 05 Sep 2026 19:00:00 +0000</t>
        </is>
      </c>
      <c r="G429" s="62" t="inlineStr">
        <is>
          <t>Durante la última semana causó revuelo la noticia divulgada por Caracol Radio, señalando la existencia de presuntas actas que develaban que el presidente De la Espriella habría ordenado a sus ministros no conceder ruedas de prensa ni entrevistas a medios de comunicación que no fueran ‘amigos’, salvo para temas estratégicos o con previa autorización.</t>
        </is>
      </c>
      <c r="H429" s="62" t="n"/>
      <c r="I429" s="62" t="n"/>
      <c r="J429" s="38" t="n"/>
      <c r="K429" s="62" t="n"/>
      <c r="L429" s="38" t="n"/>
      <c r="M429" s="62" t="n"/>
      <c r="N429" s="38" t="n"/>
      <c r="O429" s="62" t="n"/>
      <c r="P429" s="38" t="n"/>
      <c r="Q429" s="62" t="n"/>
      <c r="R429" s="38" t="n"/>
      <c r="S429" s="62" t="n"/>
      <c r="T429" s="38" t="n"/>
      <c r="U429" s="62" t="n"/>
      <c r="V429" s="38" t="n"/>
      <c r="W429" s="62" t="n"/>
      <c r="X429" s="38" t="n"/>
      <c r="Y429" s="62" t="n"/>
      <c r="Z429" s="38" t="n"/>
      <c r="AA429" s="62" t="n"/>
      <c r="AB429" s="38" t="n"/>
      <c r="AC429" s="62" t="n"/>
      <c r="AD429" s="38" t="n"/>
      <c r="AE429" s="38" t="n"/>
      <c r="AF429" s="61">
        <f>IF(COUNTIF($B$5:B429,B429)=1,1,0)</f>
        <v/>
      </c>
      <c r="AG429" s="62" t="inlineStr">
        <is>
          <t>https://www.lasillavacia.com/red-de-expertos/red-social/la-informacion-publica-no-se-restringe-a-medios-amigos/</t>
        </is>
      </c>
    </row>
    <row r="430" ht="15" customHeight="1" s="31">
      <c r="A430" s="38" t="inlineStr">
        <is>
          <t>https://www.lasillavacia.com/?p=443556</t>
        </is>
      </c>
      <c r="B430" s="38" t="inlineStr">
        <is>
          <t>https://www.lasillavacia.com/?p=443556_S01</t>
        </is>
      </c>
      <c r="C430" s="38" t="inlineStr">
        <is>
          <t>La Silla Vacía</t>
        </is>
      </c>
      <c r="D430" s="38" t="inlineStr">
        <is>
          <t>Seguridad y orden público</t>
        </is>
      </c>
      <c r="E430" s="38" t="inlineStr">
        <is>
          <t>Opinión-análisis</t>
        </is>
      </c>
      <c r="F430" s="38" t="inlineStr">
        <is>
          <t>Sat, 05 Sep 2026 16:33:03 +0000</t>
        </is>
      </c>
      <c r="G430" s="62" t="inlineStr">
        <is>
          <t>Todo lo que necesita saber sobre el poder, la deforestación y la biodiversidad en la región amazónica está en la Silla Amazonía .</t>
        </is>
      </c>
      <c r="H430" s="62" t="n"/>
      <c r="I430" s="62" t="n"/>
      <c r="J430" s="38" t="n"/>
      <c r="K430" s="62" t="n"/>
      <c r="L430" s="38" t="n"/>
      <c r="M430" s="62" t="n"/>
      <c r="N430" s="38" t="n"/>
      <c r="O430" s="62" t="n"/>
      <c r="P430" s="38" t="n"/>
      <c r="Q430" s="62" t="n"/>
      <c r="R430" s="38" t="n"/>
      <c r="S430" s="62" t="n"/>
      <c r="T430" s="38" t="n"/>
      <c r="U430" s="62" t="n"/>
      <c r="V430" s="38" t="n"/>
      <c r="W430" s="62" t="n"/>
      <c r="X430" s="38" t="n"/>
      <c r="Y430" s="62" t="n"/>
      <c r="Z430" s="38" t="n"/>
      <c r="AA430" s="62" t="n"/>
      <c r="AB430" s="38" t="n"/>
      <c r="AC430" s="62" t="n"/>
      <c r="AD430" s="38" t="n"/>
      <c r="AE430" s="38" t="n"/>
      <c r="AF430" s="61">
        <f>IF(COUNTIF($B$5:B430,B430)=1,1,0)</f>
        <v/>
      </c>
      <c r="AG430" s="62" t="inlineStr">
        <is>
          <t>https://www.lasillavacia.com/opinion/operaciones-sin-seguridad/</t>
        </is>
      </c>
    </row>
    <row r="431" ht="15" customHeight="1" s="31">
      <c r="A431" s="38" t="inlineStr">
        <is>
          <t>https://www.lasillavacia.com/?p=442263</t>
        </is>
      </c>
      <c r="B431" s="38" t="inlineStr">
        <is>
          <t>https://www.lasillavacia.com/?p=442263_S01</t>
        </is>
      </c>
      <c r="C431" s="38" t="inlineStr">
        <is>
          <t>La Silla Vacía</t>
        </is>
      </c>
      <c r="D431" s="38" t="inlineStr">
        <is>
          <t>Reformas sociales en disputa (pensional/tributaria)</t>
        </is>
      </c>
      <c r="E431" s="38" t="inlineStr">
        <is>
          <t>Opinión-análisis</t>
        </is>
      </c>
      <c r="F431" s="38" t="inlineStr">
        <is>
          <t>Mon, 31 Aug 2026 18:10:17 +0000</t>
        </is>
      </c>
      <c r="G431" s="62" t="inlineStr">
        <is>
          <t>Tras mantener suspendida su entrada en vigor cerca de dos años, la Corte Constitucional declaró exequible el grueso de la Ley 2381 de 2024 y difirió su vigencia al 1.º de abril de 2027.</t>
        </is>
      </c>
      <c r="H431" s="62" t="n"/>
      <c r="I431" s="62" t="n"/>
      <c r="J431" s="38" t="n"/>
      <c r="K431" s="62" t="n"/>
      <c r="L431" s="38" t="n"/>
      <c r="M431" s="62" t="n"/>
      <c r="N431" s="38" t="n"/>
      <c r="O431" s="62" t="n"/>
      <c r="P431" s="38" t="n"/>
      <c r="Q431" s="62" t="n"/>
      <c r="R431" s="38" t="n"/>
      <c r="S431" s="62" t="n"/>
      <c r="T431" s="38" t="n"/>
      <c r="U431" s="62" t="n"/>
      <c r="V431" s="38" t="n"/>
      <c r="W431" s="62" t="n"/>
      <c r="X431" s="38" t="n"/>
      <c r="Y431" s="62" t="n"/>
      <c r="Z431" s="38" t="n"/>
      <c r="AA431" s="62" t="n"/>
      <c r="AB431" s="38" t="n"/>
      <c r="AC431" s="62" t="n"/>
      <c r="AD431" s="38" t="n"/>
      <c r="AE431" s="38" t="n"/>
      <c r="AF431" s="61">
        <f>IF(COUNTIF($B$5:B431,B431)=1,1,0)</f>
        <v/>
      </c>
      <c r="AG431" s="62" t="inlineStr">
        <is>
          <t>https://www.lasillavacia.com/red-de-expertos/red-de-derecho-constitucional/ganadores-y-perdedores-de-la-reforma-pensional/</t>
        </is>
      </c>
    </row>
    <row r="432" ht="15" customHeight="1" s="31">
      <c r="A432" s="38" t="inlineStr">
        <is>
          <t>https://www.lasillavacia.com/red-de-expertos/red-social/colombia-no-sale-tan-bien-librada-con-los-nuevos-aranceles-de-trump/</t>
        </is>
      </c>
      <c r="B432" s="38" t="inlineStr">
        <is>
          <t>https://www.lasillavacia.com/red-de-expertos/red-social/colombia-no-sale-tan-bien-librada-con-los-nuevos-aranceles-de-trump/_S01</t>
        </is>
      </c>
      <c r="C432" s="38" t="inlineStr">
        <is>
          <t>La Silla Vacía</t>
        </is>
      </c>
      <c r="D432" s="38" t="inlineStr">
        <is>
          <t>Relación con Estados Unidos</t>
        </is>
      </c>
      <c r="E432" s="38" t="inlineStr">
        <is>
          <t>Opinión-análisis</t>
        </is>
      </c>
      <c r="F432" s="38" t="inlineStr">
        <is>
          <t>2025-04-05T05:05:00+00:00</t>
        </is>
      </c>
      <c r="G432" s="62" t="inlineStr">
        <is>
          <t>Se ha dicho que los aranceles del 10 % impuestos por Trump a Colombia tienen algunos efectos positivos y que el país salió relativamente bien librado.</t>
        </is>
      </c>
      <c r="H432" s="62" t="n"/>
      <c r="I432" s="62" t="n"/>
      <c r="J432" s="38" t="n"/>
      <c r="K432" s="62" t="n"/>
      <c r="L432" s="38" t="n"/>
      <c r="M432" s="62" t="n"/>
      <c r="N432" s="38" t="n"/>
      <c r="O432" s="62" t="n"/>
      <c r="P432" s="38" t="n"/>
      <c r="Q432" s="62" t="n"/>
      <c r="R432" s="38" t="n"/>
      <c r="S432" s="62" t="n"/>
      <c r="T432" s="38" t="n"/>
      <c r="U432" s="62" t="n"/>
      <c r="V432" s="38" t="n"/>
      <c r="W432" s="62" t="n"/>
      <c r="X432" s="38" t="n"/>
      <c r="Y432" s="62" t="n"/>
      <c r="Z432" s="38" t="n"/>
      <c r="AA432" s="62" t="n"/>
      <c r="AB432" s="38" t="n"/>
      <c r="AC432" s="62" t="n"/>
      <c r="AD432" s="38" t="n"/>
      <c r="AE432" s="38" t="n"/>
      <c r="AF432" s="61">
        <f>IF(COUNTIF($B$5:B432,B432)=1,1,0)</f>
        <v/>
      </c>
      <c r="AG432" s="62" t="inlineStr">
        <is>
          <t>https://www.lasillavacia.com/red-de-expertos/red-social/colombia-no-sale-tan-bien-librada-con-los-nuevos-aranceles-de-trump/</t>
        </is>
      </c>
    </row>
    <row r="433" ht="15" customHeight="1" s="31">
      <c r="A433" s="38" t="inlineStr">
        <is>
          <t>https://www.lasillavacia.com/?p=441166</t>
        </is>
      </c>
      <c r="B433" s="38" t="inlineStr">
        <is>
          <t>https://www.lasillavacia.com/?p=441166_S01</t>
        </is>
      </c>
      <c r="C433" s="38" t="inlineStr">
        <is>
          <t>La Silla Vacía</t>
        </is>
      </c>
      <c r="D433" s="38" t="inlineStr">
        <is>
          <t>Reformas sociales en disputa (pensional/tributaria)</t>
        </is>
      </c>
      <c r="E433" s="38" t="inlineStr">
        <is>
          <t>Opinión-análisis</t>
        </is>
      </c>
      <c r="F433" s="38" t="inlineStr">
        <is>
          <t>Thu, 27 Aug 2026 13:00:00 +0000</t>
        </is>
      </c>
      <c r="G433" s="62" t="inlineStr">
        <is>
          <t>La reforma pensional colombiana dejó de ser solamente una discusión sobre el futuro de los trabajadores y se convirtió también en un asunto de economía de empresa.</t>
        </is>
      </c>
      <c r="H433" s="62" t="n"/>
      <c r="I433" s="62" t="n"/>
      <c r="J433" s="38" t="n"/>
      <c r="K433" s="62" t="n"/>
      <c r="L433" s="38" t="n"/>
      <c r="M433" s="62" t="n"/>
      <c r="N433" s="38" t="n"/>
      <c r="O433" s="62" t="n"/>
      <c r="P433" s="38" t="n"/>
      <c r="Q433" s="62" t="n"/>
      <c r="R433" s="38" t="n"/>
      <c r="S433" s="62" t="n"/>
      <c r="T433" s="38" t="n"/>
      <c r="U433" s="62" t="n"/>
      <c r="V433" s="38" t="n"/>
      <c r="W433" s="62" t="n"/>
      <c r="X433" s="38" t="n"/>
      <c r="Y433" s="62" t="n"/>
      <c r="Z433" s="38" t="n"/>
      <c r="AA433" s="62" t="n"/>
      <c r="AB433" s="38" t="n"/>
      <c r="AC433" s="62" t="n"/>
      <c r="AD433" s="38" t="n"/>
      <c r="AE433" s="38" t="n"/>
      <c r="AF433" s="61">
        <f>IF(COUNTIF($B$5:B433,B433)=1,1,0)</f>
        <v/>
      </c>
      <c r="AG433" s="62" t="inlineStr">
        <is>
          <t>https://www.lasillavacia.com/red-de-expertos/red-social/pension-un-reto-economico-y-empresarial/</t>
        </is>
      </c>
    </row>
    <row r="434" ht="15" customHeight="1" s="31">
      <c r="A434" s="38" t="inlineStr">
        <is>
          <t>https://www.lasillavacia.com/?p=428962</t>
        </is>
      </c>
      <c r="B434" s="38" t="inlineStr">
        <is>
          <t>https://www.lasillavacia.com/?p=428962_S01</t>
        </is>
      </c>
      <c r="C434" s="38" t="inlineStr">
        <is>
          <t>La Silla Vacía</t>
        </is>
      </c>
      <c r="D434" s="38" t="inlineStr">
        <is>
          <t>Seguridad y orden público</t>
        </is>
      </c>
      <c r="E434" s="38" t="inlineStr">
        <is>
          <t>Opinión-análisis</t>
        </is>
      </c>
      <c r="F434" s="38" t="inlineStr">
        <is>
          <t>Tue, 23 Jun 2026 20:03:13 +0000</t>
        </is>
      </c>
      <c r="G434" s="62" t="inlineStr">
        <is>
          <t>El politólogo Guillermo O’Donnell advirtió que la democracia no se agota en las elecciones porque exige también que el Estado garantice el imperio de la ley en todo el territorio y que los ciudadanos puedan ejercer sus derechos sin coacción.</t>
        </is>
      </c>
      <c r="H434" s="62" t="n"/>
      <c r="I434" s="62" t="n"/>
      <c r="J434" s="38" t="n"/>
      <c r="K434" s="62" t="n"/>
      <c r="L434" s="38" t="n"/>
      <c r="M434" s="62" t="n"/>
      <c r="N434" s="38" t="n"/>
      <c r="O434" s="62" t="n"/>
      <c r="P434" s="38" t="n"/>
      <c r="Q434" s="62" t="n"/>
      <c r="R434" s="38" t="n"/>
      <c r="S434" s="62" t="n"/>
      <c r="T434" s="38" t="n"/>
      <c r="U434" s="62" t="n"/>
      <c r="V434" s="38" t="n"/>
      <c r="W434" s="62" t="n"/>
      <c r="X434" s="38" t="n"/>
      <c r="Y434" s="62" t="n"/>
      <c r="Z434" s="38" t="n"/>
      <c r="AA434" s="62" t="n"/>
      <c r="AB434" s="38" t="n"/>
      <c r="AC434" s="62" t="n"/>
      <c r="AD434" s="38" t="n"/>
      <c r="AE434" s="38" t="n"/>
      <c r="AF434" s="61">
        <f>IF(COUNTIF($B$5:B434,B434)=1,1,0)</f>
        <v/>
      </c>
      <c r="AG434" s="62" t="inlineStr">
        <is>
          <t>https://www.lasillavacia.com/red-de-expertos/red-de-la-paz/elecciones-y-crimen-organizado-una-reflexion-academica/</t>
        </is>
      </c>
    </row>
    <row r="435" ht="15" customHeight="1" s="31">
      <c r="A435" s="38" t="inlineStr">
        <is>
          <t>https://www.lasillavacia.com/red-de-expertos/red-social/guerra-comercial-de-trump-oportunidad-para-colombia/</t>
        </is>
      </c>
      <c r="B435" s="38" t="inlineStr">
        <is>
          <t>https://www.lasillavacia.com/red-de-expertos/red-social/guerra-comercial-de-trump-oportunidad-para-colombia/_S01</t>
        </is>
      </c>
      <c r="C435" s="38" t="inlineStr">
        <is>
          <t>La Silla Vacía</t>
        </is>
      </c>
      <c r="D435" s="38" t="inlineStr">
        <is>
          <t>Relación con Estados Unidos</t>
        </is>
      </c>
      <c r="E435" s="38" t="inlineStr">
        <is>
          <t>Opinión-análisis</t>
        </is>
      </c>
      <c r="F435" s="38" t="inlineStr">
        <is>
          <t>2025-03-24T15:29:59+00:00</t>
        </is>
      </c>
      <c r="G435" s="62" t="inlineStr">
        <is>
          <t>La guerra comercial que ha desatado el presidente Trump en varias zonas del planeta tiene a todos los países en alerta, debido a los posibles efectos negativos que esta puede generar en sus economías.</t>
        </is>
      </c>
      <c r="H435" s="62" t="n"/>
      <c r="I435" s="62" t="n"/>
      <c r="J435" s="38" t="n"/>
      <c r="K435" s="62" t="n"/>
      <c r="L435" s="38" t="n"/>
      <c r="M435" s="62" t="n"/>
      <c r="N435" s="38" t="n"/>
      <c r="O435" s="62" t="n"/>
      <c r="P435" s="38" t="n"/>
      <c r="Q435" s="62" t="n"/>
      <c r="R435" s="38" t="n"/>
      <c r="S435" s="62" t="n"/>
      <c r="T435" s="38" t="n"/>
      <c r="U435" s="62" t="n"/>
      <c r="V435" s="38" t="n"/>
      <c r="W435" s="62" t="n"/>
      <c r="X435" s="38" t="n"/>
      <c r="Y435" s="62" t="n"/>
      <c r="Z435" s="38" t="n"/>
      <c r="AA435" s="62" t="n"/>
      <c r="AB435" s="38" t="n"/>
      <c r="AC435" s="62" t="n"/>
      <c r="AD435" s="38" t="n"/>
      <c r="AE435" s="38" t="n"/>
      <c r="AF435" s="61">
        <f>IF(COUNTIF($B$5:B435,B435)=1,1,0)</f>
        <v/>
      </c>
      <c r="AG435" s="62" t="inlineStr">
        <is>
          <t>https://www.lasillavacia.com/red-de-expertos/red-social/guerra-comercial-de-trump-oportunidad-para-colombia/</t>
        </is>
      </c>
    </row>
    <row r="436" ht="15" customHeight="1" s="31">
      <c r="A436" s="38" t="inlineStr">
        <is>
          <t>https://www.infobae.com/colombia/2026/09/04/arancel-que-impuso-estados-unidos-a-productos-colombianos-podria-ser-eliminado-dentro-de-poco-exportadores-revelaron-posible-fecha/</t>
        </is>
      </c>
      <c r="B436" s="38" t="inlineStr">
        <is>
          <t>https://www.infobae.com/colombia/2026/09/04/arancel-que-impuso-estados-unidos-a-productos-colombianos-podria-ser-eliminado-dentro-de-poco-exportadores-revelaron-posible-fecha/_S01</t>
        </is>
      </c>
      <c r="C436" s="38" t="inlineStr">
        <is>
          <t>Infobae Colombia</t>
        </is>
      </c>
      <c r="D436" s="38" t="inlineStr">
        <is>
          <t>Relación con Estados Unidos</t>
        </is>
      </c>
      <c r="E436" s="38" t="inlineStr">
        <is>
          <t>Noticia dura</t>
        </is>
      </c>
      <c r="F436" s="38" t="inlineStr">
        <is>
          <t>2026-09-04T01:02:46Z</t>
        </is>
      </c>
      <c r="G436" s="62" t="inlineStr">
        <is>
          <t>Estados Unidos está cada vez más cerca de desmontar el arancel de 12,5% que aplica a productos colombianos.</t>
        </is>
      </c>
      <c r="H436" s="62" t="n"/>
      <c r="I436" s="62" t="inlineStr">
        <is>
          <t>La medida podría concretarse en los próximos días, según anticipó el presidente de la Asociación Nacional de Comercio Exterior (Analdex), Javier Díaz, debido a la publicación para comentarios de un decreto regulatorio sobre bienes fabricados con trabajo forzoso.</t>
        </is>
      </c>
      <c r="J436" s="38" t="n"/>
      <c r="K436" s="62" t="n"/>
      <c r="L436" s="38" t="n"/>
      <c r="M436" s="62" t="n"/>
      <c r="N436" s="38" t="n"/>
      <c r="O436" s="62" t="n"/>
      <c r="P436" s="38" t="n"/>
      <c r="Q436" s="62" t="n"/>
      <c r="R436" s="38" t="n"/>
      <c r="S436" s="62" t="n"/>
      <c r="T436" s="38" t="n"/>
      <c r="U436" s="62" t="n"/>
      <c r="V436" s="38" t="n"/>
      <c r="W436" s="62" t="n"/>
      <c r="X436" s="38" t="n"/>
      <c r="Y436" s="62" t="n"/>
      <c r="Z436" s="38" t="n"/>
      <c r="AA436" s="62" t="n"/>
      <c r="AB436" s="38" t="n"/>
      <c r="AC436" s="62" t="n"/>
      <c r="AD436" s="38" t="n"/>
      <c r="AE436" s="38" t="n"/>
      <c r="AF436" s="61">
        <f>IF(COUNTIF($B$5:B436,B436)=1,1,0)</f>
        <v/>
      </c>
      <c r="AG436" s="62" t="inlineStr">
        <is>
          <t>https://www.infobae.com/colombia/2026/09/04/arancel-que-impuso-estados-unidos-a-productos-colombianos-podria-ser-eliminado-dentro-de-poco-exportadores-revelaron-posible-fecha/</t>
        </is>
      </c>
    </row>
    <row r="437" ht="15" customHeight="1" s="31">
      <c r="A437" s="38" t="inlineStr">
        <is>
          <t>https://www.infobae.com/colombia/2026/09/04/arancel-que-impuso-estados-unidos-a-productos-colombianos-podria-ser-eliminado-dentro-de-poco-exportadores-revelaron-posible-fecha/</t>
        </is>
      </c>
      <c r="B437" s="38" t="inlineStr">
        <is>
          <t>https://www.infobae.com/colombia/2026/09/04/arancel-que-impuso-estados-unidos-a-productos-colombianos-podria-ser-eliminado-dentro-de-poco-exportadores-revelaron-posible-fecha/_S02</t>
        </is>
      </c>
      <c r="C437" s="38" t="inlineStr">
        <is>
          <t>Infobae Colombia</t>
        </is>
      </c>
      <c r="D437" s="38" t="inlineStr">
        <is>
          <t>Relación con Estados Unidos</t>
        </is>
      </c>
      <c r="E437" s="38" t="inlineStr">
        <is>
          <t>Noticia dura</t>
        </is>
      </c>
      <c r="F437" s="38" t="inlineStr">
        <is>
          <t>2026-09-04T01:02:46Z</t>
        </is>
      </c>
      <c r="G437" s="62" t="inlineStr">
        <is>
          <t>La medida podría concretarse en los próximos días, según anticipó el presidente de la Asociación Nacional de Comercio Exterior (Analdex), Javier Díaz, debido a la publicación para comentarios de un decreto regulatorio sobre bienes fabricados con trabajo forzoso.</t>
        </is>
      </c>
      <c r="H437" s="62" t="inlineStr">
        <is>
          <t>Estados Unidos está cada vez más cerca de desmontar el arancel de 12,5% que aplica a productos colombianos.</t>
        </is>
      </c>
      <c r="I437" s="62" t="inlineStr">
        <is>
          <t>Así las cosas, el país norteamericano podría bajar a 0% ese gravamen con el que le exigía a Colombia que adoptara un instrumento jurídico para impedir el ingreso de productos, materias primas e insumos elaborados con ese tipo de trabajo en otros países.</t>
        </is>
      </c>
      <c r="J437" s="38" t="n"/>
      <c r="K437" s="62" t="n"/>
      <c r="L437" s="38" t="n"/>
      <c r="M437" s="62" t="n"/>
      <c r="N437" s="38" t="n"/>
      <c r="O437" s="62" t="n"/>
      <c r="P437" s="38" t="n"/>
      <c r="Q437" s="62" t="n"/>
      <c r="R437" s="38" t="n"/>
      <c r="S437" s="62" t="n"/>
      <c r="T437" s="38" t="n"/>
      <c r="U437" s="62" t="n"/>
      <c r="V437" s="38" t="n"/>
      <c r="W437" s="62" t="n"/>
      <c r="X437" s="38" t="n"/>
      <c r="Y437" s="62" t="n"/>
      <c r="Z437" s="38" t="n"/>
      <c r="AA437" s="62" t="n"/>
      <c r="AB437" s="38" t="n"/>
      <c r="AC437" s="62" t="n"/>
      <c r="AD437" s="38" t="n"/>
      <c r="AE437" s="38" t="n"/>
      <c r="AF437" s="61">
        <f>IF(COUNTIF($B$5:B437,B437)=1,1,0)</f>
        <v/>
      </c>
      <c r="AG437" s="62" t="inlineStr">
        <is>
          <t>https://www.infobae.com/colombia/2026/09/04/arancel-que-impuso-estados-unidos-a-productos-colombianos-podria-ser-eliminado-dentro-de-poco-exportadores-revelaron-posible-fecha/</t>
        </is>
      </c>
    </row>
    <row r="438" ht="15" customHeight="1" s="31">
      <c r="A438" s="38" t="inlineStr">
        <is>
          <t>https://www.infobae.com/colombia/2026/09/04/arancel-que-impuso-estados-unidos-a-productos-colombianos-podria-ser-eliminado-dentro-de-poco-exportadores-revelaron-posible-fecha/</t>
        </is>
      </c>
      <c r="B438" s="38" t="inlineStr">
        <is>
          <t>https://www.infobae.com/colombia/2026/09/04/arancel-que-impuso-estados-unidos-a-productos-colombianos-podria-ser-eliminado-dentro-de-poco-exportadores-revelaron-posible-fecha/_S03</t>
        </is>
      </c>
      <c r="C438" s="38" t="inlineStr">
        <is>
          <t>Infobae Colombia</t>
        </is>
      </c>
      <c r="D438" s="38" t="inlineStr">
        <is>
          <t>Relación con Estados Unidos</t>
        </is>
      </c>
      <c r="E438" s="38" t="inlineStr">
        <is>
          <t>Noticia dura</t>
        </is>
      </c>
      <c r="F438" s="38" t="inlineStr">
        <is>
          <t>2026-09-04T01:02:46Z</t>
        </is>
      </c>
      <c r="G438" s="62" t="inlineStr">
        <is>
          <t>Así las cosas, el país norteamericano podría bajar a 0% ese gravamen con el que le exigía a Colombia que adoptara un instrumento jurídico para impedir el ingreso de productos, materias primas e insumos elaborados con ese tipo de trabajo en otros países.</t>
        </is>
      </c>
      <c r="H438" s="62" t="inlineStr">
        <is>
          <t>La medida podría concretarse en los próximos días, según anticipó el presidente de la Asociación Nacional de Comercio Exterior (Analdex), Javier Díaz, debido a la publicación para comentarios de un decreto regulatorio sobre bienes fabricados con trabajo forzoso.</t>
        </is>
      </c>
      <c r="I438" s="62" t="inlineStr">
        <is>
          <t>Según Díaz, la eliminación de este aliviaría a 1.751 empresas, sobre todo en sectores intensivos en mano de obra.</t>
        </is>
      </c>
      <c r="J438" s="38" t="n"/>
      <c r="K438" s="62" t="n"/>
      <c r="L438" s="38" t="n"/>
      <c r="M438" s="62" t="n"/>
      <c r="N438" s="38" t="n"/>
      <c r="O438" s="62" t="n"/>
      <c r="P438" s="38" t="n"/>
      <c r="Q438" s="62" t="n"/>
      <c r="R438" s="38" t="n"/>
      <c r="S438" s="62" t="n"/>
      <c r="T438" s="38" t="n"/>
      <c r="U438" s="62" t="n"/>
      <c r="V438" s="38" t="n"/>
      <c r="W438" s="62" t="n"/>
      <c r="X438" s="38" t="n"/>
      <c r="Y438" s="62" t="n"/>
      <c r="Z438" s="38" t="n"/>
      <c r="AA438" s="62" t="n"/>
      <c r="AB438" s="38" t="n"/>
      <c r="AC438" s="62" t="n"/>
      <c r="AD438" s="38" t="n"/>
      <c r="AE438" s="38" t="n"/>
      <c r="AF438" s="61">
        <f>IF(COUNTIF($B$5:B438,B438)=1,1,0)</f>
        <v/>
      </c>
      <c r="AG438" s="62" t="inlineStr">
        <is>
          <t>https://www.infobae.com/colombia/2026/09/04/arancel-que-impuso-estados-unidos-a-productos-colombianos-podria-ser-eliminado-dentro-de-poco-exportadores-revelaron-posible-fecha/</t>
        </is>
      </c>
    </row>
    <row r="439" ht="15" customHeight="1" s="31">
      <c r="A439" s="38" t="inlineStr">
        <is>
          <t>https://www.infobae.com/colombia/2026/09/04/arancel-que-impuso-estados-unidos-a-productos-colombianos-podria-ser-eliminado-dentro-de-poco-exportadores-revelaron-posible-fecha/</t>
        </is>
      </c>
      <c r="B439" s="38" t="inlineStr">
        <is>
          <t>https://www.infobae.com/colombia/2026/09/04/arancel-que-impuso-estados-unidos-a-productos-colombianos-podria-ser-eliminado-dentro-de-poco-exportadores-revelaron-posible-fecha/_S04</t>
        </is>
      </c>
      <c r="C439" s="38" t="inlineStr">
        <is>
          <t>Infobae Colombia</t>
        </is>
      </c>
      <c r="D439" s="38" t="inlineStr">
        <is>
          <t>Relación con Estados Unidos</t>
        </is>
      </c>
      <c r="E439" s="38" t="inlineStr">
        <is>
          <t>Noticia dura</t>
        </is>
      </c>
      <c r="F439" s="38" t="inlineStr">
        <is>
          <t>2026-09-04T01:02:46Z</t>
        </is>
      </c>
      <c r="G439" s="62" t="inlineStr">
        <is>
          <t>Según Díaz, la eliminación de este aliviaría a 1.751 empresas, sobre todo en sectores intensivos en mano de obra.</t>
        </is>
      </c>
      <c r="H439" s="62" t="inlineStr">
        <is>
          <t>Así las cosas, el país norteamericano podría bajar a 0% ese gravamen con el que le exigía a Colombia que adoptara un instrumento jurídico para impedir el ingreso de productos, materias primas e insumos elaborados con ese tipo de trabajo en otros países.</t>
        </is>
      </c>
      <c r="I439" s="62" t="inlineStr">
        <is>
          <t>Dijo en el 38° Congreso Nacional de Exportadores que “la información que tengo es que ese arancel del 12,5% podría bajar a cero”.</t>
        </is>
      </c>
      <c r="J439" s="38" t="n"/>
      <c r="K439" s="62" t="n"/>
      <c r="L439" s="38" t="n"/>
      <c r="M439" s="62" t="n"/>
      <c r="N439" s="38" t="n"/>
      <c r="O439" s="62" t="n"/>
      <c r="P439" s="38" t="n"/>
      <c r="Q439" s="62" t="n"/>
      <c r="R439" s="38" t="n"/>
      <c r="S439" s="62" t="n"/>
      <c r="T439" s="38" t="n"/>
      <c r="U439" s="62" t="n"/>
      <c r="V439" s="38" t="n"/>
      <c r="W439" s="62" t="n"/>
      <c r="X439" s="38" t="n"/>
      <c r="Y439" s="62" t="n"/>
      <c r="Z439" s="38" t="n"/>
      <c r="AA439" s="62" t="n"/>
      <c r="AB439" s="38" t="n"/>
      <c r="AC439" s="62" t="n"/>
      <c r="AD439" s="38" t="n"/>
      <c r="AE439" s="38" t="n"/>
      <c r="AF439" s="61">
        <f>IF(COUNTIF($B$5:B439,B439)=1,1,0)</f>
        <v/>
      </c>
      <c r="AG439" s="62" t="inlineStr">
        <is>
          <t>https://www.infobae.com/colombia/2026/09/04/arancel-que-impuso-estados-unidos-a-productos-colombianos-podria-ser-eliminado-dentro-de-poco-exportadores-revelaron-posible-fecha/</t>
        </is>
      </c>
    </row>
    <row r="440" ht="15" customHeight="1" s="31">
      <c r="A440" s="38" t="inlineStr">
        <is>
          <t>https://www.infobae.com/colombia/2026/09/04/arancel-que-impuso-estados-unidos-a-productos-colombianos-podria-ser-eliminado-dentro-de-poco-exportadores-revelaron-posible-fecha/</t>
        </is>
      </c>
      <c r="B440" s="38" t="inlineStr">
        <is>
          <t>https://www.infobae.com/colombia/2026/09/04/arancel-que-impuso-estados-unidos-a-productos-colombianos-podria-ser-eliminado-dentro-de-poco-exportadores-revelaron-posible-fecha/_S05</t>
        </is>
      </c>
      <c r="C440" s="38" t="inlineStr">
        <is>
          <t>Infobae Colombia</t>
        </is>
      </c>
      <c r="D440" s="38" t="inlineStr">
        <is>
          <t>Relación con Estados Unidos</t>
        </is>
      </c>
      <c r="E440" s="38" t="inlineStr">
        <is>
          <t>Noticia dura</t>
        </is>
      </c>
      <c r="F440" s="38" t="inlineStr">
        <is>
          <t>2026-09-04T01:02:46Z</t>
        </is>
      </c>
      <c r="G440" s="62" t="inlineStr">
        <is>
          <t>Dijo en el 38° Congreso Nacional de Exportadores que “la información que tengo es que ese arancel del 12,5% podría bajar a cero”.</t>
        </is>
      </c>
      <c r="H440" s="62" t="inlineStr">
        <is>
          <t>Según Díaz, la eliminación de este aliviaría a 1.751 empresas, sobre todo en sectores intensivos en mano de obra.</t>
        </is>
      </c>
      <c r="I440" s="62" t="inlineStr">
        <is>
          <t>Además, añadió que las conversaciones con Washington comenzaron incluso antes de la posesión del gobierno de Abelardo de la Espriella.</t>
        </is>
      </c>
      <c r="J440" s="38" t="n"/>
      <c r="K440" s="62" t="n"/>
      <c r="L440" s="38" t="n"/>
      <c r="M440" s="62" t="n"/>
      <c r="N440" s="38" t="n"/>
      <c r="O440" s="62" t="n"/>
      <c r="P440" s="38" t="n"/>
      <c r="Q440" s="62" t="n"/>
      <c r="R440" s="38" t="n"/>
      <c r="S440" s="62" t="n"/>
      <c r="T440" s="38" t="n"/>
      <c r="U440" s="62" t="n"/>
      <c r="V440" s="38" t="n"/>
      <c r="W440" s="62" t="n"/>
      <c r="X440" s="38" t="n"/>
      <c r="Y440" s="62" t="n"/>
      <c r="Z440" s="38" t="n"/>
      <c r="AA440" s="62" t="n"/>
      <c r="AB440" s="38" t="n"/>
      <c r="AC440" s="62" t="n"/>
      <c r="AD440" s="38" t="n"/>
      <c r="AE440" s="38" t="n"/>
      <c r="AF440" s="61">
        <f>IF(COUNTIF($B$5:B440,B440)=1,1,0)</f>
        <v/>
      </c>
      <c r="AG440" s="62" t="inlineStr">
        <is>
          <t>https://www.infobae.com/colombia/2026/09/04/arancel-que-impuso-estados-unidos-a-productos-colombianos-podria-ser-eliminado-dentro-de-poco-exportadores-revelaron-posible-fecha/</t>
        </is>
      </c>
    </row>
    <row r="441" ht="15" customHeight="1" s="31">
      <c r="A441" s="38" t="inlineStr">
        <is>
          <t>https://www.infobae.com/colombia/2026/09/04/arancel-que-impuso-estados-unidos-a-productos-colombianos-podria-ser-eliminado-dentro-de-poco-exportadores-revelaron-posible-fecha/</t>
        </is>
      </c>
      <c r="B441" s="38" t="inlineStr">
        <is>
          <t>https://www.infobae.com/colombia/2026/09/04/arancel-que-impuso-estados-unidos-a-productos-colombianos-podria-ser-eliminado-dentro-de-poco-exportadores-revelaron-posible-fecha/_S06</t>
        </is>
      </c>
      <c r="C441" s="38" t="inlineStr">
        <is>
          <t>Infobae Colombia</t>
        </is>
      </c>
      <c r="D441" s="38" t="inlineStr">
        <is>
          <t>Relación con Estados Unidos</t>
        </is>
      </c>
      <c r="E441" s="38" t="inlineStr">
        <is>
          <t>Noticia dura</t>
        </is>
      </c>
      <c r="F441" s="38" t="inlineStr">
        <is>
          <t>2026-09-04T01:02:46Z</t>
        </is>
      </c>
      <c r="G441" s="62" t="inlineStr">
        <is>
          <t>Además, añadió que las conversaciones con Washington comenzaron incluso antes de la posesión del gobierno de Abelardo de la Espriella.</t>
        </is>
      </c>
      <c r="H441" s="62" t="inlineStr">
        <is>
          <t>Dijo en el 38° Congreso Nacional de Exportadores que “la información que tengo es que ese arancel del 12,5% podría bajar a cero”.</t>
        </is>
      </c>
      <c r="I441" s="62" t="inlineStr">
        <is>
          <t>El dirigente anotó que desde hace meses la Casa Blanca había mostrado interés en dar a Colombia un trato preferencial.</t>
        </is>
      </c>
      <c r="J441" s="38" t="n"/>
      <c r="K441" s="62" t="n"/>
      <c r="L441" s="38" t="n"/>
      <c r="M441" s="62" t="n"/>
      <c r="N441" s="38" t="n"/>
      <c r="O441" s="62" t="n"/>
      <c r="P441" s="38" t="n"/>
      <c r="Q441" s="62" t="n"/>
      <c r="R441" s="38" t="n"/>
      <c r="S441" s="62" t="n"/>
      <c r="T441" s="38" t="n"/>
      <c r="U441" s="62" t="n"/>
      <c r="V441" s="38" t="n"/>
      <c r="W441" s="62" t="n"/>
      <c r="X441" s="38" t="n"/>
      <c r="Y441" s="62" t="n"/>
      <c r="Z441" s="38" t="n"/>
      <c r="AA441" s="62" t="n"/>
      <c r="AB441" s="38" t="n"/>
      <c r="AC441" s="62" t="n"/>
      <c r="AD441" s="38" t="n"/>
      <c r="AE441" s="38" t="n"/>
      <c r="AF441" s="61">
        <f>IF(COUNTIF($B$5:B441,B441)=1,1,0)</f>
        <v/>
      </c>
      <c r="AG441" s="62" t="inlineStr">
        <is>
          <t>https://www.infobae.com/colombia/2026/09/04/arancel-que-impuso-estados-unidos-a-productos-colombianos-podria-ser-eliminado-dentro-de-poco-exportadores-revelaron-posible-fecha/</t>
        </is>
      </c>
    </row>
    <row r="442" ht="15" customHeight="1" s="31">
      <c r="A442" s="38" t="inlineStr">
        <is>
          <t>https://www.infobae.com/colombia/2026/09/04/arancel-que-impuso-estados-unidos-a-productos-colombianos-podria-ser-eliminado-dentro-de-poco-exportadores-revelaron-posible-fecha/</t>
        </is>
      </c>
      <c r="B442" s="38" t="inlineStr">
        <is>
          <t>https://www.infobae.com/colombia/2026/09/04/arancel-que-impuso-estados-unidos-a-productos-colombianos-podria-ser-eliminado-dentro-de-poco-exportadores-revelaron-posible-fecha/_S07</t>
        </is>
      </c>
      <c r="C442" s="38" t="inlineStr">
        <is>
          <t>Infobae Colombia</t>
        </is>
      </c>
      <c r="D442" s="38" t="inlineStr">
        <is>
          <t>Relación con Estados Unidos</t>
        </is>
      </c>
      <c r="E442" s="38" t="inlineStr">
        <is>
          <t>Noticia dura</t>
        </is>
      </c>
      <c r="F442" s="38" t="inlineStr">
        <is>
          <t>2026-09-04T01:02:46Z</t>
        </is>
      </c>
      <c r="G442" s="62" t="inlineStr">
        <is>
          <t>El dirigente anotó que desde hace meses la Casa Blanca había mostrado interés en dar a Colombia un trato preferencial.</t>
        </is>
      </c>
      <c r="H442" s="62" t="inlineStr">
        <is>
          <t>Además, añadió que las conversaciones con Washington comenzaron incluso antes de la posesión del gobierno de Abelardo de la Espriella.</t>
        </is>
      </c>
      <c r="I442" s="62" t="inlineStr">
        <is>
          <t>De igual forma, explicó que la disposición partía de que en el país no hay prácticas directas de trabajo forzoso, aunque Estados Unidos pedía una regla local que cerrara el paso a bienes producidos bajo esas condiciones.</t>
        </is>
      </c>
      <c r="J442" s="38" t="n"/>
      <c r="K442" s="62" t="n"/>
      <c r="L442" s="38" t="n"/>
      <c r="M442" s="62" t="n"/>
      <c r="N442" s="38" t="n"/>
      <c r="O442" s="62" t="n"/>
      <c r="P442" s="38" t="n"/>
      <c r="Q442" s="62" t="n"/>
      <c r="R442" s="38" t="n"/>
      <c r="S442" s="62" t="n"/>
      <c r="T442" s="38" t="n"/>
      <c r="U442" s="62" t="n"/>
      <c r="V442" s="38" t="n"/>
      <c r="W442" s="62" t="n"/>
      <c r="X442" s="38" t="n"/>
      <c r="Y442" s="62" t="n"/>
      <c r="Z442" s="38" t="n"/>
      <c r="AA442" s="62" t="n"/>
      <c r="AB442" s="38" t="n"/>
      <c r="AC442" s="62" t="n"/>
      <c r="AD442" s="38" t="n"/>
      <c r="AE442" s="38" t="n"/>
      <c r="AF442" s="61">
        <f>IF(COUNTIF($B$5:B442,B442)=1,1,0)</f>
        <v/>
      </c>
      <c r="AG442" s="62" t="inlineStr">
        <is>
          <t>https://www.infobae.com/colombia/2026/09/04/arancel-que-impuso-estados-unidos-a-productos-colombianos-podria-ser-eliminado-dentro-de-poco-exportadores-revelaron-posible-fecha/</t>
        </is>
      </c>
    </row>
    <row r="443" ht="15" customHeight="1" s="31">
      <c r="A443" s="38" t="inlineStr">
        <is>
          <t>https://www.infobae.com/colombia/2026/09/04/arancel-que-impuso-estados-unidos-a-productos-colombianos-podria-ser-eliminado-dentro-de-poco-exportadores-revelaron-posible-fecha/</t>
        </is>
      </c>
      <c r="B443" s="38" t="inlineStr">
        <is>
          <t>https://www.infobae.com/colombia/2026/09/04/arancel-que-impuso-estados-unidos-a-productos-colombianos-podria-ser-eliminado-dentro-de-poco-exportadores-revelaron-posible-fecha/_S08</t>
        </is>
      </c>
      <c r="C443" s="38" t="inlineStr">
        <is>
          <t>Infobae Colombia</t>
        </is>
      </c>
      <c r="D443" s="38" t="inlineStr">
        <is>
          <t>Relación con Estados Unidos</t>
        </is>
      </c>
      <c r="E443" s="38" t="inlineStr">
        <is>
          <t>Noticia dura</t>
        </is>
      </c>
      <c r="F443" s="38" t="inlineStr">
        <is>
          <t>2026-09-04T01:02:46Z</t>
        </is>
      </c>
      <c r="G443" s="62" t="inlineStr">
        <is>
          <t>De igual forma, explicó que la disposición partía de que en el país no hay prácticas directas de trabajo forzoso, aunque Estados Unidos pedía una regla local que cerrara el paso a bienes producidos bajo esas condiciones.</t>
        </is>
      </c>
      <c r="H443" s="62" t="inlineStr">
        <is>
          <t>El dirigente anotó que desde hace meses la Casa Blanca había mostrado interés en dar a Colombia un trato preferencial.</t>
        </is>
      </c>
      <c r="I443" s="62" t="inlineStr">
        <is>
          <t>Condiciones para desmontar el gravamen</t>
        </is>
      </c>
      <c r="J443" s="38" t="n"/>
      <c r="K443" s="62" t="n"/>
      <c r="L443" s="38" t="n"/>
      <c r="M443" s="62" t="n"/>
      <c r="N443" s="38" t="n"/>
      <c r="O443" s="62" t="n"/>
      <c r="P443" s="38" t="n"/>
      <c r="Q443" s="62" t="n"/>
      <c r="R443" s="38" t="n"/>
      <c r="S443" s="62" t="n"/>
      <c r="T443" s="38" t="n"/>
      <c r="U443" s="62" t="n"/>
      <c r="V443" s="38" t="n"/>
      <c r="W443" s="62" t="n"/>
      <c r="X443" s="38" t="n"/>
      <c r="Y443" s="62" t="n"/>
      <c r="Z443" s="38" t="n"/>
      <c r="AA443" s="62" t="n"/>
      <c r="AB443" s="38" t="n"/>
      <c r="AC443" s="62" t="n"/>
      <c r="AD443" s="38" t="n"/>
      <c r="AE443" s="38" t="n"/>
      <c r="AF443" s="61">
        <f>IF(COUNTIF($B$5:B443,B443)=1,1,0)</f>
        <v/>
      </c>
      <c r="AG443" s="62" t="inlineStr">
        <is>
          <t>https://www.infobae.com/colombia/2026/09/04/arancel-que-impuso-estados-unidos-a-productos-colombianos-podria-ser-eliminado-dentro-de-poco-exportadores-revelaron-posible-fecha/</t>
        </is>
      </c>
    </row>
    <row r="444" ht="15" customHeight="1" s="31">
      <c r="A444" s="38" t="inlineStr">
        <is>
          <t>https://www.infobae.com/colombia/2026/09/04/arancel-que-impuso-estados-unidos-a-productos-colombianos-podria-ser-eliminado-dentro-de-poco-exportadores-revelaron-posible-fecha/</t>
        </is>
      </c>
      <c r="B444" s="38" t="inlineStr">
        <is>
          <t>https://www.infobae.com/colombia/2026/09/04/arancel-que-impuso-estados-unidos-a-productos-colombianos-podria-ser-eliminado-dentro-de-poco-exportadores-revelaron-posible-fecha/_S09</t>
        </is>
      </c>
      <c r="C444" s="38" t="inlineStr">
        <is>
          <t>Infobae Colombia</t>
        </is>
      </c>
      <c r="D444" s="38" t="inlineStr">
        <is>
          <t>Relación con Estados Unidos</t>
        </is>
      </c>
      <c r="E444" s="38" t="inlineStr">
        <is>
          <t>Noticia dura</t>
        </is>
      </c>
      <c r="F444" s="38" t="inlineStr">
        <is>
          <t>2026-09-04T01:02:46Z</t>
        </is>
      </c>
      <c r="G444" s="62" t="inlineStr">
        <is>
          <t>Condiciones para desmontar el gravamen</t>
        </is>
      </c>
      <c r="H444" s="62" t="inlineStr">
        <is>
          <t>De igual forma, explicó que la disposición partía de que en el país no hay prácticas directas de trabajo forzoso, aunque Estados Unidos pedía una regla local que cerrara el paso a bienes producidos bajo esas condiciones.</t>
        </is>
      </c>
      <c r="I444" s="62" t="inlineStr">
        <is>
          <t>Sobre ese punto, el líder gremial afirmó que “Colombia necesitaba sacar un instrumento jurídico que garantizara que productos, materias primas e insumos producidos en países con trabajo forzoso no entraran a territorio colombiano.</t>
        </is>
      </c>
      <c r="J444" s="38" t="n"/>
      <c r="K444" s="62" t="n"/>
      <c r="L444" s="38" t="n"/>
      <c r="M444" s="62" t="n"/>
      <c r="N444" s="38" t="n"/>
      <c r="O444" s="62" t="n"/>
      <c r="P444" s="38" t="n"/>
      <c r="Q444" s="62" t="n"/>
      <c r="R444" s="38" t="n"/>
      <c r="S444" s="62" t="n"/>
      <c r="T444" s="38" t="n"/>
      <c r="U444" s="62" t="n"/>
      <c r="V444" s="38" t="n"/>
      <c r="W444" s="62" t="n"/>
      <c r="X444" s="38" t="n"/>
      <c r="Y444" s="62" t="n"/>
      <c r="Z444" s="38" t="n"/>
      <c r="AA444" s="62" t="n"/>
      <c r="AB444" s="38" t="n"/>
      <c r="AC444" s="62" t="n"/>
      <c r="AD444" s="38" t="n"/>
      <c r="AE444" s="38" t="n"/>
      <c r="AF444" s="61">
        <f>IF(COUNTIF($B$5:B444,B444)=1,1,0)</f>
        <v/>
      </c>
      <c r="AG444" s="62" t="inlineStr">
        <is>
          <t>https://www.infobae.com/colombia/2026/09/04/arancel-que-impuso-estados-unidos-a-productos-colombianos-podria-ser-eliminado-dentro-de-poco-exportadores-revelaron-posible-fecha/</t>
        </is>
      </c>
    </row>
    <row r="445" ht="15" customHeight="1" s="31">
      <c r="A445" s="38" t="inlineStr">
        <is>
          <t>https://www.infobae.com/colombia/2026/09/04/arancel-que-impuso-estados-unidos-a-productos-colombianos-podria-ser-eliminado-dentro-de-poco-exportadores-revelaron-posible-fecha/</t>
        </is>
      </c>
      <c r="B445" s="38" t="inlineStr">
        <is>
          <t>https://www.infobae.com/colombia/2026/09/04/arancel-que-impuso-estados-unidos-a-productos-colombianos-podria-ser-eliminado-dentro-de-poco-exportadores-revelaron-posible-fecha/_S10</t>
        </is>
      </c>
      <c r="C445" s="38" t="inlineStr">
        <is>
          <t>Infobae Colombia</t>
        </is>
      </c>
      <c r="D445" s="38" t="inlineStr">
        <is>
          <t>Relación con Estados Unidos</t>
        </is>
      </c>
      <c r="E445" s="38" t="inlineStr">
        <is>
          <t>Noticia dura</t>
        </is>
      </c>
      <c r="F445" s="38" t="inlineStr">
        <is>
          <t>2026-09-04T01:02:46Z</t>
        </is>
      </c>
      <c r="G445" s="62" t="inlineStr">
        <is>
          <t>Sobre ese punto, el líder gremial afirmó que “Colombia necesitaba sacar un instrumento jurídico que garantizara que productos, materias primas e insumos producidos en países con trabajo forzoso no entraran a territorio colombiano.</t>
        </is>
      </c>
      <c r="H445" s="62" t="inlineStr">
        <is>
          <t>Condiciones para desmontar el gravamen</t>
        </is>
      </c>
      <c r="I445" s="62" t="inlineStr">
        <is>
          <t>También dejó claro que ”no es una prohibición absoluta, sino un sistema de gestión del riesgo”.</t>
        </is>
      </c>
      <c r="J445" s="38" t="n"/>
      <c r="K445" s="62" t="n"/>
      <c r="L445" s="38" t="n"/>
      <c r="M445" s="62" t="n"/>
      <c r="N445" s="38" t="n"/>
      <c r="O445" s="62" t="n"/>
      <c r="P445" s="38" t="n"/>
      <c r="Q445" s="62" t="n"/>
      <c r="R445" s="38" t="n"/>
      <c r="S445" s="62" t="n"/>
      <c r="T445" s="38" t="n"/>
      <c r="U445" s="62" t="n"/>
      <c r="V445" s="38" t="n"/>
      <c r="W445" s="62" t="n"/>
      <c r="X445" s="38" t="n"/>
      <c r="Y445" s="62" t="n"/>
      <c r="Z445" s="38" t="n"/>
      <c r="AA445" s="62" t="n"/>
      <c r="AB445" s="38" t="n"/>
      <c r="AC445" s="62" t="n"/>
      <c r="AD445" s="38" t="n"/>
      <c r="AE445" s="38" t="n"/>
      <c r="AF445" s="61">
        <f>IF(COUNTIF($B$5:B445,B445)=1,1,0)</f>
        <v/>
      </c>
      <c r="AG445" s="62" t="inlineStr">
        <is>
          <t>https://www.infobae.com/colombia/2026/09/04/arancel-que-impuso-estados-unidos-a-productos-colombianos-podria-ser-eliminado-dentro-de-poco-exportadores-revelaron-posible-fecha/</t>
        </is>
      </c>
    </row>
    <row r="446" ht="15" customHeight="1" s="31">
      <c r="A446" s="38" t="inlineStr">
        <is>
          <t>https://www.infobae.com/colombia/2026/09/04/arancel-que-impuso-estados-unidos-a-productos-colombianos-podria-ser-eliminado-dentro-de-poco-exportadores-revelaron-posible-fecha/</t>
        </is>
      </c>
      <c r="B446" s="38" t="inlineStr">
        <is>
          <t>https://www.infobae.com/colombia/2026/09/04/arancel-que-impuso-estados-unidos-a-productos-colombianos-podria-ser-eliminado-dentro-de-poco-exportadores-revelaron-posible-fecha/_S11</t>
        </is>
      </c>
      <c r="C446" s="38" t="inlineStr">
        <is>
          <t>Infobae Colombia</t>
        </is>
      </c>
      <c r="D446" s="38" t="inlineStr">
        <is>
          <t>Relación con Estados Unidos</t>
        </is>
      </c>
      <c r="E446" s="38" t="inlineStr">
        <is>
          <t>Noticia dura</t>
        </is>
      </c>
      <c r="F446" s="38" t="inlineStr">
        <is>
          <t>2026-09-04T01:02:46Z</t>
        </is>
      </c>
      <c r="G446" s="62" t="inlineStr">
        <is>
          <t>También dejó claro que ”no es una prohibición absoluta, sino un sistema de gestión del riesgo”.</t>
        </is>
      </c>
      <c r="H446" s="62" t="inlineStr">
        <is>
          <t>Sobre ese punto, el líder gremial afirmó que “Colombia necesitaba sacar un instrumento jurídico que garantizara que productos, materias primas e insumos producidos en países con trabajo forzoso no entraran a territorio colombiano.</t>
        </is>
      </c>
      <c r="I446" s="62" t="inlineStr">
        <is>
          <t>Por eso, cuestionó que ese marco no se hubiera expedido durante el gobierno de Gustavo Petro.</t>
        </is>
      </c>
      <c r="J446" s="38" t="n"/>
      <c r="K446" s="62" t="n"/>
      <c r="L446" s="38" t="n"/>
      <c r="M446" s="62" t="n"/>
      <c r="N446" s="38" t="n"/>
      <c r="O446" s="62" t="n"/>
      <c r="P446" s="38" t="n"/>
      <c r="Q446" s="62" t="n"/>
      <c r="R446" s="38" t="n"/>
      <c r="S446" s="62" t="n"/>
      <c r="T446" s="38" t="n"/>
      <c r="U446" s="62" t="n"/>
      <c r="V446" s="38" t="n"/>
      <c r="W446" s="62" t="n"/>
      <c r="X446" s="38" t="n"/>
      <c r="Y446" s="62" t="n"/>
      <c r="Z446" s="38" t="n"/>
      <c r="AA446" s="62" t="n"/>
      <c r="AB446" s="38" t="n"/>
      <c r="AC446" s="62" t="n"/>
      <c r="AD446" s="38" t="n"/>
      <c r="AE446" s="38" t="n"/>
      <c r="AF446" s="61">
        <f>IF(COUNTIF($B$5:B446,B446)=1,1,0)</f>
        <v/>
      </c>
      <c r="AG446" s="62" t="inlineStr">
        <is>
          <t>https://www.infobae.com/colombia/2026/09/04/arancel-que-impuso-estados-unidos-a-productos-colombianos-podria-ser-eliminado-dentro-de-poco-exportadores-revelaron-posible-fecha/</t>
        </is>
      </c>
    </row>
    <row r="447" ht="15" customHeight="1" s="31">
      <c r="A447" s="38" t="inlineStr">
        <is>
          <t>https://www.infobae.com/colombia/2026/09/04/arancel-que-impuso-estados-unidos-a-productos-colombianos-podria-ser-eliminado-dentro-de-poco-exportadores-revelaron-posible-fecha/</t>
        </is>
      </c>
      <c r="B447" s="38" t="inlineStr">
        <is>
          <t>https://www.infobae.com/colombia/2026/09/04/arancel-que-impuso-estados-unidos-a-productos-colombianos-podria-ser-eliminado-dentro-de-poco-exportadores-revelaron-posible-fecha/_S12</t>
        </is>
      </c>
      <c r="C447" s="38" t="inlineStr">
        <is>
          <t>Infobae Colombia</t>
        </is>
      </c>
      <c r="D447" s="38" t="inlineStr">
        <is>
          <t>Relación con Estados Unidos</t>
        </is>
      </c>
      <c r="E447" s="38" t="inlineStr">
        <is>
          <t>Noticia dura</t>
        </is>
      </c>
      <c r="F447" s="38" t="inlineStr">
        <is>
          <t>2026-09-04T01:02:46Z</t>
        </is>
      </c>
      <c r="G447" s="62" t="inlineStr">
        <is>
          <t>Por eso, cuestionó que ese marco no se hubiera expedido durante el gobierno de Gustavo Petro.</t>
        </is>
      </c>
      <c r="H447" s="62" t="inlineStr">
        <is>
          <t>También dejó claro que ”no es una prohibición absoluta, sino un sistema de gestión del riesgo”.</t>
        </is>
      </c>
      <c r="I447" s="62" t="n"/>
      <c r="J447" s="38" t="n"/>
      <c r="K447" s="62" t="n"/>
      <c r="L447" s="38" t="n"/>
      <c r="M447" s="62" t="n"/>
      <c r="N447" s="38" t="n"/>
      <c r="O447" s="62" t="n"/>
      <c r="P447" s="38" t="n"/>
      <c r="Q447" s="62" t="n"/>
      <c r="R447" s="38" t="n"/>
      <c r="S447" s="62" t="n"/>
      <c r="T447" s="38" t="n"/>
      <c r="U447" s="62" t="n"/>
      <c r="V447" s="38" t="n"/>
      <c r="W447" s="62" t="n"/>
      <c r="X447" s="38" t="n"/>
      <c r="Y447" s="62" t="n"/>
      <c r="Z447" s="38" t="n"/>
      <c r="AA447" s="62" t="n"/>
      <c r="AB447" s="38" t="n"/>
      <c r="AC447" s="62" t="n"/>
      <c r="AD447" s="38" t="n"/>
      <c r="AE447" s="38" t="n"/>
      <c r="AF447" s="61">
        <f>IF(COUNTIF($B$5:B447,B447)=1,1,0)</f>
        <v/>
      </c>
      <c r="AG447" s="62" t="inlineStr">
        <is>
          <t>https://www.infobae.com/colombia/2026/09/04/arancel-que-impuso-estados-unidos-a-productos-colombianos-podria-ser-eliminado-dentro-de-poco-exportadores-revelaron-posible-fecha/</t>
        </is>
      </c>
    </row>
    <row r="448" ht="15" customHeight="1" s="31">
      <c r="A448" s="38" t="inlineStr">
        <is>
          <t>https://www.infobae.com/colombia/2026/08/04/el-director-de-la-dian-atribuyo-a-donald-trump-la-subida-de-aranceles-de-estados-unidos-a-colombia-es-una-decision-unilateral/</t>
        </is>
      </c>
      <c r="B448" s="38" t="inlineStr">
        <is>
          <t>https://www.infobae.com/colombia/2026/08/04/el-director-de-la-dian-atribuyo-a-donald-trump-la-subida-de-aranceles-de-estados-unidos-a-colombia-es-una-decision-unilateral/_S01</t>
        </is>
      </c>
      <c r="C448" s="38" t="inlineStr">
        <is>
          <t>Infobae Colombia</t>
        </is>
      </c>
      <c r="D448" s="38" t="inlineStr">
        <is>
          <t>Relación con Estados Unidos</t>
        </is>
      </c>
      <c r="E448" s="38" t="inlineStr">
        <is>
          <t>Noticia dura</t>
        </is>
      </c>
      <c r="F448" s="38" t="inlineStr">
        <is>
          <t>2026-08-04T18:45:15Z</t>
        </is>
      </c>
      <c r="G448" s="62" t="inlineStr">
        <is>
          <t>El director de la Dirección de Impuestos y Aduanas Nacionales (Dian) Carlos Betancourt sostuvo que el aumento de aranceles de Estados Unidos a Colombia, que pasó de 10% a 12,5%, fue una decisión unilateral del gobierno de Donald Trump y no una consecuencia de incumplimientos del Estado colombiano, en un contexto marcado por la guerra comercial con China, la estrategia de Washington para fortalecer sus exportaciones y factores geopolíticos.</t>
        </is>
      </c>
      <c r="H448" s="62" t="n"/>
      <c r="I448" s="62" t="n"/>
      <c r="J448" s="38" t="n"/>
      <c r="K448" s="62" t="n"/>
      <c r="L448" s="38" t="n"/>
      <c r="M448" s="62" t="n"/>
      <c r="N448" s="38" t="n"/>
      <c r="O448" s="62" t="n"/>
      <c r="P448" s="38" t="n"/>
      <c r="Q448" s="62" t="n"/>
      <c r="R448" s="38" t="n"/>
      <c r="S448" s="62" t="n"/>
      <c r="T448" s="38" t="n"/>
      <c r="U448" s="62" t="n"/>
      <c r="V448" s="38" t="n"/>
      <c r="W448" s="62" t="n"/>
      <c r="X448" s="38" t="n"/>
      <c r="Y448" s="62" t="n"/>
      <c r="Z448" s="38" t="n"/>
      <c r="AA448" s="62" t="n"/>
      <c r="AB448" s="38" t="n"/>
      <c r="AC448" s="62" t="n"/>
      <c r="AD448" s="38" t="n"/>
      <c r="AE448" s="38" t="n"/>
      <c r="AF448" s="61">
        <f>IF(COUNTIF($B$5:B448,B448)=1,1,0)</f>
        <v/>
      </c>
      <c r="AG448" s="62" t="inlineStr">
        <is>
          <t>https://www.infobae.com/colombia/2026/08/04/el-director-de-la-dian-atribuyo-a-donald-trump-la-subida-de-aranceles-de-estados-unidos-a-colombia-es-una-decision-unilateral/</t>
        </is>
      </c>
    </row>
    <row r="449" ht="15" customHeight="1" s="31">
      <c r="A449" s="38" t="inlineStr">
        <is>
          <t>https://www.infobae.com/colombia/2026/09/03/valle-inicia-reconstruccion-de-12500-viviendas-y-10-colegios-tras-danos-por-terremoto/</t>
        </is>
      </c>
      <c r="B449" s="38" t="inlineStr">
        <is>
          <t>https://www.infobae.com/colombia/2026/09/03/valle-inicia-reconstruccion-de-12500-viviendas-y-10-colegios-tras-danos-por-terremoto/_S01</t>
        </is>
      </c>
      <c r="C449" s="38" t="inlineStr">
        <is>
          <t>Infobae Colombia</t>
        </is>
      </c>
      <c r="D449" s="38" t="inlineStr">
        <is>
          <t>Respuesta a la emergencia del terremoto</t>
        </is>
      </c>
      <c r="E449" s="38" t="inlineStr">
        <is>
          <t>Noticia dura</t>
        </is>
      </c>
      <c r="F449" s="38" t="inlineStr">
        <is>
          <t>2026-09-03T09:23:57Z</t>
        </is>
      </c>
      <c r="G449" s="62" t="inlineStr">
        <is>
          <t>La gobernadora del Valle del Cauca, Dilian Francisca Toro, anunció el inicio de la reconstrucción de 12.500 viviendas y 10 colegios afectados por el terremoto del pasado 10 de agosto, una emergencia que dejó fuertes daños en infraestructura educativa, hospitalaria, productiva y habitacional en el departamento.</t>
        </is>
      </c>
      <c r="H449" s="62" t="n"/>
      <c r="I449" s="62" t="inlineStr">
        <is>
          <t>De acuerdo con la información publicada por Blu Radio, la mandataria entregó un nuevo balance sobre el avance de la recuperación y confirmó que el plan incluye tanto viviendas nuevas como procesos de mejoramiento para familias damnificadas.</t>
        </is>
      </c>
      <c r="J449" s="38" t="n"/>
      <c r="K449" s="62" t="n"/>
      <c r="L449" s="38" t="n"/>
      <c r="M449" s="62" t="n"/>
      <c r="N449" s="38" t="n"/>
      <c r="O449" s="62" t="n"/>
      <c r="P449" s="38" t="n"/>
      <c r="Q449" s="62" t="n"/>
      <c r="R449" s="38" t="n"/>
      <c r="S449" s="62" t="n"/>
      <c r="T449" s="38" t="n"/>
      <c r="U449" s="62" t="n"/>
      <c r="V449" s="38" t="n"/>
      <c r="W449" s="62" t="n"/>
      <c r="X449" s="38" t="n"/>
      <c r="Y449" s="62" t="n"/>
      <c r="Z449" s="38" t="n"/>
      <c r="AA449" s="62" t="n"/>
      <c r="AB449" s="38" t="n"/>
      <c r="AC449" s="62" t="n"/>
      <c r="AD449" s="38" t="n"/>
      <c r="AE449" s="38" t="n"/>
      <c r="AF449" s="61">
        <f>IF(COUNTIF($B$5:B449,B449)=1,1,0)</f>
        <v/>
      </c>
      <c r="AG449" s="62" t="inlineStr">
        <is>
          <t>https://www.infobae.com/colombia/2026/09/03/valle-inicia-reconstruccion-de-12500-viviendas-y-10-colegios-tras-danos-por-terremoto/</t>
        </is>
      </c>
    </row>
    <row r="450" ht="15" customHeight="1" s="31">
      <c r="A450" s="38" t="inlineStr">
        <is>
          <t>https://www.infobae.com/colombia/2026/09/03/valle-inicia-reconstruccion-de-12500-viviendas-y-10-colegios-tras-danos-por-terremoto/</t>
        </is>
      </c>
      <c r="B450" s="38" t="inlineStr">
        <is>
          <t>https://www.infobae.com/colombia/2026/09/03/valle-inicia-reconstruccion-de-12500-viviendas-y-10-colegios-tras-danos-por-terremoto/_S02</t>
        </is>
      </c>
      <c r="C450" s="38" t="inlineStr">
        <is>
          <t>Infobae Colombia</t>
        </is>
      </c>
      <c r="D450" s="38" t="inlineStr">
        <is>
          <t>Respuesta a la emergencia del terremoto</t>
        </is>
      </c>
      <c r="E450" s="38" t="inlineStr">
        <is>
          <t>Noticia dura</t>
        </is>
      </c>
      <c r="F450" s="38" t="inlineStr">
        <is>
          <t>2026-09-03T09:23:57Z</t>
        </is>
      </c>
      <c r="G450" s="62" t="inlineStr">
        <is>
          <t>De acuerdo con la información publicada por Blu Radio, la mandataria entregó un nuevo balance sobre el avance de la recuperación y confirmó que el plan incluye tanto viviendas nuevas como procesos de mejoramiento para familias damnificadas.</t>
        </is>
      </c>
      <c r="H450" s="62" t="inlineStr">
        <is>
          <t>La gobernadora del Valle del Cauca, Dilian Francisca Toro, anunció el inicio de la reconstrucción de 12.500 viviendas y 10 colegios afectados por el terremoto del pasado 10 de agosto, una emergencia que dejó fuertes daños en infraestructura educativa, hospitalaria, productiva y habitacional en el departamento.</t>
        </is>
      </c>
      <c r="I450" s="62" t="inlineStr">
        <is>
          <t>El anuncio llega después de que el departamento reportara 72.000 viviendas averiadas y cerca de 20.000 colapsadas por el sismo.</t>
        </is>
      </c>
      <c r="J450" s="38" t="n"/>
      <c r="K450" s="62" t="n"/>
      <c r="L450" s="38" t="n"/>
      <c r="M450" s="62" t="n"/>
      <c r="N450" s="38" t="n"/>
      <c r="O450" s="62" t="n"/>
      <c r="P450" s="38" t="n"/>
      <c r="Q450" s="62" t="n"/>
      <c r="R450" s="38" t="n"/>
      <c r="S450" s="62" t="n"/>
      <c r="T450" s="38" t="n"/>
      <c r="U450" s="62" t="n"/>
      <c r="V450" s="38" t="n"/>
      <c r="W450" s="62" t="n"/>
      <c r="X450" s="38" t="n"/>
      <c r="Y450" s="62" t="n"/>
      <c r="Z450" s="38" t="n"/>
      <c r="AA450" s="62" t="n"/>
      <c r="AB450" s="38" t="n"/>
      <c r="AC450" s="62" t="n"/>
      <c r="AD450" s="38" t="n"/>
      <c r="AE450" s="38" t="n"/>
      <c r="AF450" s="61">
        <f>IF(COUNTIF($B$5:B450,B450)=1,1,0)</f>
        <v/>
      </c>
      <c r="AG450" s="62" t="inlineStr">
        <is>
          <t>https://www.infobae.com/colombia/2026/09/03/valle-inicia-reconstruccion-de-12500-viviendas-y-10-colegios-tras-danos-por-terremoto/</t>
        </is>
      </c>
    </row>
    <row r="451" ht="15" customHeight="1" s="31">
      <c r="A451" s="38" t="inlineStr">
        <is>
          <t>https://www.infobae.com/colombia/2026/09/03/valle-inicia-reconstruccion-de-12500-viviendas-y-10-colegios-tras-danos-por-terremoto/</t>
        </is>
      </c>
      <c r="B451" s="38" t="inlineStr">
        <is>
          <t>https://www.infobae.com/colombia/2026/09/03/valle-inicia-reconstruccion-de-12500-viviendas-y-10-colegios-tras-danos-por-terremoto/_S03</t>
        </is>
      </c>
      <c r="C451" s="38" t="inlineStr">
        <is>
          <t>Infobae Colombia</t>
        </is>
      </c>
      <c r="D451" s="38" t="inlineStr">
        <is>
          <t>Respuesta a la emergencia del terremoto</t>
        </is>
      </c>
      <c r="E451" s="38" t="inlineStr">
        <is>
          <t>Noticia dura</t>
        </is>
      </c>
      <c r="F451" s="38" t="inlineStr">
        <is>
          <t>2026-09-03T09:23:57Z</t>
        </is>
      </c>
      <c r="G451" s="62" t="inlineStr">
        <is>
          <t>El anuncio llega después de que el departamento reportara 72.000 viviendas averiadas y cerca de 20.000 colapsadas por el sismo.</t>
        </is>
      </c>
      <c r="H451" s="62" t="inlineStr">
        <is>
          <t>De acuerdo con la información publicada por Blu Radio, la mandataria entregó un nuevo balance sobre el avance de la recuperación y confirmó que el plan incluye tanto viviendas nuevas como procesos de mejoramiento para familias damnificadas.</t>
        </is>
      </c>
      <c r="I451" s="62" t="inlineStr">
        <is>
          <t>“Tenemos 220 colegios, 2 hospitales que también colapsaron, más el Hospital Universitario del Valle.</t>
        </is>
      </c>
      <c r="J451" s="38" t="n"/>
      <c r="K451" s="62" t="n"/>
      <c r="L451" s="38" t="n"/>
      <c r="M451" s="62" t="n"/>
      <c r="N451" s="38" t="n"/>
      <c r="O451" s="62" t="n"/>
      <c r="P451" s="38" t="n"/>
      <c r="Q451" s="62" t="n"/>
      <c r="R451" s="38" t="n"/>
      <c r="S451" s="62" t="n"/>
      <c r="T451" s="38" t="n"/>
      <c r="U451" s="62" t="n"/>
      <c r="V451" s="38" t="n"/>
      <c r="W451" s="62" t="n"/>
      <c r="X451" s="38" t="n"/>
      <c r="Y451" s="62" t="n"/>
      <c r="Z451" s="38" t="n"/>
      <c r="AA451" s="62" t="n"/>
      <c r="AB451" s="38" t="n"/>
      <c r="AC451" s="62" t="n"/>
      <c r="AD451" s="38" t="n"/>
      <c r="AE451" s="38" t="n"/>
      <c r="AF451" s="61">
        <f>IF(COUNTIF($B$5:B451,B451)=1,1,0)</f>
        <v/>
      </c>
      <c r="AG451" s="62" t="inlineStr">
        <is>
          <t>https://www.infobae.com/colombia/2026/09/03/valle-inicia-reconstruccion-de-12500-viviendas-y-10-colegios-tras-danos-por-terremoto/</t>
        </is>
      </c>
    </row>
    <row r="452" ht="15" customHeight="1" s="31">
      <c r="A452" s="38" t="inlineStr">
        <is>
          <t>https://www.infobae.com/colombia/2026/09/03/valle-inicia-reconstruccion-de-12500-viviendas-y-10-colegios-tras-danos-por-terremoto/</t>
        </is>
      </c>
      <c r="B452" s="38" t="inlineStr">
        <is>
          <t>https://www.infobae.com/colombia/2026/09/03/valle-inicia-reconstruccion-de-12500-viviendas-y-10-colegios-tras-danos-por-terremoto/_S04</t>
        </is>
      </c>
      <c r="C452" s="38" t="inlineStr">
        <is>
          <t>Infobae Colombia</t>
        </is>
      </c>
      <c r="D452" s="38" t="inlineStr">
        <is>
          <t>Respuesta a la emergencia del terremoto</t>
        </is>
      </c>
      <c r="E452" s="38" t="inlineStr">
        <is>
          <t>Noticia dura</t>
        </is>
      </c>
      <c r="F452" s="38" t="inlineStr">
        <is>
          <t>2026-09-03T09:23:57Z</t>
        </is>
      </c>
      <c r="G452" s="62" t="inlineStr">
        <is>
          <t>“Tenemos 220 colegios, 2 hospitales que también colapsaron, más el Hospital Universitario del Valle.</t>
        </is>
      </c>
      <c r="H452" s="62" t="inlineStr">
        <is>
          <t>El anuncio llega después de que el departamento reportara 72.000 viviendas averiadas y cerca de 20.000 colapsadas por el sismo.</t>
        </is>
      </c>
      <c r="I452" s="62" t="inlineStr">
        <is>
          <t>También estamos en la reconstrucción de colegios.</t>
        </is>
      </c>
      <c r="J452" s="38" t="n"/>
      <c r="K452" s="62" t="n"/>
      <c r="L452" s="38" t="n"/>
      <c r="M452" s="62" t="n"/>
      <c r="N452" s="38" t="n"/>
      <c r="O452" s="62" t="n"/>
      <c r="P452" s="38" t="n"/>
      <c r="Q452" s="62" t="n"/>
      <c r="R452" s="38" t="n"/>
      <c r="S452" s="62" t="n"/>
      <c r="T452" s="38" t="n"/>
      <c r="U452" s="62" t="n"/>
      <c r="V452" s="38" t="n"/>
      <c r="W452" s="62" t="n"/>
      <c r="X452" s="38" t="n"/>
      <c r="Y452" s="62" t="n"/>
      <c r="Z452" s="38" t="n"/>
      <c r="AA452" s="62" t="n"/>
      <c r="AB452" s="38" t="n"/>
      <c r="AC452" s="62" t="n"/>
      <c r="AD452" s="38" t="n"/>
      <c r="AE452" s="38" t="n"/>
      <c r="AF452" s="61">
        <f>IF(COUNTIF($B$5:B452,B452)=1,1,0)</f>
        <v/>
      </c>
      <c r="AG452" s="62" t="inlineStr">
        <is>
          <t>https://www.infobae.com/colombia/2026/09/03/valle-inicia-reconstruccion-de-12500-viviendas-y-10-colegios-tras-danos-por-terremoto/</t>
        </is>
      </c>
    </row>
    <row r="453" ht="15" customHeight="1" s="31">
      <c r="A453" s="38" t="inlineStr">
        <is>
          <t>https://www.infobae.com/colombia/2026/09/03/valle-inicia-reconstruccion-de-12500-viviendas-y-10-colegios-tras-danos-por-terremoto/</t>
        </is>
      </c>
      <c r="B453" s="38" t="inlineStr">
        <is>
          <t>https://www.infobae.com/colombia/2026/09/03/valle-inicia-reconstruccion-de-12500-viviendas-y-10-colegios-tras-danos-por-terremoto/_S05</t>
        </is>
      </c>
      <c r="C453" s="38" t="inlineStr">
        <is>
          <t>Infobae Colombia</t>
        </is>
      </c>
      <c r="D453" s="38" t="inlineStr">
        <is>
          <t>Respuesta a la emergencia del terremoto</t>
        </is>
      </c>
      <c r="E453" s="38" t="inlineStr">
        <is>
          <t>Noticia dura</t>
        </is>
      </c>
      <c r="F453" s="38" t="inlineStr">
        <is>
          <t>2026-09-03T09:23:57Z</t>
        </is>
      </c>
      <c r="G453" s="62" t="inlineStr">
        <is>
          <t>También estamos en la reconstrucción de colegios.</t>
        </is>
      </c>
      <c r="H453" s="62" t="inlineStr">
        <is>
          <t>“Tenemos 220 colegios, 2 hospitales que también colapsaron, más el Hospital Universitario del Valle.</t>
        </is>
      </c>
      <c r="I453" s="62" t="inlineStr">
        <is>
          <t>Vamos a arrancar con 9 colegios acá, un colegio en Buenaventura, y ya arrancamos con 12.500 viviendas nuevas y mejoramientos de vivienda en el departamento”, afirmó Toro.</t>
        </is>
      </c>
      <c r="J453" s="38" t="n"/>
      <c r="K453" s="62" t="n"/>
      <c r="L453" s="38" t="n"/>
      <c r="M453" s="62" t="n"/>
      <c r="N453" s="38" t="n"/>
      <c r="O453" s="62" t="n"/>
      <c r="P453" s="38" t="n"/>
      <c r="Q453" s="62" t="n"/>
      <c r="R453" s="38" t="n"/>
      <c r="S453" s="62" t="n"/>
      <c r="T453" s="38" t="n"/>
      <c r="U453" s="62" t="n"/>
      <c r="V453" s="38" t="n"/>
      <c r="W453" s="62" t="n"/>
      <c r="X453" s="38" t="n"/>
      <c r="Y453" s="62" t="n"/>
      <c r="Z453" s="38" t="n"/>
      <c r="AA453" s="62" t="n"/>
      <c r="AB453" s="38" t="n"/>
      <c r="AC453" s="62" t="n"/>
      <c r="AD453" s="38" t="n"/>
      <c r="AE453" s="38" t="n"/>
      <c r="AF453" s="61">
        <f>IF(COUNTIF($B$5:B453,B453)=1,1,0)</f>
        <v/>
      </c>
      <c r="AG453" s="62" t="inlineStr">
        <is>
          <t>https://www.infobae.com/colombia/2026/09/03/valle-inicia-reconstruccion-de-12500-viviendas-y-10-colegios-tras-danos-por-terremoto/</t>
        </is>
      </c>
    </row>
    <row r="454" ht="15" customHeight="1" s="31">
      <c r="A454" s="38" t="inlineStr">
        <is>
          <t>https://www.infobae.com/colombia/2026/09/03/valle-inicia-reconstruccion-de-12500-viviendas-y-10-colegios-tras-danos-por-terremoto/</t>
        </is>
      </c>
      <c r="B454" s="38" t="inlineStr">
        <is>
          <t>https://www.infobae.com/colombia/2026/09/03/valle-inicia-reconstruccion-de-12500-viviendas-y-10-colegios-tras-danos-por-terremoto/_S06</t>
        </is>
      </c>
      <c r="C454" s="38" t="inlineStr">
        <is>
          <t>Infobae Colombia</t>
        </is>
      </c>
      <c r="D454" s="38" t="inlineStr">
        <is>
          <t>Respuesta a la emergencia del terremoto</t>
        </is>
      </c>
      <c r="E454" s="38" t="inlineStr">
        <is>
          <t>Noticia dura</t>
        </is>
      </c>
      <c r="F454" s="38" t="inlineStr">
        <is>
          <t>2026-09-03T09:23:57Z</t>
        </is>
      </c>
      <c r="G454" s="62" t="inlineStr">
        <is>
          <t>Vamos a arrancar con 9 colegios acá, un colegio en Buenaventura, y ya arrancamos con 12.500 viviendas nuevas y mejoramientos de vivienda en el departamento”, afirmó Toro.</t>
        </is>
      </c>
      <c r="H454" s="62" t="inlineStr">
        <is>
          <t>También estamos en la reconstrucción de colegios.</t>
        </is>
      </c>
      <c r="I454" s="62" t="n"/>
      <c r="J454" s="38" t="n"/>
      <c r="K454" s="62" t="n"/>
      <c r="L454" s="38" t="n"/>
      <c r="M454" s="62" t="n"/>
      <c r="N454" s="38" t="n"/>
      <c r="O454" s="62" t="n"/>
      <c r="P454" s="38" t="n"/>
      <c r="Q454" s="62" t="n"/>
      <c r="R454" s="38" t="n"/>
      <c r="S454" s="62" t="n"/>
      <c r="T454" s="38" t="n"/>
      <c r="U454" s="62" t="n"/>
      <c r="V454" s="38" t="n"/>
      <c r="W454" s="62" t="n"/>
      <c r="X454" s="38" t="n"/>
      <c r="Y454" s="62" t="n"/>
      <c r="Z454" s="38" t="n"/>
      <c r="AA454" s="62" t="n"/>
      <c r="AB454" s="38" t="n"/>
      <c r="AC454" s="62" t="n"/>
      <c r="AD454" s="38" t="n"/>
      <c r="AE454" s="38" t="n"/>
      <c r="AF454" s="61">
        <f>IF(COUNTIF($B$5:B454,B454)=1,1,0)</f>
        <v/>
      </c>
      <c r="AG454" s="62" t="inlineStr">
        <is>
          <t>https://www.infobae.com/colombia/2026/09/03/valle-inicia-reconstruccion-de-12500-viviendas-y-10-colegios-tras-danos-por-terremoto/</t>
        </is>
      </c>
    </row>
    <row r="455" ht="15" customHeight="1" s="31">
      <c r="A455" s="38" t="inlineStr">
        <is>
          <t>https://www.infobae.com/colombia/2026/08/26/gustavo-petro-destaco-la-aprobacion-de-su-reforma-pensional-por-parte-de-la-corte-constitucional-un-triunfo-del-pueblo-trabajador/</t>
        </is>
      </c>
      <c r="B455" s="38" t="inlineStr">
        <is>
          <t>https://www.infobae.com/colombia/2026/08/26/gustavo-petro-destaco-la-aprobacion-de-su-reforma-pensional-por-parte-de-la-corte-constitucional-un-triunfo-del-pueblo-trabajador/_S01</t>
        </is>
      </c>
      <c r="C455" s="38" t="inlineStr">
        <is>
          <t>Infobae Colombia</t>
        </is>
      </c>
      <c r="D455" s="38" t="inlineStr">
        <is>
          <t>Reformas sociales en disputa (pensional/tributaria)</t>
        </is>
      </c>
      <c r="E455" s="38" t="inlineStr">
        <is>
          <t>Noticia dura</t>
        </is>
      </c>
      <c r="F455" s="38" t="inlineStr">
        <is>
          <t>2026-08-26T12:30:26Z</t>
        </is>
      </c>
      <c r="G455" s="62" t="inlineStr">
        <is>
          <t>El 25 de agosto de 2026, la Corte Constitucional avaló la reforma pensional y dejó en pie su estructura central, aunque devolvió nueve artículos al Congreso para corregir vicios de trámite; si ese ajuste supera la revisión final del tribunal, la Ley 2381 entrará en vigencia el 1 de abril de 2027.</t>
        </is>
      </c>
      <c r="H455" s="62" t="n"/>
      <c r="I455" s="62" t="inlineStr">
        <is>
          <t>La decisión preservó más del 90% del articulado y mantuvo, entre otros puntos, el artículo 76, que abrió la llamada “ventana de oportunidad” para cambiar de régimen.</t>
        </is>
      </c>
      <c r="J455" s="38" t="n"/>
      <c r="K455" s="62" t="n"/>
      <c r="L455" s="38" t="n"/>
      <c r="M455" s="62" t="n"/>
      <c r="N455" s="38" t="n"/>
      <c r="O455" s="62" t="n"/>
      <c r="P455" s="38" t="n"/>
      <c r="Q455" s="62" t="n"/>
      <c r="R455" s="38" t="n"/>
      <c r="S455" s="62" t="n"/>
      <c r="T455" s="38" t="n"/>
      <c r="U455" s="62" t="n"/>
      <c r="V455" s="38" t="n"/>
      <c r="W455" s="62" t="n"/>
      <c r="X455" s="38" t="n"/>
      <c r="Y455" s="62" t="n"/>
      <c r="Z455" s="38" t="n"/>
      <c r="AA455" s="62" t="n"/>
      <c r="AB455" s="38" t="n"/>
      <c r="AC455" s="62" t="n"/>
      <c r="AD455" s="38" t="n"/>
      <c r="AE455" s="38" t="n"/>
      <c r="AF455" s="61">
        <f>IF(COUNTIF($B$5:B455,B455)=1,1,0)</f>
        <v/>
      </c>
      <c r="AG455" s="62" t="inlineStr">
        <is>
          <t>https://www.infobae.com/colombia/2026/08/26/gustavo-petro-destaco-la-aprobacion-de-su-reforma-pensional-por-parte-de-la-corte-constitucional-un-triunfo-del-pueblo-trabajador/</t>
        </is>
      </c>
    </row>
    <row r="456" ht="15" customHeight="1" s="31">
      <c r="A456" s="38" t="inlineStr">
        <is>
          <t>https://www.infobae.com/colombia/2026/08/26/gustavo-petro-destaco-la-aprobacion-de-su-reforma-pensional-por-parte-de-la-corte-constitucional-un-triunfo-del-pueblo-trabajador/</t>
        </is>
      </c>
      <c r="B456" s="38" t="inlineStr">
        <is>
          <t>https://www.infobae.com/colombia/2026/08/26/gustavo-petro-destaco-la-aprobacion-de-su-reforma-pensional-por-parte-de-la-corte-constitucional-un-triunfo-del-pueblo-trabajador/_S02</t>
        </is>
      </c>
      <c r="C456" s="38" t="inlineStr">
        <is>
          <t>Infobae Colombia</t>
        </is>
      </c>
      <c r="D456" s="38" t="inlineStr">
        <is>
          <t>Reformas sociales en disputa (pensional/tributaria)</t>
        </is>
      </c>
      <c r="E456" s="38" t="inlineStr">
        <is>
          <t>Noticia dura</t>
        </is>
      </c>
      <c r="F456" s="38" t="inlineStr">
        <is>
          <t>2026-08-26T12:30:26Z</t>
        </is>
      </c>
      <c r="G456" s="62" t="inlineStr">
        <is>
          <t>La decisión preservó más del 90% del articulado y mantuvo, entre otros puntos, el artículo 76, que abrió la llamada “ventana de oportunidad” para cambiar de régimen.</t>
        </is>
      </c>
      <c r="H456" s="62" t="inlineStr">
        <is>
          <t>El 25 de agosto de 2026, la Corte Constitucional avaló la reforma pensional y dejó en pie su estructura central, aunque devolvió nueve artículos al Congreso para corregir vicios de trámite; si ese ajuste supera la revisión final del tribunal, la Ley 2381 entrará en vigencia el 1 de abril de 2027.</t>
        </is>
      </c>
      <c r="I456" s="62" t="inlineStr">
        <is>
          <t>Ese mecanismo cobija a más de 150.000 afiliados que se trasladaron desde 2024 hasta el 16 de julio pasado.</t>
        </is>
      </c>
      <c r="J456" s="38" t="n"/>
      <c r="K456" s="62" t="n"/>
      <c r="L456" s="38" t="n"/>
      <c r="M456" s="62" t="n"/>
      <c r="N456" s="38" t="n"/>
      <c r="O456" s="62" t="n"/>
      <c r="P456" s="38" t="n"/>
      <c r="Q456" s="62" t="n"/>
      <c r="R456" s="38" t="n"/>
      <c r="S456" s="62" t="n"/>
      <c r="T456" s="38" t="n"/>
      <c r="U456" s="62" t="n"/>
      <c r="V456" s="38" t="n"/>
      <c r="W456" s="62" t="n"/>
      <c r="X456" s="38" t="n"/>
      <c r="Y456" s="62" t="n"/>
      <c r="Z456" s="38" t="n"/>
      <c r="AA456" s="62" t="n"/>
      <c r="AB456" s="38" t="n"/>
      <c r="AC456" s="62" t="n"/>
      <c r="AD456" s="38" t="n"/>
      <c r="AE456" s="38" t="n"/>
      <c r="AF456" s="61">
        <f>IF(COUNTIF($B$5:B456,B456)=1,1,0)</f>
        <v/>
      </c>
      <c r="AG456" s="62" t="inlineStr">
        <is>
          <t>https://www.infobae.com/colombia/2026/08/26/gustavo-petro-destaco-la-aprobacion-de-su-reforma-pensional-por-parte-de-la-corte-constitucional-un-triunfo-del-pueblo-trabajador/</t>
        </is>
      </c>
    </row>
    <row r="457" ht="15" customHeight="1" s="31">
      <c r="A457" s="38" t="inlineStr">
        <is>
          <t>https://www.infobae.com/colombia/2026/08/26/gustavo-petro-destaco-la-aprobacion-de-su-reforma-pensional-por-parte-de-la-corte-constitucional-un-triunfo-del-pueblo-trabajador/</t>
        </is>
      </c>
      <c r="B457" s="38" t="inlineStr">
        <is>
          <t>https://www.infobae.com/colombia/2026/08/26/gustavo-petro-destaco-la-aprobacion-de-su-reforma-pensional-por-parte-de-la-corte-constitucional-un-triunfo-del-pueblo-trabajador/_S03</t>
        </is>
      </c>
      <c r="C457" s="38" t="inlineStr">
        <is>
          <t>Infobae Colombia</t>
        </is>
      </c>
      <c r="D457" s="38" t="inlineStr">
        <is>
          <t>Reformas sociales en disputa (pensional/tributaria)</t>
        </is>
      </c>
      <c r="E457" s="38" t="inlineStr">
        <is>
          <t>Noticia dura</t>
        </is>
      </c>
      <c r="F457" s="38" t="inlineStr">
        <is>
          <t>2026-08-26T12:30:26Z</t>
        </is>
      </c>
      <c r="G457" s="62" t="inlineStr">
        <is>
          <t>Ese mecanismo cobija a más de 150.000 afiliados que se trasladaron desde 2024 hasta el 16 de julio pasado.</t>
        </is>
      </c>
      <c r="H457" s="62" t="inlineStr">
        <is>
          <t>La decisión preservó más del 90% del articulado y mantuvo, entre otros puntos, el artículo 76, que abrió la llamada “ventana de oportunidad” para cambiar de régimen.</t>
        </is>
      </c>
      <c r="I457" s="62" t="inlineStr">
        <is>
          <t>La Cámara de Representantes tendrá 30 días contados desde la notificación de la sentencia, y no desde la comunicación, para subsanar los apartados objetados.</t>
        </is>
      </c>
      <c r="J457" s="38" t="n"/>
      <c r="K457" s="62" t="n"/>
      <c r="L457" s="38" t="n"/>
      <c r="M457" s="62" t="n"/>
      <c r="N457" s="38" t="n"/>
      <c r="O457" s="62" t="n"/>
      <c r="P457" s="38" t="n"/>
      <c r="Q457" s="62" t="n"/>
      <c r="R457" s="38" t="n"/>
      <c r="S457" s="62" t="n"/>
      <c r="T457" s="38" t="n"/>
      <c r="U457" s="62" t="n"/>
      <c r="V457" s="38" t="n"/>
      <c r="W457" s="62" t="n"/>
      <c r="X457" s="38" t="n"/>
      <c r="Y457" s="62" t="n"/>
      <c r="Z457" s="38" t="n"/>
      <c r="AA457" s="62" t="n"/>
      <c r="AB457" s="38" t="n"/>
      <c r="AC457" s="62" t="n"/>
      <c r="AD457" s="38" t="n"/>
      <c r="AE457" s="38" t="n"/>
      <c r="AF457" s="61">
        <f>IF(COUNTIF($B$5:B457,B457)=1,1,0)</f>
        <v/>
      </c>
      <c r="AG457" s="62" t="inlineStr">
        <is>
          <t>https://www.infobae.com/colombia/2026/08/26/gustavo-petro-destaco-la-aprobacion-de-su-reforma-pensional-por-parte-de-la-corte-constitucional-un-triunfo-del-pueblo-trabajador/</t>
        </is>
      </c>
    </row>
    <row r="458" ht="15" customHeight="1" s="31">
      <c r="A458" s="38" t="inlineStr">
        <is>
          <t>https://www.infobae.com/colombia/2026/08/26/gustavo-petro-destaco-la-aprobacion-de-su-reforma-pensional-por-parte-de-la-corte-constitucional-un-triunfo-del-pueblo-trabajador/</t>
        </is>
      </c>
      <c r="B458" s="38" t="inlineStr">
        <is>
          <t>https://www.infobae.com/colombia/2026/08/26/gustavo-petro-destaco-la-aprobacion-de-su-reforma-pensional-por-parte-de-la-corte-constitucional-un-triunfo-del-pueblo-trabajador/_S04</t>
        </is>
      </c>
      <c r="C458" s="38" t="inlineStr">
        <is>
          <t>Infobae Colombia</t>
        </is>
      </c>
      <c r="D458" s="38" t="inlineStr">
        <is>
          <t>Reformas sociales en disputa (pensional/tributaria)</t>
        </is>
      </c>
      <c r="E458" s="38" t="inlineStr">
        <is>
          <t>Noticia dura</t>
        </is>
      </c>
      <c r="F458" s="38" t="inlineStr">
        <is>
          <t>2026-08-26T12:30:26Z</t>
        </is>
      </c>
      <c r="G458" s="62" t="inlineStr">
        <is>
          <t>La Cámara de Representantes tendrá 30 días contados desde la notificación de la sentencia, y no desde la comunicación, para subsanar los apartados objetados.</t>
        </is>
      </c>
      <c r="H458" s="62" t="inlineStr">
        <is>
          <t>Ese mecanismo cobija a más de 150.000 afiliados que se trasladaron desde 2024 hasta el 16 de julio pasado.</t>
        </is>
      </c>
      <c r="I458" s="62" t="inlineStr">
        <is>
          <t>Después, el presidente de la corporación deberá remitir un informe sobre el cumplimiento de la orden y el máximo órgano de la Rama Judicial tendrá la decisión definitiva sobre la legalidad de esos artículos.</t>
        </is>
      </c>
      <c r="J458" s="38" t="n"/>
      <c r="K458" s="62" t="n"/>
      <c r="L458" s="38" t="n"/>
      <c r="M458" s="62" t="n"/>
      <c r="N458" s="38" t="n"/>
      <c r="O458" s="62" t="n"/>
      <c r="P458" s="38" t="n"/>
      <c r="Q458" s="62" t="n"/>
      <c r="R458" s="38" t="n"/>
      <c r="S458" s="62" t="n"/>
      <c r="T458" s="38" t="n"/>
      <c r="U458" s="62" t="n"/>
      <c r="V458" s="38" t="n"/>
      <c r="W458" s="62" t="n"/>
      <c r="X458" s="38" t="n"/>
      <c r="Y458" s="62" t="n"/>
      <c r="Z458" s="38" t="n"/>
      <c r="AA458" s="62" t="n"/>
      <c r="AB458" s="38" t="n"/>
      <c r="AC458" s="62" t="n"/>
      <c r="AD458" s="38" t="n"/>
      <c r="AE458" s="38" t="n"/>
      <c r="AF458" s="61">
        <f>IF(COUNTIF($B$5:B458,B458)=1,1,0)</f>
        <v/>
      </c>
      <c r="AG458" s="62" t="inlineStr">
        <is>
          <t>https://www.infobae.com/colombia/2026/08/26/gustavo-petro-destaco-la-aprobacion-de-su-reforma-pensional-por-parte-de-la-corte-constitucional-un-triunfo-del-pueblo-trabajador/</t>
        </is>
      </c>
    </row>
    <row r="459" ht="15" customHeight="1" s="31">
      <c r="A459" s="38" t="inlineStr">
        <is>
          <t>https://www.infobae.com/colombia/2026/08/26/gustavo-petro-destaco-la-aprobacion-de-su-reforma-pensional-por-parte-de-la-corte-constitucional-un-triunfo-del-pueblo-trabajador/</t>
        </is>
      </c>
      <c r="B459" s="38" t="inlineStr">
        <is>
          <t>https://www.infobae.com/colombia/2026/08/26/gustavo-petro-destaco-la-aprobacion-de-su-reforma-pensional-por-parte-de-la-corte-constitucional-un-triunfo-del-pueblo-trabajador/_S05</t>
        </is>
      </c>
      <c r="C459" s="38" t="inlineStr">
        <is>
          <t>Infobae Colombia</t>
        </is>
      </c>
      <c r="D459" s="38" t="inlineStr">
        <is>
          <t>Reformas sociales en disputa (pensional/tributaria)</t>
        </is>
      </c>
      <c r="E459" s="38" t="inlineStr">
        <is>
          <t>Noticia dura</t>
        </is>
      </c>
      <c r="F459" s="38" t="inlineStr">
        <is>
          <t>2026-08-26T12:30:26Z</t>
        </is>
      </c>
      <c r="G459" s="62" t="inlineStr">
        <is>
          <t>Después, el presidente de la corporación deberá remitir un informe sobre el cumplimiento de la orden y el máximo órgano de la Rama Judicial tendrá la decisión definitiva sobre la legalidad de esos artículos.</t>
        </is>
      </c>
      <c r="H459" s="62" t="inlineStr">
        <is>
          <t>La Cámara de Representantes tendrá 30 días contados desde la notificación de la sentencia, y no desde la comunicación, para subsanar los apartados objetados.</t>
        </is>
      </c>
      <c r="I459" s="62" t="inlineStr">
        <is>
          <t>Tras la decisión del alto tribunal, el expresidente de la República, Gustavo Petro, afirmó en redes sociales que la aprobación de gran parte del articulado de reforma al sistema pensional es una victoria para el pueblo colombiano.</t>
        </is>
      </c>
      <c r="J459" s="38" t="n"/>
      <c r="K459" s="62" t="n"/>
      <c r="L459" s="38" t="n"/>
      <c r="M459" s="62" t="n"/>
      <c r="N459" s="38" t="n"/>
      <c r="O459" s="62" t="n"/>
      <c r="P459" s="38" t="n"/>
      <c r="Q459" s="62" t="n"/>
      <c r="R459" s="38" t="n"/>
      <c r="S459" s="62" t="n"/>
      <c r="T459" s="38" t="n"/>
      <c r="U459" s="62" t="n"/>
      <c r="V459" s="38" t="n"/>
      <c r="W459" s="62" t="n"/>
      <c r="X459" s="38" t="n"/>
      <c r="Y459" s="62" t="n"/>
      <c r="Z459" s="38" t="n"/>
      <c r="AA459" s="62" t="n"/>
      <c r="AB459" s="38" t="n"/>
      <c r="AC459" s="62" t="n"/>
      <c r="AD459" s="38" t="n"/>
      <c r="AE459" s="38" t="n"/>
      <c r="AF459" s="61">
        <f>IF(COUNTIF($B$5:B459,B459)=1,1,0)</f>
        <v/>
      </c>
      <c r="AG459" s="62" t="inlineStr">
        <is>
          <t>https://www.infobae.com/colombia/2026/08/26/gustavo-petro-destaco-la-aprobacion-de-su-reforma-pensional-por-parte-de-la-corte-constitucional-un-triunfo-del-pueblo-trabajador/</t>
        </is>
      </c>
    </row>
    <row r="460" ht="15" customHeight="1" s="31">
      <c r="A460" s="38" t="inlineStr">
        <is>
          <t>https://www.infobae.com/colombia/2026/08/26/gustavo-petro-destaco-la-aprobacion-de-su-reforma-pensional-por-parte-de-la-corte-constitucional-un-triunfo-del-pueblo-trabajador/</t>
        </is>
      </c>
      <c r="B460" s="38" t="inlineStr">
        <is>
          <t>https://www.infobae.com/colombia/2026/08/26/gustavo-petro-destaco-la-aprobacion-de-su-reforma-pensional-por-parte-de-la-corte-constitucional-un-triunfo-del-pueblo-trabajador/_S06</t>
        </is>
      </c>
      <c r="C460" s="38" t="inlineStr">
        <is>
          <t>Infobae Colombia</t>
        </is>
      </c>
      <c r="D460" s="38" t="inlineStr">
        <is>
          <t>Reformas sociales en disputa (pensional/tributaria)</t>
        </is>
      </c>
      <c r="E460" s="38" t="inlineStr">
        <is>
          <t>Noticia dura</t>
        </is>
      </c>
      <c r="F460" s="38" t="inlineStr">
        <is>
          <t>2026-08-26T12:30:26Z</t>
        </is>
      </c>
      <c r="G460" s="62" t="inlineStr">
        <is>
          <t>Tras la decisión del alto tribunal, el expresidente de la República, Gustavo Petro, afirmó en redes sociales que la aprobación de gran parte del articulado de reforma al sistema pensional es una victoria para el pueblo colombiano.</t>
        </is>
      </c>
      <c r="H460" s="62" t="inlineStr">
        <is>
          <t>Después, el presidente de la corporación deberá remitir un informe sobre el cumplimiento de la orden y el máximo órgano de la Rama Judicial tendrá la decisión definitiva sobre la legalidad de esos artículos.</t>
        </is>
      </c>
      <c r="I460" s="62" t="n"/>
      <c r="J460" s="38" t="n"/>
      <c r="K460" s="62" t="n"/>
      <c r="L460" s="38" t="n"/>
      <c r="M460" s="62" t="n"/>
      <c r="N460" s="38" t="n"/>
      <c r="O460" s="62" t="n"/>
      <c r="P460" s="38" t="n"/>
      <c r="Q460" s="62" t="n"/>
      <c r="R460" s="38" t="n"/>
      <c r="S460" s="62" t="n"/>
      <c r="T460" s="38" t="n"/>
      <c r="U460" s="62" t="n"/>
      <c r="V460" s="38" t="n"/>
      <c r="W460" s="62" t="n"/>
      <c r="X460" s="38" t="n"/>
      <c r="Y460" s="62" t="n"/>
      <c r="Z460" s="38" t="n"/>
      <c r="AA460" s="62" t="n"/>
      <c r="AB460" s="38" t="n"/>
      <c r="AC460" s="62" t="n"/>
      <c r="AD460" s="38" t="n"/>
      <c r="AE460" s="38" t="n"/>
      <c r="AF460" s="61">
        <f>IF(COUNTIF($B$5:B460,B460)=1,1,0)</f>
        <v/>
      </c>
      <c r="AG460" s="62" t="inlineStr">
        <is>
          <t>https://www.infobae.com/colombia/2026/08/26/gustavo-petro-destaco-la-aprobacion-de-su-reforma-pensional-por-parte-de-la-corte-constitucional-un-triunfo-del-pueblo-trabajador/</t>
        </is>
      </c>
    </row>
    <row r="461" ht="15" customHeight="1" s="31">
      <c r="A461" s="38" t="inlineStr">
        <is>
          <t>https://www.semana.com/nacion/articulo/colombia-intenta-levantarse-tras-el-terremoto-pero-las-nuevas-cifras-estremecen-al-pais-los-numeros-son-preocupantes/202641/</t>
        </is>
      </c>
      <c r="B461" s="38" t="inlineStr">
        <is>
          <t>https://www.semana.com/nacion/articulo/colombia-intenta-levantarse-tras-el-terremoto-pero-las-nuevas-cifras-estremecen-al-pais-los-numeros-son-preocupantes/202641/_S01</t>
        </is>
      </c>
      <c r="C461" s="38" t="inlineStr">
        <is>
          <t>Semana</t>
        </is>
      </c>
      <c r="D461" s="38" t="inlineStr">
        <is>
          <t>Respuesta a la emergencia del terremoto</t>
        </is>
      </c>
      <c r="E461" s="38" t="inlineStr">
        <is>
          <t>Noticia dura</t>
        </is>
      </c>
      <c r="F461" s="38" t="inlineStr">
        <is>
          <t>2026-09-03T10:07:27-05:00</t>
        </is>
      </c>
      <c r="G461" s="62" t="inlineStr">
        <is>
          <t>El reporte con corte a este miércoles revela que la emergencia golpeó a 497 municipios de 16 departamentos.</t>
        </is>
      </c>
      <c r="H461" s="62" t="n"/>
      <c r="I461" s="62" t="inlineStr">
        <is>
          <t>La destrucción también alcanzó hospitales, colegios, vías, puentes y acueductos.</t>
        </is>
      </c>
      <c r="J461" s="38" t="n"/>
      <c r="K461" s="62" t="n"/>
      <c r="L461" s="38" t="n"/>
      <c r="M461" s="62" t="n"/>
      <c r="N461" s="38" t="n"/>
      <c r="O461" s="62" t="n"/>
      <c r="P461" s="38" t="n"/>
      <c r="Q461" s="62" t="n"/>
      <c r="R461" s="38" t="n"/>
      <c r="S461" s="62" t="n"/>
      <c r="T461" s="38" t="n"/>
      <c r="U461" s="62" t="n"/>
      <c r="V461" s="38" t="n"/>
      <c r="W461" s="62" t="n"/>
      <c r="X461" s="38" t="n"/>
      <c r="Y461" s="62" t="n"/>
      <c r="Z461" s="38" t="n"/>
      <c r="AA461" s="62" t="n"/>
      <c r="AB461" s="38" t="n"/>
      <c r="AC461" s="62" t="n"/>
      <c r="AD461" s="38" t="n"/>
      <c r="AE461" s="38" t="n"/>
      <c r="AF461" s="61">
        <f>IF(COUNTIF($B$5:B461,B461)=1,1,0)</f>
        <v/>
      </c>
      <c r="AG461" s="62" t="inlineStr">
        <is>
          <t>https://www.semana.com/nacion/articulo/colombia-intenta-levantarse-tras-el-terremoto-pero-las-nuevas-cifras-estremecen-al-pais-los-numeros-son-preocupantes/202641/</t>
        </is>
      </c>
    </row>
    <row r="462" ht="15" customHeight="1" s="31">
      <c r="A462" s="38" t="inlineStr">
        <is>
          <t>https://www.semana.com/nacion/articulo/colombia-intenta-levantarse-tras-el-terremoto-pero-las-nuevas-cifras-estremecen-al-pais-los-numeros-son-preocupantes/202641/</t>
        </is>
      </c>
      <c r="B462" s="38" t="inlineStr">
        <is>
          <t>https://www.semana.com/nacion/articulo/colombia-intenta-levantarse-tras-el-terremoto-pero-las-nuevas-cifras-estremecen-al-pais-los-numeros-son-preocupantes/202641/_S02</t>
        </is>
      </c>
      <c r="C462" s="38" t="inlineStr">
        <is>
          <t>Semana</t>
        </is>
      </c>
      <c r="D462" s="38" t="inlineStr">
        <is>
          <t>Respuesta a la emergencia del terremoto</t>
        </is>
      </c>
      <c r="E462" s="38" t="inlineStr">
        <is>
          <t>Noticia dura</t>
        </is>
      </c>
      <c r="F462" s="38" t="inlineStr">
        <is>
          <t>2026-09-03T10:07:27-05:00</t>
        </is>
      </c>
      <c r="G462" s="62" t="inlineStr">
        <is>
          <t>La destrucción también alcanzó hospitales, colegios, vías, puentes y acueductos.</t>
        </is>
      </c>
      <c r="H462" s="62" t="inlineStr">
        <is>
          <t>El reporte con corte a este miércoles revela que la emergencia golpeó a 497 municipios de 16 departamentos.</t>
        </is>
      </c>
      <c r="I462" s="62" t="inlineStr">
        <is>
          <t>El terremoto que sacudió a Colombia el pasado 10 de agosto continúa dejando una factura cada vez más difícil de dimensionar.</t>
        </is>
      </c>
      <c r="J462" s="38" t="n"/>
      <c r="K462" s="62" t="n"/>
      <c r="L462" s="38" t="n"/>
      <c r="M462" s="62" t="n"/>
      <c r="N462" s="38" t="n"/>
      <c r="O462" s="62" t="n"/>
      <c r="P462" s="38" t="n"/>
      <c r="Q462" s="62" t="n"/>
      <c r="R462" s="38" t="n"/>
      <c r="S462" s="62" t="n"/>
      <c r="T462" s="38" t="n"/>
      <c r="U462" s="62" t="n"/>
      <c r="V462" s="38" t="n"/>
      <c r="W462" s="62" t="n"/>
      <c r="X462" s="38" t="n"/>
      <c r="Y462" s="62" t="n"/>
      <c r="Z462" s="38" t="n"/>
      <c r="AA462" s="62" t="n"/>
      <c r="AB462" s="38" t="n"/>
      <c r="AC462" s="62" t="n"/>
      <c r="AD462" s="38" t="n"/>
      <c r="AE462" s="38" t="n"/>
      <c r="AF462" s="61">
        <f>IF(COUNTIF($B$5:B462,B462)=1,1,0)</f>
        <v/>
      </c>
      <c r="AG462" s="62" t="inlineStr">
        <is>
          <t>https://www.semana.com/nacion/articulo/colombia-intenta-levantarse-tras-el-terremoto-pero-las-nuevas-cifras-estremecen-al-pais-los-numeros-son-preocupantes/202641/</t>
        </is>
      </c>
    </row>
    <row r="463" ht="15" customHeight="1" s="31">
      <c r="A463" s="38" t="inlineStr">
        <is>
          <t>https://www.semana.com/nacion/articulo/colombia-intenta-levantarse-tras-el-terremoto-pero-las-nuevas-cifras-estremecen-al-pais-los-numeros-son-preocupantes/202641/</t>
        </is>
      </c>
      <c r="B463" s="38" t="inlineStr">
        <is>
          <t>https://www.semana.com/nacion/articulo/colombia-intenta-levantarse-tras-el-terremoto-pero-las-nuevas-cifras-estremecen-al-pais-los-numeros-son-preocupantes/202641/_S03</t>
        </is>
      </c>
      <c r="C463" s="38" t="inlineStr">
        <is>
          <t>Semana</t>
        </is>
      </c>
      <c r="D463" s="38" t="inlineStr">
        <is>
          <t>Respuesta a la emergencia del terremoto</t>
        </is>
      </c>
      <c r="E463" s="38" t="inlineStr">
        <is>
          <t>Noticia dura</t>
        </is>
      </c>
      <c r="F463" s="38" t="inlineStr">
        <is>
          <t>2026-09-03T10:07:27-05:00</t>
        </is>
      </c>
      <c r="G463" s="62" t="inlineStr">
        <is>
          <t>El terremoto que sacudió a Colombia el pasado 10 de agosto continúa dejando una factura cada vez más difícil de dimensionar.</t>
        </is>
      </c>
      <c r="H463" s="62" t="inlineStr">
        <is>
          <t>La destrucción también alcanzó hospitales, colegios, vías, puentes y acueductos.</t>
        </is>
      </c>
      <c r="I463" s="62" t="inlineStr">
        <is>
          <t>El nuevo balance de la emergencia ya contabiliza 331 personas fallecidas, 4.519 heridas y 136 desaparecidas, mientras el número de afectados asciende a 466.606 personas.</t>
        </is>
      </c>
      <c r="J463" s="38" t="n"/>
      <c r="K463" s="62" t="n"/>
      <c r="L463" s="38" t="n"/>
      <c r="M463" s="62" t="n"/>
      <c r="N463" s="38" t="n"/>
      <c r="O463" s="62" t="n"/>
      <c r="P463" s="38" t="n"/>
      <c r="Q463" s="62" t="n"/>
      <c r="R463" s="38" t="n"/>
      <c r="S463" s="62" t="n"/>
      <c r="T463" s="38" t="n"/>
      <c r="U463" s="62" t="n"/>
      <c r="V463" s="38" t="n"/>
      <c r="W463" s="62" t="n"/>
      <c r="X463" s="38" t="n"/>
      <c r="Y463" s="62" t="n"/>
      <c r="Z463" s="38" t="n"/>
      <c r="AA463" s="62" t="n"/>
      <c r="AB463" s="38" t="n"/>
      <c r="AC463" s="62" t="n"/>
      <c r="AD463" s="38" t="n"/>
      <c r="AE463" s="38" t="n"/>
      <c r="AF463" s="61">
        <f>IF(COUNTIF($B$5:B463,B463)=1,1,0)</f>
        <v/>
      </c>
      <c r="AG463" s="62" t="inlineStr">
        <is>
          <t>https://www.semana.com/nacion/articulo/colombia-intenta-levantarse-tras-el-terremoto-pero-las-nuevas-cifras-estremecen-al-pais-los-numeros-son-preocupantes/202641/</t>
        </is>
      </c>
    </row>
    <row r="464" ht="15" customHeight="1" s="31">
      <c r="A464" s="38" t="inlineStr">
        <is>
          <t>https://www.semana.com/nacion/articulo/colombia-intenta-levantarse-tras-el-terremoto-pero-las-nuevas-cifras-estremecen-al-pais-los-numeros-son-preocupantes/202641/</t>
        </is>
      </c>
      <c r="B464" s="38" t="inlineStr">
        <is>
          <t>https://www.semana.com/nacion/articulo/colombia-intenta-levantarse-tras-el-terremoto-pero-las-nuevas-cifras-estremecen-al-pais-los-numeros-son-preocupantes/202641/_S04</t>
        </is>
      </c>
      <c r="C464" s="38" t="inlineStr">
        <is>
          <t>Semana</t>
        </is>
      </c>
      <c r="D464" s="38" t="inlineStr">
        <is>
          <t>Respuesta a la emergencia del terremoto</t>
        </is>
      </c>
      <c r="E464" s="38" t="inlineStr">
        <is>
          <t>Noticia dura</t>
        </is>
      </c>
      <c r="F464" s="38" t="inlineStr">
        <is>
          <t>2026-09-03T10:07:27-05:00</t>
        </is>
      </c>
      <c r="G464" s="62" t="inlineStr">
        <is>
          <t>El nuevo balance de la emergencia ya contabiliza 331 personas fallecidas, 4.519 heridas y 136 desaparecidas, mientras el número de afectados asciende a 466.606 personas.</t>
        </is>
      </c>
      <c r="H464" s="62" t="inlineStr">
        <is>
          <t>El terremoto que sacudió a Colombia el pasado 10 de agosto continúa dejando una factura cada vez más difícil de dimensionar.</t>
        </is>
      </c>
      <c r="I464" s="62" t="inlineStr">
        <is>
          <t>Los datos corresponden a la actualización con corte a las 6:30 de la mañana de este miércoles 2 de septiembre de 2026, relacionada con el sismo de 7,4 Mw registrado en San José del Palmar, Chocó.</t>
        </is>
      </c>
      <c r="J464" s="38" t="n"/>
      <c r="K464" s="62" t="n"/>
      <c r="L464" s="38" t="n"/>
      <c r="M464" s="62" t="n"/>
      <c r="N464" s="38" t="n"/>
      <c r="O464" s="62" t="n"/>
      <c r="P464" s="38" t="n"/>
      <c r="Q464" s="62" t="n"/>
      <c r="R464" s="38" t="n"/>
      <c r="S464" s="62" t="n"/>
      <c r="T464" s="38" t="n"/>
      <c r="U464" s="62" t="n"/>
      <c r="V464" s="38" t="n"/>
      <c r="W464" s="62" t="n"/>
      <c r="X464" s="38" t="n"/>
      <c r="Y464" s="62" t="n"/>
      <c r="Z464" s="38" t="n"/>
      <c r="AA464" s="62" t="n"/>
      <c r="AB464" s="38" t="n"/>
      <c r="AC464" s="62" t="n"/>
      <c r="AD464" s="38" t="n"/>
      <c r="AE464" s="38" t="n"/>
      <c r="AF464" s="61">
        <f>IF(COUNTIF($B$5:B464,B464)=1,1,0)</f>
        <v/>
      </c>
      <c r="AG464" s="62" t="inlineStr">
        <is>
          <t>https://www.semana.com/nacion/articulo/colombia-intenta-levantarse-tras-el-terremoto-pero-las-nuevas-cifras-estremecen-al-pais-los-numeros-son-preocupantes/202641/</t>
        </is>
      </c>
    </row>
    <row r="465" ht="15" customHeight="1" s="31">
      <c r="A465" s="38" t="inlineStr">
        <is>
          <t>https://www.semana.com/nacion/articulo/colombia-intenta-levantarse-tras-el-terremoto-pero-las-nuevas-cifras-estremecen-al-pais-los-numeros-son-preocupantes/202641/</t>
        </is>
      </c>
      <c r="B465" s="38" t="inlineStr">
        <is>
          <t>https://www.semana.com/nacion/articulo/colombia-intenta-levantarse-tras-el-terremoto-pero-las-nuevas-cifras-estremecen-al-pais-los-numeros-son-preocupantes/202641/_S05</t>
        </is>
      </c>
      <c r="C465" s="38" t="inlineStr">
        <is>
          <t>Semana</t>
        </is>
      </c>
      <c r="D465" s="38" t="inlineStr">
        <is>
          <t>Respuesta a la emergencia del terremoto</t>
        </is>
      </c>
      <c r="E465" s="38" t="inlineStr">
        <is>
          <t>Noticia dura</t>
        </is>
      </c>
      <c r="F465" s="38" t="inlineStr">
        <is>
          <t>2026-09-03T10:07:27-05:00</t>
        </is>
      </c>
      <c r="G465" s="62" t="inlineStr">
        <is>
          <t>Los datos corresponden a la actualización con corte a las 6:30 de la mañana de este miércoles 2 de septiembre de 2026, relacionada con el sismo de 7,4 Mw registrado en San José del Palmar, Chocó.</t>
        </is>
      </c>
      <c r="H465" s="62" t="inlineStr">
        <is>
          <t>El nuevo balance de la emergencia ya contabiliza 331 personas fallecidas, 4.519 heridas y 136 desaparecidas, mientras el número de afectados asciende a 466.606 personas.</t>
        </is>
      </c>
      <c r="I465" s="62" t="inlineStr">
        <is>
          <t>Detrás de cada cifra aparece una emergencia que se extiende mucho más allá del punto donde ocurrió el movimiento telúrico.</t>
        </is>
      </c>
      <c r="J465" s="38" t="n"/>
      <c r="K465" s="62" t="n"/>
      <c r="L465" s="38" t="n"/>
      <c r="M465" s="62" t="n"/>
      <c r="N465" s="38" t="n"/>
      <c r="O465" s="62" t="n"/>
      <c r="P465" s="38" t="n"/>
      <c r="Q465" s="62" t="n"/>
      <c r="R465" s="38" t="n"/>
      <c r="S465" s="62" t="n"/>
      <c r="T465" s="38" t="n"/>
      <c r="U465" s="62" t="n"/>
      <c r="V465" s="38" t="n"/>
      <c r="W465" s="62" t="n"/>
      <c r="X465" s="38" t="n"/>
      <c r="Y465" s="62" t="n"/>
      <c r="Z465" s="38" t="n"/>
      <c r="AA465" s="62" t="n"/>
      <c r="AB465" s="38" t="n"/>
      <c r="AC465" s="62" t="n"/>
      <c r="AD465" s="38" t="n"/>
      <c r="AE465" s="38" t="n"/>
      <c r="AF465" s="61">
        <f>IF(COUNTIF($B$5:B465,B465)=1,1,0)</f>
        <v/>
      </c>
      <c r="AG465" s="62" t="inlineStr">
        <is>
          <t>https://www.semana.com/nacion/articulo/colombia-intenta-levantarse-tras-el-terremoto-pero-las-nuevas-cifras-estremecen-al-pais-los-numeros-son-preocupantes/202641/</t>
        </is>
      </c>
    </row>
    <row r="466" ht="15" customHeight="1" s="31">
      <c r="A466" s="38" t="inlineStr">
        <is>
          <t>https://www.semana.com/nacion/articulo/colombia-intenta-levantarse-tras-el-terremoto-pero-las-nuevas-cifras-estremecen-al-pais-los-numeros-son-preocupantes/202641/</t>
        </is>
      </c>
      <c r="B466" s="38" t="inlineStr">
        <is>
          <t>https://www.semana.com/nacion/articulo/colombia-intenta-levantarse-tras-el-terremoto-pero-las-nuevas-cifras-estremecen-al-pais-los-numeros-son-preocupantes/202641/_S06</t>
        </is>
      </c>
      <c r="C466" s="38" t="inlineStr">
        <is>
          <t>Semana</t>
        </is>
      </c>
      <c r="D466" s="38" t="inlineStr">
        <is>
          <t>Respuesta a la emergencia del terremoto</t>
        </is>
      </c>
      <c r="E466" s="38" t="inlineStr">
        <is>
          <t>Noticia dura</t>
        </is>
      </c>
      <c r="F466" s="38" t="inlineStr">
        <is>
          <t>2026-09-03T10:07:27-05:00</t>
        </is>
      </c>
      <c r="G466" s="62" t="inlineStr">
        <is>
          <t>Detrás de cada cifra aparece una emergencia que se extiende mucho más allá del punto donde ocurrió el movimiento telúrico.</t>
        </is>
      </c>
      <c r="H466" s="62" t="inlineStr">
        <is>
          <t>Los datos corresponden a la actualización con corte a las 6:30 de la mañana de este miércoles 2 de septiembre de 2026, relacionada con el sismo de 7,4 Mw registrado en San José del Palmar, Chocó.</t>
        </is>
      </c>
      <c r="I466" s="62" t="inlineStr">
        <is>
          <t>De acuerdo con el reporte, 16 departamentos y 497 municipios han resultado afectados.</t>
        </is>
      </c>
      <c r="J466" s="38" t="n"/>
      <c r="K466" s="62" t="n"/>
      <c r="L466" s="38" t="n"/>
      <c r="M466" s="62" t="n"/>
      <c r="N466" s="38" t="n"/>
      <c r="O466" s="62" t="n"/>
      <c r="P466" s="38" t="n"/>
      <c r="Q466" s="62" t="n"/>
      <c r="R466" s="38" t="n"/>
      <c r="S466" s="62" t="n"/>
      <c r="T466" s="38" t="n"/>
      <c r="U466" s="62" t="n"/>
      <c r="V466" s="38" t="n"/>
      <c r="W466" s="62" t="n"/>
      <c r="X466" s="38" t="n"/>
      <c r="Y466" s="62" t="n"/>
      <c r="Z466" s="38" t="n"/>
      <c r="AA466" s="62" t="n"/>
      <c r="AB466" s="38" t="n"/>
      <c r="AC466" s="62" t="n"/>
      <c r="AD466" s="38" t="n"/>
      <c r="AE466" s="38" t="n"/>
      <c r="AF466" s="61">
        <f>IF(COUNTIF($B$5:B466,B466)=1,1,0)</f>
        <v/>
      </c>
      <c r="AG466" s="62" t="inlineStr">
        <is>
          <t>https://www.semana.com/nacion/articulo/colombia-intenta-levantarse-tras-el-terremoto-pero-las-nuevas-cifras-estremecen-al-pais-los-numeros-son-preocupantes/202641/</t>
        </is>
      </c>
    </row>
    <row r="467" ht="15" customHeight="1" s="31">
      <c r="A467" s="38" t="inlineStr">
        <is>
          <t>https://www.semana.com/nacion/articulo/colombia-intenta-levantarse-tras-el-terremoto-pero-las-nuevas-cifras-estremecen-al-pais-los-numeros-son-preocupantes/202641/</t>
        </is>
      </c>
      <c r="B467" s="38" t="inlineStr">
        <is>
          <t>https://www.semana.com/nacion/articulo/colombia-intenta-levantarse-tras-el-terremoto-pero-las-nuevas-cifras-estremecen-al-pais-los-numeros-son-preocupantes/202641/_S07</t>
        </is>
      </c>
      <c r="C467" s="38" t="inlineStr">
        <is>
          <t>Semana</t>
        </is>
      </c>
      <c r="D467" s="38" t="inlineStr">
        <is>
          <t>Respuesta a la emergencia del terremoto</t>
        </is>
      </c>
      <c r="E467" s="38" t="inlineStr">
        <is>
          <t>Noticia dura</t>
        </is>
      </c>
      <c r="F467" s="38" t="inlineStr">
        <is>
          <t>2026-09-03T10:07:27-05:00</t>
        </is>
      </c>
      <c r="G467" s="62" t="inlineStr">
        <is>
          <t>De acuerdo con el reporte, 16 departamentos y 497 municipios han resultado afectados.</t>
        </is>
      </c>
      <c r="H467" s="62" t="inlineStr">
        <is>
          <t>Detrás de cada cifra aparece una emergencia que se extiende mucho más allá del punto donde ocurrió el movimiento telúrico.</t>
        </is>
      </c>
      <c r="I467" s="62" t="inlineStr">
        <is>
          <t>En total, hay 293.743 familias incluidas dentro del balance oficial.</t>
        </is>
      </c>
      <c r="J467" s="38" t="n"/>
      <c r="K467" s="62" t="n"/>
      <c r="L467" s="38" t="n"/>
      <c r="M467" s="62" t="n"/>
      <c r="N467" s="38" t="n"/>
      <c r="O467" s="62" t="n"/>
      <c r="P467" s="38" t="n"/>
      <c r="Q467" s="62" t="n"/>
      <c r="R467" s="38" t="n"/>
      <c r="S467" s="62" t="n"/>
      <c r="T467" s="38" t="n"/>
      <c r="U467" s="62" t="n"/>
      <c r="V467" s="38" t="n"/>
      <c r="W467" s="62" t="n"/>
      <c r="X467" s="38" t="n"/>
      <c r="Y467" s="62" t="n"/>
      <c r="Z467" s="38" t="n"/>
      <c r="AA467" s="62" t="n"/>
      <c r="AB467" s="38" t="n"/>
      <c r="AC467" s="62" t="n"/>
      <c r="AD467" s="38" t="n"/>
      <c r="AE467" s="38" t="n"/>
      <c r="AF467" s="61">
        <f>IF(COUNTIF($B$5:B467,B467)=1,1,0)</f>
        <v/>
      </c>
      <c r="AG467" s="62" t="inlineStr">
        <is>
          <t>https://www.semana.com/nacion/articulo/colombia-intenta-levantarse-tras-el-terremoto-pero-las-nuevas-cifras-estremecen-al-pais-los-numeros-son-preocupantes/202641/</t>
        </is>
      </c>
    </row>
    <row r="468" ht="15" customHeight="1" s="31">
      <c r="A468" s="38" t="inlineStr">
        <is>
          <t>https://www.semana.com/nacion/articulo/colombia-intenta-levantarse-tras-el-terremoto-pero-las-nuevas-cifras-estremecen-al-pais-los-numeros-son-preocupantes/202641/</t>
        </is>
      </c>
      <c r="B468" s="38" t="inlineStr">
        <is>
          <t>https://www.semana.com/nacion/articulo/colombia-intenta-levantarse-tras-el-terremoto-pero-las-nuevas-cifras-estremecen-al-pais-los-numeros-son-preocupantes/202641/_S08</t>
        </is>
      </c>
      <c r="C468" s="38" t="inlineStr">
        <is>
          <t>Semana</t>
        </is>
      </c>
      <c r="D468" s="38" t="inlineStr">
        <is>
          <t>Respuesta a la emergencia del terremoto</t>
        </is>
      </c>
      <c r="E468" s="38" t="inlineStr">
        <is>
          <t>Noticia dura</t>
        </is>
      </c>
      <c r="F468" s="38" t="inlineStr">
        <is>
          <t>2026-09-03T10:07:27-05:00</t>
        </is>
      </c>
      <c r="G468" s="62" t="inlineStr">
        <is>
          <t>En total, hay 293.743 familias incluidas dentro del balance oficial.</t>
        </is>
      </c>
      <c r="H468" s="62" t="inlineStr">
        <is>
          <t>De acuerdo con el reporte, 16 departamentos y 497 municipios han resultado afectados.</t>
        </is>
      </c>
      <c r="I468" s="62" t="inlineStr">
        <is>
          <t>La vivienda concentra una de las cifras que mejor permite dimensionar el impacto de la tragedia.</t>
        </is>
      </c>
      <c r="J468" s="38" t="n"/>
      <c r="K468" s="62" t="n"/>
      <c r="L468" s="38" t="n"/>
      <c r="M468" s="62" t="n"/>
      <c r="N468" s="38" t="n"/>
      <c r="O468" s="62" t="n"/>
      <c r="P468" s="38" t="n"/>
      <c r="Q468" s="62" t="n"/>
      <c r="R468" s="38" t="n"/>
      <c r="S468" s="62" t="n"/>
      <c r="T468" s="38" t="n"/>
      <c r="U468" s="62" t="n"/>
      <c r="V468" s="38" t="n"/>
      <c r="W468" s="62" t="n"/>
      <c r="X468" s="38" t="n"/>
      <c r="Y468" s="62" t="n"/>
      <c r="Z468" s="38" t="n"/>
      <c r="AA468" s="62" t="n"/>
      <c r="AB468" s="38" t="n"/>
      <c r="AC468" s="62" t="n"/>
      <c r="AD468" s="38" t="n"/>
      <c r="AE468" s="38" t="n"/>
      <c r="AF468" s="61">
        <f>IF(COUNTIF($B$5:B468,B468)=1,1,0)</f>
        <v/>
      </c>
      <c r="AG468" s="62" t="inlineStr">
        <is>
          <t>https://www.semana.com/nacion/articulo/colombia-intenta-levantarse-tras-el-terremoto-pero-las-nuevas-cifras-estremecen-al-pais-los-numeros-son-preocupantes/202641/</t>
        </is>
      </c>
    </row>
    <row r="469" ht="15" customHeight="1" s="31">
      <c r="A469" s="38" t="inlineStr">
        <is>
          <t>https://www.semana.com/nacion/articulo/colombia-intenta-levantarse-tras-el-terremoto-pero-las-nuevas-cifras-estremecen-al-pais-los-numeros-son-preocupantes/202641/</t>
        </is>
      </c>
      <c r="B469" s="38" t="inlineStr">
        <is>
          <t>https://www.semana.com/nacion/articulo/colombia-intenta-levantarse-tras-el-terremoto-pero-las-nuevas-cifras-estremecen-al-pais-los-numeros-son-preocupantes/202641/_S09</t>
        </is>
      </c>
      <c r="C469" s="38" t="inlineStr">
        <is>
          <t>Semana</t>
        </is>
      </c>
      <c r="D469" s="38" t="inlineStr">
        <is>
          <t>Respuesta a la emergencia del terremoto</t>
        </is>
      </c>
      <c r="E469" s="38" t="inlineStr">
        <is>
          <t>Noticia dura</t>
        </is>
      </c>
      <c r="F469" s="38" t="inlineStr">
        <is>
          <t>2026-09-03T10:07:27-05:00</t>
        </is>
      </c>
      <c r="G469" s="62" t="inlineStr">
        <is>
          <t>La vivienda concentra una de las cifras que mejor permite dimensionar el impacto de la tragedia.</t>
        </is>
      </c>
      <c r="H469" s="62" t="inlineStr">
        <is>
          <t>En total, hay 293.743 familias incluidas dentro del balance oficial.</t>
        </is>
      </c>
      <c r="I469" s="62" t="inlineStr">
        <is>
          <t>Hasta ahora se contabilizan 201.005 viviendas averiadas y otras 36.336 completamente destruidas.</t>
        </is>
      </c>
      <c r="J469" s="38" t="n"/>
      <c r="K469" s="62" t="n"/>
      <c r="L469" s="38" t="n"/>
      <c r="M469" s="62" t="n"/>
      <c r="N469" s="38" t="n"/>
      <c r="O469" s="62" t="n"/>
      <c r="P469" s="38" t="n"/>
      <c r="Q469" s="62" t="n"/>
      <c r="R469" s="38" t="n"/>
      <c r="S469" s="62" t="n"/>
      <c r="T469" s="38" t="n"/>
      <c r="U469" s="62" t="n"/>
      <c r="V469" s="38" t="n"/>
      <c r="W469" s="62" t="n"/>
      <c r="X469" s="38" t="n"/>
      <c r="Y469" s="62" t="n"/>
      <c r="Z469" s="38" t="n"/>
      <c r="AA469" s="62" t="n"/>
      <c r="AB469" s="38" t="n"/>
      <c r="AC469" s="62" t="n"/>
      <c r="AD469" s="38" t="n"/>
      <c r="AE469" s="38" t="n"/>
      <c r="AF469" s="61">
        <f>IF(COUNTIF($B$5:B469,B469)=1,1,0)</f>
        <v/>
      </c>
      <c r="AG469" s="62" t="inlineStr">
        <is>
          <t>https://www.semana.com/nacion/articulo/colombia-intenta-levantarse-tras-el-terremoto-pero-las-nuevas-cifras-estremecen-al-pais-los-numeros-son-preocupantes/202641/</t>
        </is>
      </c>
    </row>
    <row r="470" ht="15" customHeight="1" s="31">
      <c r="A470" s="38" t="inlineStr">
        <is>
          <t>https://www.semana.com/nacion/articulo/colombia-intenta-levantarse-tras-el-terremoto-pero-las-nuevas-cifras-estremecen-al-pais-los-numeros-son-preocupantes/202641/</t>
        </is>
      </c>
      <c r="B470" s="38" t="inlineStr">
        <is>
          <t>https://www.semana.com/nacion/articulo/colombia-intenta-levantarse-tras-el-terremoto-pero-las-nuevas-cifras-estremecen-al-pais-los-numeros-son-preocupantes/202641/_S10</t>
        </is>
      </c>
      <c r="C470" s="38" t="inlineStr">
        <is>
          <t>Semana</t>
        </is>
      </c>
      <c r="D470" s="38" t="inlineStr">
        <is>
          <t>Respuesta a la emergencia del terremoto</t>
        </is>
      </c>
      <c r="E470" s="38" t="inlineStr">
        <is>
          <t>Noticia dura</t>
        </is>
      </c>
      <c r="F470" s="38" t="inlineStr">
        <is>
          <t>2026-09-03T10:07:27-05:00</t>
        </is>
      </c>
      <c r="G470" s="62" t="inlineStr">
        <is>
          <t>Hasta ahora se contabilizan 201.005 viviendas averiadas y otras 36.336 completamente destruidas.</t>
        </is>
      </c>
      <c r="H470" s="62" t="inlineStr">
        <is>
          <t>La vivienda concentra una de las cifras que mejor permite dimensionar el impacto de la tragedia.</t>
        </is>
      </c>
      <c r="I470" s="62" t="n"/>
      <c r="J470" s="38" t="n"/>
      <c r="K470" s="62" t="n"/>
      <c r="L470" s="38" t="n"/>
      <c r="M470" s="62" t="n"/>
      <c r="N470" s="38" t="n"/>
      <c r="O470" s="62" t="n"/>
      <c r="P470" s="38" t="n"/>
      <c r="Q470" s="62" t="n"/>
      <c r="R470" s="38" t="n"/>
      <c r="S470" s="62" t="n"/>
      <c r="T470" s="38" t="n"/>
      <c r="U470" s="62" t="n"/>
      <c r="V470" s="38" t="n"/>
      <c r="W470" s="62" t="n"/>
      <c r="X470" s="38" t="n"/>
      <c r="Y470" s="62" t="n"/>
      <c r="Z470" s="38" t="n"/>
      <c r="AA470" s="62" t="n"/>
      <c r="AB470" s="38" t="n"/>
      <c r="AC470" s="62" t="n"/>
      <c r="AD470" s="38" t="n"/>
      <c r="AE470" s="38" t="n"/>
      <c r="AF470" s="61">
        <f>IF(COUNTIF($B$5:B470,B470)=1,1,0)</f>
        <v/>
      </c>
      <c r="AG470" s="62" t="inlineStr">
        <is>
          <t>https://www.semana.com/nacion/articulo/colombia-intenta-levantarse-tras-el-terremoto-pero-las-nuevas-cifras-estremecen-al-pais-los-numeros-son-preocupantes/202641/</t>
        </is>
      </c>
    </row>
    <row r="471" ht="15" customHeight="1" s="31">
      <c r="A471" s="38" t="inlineStr">
        <is>
          <t>https://www.infobae.com/colombia/2026/07/23/estados-unidos-endurecio-los-aranceles-para-colombia-exportaciones-pagaran-un-gravamen-del-125/</t>
        </is>
      </c>
      <c r="B471" s="38" t="inlineStr">
        <is>
          <t>https://www.infobae.com/colombia/2026/07/23/estados-unidos-endurecio-los-aranceles-para-colombia-exportaciones-pagaran-un-gravamen-del-125/_S01</t>
        </is>
      </c>
      <c r="C471" s="38" t="inlineStr">
        <is>
          <t>Infobae Colombia</t>
        </is>
      </c>
      <c r="D471" s="38" t="inlineStr">
        <is>
          <t>Relación con Estados Unidos</t>
        </is>
      </c>
      <c r="E471" s="38" t="inlineStr">
        <is>
          <t>Noticia dura</t>
        </is>
      </c>
      <c r="F471" s="38" t="inlineStr">
        <is>
          <t>2026-07-23T23:10:16Z</t>
        </is>
      </c>
      <c r="G471" s="62" t="inlineStr">
        <is>
          <t>La administración del presidente Donald Trump confirmó el jueves 23 de julio de 2026 un nuevo paquete de aranceles para las importaciones provenientes de decenas de países, entre ellos Colombia, decisión que fija un gravamen del 12,5% para los productos colombianos que ingresen al mercado estadounidense.</t>
        </is>
      </c>
      <c r="H471" s="62" t="n"/>
      <c r="I471" s="62" t="n"/>
      <c r="J471" s="38" t="n"/>
      <c r="K471" s="62" t="n"/>
      <c r="L471" s="38" t="n"/>
      <c r="M471" s="62" t="n"/>
      <c r="N471" s="38" t="n"/>
      <c r="O471" s="62" t="n"/>
      <c r="P471" s="38" t="n"/>
      <c r="Q471" s="62" t="n"/>
      <c r="R471" s="38" t="n"/>
      <c r="S471" s="62" t="n"/>
      <c r="T471" s="38" t="n"/>
      <c r="U471" s="62" t="n"/>
      <c r="V471" s="38" t="n"/>
      <c r="W471" s="62" t="n"/>
      <c r="X471" s="38" t="n"/>
      <c r="Y471" s="62" t="n"/>
      <c r="Z471" s="38" t="n"/>
      <c r="AA471" s="62" t="n"/>
      <c r="AB471" s="38" t="n"/>
      <c r="AC471" s="62" t="n"/>
      <c r="AD471" s="38" t="n"/>
      <c r="AE471" s="38" t="n"/>
      <c r="AF471" s="61">
        <f>IF(COUNTIF($B$5:B471,B471)=1,1,0)</f>
        <v/>
      </c>
      <c r="AG471" s="62" t="inlineStr">
        <is>
          <t>https://www.infobae.com/colombia/2026/07/23/estados-unidos-endurecio-los-aranceles-para-colombia-exportaciones-pagaran-un-gravamen-del-125/</t>
        </is>
      </c>
    </row>
    <row r="472" ht="15" customHeight="1" s="31">
      <c r="A472" s="38" t="inlineStr">
        <is>
          <t>https://www.eltiempo.com/opinion/columnistas/jose-antonio-ocampo/columna-de-jose-antonio-ocampo-la-reforma-pensional-778686</t>
        </is>
      </c>
      <c r="B472" s="38" t="inlineStr">
        <is>
          <t>https://www.eltiempo.com/opinion/columnistas/jose-antonio-ocampo/columna-de-jose-antonio-ocampo-la-reforma-pensional-778686_S01</t>
        </is>
      </c>
      <c r="C472" s="38" t="inlineStr">
        <is>
          <t>El Tiempo</t>
        </is>
      </c>
      <c r="D472" s="38" t="inlineStr">
        <is>
          <t>Reformas sociales en disputa (pensional/tributaria)</t>
        </is>
      </c>
      <c r="E472" s="38" t="inlineStr">
        <is>
          <t>Opinión-análisis</t>
        </is>
      </c>
      <c r="F472" s="38" t="inlineStr">
        <is>
          <t>2023-06-17T21:42:33-05:00</t>
        </is>
      </c>
      <c r="G472" s="62" t="inlineStr">
        <is>
          <t>Celebro la aprobación de la reforma pensional en primer debate en el Senado de la República.</t>
        </is>
      </c>
      <c r="H472" s="62" t="n"/>
      <c r="I472" s="62" t="inlineStr">
        <is>
          <t>Entre las tres reformas sociales, es la más viable de ser aprobada por el Congreso.</t>
        </is>
      </c>
      <c r="J472" s="38" t="n"/>
      <c r="K472" s="62" t="n"/>
      <c r="L472" s="38" t="n"/>
      <c r="M472" s="62" t="n"/>
      <c r="N472" s="38" t="n"/>
      <c r="O472" s="62" t="n"/>
      <c r="P472" s="38" t="n"/>
      <c r="Q472" s="62" t="n"/>
      <c r="R472" s="38" t="n"/>
      <c r="S472" s="62" t="n"/>
      <c r="T472" s="38" t="n"/>
      <c r="U472" s="62" t="n"/>
      <c r="V472" s="38" t="n"/>
      <c r="W472" s="62" t="n"/>
      <c r="X472" s="38" t="n"/>
      <c r="Y472" s="62" t="n"/>
      <c r="Z472" s="38" t="n"/>
      <c r="AA472" s="62" t="n"/>
      <c r="AB472" s="38" t="n"/>
      <c r="AC472" s="62" t="n"/>
      <c r="AD472" s="38" t="n"/>
      <c r="AE472" s="38" t="n"/>
      <c r="AF472" s="61">
        <f>IF(COUNTIF($B$5:B472,B472)=1,1,0)</f>
        <v/>
      </c>
      <c r="AG472" s="62" t="inlineStr">
        <is>
          <t>https://www.eltiempo.com/opinion/columnistas/jose-antonio-ocampo/columna-de-jose-antonio-ocampo-la-reforma-pensional-778686</t>
        </is>
      </c>
    </row>
    <row r="473" ht="15" customHeight="1" s="31">
      <c r="A473" s="38" t="inlineStr">
        <is>
          <t>https://www.eltiempo.com/opinion/columnistas/jose-antonio-ocampo/columna-de-jose-antonio-ocampo-la-reforma-pensional-778686</t>
        </is>
      </c>
      <c r="B473" s="38" t="inlineStr">
        <is>
          <t>https://www.eltiempo.com/opinion/columnistas/jose-antonio-ocampo/columna-de-jose-antonio-ocampo-la-reforma-pensional-778686_S02</t>
        </is>
      </c>
      <c r="C473" s="38" t="inlineStr">
        <is>
          <t>El Tiempo</t>
        </is>
      </c>
      <c r="D473" s="38" t="inlineStr">
        <is>
          <t>Reformas sociales en disputa (pensional/tributaria)</t>
        </is>
      </c>
      <c r="E473" s="38" t="inlineStr">
        <is>
          <t>Opinión-análisis</t>
        </is>
      </c>
      <c r="F473" s="38" t="inlineStr">
        <is>
          <t>2023-06-17T21:42:33-05:00</t>
        </is>
      </c>
      <c r="G473" s="62" t="inlineStr">
        <is>
          <t>Entre las tres reformas sociales, es la más viable de ser aprobada por el Congreso.</t>
        </is>
      </c>
      <c r="H473" s="62" t="inlineStr">
        <is>
          <t>Celebro la aprobación de la reforma pensional en primer debate en el Senado de la República.</t>
        </is>
      </c>
      <c r="I473" s="62" t="inlineStr">
        <is>
          <t>Además, el proyecto original resultó de un excelente trabajo conjunto entre el Ministerio del Trabajo y el Ministerio de Hacienda.</t>
        </is>
      </c>
      <c r="J473" s="38" t="n"/>
      <c r="K473" s="62" t="n"/>
      <c r="L473" s="38" t="n"/>
      <c r="M473" s="62" t="n"/>
      <c r="N473" s="38" t="n"/>
      <c r="O473" s="62" t="n"/>
      <c r="P473" s="38" t="n"/>
      <c r="Q473" s="62" t="n"/>
      <c r="R473" s="38" t="n"/>
      <c r="S473" s="62" t="n"/>
      <c r="T473" s="38" t="n"/>
      <c r="U473" s="62" t="n"/>
      <c r="V473" s="38" t="n"/>
      <c r="W473" s="62" t="n"/>
      <c r="X473" s="38" t="n"/>
      <c r="Y473" s="62" t="n"/>
      <c r="Z473" s="38" t="n"/>
      <c r="AA473" s="62" t="n"/>
      <c r="AB473" s="38" t="n"/>
      <c r="AC473" s="62" t="n"/>
      <c r="AD473" s="38" t="n"/>
      <c r="AE473" s="38" t="n"/>
      <c r="AF473" s="61">
        <f>IF(COUNTIF($B$5:B473,B473)=1,1,0)</f>
        <v/>
      </c>
      <c r="AG473" s="62" t="inlineStr">
        <is>
          <t>https://www.eltiempo.com/opinion/columnistas/jose-antonio-ocampo/columna-de-jose-antonio-ocampo-la-reforma-pensional-778686</t>
        </is>
      </c>
    </row>
    <row r="474" ht="15" customHeight="1" s="31">
      <c r="A474" s="38" t="inlineStr">
        <is>
          <t>https://www.eltiempo.com/opinion/columnistas/jose-antonio-ocampo/columna-de-jose-antonio-ocampo-la-reforma-pensional-778686</t>
        </is>
      </c>
      <c r="B474" s="38" t="inlineStr">
        <is>
          <t>https://www.eltiempo.com/opinion/columnistas/jose-antonio-ocampo/columna-de-jose-antonio-ocampo-la-reforma-pensional-778686_S03</t>
        </is>
      </c>
      <c r="C474" s="38" t="inlineStr">
        <is>
          <t>El Tiempo</t>
        </is>
      </c>
      <c r="D474" s="38" t="inlineStr">
        <is>
          <t>Reformas sociales en disputa (pensional/tributaria)</t>
        </is>
      </c>
      <c r="E474" s="38" t="inlineStr">
        <is>
          <t>Opinión-análisis</t>
        </is>
      </c>
      <c r="F474" s="38" t="inlineStr">
        <is>
          <t>2023-06-17T21:42:33-05:00</t>
        </is>
      </c>
      <c r="G474" s="62" t="inlineStr">
        <is>
          <t>Además, el proyecto original resultó de un excelente trabajo conjunto entre el Ministerio del Trabajo y el Ministerio de Hacienda.</t>
        </is>
      </c>
      <c r="H474" s="62" t="inlineStr">
        <is>
          <t>Entre las tres reformas sociales, es la más viable de ser aprobada por el Congreso.</t>
        </is>
      </c>
      <c r="I474" s="62" t="inlineStr">
        <is>
          <t>La propuesta tiene tres virtudes fundamentales.</t>
        </is>
      </c>
      <c r="J474" s="38" t="n"/>
      <c r="K474" s="62" t="n"/>
      <c r="L474" s="38" t="n"/>
      <c r="M474" s="62" t="n"/>
      <c r="N474" s="38" t="n"/>
      <c r="O474" s="62" t="n"/>
      <c r="P474" s="38" t="n"/>
      <c r="Q474" s="62" t="n"/>
      <c r="R474" s="38" t="n"/>
      <c r="S474" s="62" t="n"/>
      <c r="T474" s="38" t="n"/>
      <c r="U474" s="62" t="n"/>
      <c r="V474" s="38" t="n"/>
      <c r="W474" s="62" t="n"/>
      <c r="X474" s="38" t="n"/>
      <c r="Y474" s="62" t="n"/>
      <c r="Z474" s="38" t="n"/>
      <c r="AA474" s="62" t="n"/>
      <c r="AB474" s="38" t="n"/>
      <c r="AC474" s="62" t="n"/>
      <c r="AD474" s="38" t="n"/>
      <c r="AE474" s="38" t="n"/>
      <c r="AF474" s="61">
        <f>IF(COUNTIF($B$5:B474,B474)=1,1,0)</f>
        <v/>
      </c>
      <c r="AG474" s="62" t="inlineStr">
        <is>
          <t>https://www.eltiempo.com/opinion/columnistas/jose-antonio-ocampo/columna-de-jose-antonio-ocampo-la-reforma-pensional-778686</t>
        </is>
      </c>
    </row>
    <row r="475" ht="15" customHeight="1" s="31">
      <c r="A475" s="38" t="inlineStr">
        <is>
          <t>https://www.eltiempo.com/opinion/columnistas/jose-antonio-ocampo/columna-de-jose-antonio-ocampo-la-reforma-pensional-778686</t>
        </is>
      </c>
      <c r="B475" s="38" t="inlineStr">
        <is>
          <t>https://www.eltiempo.com/opinion/columnistas/jose-antonio-ocampo/columna-de-jose-antonio-ocampo-la-reforma-pensional-778686_S04</t>
        </is>
      </c>
      <c r="C475" s="38" t="inlineStr">
        <is>
          <t>El Tiempo</t>
        </is>
      </c>
      <c r="D475" s="38" t="inlineStr">
        <is>
          <t>Reformas sociales en disputa (pensional/tributaria)</t>
        </is>
      </c>
      <c r="E475" s="38" t="inlineStr">
        <is>
          <t>Opinión-análisis</t>
        </is>
      </c>
      <c r="F475" s="38" t="inlineStr">
        <is>
          <t>2023-06-17T21:42:33-05:00</t>
        </is>
      </c>
      <c r="G475" s="62" t="inlineStr">
        <is>
          <t>La propuesta tiene tres virtudes fundamentales.</t>
        </is>
      </c>
      <c r="H475" s="62" t="inlineStr">
        <is>
          <t>Además, el proyecto original resultó de un excelente trabajo conjunto entre el Ministerio del Trabajo y el Ministerio de Hacienda.</t>
        </is>
      </c>
      <c r="I475" s="62" t="inlineStr">
        <is>
          <t>Primero, apoya a las personas mayores sin pensión a través de un mecanismo solidario que supera con creces el programa Adulto Mayor.</t>
        </is>
      </c>
      <c r="J475" s="38" t="n"/>
      <c r="K475" s="62" t="n"/>
      <c r="L475" s="38" t="n"/>
      <c r="M475" s="62" t="n"/>
      <c r="N475" s="38" t="n"/>
      <c r="O475" s="62" t="n"/>
      <c r="P475" s="38" t="n"/>
      <c r="Q475" s="62" t="n"/>
      <c r="R475" s="38" t="n"/>
      <c r="S475" s="62" t="n"/>
      <c r="T475" s="38" t="n"/>
      <c r="U475" s="62" t="n"/>
      <c r="V475" s="38" t="n"/>
      <c r="W475" s="62" t="n"/>
      <c r="X475" s="38" t="n"/>
      <c r="Y475" s="62" t="n"/>
      <c r="Z475" s="38" t="n"/>
      <c r="AA475" s="62" t="n"/>
      <c r="AB475" s="38" t="n"/>
      <c r="AC475" s="62" t="n"/>
      <c r="AD475" s="38" t="n"/>
      <c r="AE475" s="38" t="n"/>
      <c r="AF475" s="61">
        <f>IF(COUNTIF($B$5:B475,B475)=1,1,0)</f>
        <v/>
      </c>
      <c r="AG475" s="62" t="inlineStr">
        <is>
          <t>https://www.eltiempo.com/opinion/columnistas/jose-antonio-ocampo/columna-de-jose-antonio-ocampo-la-reforma-pensional-778686</t>
        </is>
      </c>
    </row>
    <row r="476" ht="15" customHeight="1" s="31">
      <c r="A476" s="38" t="inlineStr">
        <is>
          <t>https://www.eltiempo.com/opinion/columnistas/jose-antonio-ocampo/columna-de-jose-antonio-ocampo-la-reforma-pensional-778686</t>
        </is>
      </c>
      <c r="B476" s="38" t="inlineStr">
        <is>
          <t>https://www.eltiempo.com/opinion/columnistas/jose-antonio-ocampo/columna-de-jose-antonio-ocampo-la-reforma-pensional-778686_S05</t>
        </is>
      </c>
      <c r="C476" s="38" t="inlineStr">
        <is>
          <t>El Tiempo</t>
        </is>
      </c>
      <c r="D476" s="38" t="inlineStr">
        <is>
          <t>Reformas sociales en disputa (pensional/tributaria)</t>
        </is>
      </c>
      <c r="E476" s="38" t="inlineStr">
        <is>
          <t>Opinión-análisis</t>
        </is>
      </c>
      <c r="F476" s="38" t="inlineStr">
        <is>
          <t>2023-06-17T21:42:33-05:00</t>
        </is>
      </c>
      <c r="G476" s="62" t="inlineStr">
        <is>
          <t>Primero, apoya a las personas mayores sin pensión a través de un mecanismo solidario que supera con creces el programa Adulto Mayor.</t>
        </is>
      </c>
      <c r="H476" s="62" t="inlineStr">
        <is>
          <t>La propuesta tiene tres virtudes fundamentales.</t>
        </is>
      </c>
      <c r="I476" s="62" t="inlineStr">
        <is>
          <t>Segundo, elimina un error básico de la Ley 100 de 1993: el haber dejado a Colpensiones en competencia con los fondos privados de pensiones en vez de como complementos, como en otros países del mundo.</t>
        </is>
      </c>
      <c r="J476" s="38" t="n"/>
      <c r="K476" s="62" t="n"/>
      <c r="L476" s="38" t="n"/>
      <c r="M476" s="62" t="n"/>
      <c r="N476" s="38" t="n"/>
      <c r="O476" s="62" t="n"/>
      <c r="P476" s="38" t="n"/>
      <c r="Q476" s="62" t="n"/>
      <c r="R476" s="38" t="n"/>
      <c r="S476" s="62" t="n"/>
      <c r="T476" s="38" t="n"/>
      <c r="U476" s="62" t="n"/>
      <c r="V476" s="38" t="n"/>
      <c r="W476" s="62" t="n"/>
      <c r="X476" s="38" t="n"/>
      <c r="Y476" s="62" t="n"/>
      <c r="Z476" s="38" t="n"/>
      <c r="AA476" s="62" t="n"/>
      <c r="AB476" s="38" t="n"/>
      <c r="AC476" s="62" t="n"/>
      <c r="AD476" s="38" t="n"/>
      <c r="AE476" s="38" t="n"/>
      <c r="AF476" s="61">
        <f>IF(COUNTIF($B$5:B476,B476)=1,1,0)</f>
        <v/>
      </c>
      <c r="AG476" s="62" t="inlineStr">
        <is>
          <t>https://www.eltiempo.com/opinion/columnistas/jose-antonio-ocampo/columna-de-jose-antonio-ocampo-la-reforma-pensional-778686</t>
        </is>
      </c>
    </row>
    <row r="477" ht="15" customHeight="1" s="31">
      <c r="A477" s="38" t="inlineStr">
        <is>
          <t>https://www.eltiempo.com/opinion/columnistas/jose-antonio-ocampo/columna-de-jose-antonio-ocampo-la-reforma-pensional-778686</t>
        </is>
      </c>
      <c r="B477" s="38" t="inlineStr">
        <is>
          <t>https://www.eltiempo.com/opinion/columnistas/jose-antonio-ocampo/columna-de-jose-antonio-ocampo-la-reforma-pensional-778686_S06</t>
        </is>
      </c>
      <c r="C477" s="38" t="inlineStr">
        <is>
          <t>El Tiempo</t>
        </is>
      </c>
      <c r="D477" s="38" t="inlineStr">
        <is>
          <t>Reformas sociales en disputa (pensional/tributaria)</t>
        </is>
      </c>
      <c r="E477" s="38" t="inlineStr">
        <is>
          <t>Opinión-análisis</t>
        </is>
      </c>
      <c r="F477" s="38" t="inlineStr">
        <is>
          <t>2023-06-17T21:42:33-05:00</t>
        </is>
      </c>
      <c r="G477" s="62" t="inlineStr">
        <is>
          <t>Segundo, elimina un error básico de la Ley 100 de 1993: el haber dejado a Colpensiones en competencia con los fondos privados de pensiones en vez de como complementos, como en otros países del mundo.</t>
        </is>
      </c>
      <c r="H477" s="62" t="inlineStr">
        <is>
          <t>Primero, apoya a las personas mayores sin pensión a través de un mecanismo solidario que supera con creces el programa Adulto Mayor.</t>
        </is>
      </c>
      <c r="I477" s="62" t="n"/>
      <c r="J477" s="38" t="n"/>
      <c r="K477" s="62" t="n"/>
      <c r="L477" s="38" t="n"/>
      <c r="M477" s="62" t="n"/>
      <c r="N477" s="38" t="n"/>
      <c r="O477" s="62" t="n"/>
      <c r="P477" s="38" t="n"/>
      <c r="Q477" s="62" t="n"/>
      <c r="R477" s="38" t="n"/>
      <c r="S477" s="62" t="n"/>
      <c r="T477" s="38" t="n"/>
      <c r="U477" s="62" t="n"/>
      <c r="V477" s="38" t="n"/>
      <c r="W477" s="62" t="n"/>
      <c r="X477" s="38" t="n"/>
      <c r="Y477" s="62" t="n"/>
      <c r="Z477" s="38" t="n"/>
      <c r="AA477" s="62" t="n"/>
      <c r="AB477" s="38" t="n"/>
      <c r="AC477" s="62" t="n"/>
      <c r="AD477" s="38" t="n"/>
      <c r="AE477" s="38" t="n"/>
      <c r="AF477" s="61">
        <f>IF(COUNTIF($B$5:B477,B477)=1,1,0)</f>
        <v/>
      </c>
      <c r="AG477" s="62" t="inlineStr">
        <is>
          <t>https://www.eltiempo.com/opinion/columnistas/jose-antonio-ocampo/columna-de-jose-antonio-ocampo-la-reforma-pensional-778686</t>
        </is>
      </c>
    </row>
    <row r="478" ht="15" customHeight="1" s="31">
      <c r="A478" s="38" t="inlineStr">
        <is>
          <t>https://www.eltiempo.com/opinion/columnistas/inseguridad-y-gobernanza-criminal-3552659</t>
        </is>
      </c>
      <c r="B478" s="38" t="inlineStr">
        <is>
          <t>https://www.eltiempo.com/opinion/columnistas/inseguridad-y-gobernanza-criminal-3552659_S01</t>
        </is>
      </c>
      <c r="C478" s="38" t="inlineStr">
        <is>
          <t>El Tiempo</t>
        </is>
      </c>
      <c r="D478" s="38" t="inlineStr">
        <is>
          <t>Seguridad y orden público</t>
        </is>
      </c>
      <c r="E478" s="38" t="inlineStr">
        <is>
          <t>Opinión-análisis</t>
        </is>
      </c>
      <c r="F478" s="38" t="inlineStr">
        <is>
          <t>2026-05-02T23:45:00-05:00</t>
        </is>
      </c>
      <c r="G478" s="62" t="inlineStr">
        <is>
          <t>Las 37 acciones terroristas del pasado fin de semana ejecutadas por las disidencias de alias Mordisco, el accionar criminal de alias Calarcá, la consolidación del Eln en varias regiones y en especial en el Catatumbo, la expansión nacional del ‘clan del Golfo’, el crecimiento de ‘los Pachenca’ en Magdalena, Cesar y La Guajira, al igual que ‘los Costeños’ y ‘los Pepes’ en Barranquilla y Atlántico y ‘los Chotas’ y ‘los Espartanos’ en Buenaventura y el Valle y el accionar de otros grupos criminales organizados en ciudades y municipios no solo ponen en evidencia el fracaso de la Paz Total, sino la dramática situación de orden público y de seguridad ciudadana que va a tener que asumir el nuevo gobierno.</t>
        </is>
      </c>
      <c r="H478" s="62" t="n"/>
      <c r="I478" s="62" t="inlineStr">
        <is>
          <t>La situación actual es más difícil que la que tuvo que enfrentar el presidente Álvaro Uribe en 2002, cuando recibió un país secuestrado por las ‘pescas milagrosas’, con acciones crecientes de paramilitares y guerrillas y con una violencia homicida que había vuelto a crecer de 23.093 en 1997 a 27.829 en 2002.</t>
        </is>
      </c>
      <c r="J478" s="38" t="n"/>
      <c r="K478" s="62" t="n"/>
      <c r="L478" s="38" t="n"/>
      <c r="M478" s="62" t="n"/>
      <c r="N478" s="38" t="n"/>
      <c r="O478" s="62" t="n"/>
      <c r="P478" s="38" t="n"/>
      <c r="Q478" s="62" t="n"/>
      <c r="R478" s="38" t="n"/>
      <c r="S478" s="62" t="n"/>
      <c r="T478" s="38" t="n"/>
      <c r="U478" s="62" t="n"/>
      <c r="V478" s="38" t="n"/>
      <c r="W478" s="62" t="n"/>
      <c r="X478" s="38" t="n"/>
      <c r="Y478" s="62" t="n"/>
      <c r="Z478" s="38" t="n"/>
      <c r="AA478" s="62" t="n"/>
      <c r="AB478" s="38" t="n"/>
      <c r="AC478" s="62" t="n"/>
      <c r="AD478" s="38" t="n"/>
      <c r="AE478" s="38" t="n"/>
      <c r="AF478" s="61">
        <f>IF(COUNTIF($B$5:B478,B478)=1,1,0)</f>
        <v/>
      </c>
      <c r="AG478" s="62" t="inlineStr">
        <is>
          <t>https://www.eltiempo.com/opinion/columnistas/inseguridad-y-gobernanza-criminal-3552659</t>
        </is>
      </c>
    </row>
    <row r="479" ht="15" customHeight="1" s="31">
      <c r="A479" s="38" t="inlineStr">
        <is>
          <t>https://www.eltiempo.com/opinion/columnistas/inseguridad-y-gobernanza-criminal-3552659</t>
        </is>
      </c>
      <c r="B479" s="38" t="inlineStr">
        <is>
          <t>https://www.eltiempo.com/opinion/columnistas/inseguridad-y-gobernanza-criminal-3552659_S02</t>
        </is>
      </c>
      <c r="C479" s="38" t="inlineStr">
        <is>
          <t>El Tiempo</t>
        </is>
      </c>
      <c r="D479" s="38" t="inlineStr">
        <is>
          <t>Seguridad y orden público</t>
        </is>
      </c>
      <c r="E479" s="38" t="inlineStr">
        <is>
          <t>Opinión-análisis</t>
        </is>
      </c>
      <c r="F479" s="38" t="inlineStr">
        <is>
          <t>2026-05-02T23:45:00-05:00</t>
        </is>
      </c>
      <c r="G479" s="62" t="inlineStr">
        <is>
          <t>La situación actual es más difícil que la que tuvo que enfrentar el presidente Álvaro Uribe en 2002, cuando recibió un país secuestrado por las ‘pescas milagrosas’, con acciones crecientes de paramilitares y guerrillas y con una violencia homicida que había vuelto a crecer de 23.093 en 1997 a 27.829 en 2002.</t>
        </is>
      </c>
      <c r="H479" s="62" t="inlineStr">
        <is>
          <t>Las 37 acciones terroristas del pasado fin de semana ejecutadas por las disidencias de alias Mordisco, el accionar criminal de alias Calarcá, la consolidación del Eln en varias regiones y en especial en el Catatumbo, la expansión nacional del ‘clan del Golfo’, el crecimiento de ‘los Pachenca’ en Magdalena, Cesar y La Guajira, al igual que ‘los Costeños’ y ‘los Pepes’ en Barranquilla y Atlántico y ‘los Chotas’ y ‘los Espartanos’ en Buenaventura y el Valle y el accionar de otros grupos criminales organizados en ciudades y municipios no solo ponen en evidencia el fracaso de la Paz Total, sino la dramática situación de orden público y de seguridad ciudadana que va a tener que asumir el nuevo gobierno.</t>
        </is>
      </c>
      <c r="I479" s="62" t="inlineStr">
        <is>
          <t>Pero también recibió una Fuerza Pública fortalecida que venía a la ofensiva en contra de las Farc, después del fracaso de la paz del Caguán, con recursos del Plan Colombia y con un país que lo apoyó en la tarea de recuperar la seguridad.</t>
        </is>
      </c>
      <c r="J479" s="38" t="n"/>
      <c r="K479" s="62" t="n"/>
      <c r="L479" s="38" t="n"/>
      <c r="M479" s="62" t="n"/>
      <c r="N479" s="38" t="n"/>
      <c r="O479" s="62" t="n"/>
      <c r="P479" s="38" t="n"/>
      <c r="Q479" s="62" t="n"/>
      <c r="R479" s="38" t="n"/>
      <c r="S479" s="62" t="n"/>
      <c r="T479" s="38" t="n"/>
      <c r="U479" s="62" t="n"/>
      <c r="V479" s="38" t="n"/>
      <c r="W479" s="62" t="n"/>
      <c r="X479" s="38" t="n"/>
      <c r="Y479" s="62" t="n"/>
      <c r="Z479" s="38" t="n"/>
      <c r="AA479" s="62" t="n"/>
      <c r="AB479" s="38" t="n"/>
      <c r="AC479" s="62" t="n"/>
      <c r="AD479" s="38" t="n"/>
      <c r="AE479" s="38" t="n"/>
      <c r="AF479" s="61">
        <f>IF(COUNTIF($B$5:B479,B479)=1,1,0)</f>
        <v/>
      </c>
      <c r="AG479" s="62" t="inlineStr">
        <is>
          <t>https://www.eltiempo.com/opinion/columnistas/inseguridad-y-gobernanza-criminal-3552659</t>
        </is>
      </c>
    </row>
    <row r="480" ht="15" customHeight="1" s="31">
      <c r="A480" s="38" t="inlineStr">
        <is>
          <t>https://www.eltiempo.com/opinion/columnistas/inseguridad-y-gobernanza-criminal-3552659</t>
        </is>
      </c>
      <c r="B480" s="38" t="inlineStr">
        <is>
          <t>https://www.eltiempo.com/opinion/columnistas/inseguridad-y-gobernanza-criminal-3552659_S03</t>
        </is>
      </c>
      <c r="C480" s="38" t="inlineStr">
        <is>
          <t>El Tiempo</t>
        </is>
      </c>
      <c r="D480" s="38" t="inlineStr">
        <is>
          <t>Seguridad y orden público</t>
        </is>
      </c>
      <c r="E480" s="38" t="inlineStr">
        <is>
          <t>Opinión-análisis</t>
        </is>
      </c>
      <c r="F480" s="38" t="inlineStr">
        <is>
          <t>2026-05-02T23:45:00-05:00</t>
        </is>
      </c>
      <c r="G480" s="62" t="inlineStr">
        <is>
          <t>Pero también recibió una Fuerza Pública fortalecida que venía a la ofensiva en contra de las Farc, después del fracaso de la paz del Caguán, con recursos del Plan Colombia y con un país que lo apoyó en la tarea de recuperar la seguridad.</t>
        </is>
      </c>
      <c r="H480" s="62" t="inlineStr">
        <is>
          <t>La situación actual es más difícil que la que tuvo que enfrentar el presidente Álvaro Uribe en 2002, cuando recibió un país secuestrado por las ‘pescas milagrosas’, con acciones crecientes de paramilitares y guerrillas y con una violencia homicida que había vuelto a crecer de 23.093 en 1997 a 27.829 en 2002.</t>
        </is>
      </c>
      <c r="I480" s="62" t="inlineStr">
        <is>
          <t>Al contrario de esto, el nuevo gobierno va a encontrar una Fuerza Pública debilitada en su operatividad técnica y humana por “el descabezamiento” de generales y almirantes, coroneles y oficiales experimentados, por el debilitamiento e instrumentalización política de la inteligencia, no se cuenta con el Plan Colombia, ni va a haber otro plan II, no hay recursos, no existe trabajo en equipo entre el Presidente, las instituciones de seguridad, justicia, los gobernadores y alcaldes y en general, el país está dividido entre los que quieren continuar con la Paz Total y los que pretenden regresar a la guerra total.</t>
        </is>
      </c>
      <c r="J480" s="38" t="n"/>
      <c r="K480" s="62" t="n"/>
      <c r="L480" s="38" t="n"/>
      <c r="M480" s="62" t="n"/>
      <c r="N480" s="38" t="n"/>
      <c r="O480" s="62" t="n"/>
      <c r="P480" s="38" t="n"/>
      <c r="Q480" s="62" t="n"/>
      <c r="R480" s="38" t="n"/>
      <c r="S480" s="62" t="n"/>
      <c r="T480" s="38" t="n"/>
      <c r="U480" s="62" t="n"/>
      <c r="V480" s="38" t="n"/>
      <c r="W480" s="62" t="n"/>
      <c r="X480" s="38" t="n"/>
      <c r="Y480" s="62" t="n"/>
      <c r="Z480" s="38" t="n"/>
      <c r="AA480" s="62" t="n"/>
      <c r="AB480" s="38" t="n"/>
      <c r="AC480" s="62" t="n"/>
      <c r="AD480" s="38" t="n"/>
      <c r="AE480" s="38" t="n"/>
      <c r="AF480" s="61">
        <f>IF(COUNTIF($B$5:B480,B480)=1,1,0)</f>
        <v/>
      </c>
      <c r="AG480" s="62" t="inlineStr">
        <is>
          <t>https://www.eltiempo.com/opinion/columnistas/inseguridad-y-gobernanza-criminal-3552659</t>
        </is>
      </c>
    </row>
    <row r="481" ht="15" customHeight="1" s="31">
      <c r="A481" s="38" t="inlineStr">
        <is>
          <t>https://www.eltiempo.com/opinion/columnistas/inseguridad-y-gobernanza-criminal-3552659</t>
        </is>
      </c>
      <c r="B481" s="38" t="inlineStr">
        <is>
          <t>https://www.eltiempo.com/opinion/columnistas/inseguridad-y-gobernanza-criminal-3552659_S04</t>
        </is>
      </c>
      <c r="C481" s="38" t="inlineStr">
        <is>
          <t>El Tiempo</t>
        </is>
      </c>
      <c r="D481" s="38" t="inlineStr">
        <is>
          <t>Seguridad y orden público</t>
        </is>
      </c>
      <c r="E481" s="38" t="inlineStr">
        <is>
          <t>Opinión-análisis</t>
        </is>
      </c>
      <c r="F481" s="38" t="inlineStr">
        <is>
          <t>2026-05-02T23:45:00-05:00</t>
        </is>
      </c>
      <c r="G481" s="62" t="inlineStr">
        <is>
          <t>Al contrario de esto, el nuevo gobierno va a encontrar una Fuerza Pública debilitada en su operatividad técnica y humana por “el descabezamiento” de generales y almirantes, coroneles y oficiales experimentados, por el debilitamiento e instrumentalización política de la inteligencia, no se cuenta con el Plan Colombia, ni va a haber otro plan II, no hay recursos, no existe trabajo en equipo entre el Presidente, las instituciones de seguridad, justicia, los gobernadores y alcaldes y en general, el país está dividido entre los que quieren continuar con la Paz Total y los que pretenden regresar a la guerra total.</t>
        </is>
      </c>
      <c r="H481" s="62" t="inlineStr">
        <is>
          <t>Pero también recibió una Fuerza Pública fortalecida que venía a la ofensiva en contra de las Farc, después del fracaso de la paz del Caguán, con recursos del Plan Colombia y con un país que lo apoyó en la tarea de recuperar la seguridad.</t>
        </is>
      </c>
      <c r="I481" s="62" t="inlineStr">
        <is>
          <t>Hoy, los grupos armados ilegales no solo crecieron y se fortalecieron en los últimos 10 años, porque el Estado, en especial los últimos tres gobiernos, no coparon los territorios dejados por las Farc, sino que pasaron a controlar y gobernar municipios y territorios enteros.</t>
        </is>
      </c>
      <c r="J481" s="38" t="n"/>
      <c r="K481" s="62" t="n"/>
      <c r="L481" s="38" t="n"/>
      <c r="M481" s="62" t="n"/>
      <c r="N481" s="38" t="n"/>
      <c r="O481" s="62" t="n"/>
      <c r="P481" s="38" t="n"/>
      <c r="Q481" s="62" t="n"/>
      <c r="R481" s="38" t="n"/>
      <c r="S481" s="62" t="n"/>
      <c r="T481" s="38" t="n"/>
      <c r="U481" s="62" t="n"/>
      <c r="V481" s="38" t="n"/>
      <c r="W481" s="62" t="n"/>
      <c r="X481" s="38" t="n"/>
      <c r="Y481" s="62" t="n"/>
      <c r="Z481" s="38" t="n"/>
      <c r="AA481" s="62" t="n"/>
      <c r="AB481" s="38" t="n"/>
      <c r="AC481" s="62" t="n"/>
      <c r="AD481" s="38" t="n"/>
      <c r="AE481" s="38" t="n"/>
      <c r="AF481" s="61">
        <f>IF(COUNTIF($B$5:B481,B481)=1,1,0)</f>
        <v/>
      </c>
      <c r="AG481" s="62" t="inlineStr">
        <is>
          <t>https://www.eltiempo.com/opinion/columnistas/inseguridad-y-gobernanza-criminal-3552659</t>
        </is>
      </c>
    </row>
    <row r="482" ht="15" customHeight="1" s="31">
      <c r="A482" s="38" t="inlineStr">
        <is>
          <t>https://www.eltiempo.com/opinion/columnistas/inseguridad-y-gobernanza-criminal-3552659</t>
        </is>
      </c>
      <c r="B482" s="38" t="inlineStr">
        <is>
          <t>https://www.eltiempo.com/opinion/columnistas/inseguridad-y-gobernanza-criminal-3552659_S05</t>
        </is>
      </c>
      <c r="C482" s="38" t="inlineStr">
        <is>
          <t>El Tiempo</t>
        </is>
      </c>
      <c r="D482" s="38" t="inlineStr">
        <is>
          <t>Seguridad y orden público</t>
        </is>
      </c>
      <c r="E482" s="38" t="inlineStr">
        <is>
          <t>Opinión-análisis</t>
        </is>
      </c>
      <c r="F482" s="38" t="inlineStr">
        <is>
          <t>2026-05-02T23:45:00-05:00</t>
        </is>
      </c>
      <c r="G482" s="62" t="inlineStr">
        <is>
          <t>Hoy, los grupos armados ilegales no solo crecieron y se fortalecieron en los últimos 10 años, porque el Estado, en especial los últimos tres gobiernos, no coparon los territorios dejados por las Farc, sino que pasaron a controlar y gobernar municipios y territorios enteros.</t>
        </is>
      </c>
      <c r="H482" s="62" t="inlineStr">
        <is>
          <t>Al contrario de esto, el nuevo gobierno va a encontrar una Fuerza Pública debilitada en su operatividad técnica y humana por “el descabezamiento” de generales y almirantes, coroneles y oficiales experimentados, por el debilitamiento e instrumentalización política de la inteligencia, no se cuenta con el Plan Colombia, ni va a haber otro plan II, no hay recursos, no existe trabajo en equipo entre el Presidente, las instituciones de seguridad, justicia, los gobernadores y alcaldes y en general, el país está dividido entre los que quieren continuar con la Paz Total y los que pretenden regresar a la guerra total.</t>
        </is>
      </c>
      <c r="I482" s="62" t="inlineStr">
        <is>
          <t>Gobernanza criminal territorial y poblacional donde la autoridad y el control del Estado brillan por su ausencia, como bien lo plantea Luis Fernando Trejos en ‘La Silla Vacía’.</t>
        </is>
      </c>
      <c r="J482" s="38" t="n"/>
      <c r="K482" s="62" t="n"/>
      <c r="L482" s="38" t="n"/>
      <c r="M482" s="62" t="n"/>
      <c r="N482" s="38" t="n"/>
      <c r="O482" s="62" t="n"/>
      <c r="P482" s="38" t="n"/>
      <c r="Q482" s="62" t="n"/>
      <c r="R482" s="38" t="n"/>
      <c r="S482" s="62" t="n"/>
      <c r="T482" s="38" t="n"/>
      <c r="U482" s="62" t="n"/>
      <c r="V482" s="38" t="n"/>
      <c r="W482" s="62" t="n"/>
      <c r="X482" s="38" t="n"/>
      <c r="Y482" s="62" t="n"/>
      <c r="Z482" s="38" t="n"/>
      <c r="AA482" s="62" t="n"/>
      <c r="AB482" s="38" t="n"/>
      <c r="AC482" s="62" t="n"/>
      <c r="AD482" s="38" t="n"/>
      <c r="AE482" s="38" t="n"/>
      <c r="AF482" s="61">
        <f>IF(COUNTIF($B$5:B482,B482)=1,1,0)</f>
        <v/>
      </c>
      <c r="AG482" s="62" t="inlineStr">
        <is>
          <t>https://www.eltiempo.com/opinion/columnistas/inseguridad-y-gobernanza-criminal-3552659</t>
        </is>
      </c>
    </row>
    <row r="483" ht="15" customHeight="1" s="31">
      <c r="A483" s="38" t="inlineStr">
        <is>
          <t>https://www.eltiempo.com/opinion/columnistas/inseguridad-y-gobernanza-criminal-3552659</t>
        </is>
      </c>
      <c r="B483" s="38" t="inlineStr">
        <is>
          <t>https://www.eltiempo.com/opinion/columnistas/inseguridad-y-gobernanza-criminal-3552659_S06</t>
        </is>
      </c>
      <c r="C483" s="38" t="inlineStr">
        <is>
          <t>El Tiempo</t>
        </is>
      </c>
      <c r="D483" s="38" t="inlineStr">
        <is>
          <t>Seguridad y orden público</t>
        </is>
      </c>
      <c r="E483" s="38" t="inlineStr">
        <is>
          <t>Opinión-análisis</t>
        </is>
      </c>
      <c r="F483" s="38" t="inlineStr">
        <is>
          <t>2026-05-02T23:45:00-05:00</t>
        </is>
      </c>
      <c r="G483" s="62" t="inlineStr">
        <is>
          <t>Gobernanza criminal territorial y poblacional donde la autoridad y el control del Estado brillan por su ausencia, como bien lo plantea Luis Fernando Trejos en ‘La Silla Vacía’.</t>
        </is>
      </c>
      <c r="H483" s="62" t="inlineStr">
        <is>
          <t>Hoy, los grupos armados ilegales no solo crecieron y se fortalecieron en los últimos 10 años, porque el Estado, en especial los últimos tres gobiernos, no coparon los territorios dejados por las Farc, sino que pasaron a controlar y gobernar municipios y territorios enteros.</t>
        </is>
      </c>
      <c r="I483" s="62" t="n"/>
      <c r="J483" s="38" t="n"/>
      <c r="K483" s="62" t="n"/>
      <c r="L483" s="38" t="n"/>
      <c r="M483" s="62" t="n"/>
      <c r="N483" s="38" t="n"/>
      <c r="O483" s="62" t="n"/>
      <c r="P483" s="38" t="n"/>
      <c r="Q483" s="62" t="n"/>
      <c r="R483" s="38" t="n"/>
      <c r="S483" s="62" t="n"/>
      <c r="T483" s="38" t="n"/>
      <c r="U483" s="62" t="n"/>
      <c r="V483" s="38" t="n"/>
      <c r="W483" s="62" t="n"/>
      <c r="X483" s="38" t="n"/>
      <c r="Y483" s="62" t="n"/>
      <c r="Z483" s="38" t="n"/>
      <c r="AA483" s="62" t="n"/>
      <c r="AB483" s="38" t="n"/>
      <c r="AC483" s="62" t="n"/>
      <c r="AD483" s="38" t="n"/>
      <c r="AE483" s="38" t="n"/>
      <c r="AF483" s="61">
        <f>IF(COUNTIF($B$5:B483,B483)=1,1,0)</f>
        <v/>
      </c>
      <c r="AG483" s="62" t="inlineStr">
        <is>
          <t>https://www.eltiempo.com/opinion/columnistas/inseguridad-y-gobernanza-criminal-3552659</t>
        </is>
      </c>
    </row>
    <row r="484" ht="15" customHeight="1" s="31">
      <c r="A484" s="38" t="inlineStr">
        <is>
          <t>https://www.eltiempo.com/opinion/columnistas/una-batalla-sin-partidos-3556318</t>
        </is>
      </c>
      <c r="B484" s="38" t="inlineStr">
        <is>
          <t>https://www.eltiempo.com/opinion/columnistas/una-batalla-sin-partidos-3556318_S01</t>
        </is>
      </c>
      <c r="C484" s="38" t="inlineStr">
        <is>
          <t>El Tiempo</t>
        </is>
      </c>
      <c r="D484" s="38" t="inlineStr">
        <is>
          <t>Transición de gobierno y relación con la oposición</t>
        </is>
      </c>
      <c r="E484" s="38" t="inlineStr">
        <is>
          <t>Opinión-análisis</t>
        </is>
      </c>
      <c r="F484" s="38" t="inlineStr">
        <is>
          <t>2026-05-16T23:45:00-05:00</t>
        </is>
      </c>
      <c r="G484" s="62" t="inlineStr">
        <is>
          <t>Durante más de ocho meses de campaña política hemos visto un proselitismo ampliamente basado en las redes sociales, donde, por un lado, el gobierno de Gustavo Petro y sus bodegas interneteras han trabajado con vigor por su candidato, el comunista Iván Cepeda, y, por el otro, el aspirante ‘outsider’ Abelardo de la Espriella ha cabalgado sobre una poderosa y robusta red de decenas de miles de influenciadores, seguidores y replicadores de su mensaje en las redes sociales.</t>
        </is>
      </c>
      <c r="H484" s="62" t="n"/>
      <c r="I484" s="62" t="inlineStr">
        <is>
          <t>Si los demás candidatos han quedado rezagados, ha sido en buena medida porque fueron incapaces de usar, con intensidad y eficacia, esas tecnologías.</t>
        </is>
      </c>
      <c r="J484" s="38" t="n"/>
      <c r="K484" s="62" t="n"/>
      <c r="L484" s="38" t="n"/>
      <c r="M484" s="62" t="n"/>
      <c r="N484" s="38" t="n"/>
      <c r="O484" s="62" t="n"/>
      <c r="P484" s="38" t="n"/>
      <c r="Q484" s="62" t="n"/>
      <c r="R484" s="38" t="n"/>
      <c r="S484" s="62" t="n"/>
      <c r="T484" s="38" t="n"/>
      <c r="U484" s="62" t="n"/>
      <c r="V484" s="38" t="n"/>
      <c r="W484" s="62" t="n"/>
      <c r="X484" s="38" t="n"/>
      <c r="Y484" s="62" t="n"/>
      <c r="Z484" s="38" t="n"/>
      <c r="AA484" s="62" t="n"/>
      <c r="AB484" s="38" t="n"/>
      <c r="AC484" s="62" t="n"/>
      <c r="AD484" s="38" t="n"/>
      <c r="AE484" s="38" t="n"/>
      <c r="AF484" s="61">
        <f>IF(COUNTIF($B$5:B484,B484)=1,1,0)</f>
        <v/>
      </c>
      <c r="AG484" s="62" t="inlineStr">
        <is>
          <t>https://www.eltiempo.com/opinion/columnistas/una-batalla-sin-partidos-3556318</t>
        </is>
      </c>
    </row>
    <row r="485" ht="15" customHeight="1" s="31">
      <c r="A485" s="38" t="inlineStr">
        <is>
          <t>https://www.eltiempo.com/opinion/columnistas/una-batalla-sin-partidos-3556318</t>
        </is>
      </c>
      <c r="B485" s="38" t="inlineStr">
        <is>
          <t>https://www.eltiempo.com/opinion/columnistas/una-batalla-sin-partidos-3556318_S02</t>
        </is>
      </c>
      <c r="C485" s="38" t="inlineStr">
        <is>
          <t>El Tiempo</t>
        </is>
      </c>
      <c r="D485" s="38" t="inlineStr">
        <is>
          <t>Transición de gobierno y relación con la oposición</t>
        </is>
      </c>
      <c r="E485" s="38" t="inlineStr">
        <is>
          <t>Opinión-análisis</t>
        </is>
      </c>
      <c r="F485" s="38" t="inlineStr">
        <is>
          <t>2026-05-16T23:45:00-05:00</t>
        </is>
      </c>
      <c r="G485" s="62" t="inlineStr">
        <is>
          <t>Si los demás candidatos han quedado rezagados, ha sido en buena medida porque fueron incapaces de usar, con intensidad y eficacia, esas tecnologías.</t>
        </is>
      </c>
      <c r="H485" s="62" t="inlineStr">
        <is>
          <t>Durante más de ocho meses de campaña política hemos visto un proselitismo ampliamente basado en las redes sociales, donde, por un lado, el gobierno de Gustavo Petro y sus bodegas interneteras han trabajado con vigor por su candidato, el comunista Iván Cepeda, y, por el otro, el aspirante ‘outsider’ Abelardo de la Espriella ha cabalgado sobre una poderosa y robusta red de decenas de miles de influenciadores, seguidores y replicadores de su mensaje en las redes sociales.</t>
        </is>
      </c>
      <c r="I485" s="62" t="inlineStr">
        <is>
          <t>Las redes seguirán jugando un papel clave en esta recta final.</t>
        </is>
      </c>
      <c r="J485" s="38" t="n"/>
      <c r="K485" s="62" t="n"/>
      <c r="L485" s="38" t="n"/>
      <c r="M485" s="62" t="n"/>
      <c r="N485" s="38" t="n"/>
      <c r="O485" s="62" t="n"/>
      <c r="P485" s="38" t="n"/>
      <c r="Q485" s="62" t="n"/>
      <c r="R485" s="38" t="n"/>
      <c r="S485" s="62" t="n"/>
      <c r="T485" s="38" t="n"/>
      <c r="U485" s="62" t="n"/>
      <c r="V485" s="38" t="n"/>
      <c r="W485" s="62" t="n"/>
      <c r="X485" s="38" t="n"/>
      <c r="Y485" s="62" t="n"/>
      <c r="Z485" s="38" t="n"/>
      <c r="AA485" s="62" t="n"/>
      <c r="AB485" s="38" t="n"/>
      <c r="AC485" s="62" t="n"/>
      <c r="AD485" s="38" t="n"/>
      <c r="AE485" s="38" t="n"/>
      <c r="AF485" s="61">
        <f>IF(COUNTIF($B$5:B485,B485)=1,1,0)</f>
        <v/>
      </c>
      <c r="AG485" s="62" t="inlineStr">
        <is>
          <t>https://www.eltiempo.com/opinion/columnistas/una-batalla-sin-partidos-3556318</t>
        </is>
      </c>
    </row>
    <row r="486" ht="15" customHeight="1" s="31">
      <c r="A486" s="38" t="inlineStr">
        <is>
          <t>https://www.eltiempo.com/opinion/columnistas/una-batalla-sin-partidos-3556318</t>
        </is>
      </c>
      <c r="B486" s="38" t="inlineStr">
        <is>
          <t>https://www.eltiempo.com/opinion/columnistas/una-batalla-sin-partidos-3556318_S03</t>
        </is>
      </c>
      <c r="C486" s="38" t="inlineStr">
        <is>
          <t>El Tiempo</t>
        </is>
      </c>
      <c r="D486" s="38" t="inlineStr">
        <is>
          <t>Transición de gobierno y relación con la oposición</t>
        </is>
      </c>
      <c r="E486" s="38" t="inlineStr">
        <is>
          <t>Opinión-análisis</t>
        </is>
      </c>
      <c r="F486" s="38" t="inlineStr">
        <is>
          <t>2026-05-16T23:45:00-05:00</t>
        </is>
      </c>
      <c r="G486" s="62" t="inlineStr">
        <is>
          <t>Las redes seguirán jugando un papel clave en esta recta final.</t>
        </is>
      </c>
      <c r="H486" s="62" t="inlineStr">
        <is>
          <t>Si los demás candidatos han quedado rezagados, ha sido en buena medida porque fueron incapaces de usar, con intensidad y eficacia, esas tecnologías.</t>
        </is>
      </c>
      <c r="I486" s="62" t="inlineStr">
        <is>
          <t>Pero ahora, a dos semanas de la primera vuelta y cinco de la segunda, la batalla electoral ha aterrizado en la cruda realidad de las calles de ciudades, y de pueblos medianos y pequeños.</t>
        </is>
      </c>
      <c r="J486" s="38" t="n"/>
      <c r="K486" s="62" t="n"/>
      <c r="L486" s="38" t="n"/>
      <c r="M486" s="62" t="n"/>
      <c r="N486" s="38" t="n"/>
      <c r="O486" s="62" t="n"/>
      <c r="P486" s="38" t="n"/>
      <c r="Q486" s="62" t="n"/>
      <c r="R486" s="38" t="n"/>
      <c r="S486" s="62" t="n"/>
      <c r="T486" s="38" t="n"/>
      <c r="U486" s="62" t="n"/>
      <c r="V486" s="38" t="n"/>
      <c r="W486" s="62" t="n"/>
      <c r="X486" s="38" t="n"/>
      <c r="Y486" s="62" t="n"/>
      <c r="Z486" s="38" t="n"/>
      <c r="AA486" s="62" t="n"/>
      <c r="AB486" s="38" t="n"/>
      <c r="AC486" s="62" t="n"/>
      <c r="AD486" s="38" t="n"/>
      <c r="AE486" s="38" t="n"/>
      <c r="AF486" s="61">
        <f>IF(COUNTIF($B$5:B486,B486)=1,1,0)</f>
        <v/>
      </c>
      <c r="AG486" s="62" t="inlineStr">
        <is>
          <t>https://www.eltiempo.com/opinion/columnistas/una-batalla-sin-partidos-3556318</t>
        </is>
      </c>
    </row>
    <row r="487" ht="15" customHeight="1" s="31">
      <c r="A487" s="38" t="inlineStr">
        <is>
          <t>https://www.eltiempo.com/opinion/columnistas/una-batalla-sin-partidos-3556318</t>
        </is>
      </c>
      <c r="B487" s="38" t="inlineStr">
        <is>
          <t>https://www.eltiempo.com/opinion/columnistas/una-batalla-sin-partidos-3556318_S04</t>
        </is>
      </c>
      <c r="C487" s="38" t="inlineStr">
        <is>
          <t>El Tiempo</t>
        </is>
      </c>
      <c r="D487" s="38" t="inlineStr">
        <is>
          <t>Transición de gobierno y relación con la oposición</t>
        </is>
      </c>
      <c r="E487" s="38" t="inlineStr">
        <is>
          <t>Opinión-análisis</t>
        </is>
      </c>
      <c r="F487" s="38" t="inlineStr">
        <is>
          <t>2026-05-16T23:45:00-05:00</t>
        </is>
      </c>
      <c r="G487" s="62" t="inlineStr">
        <is>
          <t>Pero ahora, a dos semanas de la primera vuelta y cinco de la segunda, la batalla electoral ha aterrizado en la cruda realidad de las calles de ciudades, y de pueblos medianos y pequeños.</t>
        </is>
      </c>
      <c r="H487" s="62" t="inlineStr">
        <is>
          <t>Las redes seguirán jugando un papel clave en esta recta final.</t>
        </is>
      </c>
      <c r="I487" s="62" t="inlineStr">
        <is>
          <t>La chequera del régimen petrista ha regado cientos de municipios con miles y miles de millones de pesos en contratos de obras y servicios, así como en órdenes de trabajo individuales.</t>
        </is>
      </c>
      <c r="J487" s="38" t="n"/>
      <c r="K487" s="62" t="n"/>
      <c r="L487" s="38" t="n"/>
      <c r="M487" s="62" t="n"/>
      <c r="N487" s="38" t="n"/>
      <c r="O487" s="62" t="n"/>
      <c r="P487" s="38" t="n"/>
      <c r="Q487" s="62" t="n"/>
      <c r="R487" s="38" t="n"/>
      <c r="S487" s="62" t="n"/>
      <c r="T487" s="38" t="n"/>
      <c r="U487" s="62" t="n"/>
      <c r="V487" s="38" t="n"/>
      <c r="W487" s="62" t="n"/>
      <c r="X487" s="38" t="n"/>
      <c r="Y487" s="62" t="n"/>
      <c r="Z487" s="38" t="n"/>
      <c r="AA487" s="62" t="n"/>
      <c r="AB487" s="38" t="n"/>
      <c r="AC487" s="62" t="n"/>
      <c r="AD487" s="38" t="n"/>
      <c r="AE487" s="38" t="n"/>
      <c r="AF487" s="61">
        <f>IF(COUNTIF($B$5:B487,B487)=1,1,0)</f>
        <v/>
      </c>
      <c r="AG487" s="62" t="inlineStr">
        <is>
          <t>https://www.eltiempo.com/opinion/columnistas/una-batalla-sin-partidos-3556318</t>
        </is>
      </c>
    </row>
    <row r="488" ht="15" customHeight="1" s="31">
      <c r="A488" s="38" t="inlineStr">
        <is>
          <t>https://www.eltiempo.com/opinion/columnistas/una-batalla-sin-partidos-3556318</t>
        </is>
      </c>
      <c r="B488" s="38" t="inlineStr">
        <is>
          <t>https://www.eltiempo.com/opinion/columnistas/una-batalla-sin-partidos-3556318_S05</t>
        </is>
      </c>
      <c r="C488" s="38" t="inlineStr">
        <is>
          <t>El Tiempo</t>
        </is>
      </c>
      <c r="D488" s="38" t="inlineStr">
        <is>
          <t>Transición de gobierno y relación con la oposición</t>
        </is>
      </c>
      <c r="E488" s="38" t="inlineStr">
        <is>
          <t>Opinión-análisis</t>
        </is>
      </c>
      <c r="F488" s="38" t="inlineStr">
        <is>
          <t>2026-05-16T23:45:00-05:00</t>
        </is>
      </c>
      <c r="G488" s="62" t="inlineStr">
        <is>
          <t>La chequera del régimen petrista ha regado cientos de municipios con miles y miles de millones de pesos en contratos de obras y servicios, así como en órdenes de trabajo individuales.</t>
        </is>
      </c>
      <c r="H488" s="62" t="inlineStr">
        <is>
          <t>Pero ahora, a dos semanas de la primera vuelta y cinco de la segunda, la batalla electoral ha aterrizado en la cruda realidad de las calles de ciudades, y de pueblos medianos y pequeños.</t>
        </is>
      </c>
      <c r="I488" s="62" t="inlineStr">
        <is>
          <t>A ello se suma el apoyo de las bandas armadas que saben que con Cepeda seguirían gozando de la escandalosa impunidad que Petro les ha garantizado.</t>
        </is>
      </c>
      <c r="J488" s="38" t="n"/>
      <c r="K488" s="62" t="n"/>
      <c r="L488" s="38" t="n"/>
      <c r="M488" s="62" t="n"/>
      <c r="N488" s="38" t="n"/>
      <c r="O488" s="62" t="n"/>
      <c r="P488" s="38" t="n"/>
      <c r="Q488" s="62" t="n"/>
      <c r="R488" s="38" t="n"/>
      <c r="S488" s="62" t="n"/>
      <c r="T488" s="38" t="n"/>
      <c r="U488" s="62" t="n"/>
      <c r="V488" s="38" t="n"/>
      <c r="W488" s="62" t="n"/>
      <c r="X488" s="38" t="n"/>
      <c r="Y488" s="62" t="n"/>
      <c r="Z488" s="38" t="n"/>
      <c r="AA488" s="62" t="n"/>
      <c r="AB488" s="38" t="n"/>
      <c r="AC488" s="62" t="n"/>
      <c r="AD488" s="38" t="n"/>
      <c r="AE488" s="38" t="n"/>
      <c r="AF488" s="61">
        <f>IF(COUNTIF($B$5:B488,B488)=1,1,0)</f>
        <v/>
      </c>
      <c r="AG488" s="62" t="inlineStr">
        <is>
          <t>https://www.eltiempo.com/opinion/columnistas/una-batalla-sin-partidos-3556318</t>
        </is>
      </c>
    </row>
    <row r="489" ht="15" customHeight="1" s="31">
      <c r="A489" s="38" t="inlineStr">
        <is>
          <t>https://www.eltiempo.com/opinion/columnistas/una-batalla-sin-partidos-3556318</t>
        </is>
      </c>
      <c r="B489" s="38" t="inlineStr">
        <is>
          <t>https://www.eltiempo.com/opinion/columnistas/una-batalla-sin-partidos-3556318_S06</t>
        </is>
      </c>
      <c r="C489" s="38" t="inlineStr">
        <is>
          <t>El Tiempo</t>
        </is>
      </c>
      <c r="D489" s="38" t="inlineStr">
        <is>
          <t>Transición de gobierno y relación con la oposición</t>
        </is>
      </c>
      <c r="E489" s="38" t="inlineStr">
        <is>
          <t>Opinión-análisis</t>
        </is>
      </c>
      <c r="F489" s="38" t="inlineStr">
        <is>
          <t>2026-05-16T23:45:00-05:00</t>
        </is>
      </c>
      <c r="G489" s="62" t="inlineStr">
        <is>
          <t>A ello se suma el apoyo de las bandas armadas que saben que con Cepeda seguirían gozando de la escandalosa impunidad que Petro les ha garantizado.</t>
        </is>
      </c>
      <c r="H489" s="62" t="inlineStr">
        <is>
          <t>La chequera del régimen petrista ha regado cientos de municipios con miles y miles de millones de pesos en contratos de obras y servicios, así como en órdenes de trabajo individuales.</t>
        </is>
      </c>
      <c r="I489" s="62" t="n"/>
      <c r="J489" s="38" t="n"/>
      <c r="K489" s="62" t="n"/>
      <c r="L489" s="38" t="n"/>
      <c r="M489" s="62" t="n"/>
      <c r="N489" s="38" t="n"/>
      <c r="O489" s="62" t="n"/>
      <c r="P489" s="38" t="n"/>
      <c r="Q489" s="62" t="n"/>
      <c r="R489" s="38" t="n"/>
      <c r="S489" s="62" t="n"/>
      <c r="T489" s="38" t="n"/>
      <c r="U489" s="62" t="n"/>
      <c r="V489" s="38" t="n"/>
      <c r="W489" s="62" t="n"/>
      <c r="X489" s="38" t="n"/>
      <c r="Y489" s="62" t="n"/>
      <c r="Z489" s="38" t="n"/>
      <c r="AA489" s="62" t="n"/>
      <c r="AB489" s="38" t="n"/>
      <c r="AC489" s="62" t="n"/>
      <c r="AD489" s="38" t="n"/>
      <c r="AE489" s="38" t="n"/>
      <c r="AF489" s="61">
        <f>IF(COUNTIF($B$5:B489,B489)=1,1,0)</f>
        <v/>
      </c>
      <c r="AG489" s="62" t="inlineStr">
        <is>
          <t>https://www.eltiempo.com/opinion/columnistas/una-batalla-sin-partidos-3556318</t>
        </is>
      </c>
    </row>
    <row r="490" ht="15" customHeight="1" s="31">
      <c r="A490" s="38" t="inlineStr">
        <is>
          <t>https://www.elespectador.com/economia/macroeconomia/pensiones-en-colombia-2026-la-historia-del-enredo-entre-la-reforma-la-corte-constitucional-y-los-fondos-privados/</t>
        </is>
      </c>
      <c r="B490" s="38" t="inlineStr">
        <is>
          <t>https://www.elespectador.com/economia/macroeconomia/pensiones-en-colombia-2026-la-historia-del-enredo-entre-la-reforma-la-corte-constitucional-y-los-fondos-privados/_S01</t>
        </is>
      </c>
      <c r="C490" s="38" t="inlineStr">
        <is>
          <t>El Espectador</t>
        </is>
      </c>
      <c r="D490" s="38" t="inlineStr">
        <is>
          <t>Reformas sociales en disputa (pensional/tributaria)</t>
        </is>
      </c>
      <c r="E490" s="38" t="inlineStr">
        <is>
          <t>Noticia dura</t>
        </is>
      </c>
      <c r="F490" s="38" t="inlineStr">
        <is>
          <t>2026-05-12T19:11:23-05:00</t>
        </is>
      </c>
      <c r="G490" s="62" t="inlineStr">
        <is>
          <t>Las pensiones son, por lo general, un tema que, aunque vital, no suele generar muchos titulares en la vida nacional.</t>
        </is>
      </c>
      <c r="H490" s="62" t="n"/>
      <c r="I490" s="62" t="inlineStr">
        <is>
          <t>Suceden en un rimo casi que automático: manejan billones de pesos que involucran el bienestar de millones de personas, pero nadie parece reparar mucho en ellas.</t>
        </is>
      </c>
      <c r="J490" s="38" t="n"/>
      <c r="K490" s="62" t="n"/>
      <c r="L490" s="38" t="n"/>
      <c r="M490" s="62" t="n"/>
      <c r="N490" s="38" t="n"/>
      <c r="O490" s="62" t="n"/>
      <c r="P490" s="38" t="n"/>
      <c r="Q490" s="62" t="n"/>
      <c r="R490" s="38" t="n"/>
      <c r="S490" s="62" t="n"/>
      <c r="T490" s="38" t="n"/>
      <c r="U490" s="62" t="n"/>
      <c r="V490" s="38" t="n"/>
      <c r="W490" s="62" t="n"/>
      <c r="X490" s="38" t="n"/>
      <c r="Y490" s="62" t="n"/>
      <c r="Z490" s="38" t="n"/>
      <c r="AA490" s="62" t="n"/>
      <c r="AB490" s="38" t="n"/>
      <c r="AC490" s="62" t="n"/>
      <c r="AD490" s="38" t="n"/>
      <c r="AE490" s="38" t="n"/>
      <c r="AF490" s="61">
        <f>IF(COUNTIF($B$5:B490,B490)=1,1,0)</f>
        <v/>
      </c>
      <c r="AG490" s="62" t="inlineStr">
        <is>
          <t>https://www.elespectador.com/economia/macroeconomia/pensiones-en-colombia-2026-la-historia-del-enredo-entre-la-reforma-la-corte-constitucional-y-los-fondos-privados/</t>
        </is>
      </c>
    </row>
    <row r="491" ht="15" customHeight="1" s="31">
      <c r="A491" s="38" t="inlineStr">
        <is>
          <t>https://www.elespectador.com/economia/macroeconomia/pensiones-en-colombia-2026-la-historia-del-enredo-entre-la-reforma-la-corte-constitucional-y-los-fondos-privados/</t>
        </is>
      </c>
      <c r="B491" s="38" t="inlineStr">
        <is>
          <t>https://www.elespectador.com/economia/macroeconomia/pensiones-en-colombia-2026-la-historia-del-enredo-entre-la-reforma-la-corte-constitucional-y-los-fondos-privados/_S02</t>
        </is>
      </c>
      <c r="C491" s="38" t="inlineStr">
        <is>
          <t>El Espectador</t>
        </is>
      </c>
      <c r="D491" s="38" t="inlineStr">
        <is>
          <t>Reformas sociales en disputa (pensional/tributaria)</t>
        </is>
      </c>
      <c r="E491" s="38" t="inlineStr">
        <is>
          <t>Noticia dura</t>
        </is>
      </c>
      <c r="F491" s="38" t="inlineStr">
        <is>
          <t>2026-05-12T19:11:23-05:00</t>
        </is>
      </c>
      <c r="G491" s="62" t="inlineStr">
        <is>
          <t>Suceden en un rimo casi que automático: manejan billones de pesos que involucran el bienestar de millones de personas, pero nadie parece reparar mucho en ellas.</t>
        </is>
      </c>
      <c r="H491" s="62" t="inlineStr">
        <is>
          <t>Las pensiones son, por lo general, un tema que, aunque vital, no suele generar muchos titulares en la vida nacional.</t>
        </is>
      </c>
      <c r="I491" s="62" t="inlineStr">
        <is>
          <t>Pero desde hace unas semanas, la palabra pensiones hace que más de un funcionario público salte de su asiento, con una mezcla entre alarma, indignación y hasta algo de pelea de colegio, a juzgar por las recientes reacciones del Gobierno frente a dos medidas del Consejo de Estado, que suspendieron los efectos de un decreto que buscaba que los fondos privados le transfirieran unos COP 25 billones en ahorro pensional a Colpensiones.</t>
        </is>
      </c>
      <c r="J491" s="38" t="n"/>
      <c r="K491" s="62" t="n"/>
      <c r="L491" s="38" t="n"/>
      <c r="M491" s="62" t="n"/>
      <c r="N491" s="38" t="n"/>
      <c r="O491" s="62" t="n"/>
      <c r="P491" s="38" t="n"/>
      <c r="Q491" s="62" t="n"/>
      <c r="R491" s="38" t="n"/>
      <c r="S491" s="62" t="n"/>
      <c r="T491" s="38" t="n"/>
      <c r="U491" s="62" t="n"/>
      <c r="V491" s="38" t="n"/>
      <c r="W491" s="62" t="n"/>
      <c r="X491" s="38" t="n"/>
      <c r="Y491" s="62" t="n"/>
      <c r="Z491" s="38" t="n"/>
      <c r="AA491" s="62" t="n"/>
      <c r="AB491" s="38" t="n"/>
      <c r="AC491" s="62" t="n"/>
      <c r="AD491" s="38" t="n"/>
      <c r="AE491" s="38" t="n"/>
      <c r="AF491" s="61">
        <f>IF(COUNTIF($B$5:B491,B491)=1,1,0)</f>
        <v/>
      </c>
      <c r="AG491" s="62" t="inlineStr">
        <is>
          <t>https://www.elespectador.com/economia/macroeconomia/pensiones-en-colombia-2026-la-historia-del-enredo-entre-la-reforma-la-corte-constitucional-y-los-fondos-privados/</t>
        </is>
      </c>
    </row>
    <row r="492" ht="15" customHeight="1" s="31">
      <c r="A492" s="38" t="inlineStr">
        <is>
          <t>https://www.elespectador.com/economia/macroeconomia/pensiones-en-colombia-2026-la-historia-del-enredo-entre-la-reforma-la-corte-constitucional-y-los-fondos-privados/</t>
        </is>
      </c>
      <c r="B492" s="38" t="inlineStr">
        <is>
          <t>https://www.elespectador.com/economia/macroeconomia/pensiones-en-colombia-2026-la-historia-del-enredo-entre-la-reforma-la-corte-constitucional-y-los-fondos-privados/_S03</t>
        </is>
      </c>
      <c r="C492" s="38" t="inlineStr">
        <is>
          <t>El Espectador</t>
        </is>
      </c>
      <c r="D492" s="38" t="inlineStr">
        <is>
          <t>Reformas sociales en disputa (pensional/tributaria)</t>
        </is>
      </c>
      <c r="E492" s="38" t="inlineStr">
        <is>
          <t>Noticia dura</t>
        </is>
      </c>
      <c r="F492" s="38" t="inlineStr">
        <is>
          <t>2026-05-12T19:11:23-05:00</t>
        </is>
      </c>
      <c r="G492" s="62" t="inlineStr">
        <is>
          <t>Pero desde hace unas semanas, la palabra pensiones hace que más de un funcionario público salte de su asiento, con una mezcla entre alarma, indignación y hasta algo de pelea de colegio, a juzgar por las recientes reacciones del Gobierno frente a dos medidas del Consejo de Estado, que suspendieron los efectos de un decreto que buscaba que los fondos privados le transfirieran unos COP 25 billones en ahorro pensional a Colpensiones.</t>
        </is>
      </c>
      <c r="H492" s="62" t="inlineStr">
        <is>
          <t>Suceden en un rimo casi que automático: manejan billones de pesos que involucran el bienestar de millones de personas, pero nadie parece reparar mucho en ellas.</t>
        </is>
      </c>
      <c r="I492" s="62" t="inlineStr">
        <is>
          <t>Esto, en voz de expertos y analistas, en directa contravía con lo dispuestos en uno de los dos artículos de la reforma pensional que siguen activos mientras el resto de la iniciativa sigue bajo la lupa de la Corte Constitucional.</t>
        </is>
      </c>
      <c r="J492" s="38" t="n"/>
      <c r="K492" s="62" t="n"/>
      <c r="L492" s="38" t="n"/>
      <c r="M492" s="62" t="n"/>
      <c r="N492" s="38" t="n"/>
      <c r="O492" s="62" t="n"/>
      <c r="P492" s="38" t="n"/>
      <c r="Q492" s="62" t="n"/>
      <c r="R492" s="38" t="n"/>
      <c r="S492" s="62" t="n"/>
      <c r="T492" s="38" t="n"/>
      <c r="U492" s="62" t="n"/>
      <c r="V492" s="38" t="n"/>
      <c r="W492" s="62" t="n"/>
      <c r="X492" s="38" t="n"/>
      <c r="Y492" s="62" t="n"/>
      <c r="Z492" s="38" t="n"/>
      <c r="AA492" s="62" t="n"/>
      <c r="AB492" s="38" t="n"/>
      <c r="AC492" s="62" t="n"/>
      <c r="AD492" s="38" t="n"/>
      <c r="AE492" s="38" t="n"/>
      <c r="AF492" s="61">
        <f>IF(COUNTIF($B$5:B492,B492)=1,1,0)</f>
        <v/>
      </c>
      <c r="AG492" s="62" t="inlineStr">
        <is>
          <t>https://www.elespectador.com/economia/macroeconomia/pensiones-en-colombia-2026-la-historia-del-enredo-entre-la-reforma-la-corte-constitucional-y-los-fondos-privados/</t>
        </is>
      </c>
    </row>
    <row r="493" ht="15" customHeight="1" s="31">
      <c r="A493" s="38" t="inlineStr">
        <is>
          <t>https://www.elespectador.com/economia/macroeconomia/pensiones-en-colombia-2026-la-historia-del-enredo-entre-la-reforma-la-corte-constitucional-y-los-fondos-privados/</t>
        </is>
      </c>
      <c r="B493" s="38" t="inlineStr">
        <is>
          <t>https://www.elespectador.com/economia/macroeconomia/pensiones-en-colombia-2026-la-historia-del-enredo-entre-la-reforma-la-corte-constitucional-y-los-fondos-privados/_S04</t>
        </is>
      </c>
      <c r="C493" s="38" t="inlineStr">
        <is>
          <t>El Espectador</t>
        </is>
      </c>
      <c r="D493" s="38" t="inlineStr">
        <is>
          <t>Reformas sociales en disputa (pensional/tributaria)</t>
        </is>
      </c>
      <c r="E493" s="38" t="inlineStr">
        <is>
          <t>Noticia dura</t>
        </is>
      </c>
      <c r="F493" s="38" t="inlineStr">
        <is>
          <t>2026-05-12T19:11:23-05:00</t>
        </is>
      </c>
      <c r="G493" s="62" t="inlineStr">
        <is>
          <t>Esto, en voz de expertos y analistas, en directa contravía con lo dispuestos en uno de los dos artículos de la reforma pensional que siguen activos mientras el resto de la iniciativa sigue bajo la lupa de la Corte Constitucional.</t>
        </is>
      </c>
      <c r="H493" s="62" t="inlineStr">
        <is>
          <t>Pero desde hace unas semanas, la palabra pensiones hace que más de un funcionario público salte de su asiento, con una mezcla entre alarma, indignación y hasta algo de pelea de colegio, a juzgar por las recientes reacciones del Gobierno frente a dos medidas del Consejo de Estado, que suspendieron los efectos de un decreto que buscaba que los fondos privados le transfirieran unos COP 25 billones en ahorro pensional a Colpensiones.</t>
        </is>
      </c>
      <c r="I493" s="62" t="inlineStr">
        <is>
          <t>Para este punto de la historia, la discusión puede marear un poco, entre el cruce de declaraciones que este martes ya incluía a la Corte Suprema y a varios ministerios, además del presidente Petro, siempre activo con las descalificaciones a través de su cuenta de X.</t>
        </is>
      </c>
      <c r="J493" s="38" t="n"/>
      <c r="K493" s="62" t="n"/>
      <c r="L493" s="38" t="n"/>
      <c r="M493" s="62" t="n"/>
      <c r="N493" s="38" t="n"/>
      <c r="O493" s="62" t="n"/>
      <c r="P493" s="38" t="n"/>
      <c r="Q493" s="62" t="n"/>
      <c r="R493" s="38" t="n"/>
      <c r="S493" s="62" t="n"/>
      <c r="T493" s="38" t="n"/>
      <c r="U493" s="62" t="n"/>
      <c r="V493" s="38" t="n"/>
      <c r="W493" s="62" t="n"/>
      <c r="X493" s="38" t="n"/>
      <c r="Y493" s="62" t="n"/>
      <c r="Z493" s="38" t="n"/>
      <c r="AA493" s="62" t="n"/>
      <c r="AB493" s="38" t="n"/>
      <c r="AC493" s="62" t="n"/>
      <c r="AD493" s="38" t="n"/>
      <c r="AE493" s="38" t="n"/>
      <c r="AF493" s="61">
        <f>IF(COUNTIF($B$5:B493,B493)=1,1,0)</f>
        <v/>
      </c>
      <c r="AG493" s="62" t="inlineStr">
        <is>
          <t>https://www.elespectador.com/economia/macroeconomia/pensiones-en-colombia-2026-la-historia-del-enredo-entre-la-reforma-la-corte-constitucional-y-los-fondos-privados/</t>
        </is>
      </c>
    </row>
    <row r="494" ht="15" customHeight="1" s="31">
      <c r="A494" s="38" t="inlineStr">
        <is>
          <t>https://www.elespectador.com/economia/macroeconomia/pensiones-en-colombia-2026-la-historia-del-enredo-entre-la-reforma-la-corte-constitucional-y-los-fondos-privados/</t>
        </is>
      </c>
      <c r="B494" s="38" t="inlineStr">
        <is>
          <t>https://www.elespectador.com/economia/macroeconomia/pensiones-en-colombia-2026-la-historia-del-enredo-entre-la-reforma-la-corte-constitucional-y-los-fondos-privados/_S05</t>
        </is>
      </c>
      <c r="C494" s="38" t="inlineStr">
        <is>
          <t>El Espectador</t>
        </is>
      </c>
      <c r="D494" s="38" t="inlineStr">
        <is>
          <t>Reformas sociales en disputa (pensional/tributaria)</t>
        </is>
      </c>
      <c r="E494" s="38" t="inlineStr">
        <is>
          <t>Noticia dura</t>
        </is>
      </c>
      <c r="F494" s="38" t="inlineStr">
        <is>
          <t>2026-05-12T19:11:23-05:00</t>
        </is>
      </c>
      <c r="G494" s="62" t="inlineStr">
        <is>
          <t>Para este punto de la historia, la discusión puede marear un poco, entre el cruce de declaraciones que este martes ya incluía a la Corte Suprema y a varios ministerios, además del presidente Petro, siempre activo con las descalificaciones a través de su cuenta de X.</t>
        </is>
      </c>
      <c r="H494" s="62" t="inlineStr">
        <is>
          <t>Esto, en voz de expertos y analistas, en directa contravía con lo dispuestos en uno de los dos artículos de la reforma pensional que siguen activos mientras el resto de la iniciativa sigue bajo la lupa de la Corte Constitucional.</t>
        </is>
      </c>
      <c r="I494" s="62" t="inlineStr">
        <is>
          <t>Entonces, ¿por qué es que no tenemos claras las reglas sobre pensiones para este punto?</t>
        </is>
      </c>
      <c r="J494" s="38" t="n"/>
      <c r="K494" s="62" t="n"/>
      <c r="L494" s="38" t="n"/>
      <c r="M494" s="62" t="n"/>
      <c r="N494" s="38" t="n"/>
      <c r="O494" s="62" t="n"/>
      <c r="P494" s="38" t="n"/>
      <c r="Q494" s="62" t="n"/>
      <c r="R494" s="38" t="n"/>
      <c r="S494" s="62" t="n"/>
      <c r="T494" s="38" t="n"/>
      <c r="U494" s="62" t="n"/>
      <c r="V494" s="38" t="n"/>
      <c r="W494" s="62" t="n"/>
      <c r="X494" s="38" t="n"/>
      <c r="Y494" s="62" t="n"/>
      <c r="Z494" s="38" t="n"/>
      <c r="AA494" s="62" t="n"/>
      <c r="AB494" s="38" t="n"/>
      <c r="AC494" s="62" t="n"/>
      <c r="AD494" s="38" t="n"/>
      <c r="AE494" s="38" t="n"/>
      <c r="AF494" s="61">
        <f>IF(COUNTIF($B$5:B494,B494)=1,1,0)</f>
        <v/>
      </c>
      <c r="AG494" s="62" t="inlineStr">
        <is>
          <t>https://www.elespectador.com/economia/macroeconomia/pensiones-en-colombia-2026-la-historia-del-enredo-entre-la-reforma-la-corte-constitucional-y-los-fondos-privados/</t>
        </is>
      </c>
    </row>
    <row r="495" ht="15" customHeight="1" s="31">
      <c r="A495" s="38" t="inlineStr">
        <is>
          <t>https://www.elespectador.com/economia/macroeconomia/pensiones-en-colombia-2026-la-historia-del-enredo-entre-la-reforma-la-corte-constitucional-y-los-fondos-privados/</t>
        </is>
      </c>
      <c r="B495" s="38" t="inlineStr">
        <is>
          <t>https://www.elespectador.com/economia/macroeconomia/pensiones-en-colombia-2026-la-historia-del-enredo-entre-la-reforma-la-corte-constitucional-y-los-fondos-privados/_S06</t>
        </is>
      </c>
      <c r="C495" s="38" t="inlineStr">
        <is>
          <t>El Espectador</t>
        </is>
      </c>
      <c r="D495" s="38" t="inlineStr">
        <is>
          <t>Reformas sociales en disputa (pensional/tributaria)</t>
        </is>
      </c>
      <c r="E495" s="38" t="inlineStr">
        <is>
          <t>Noticia dura</t>
        </is>
      </c>
      <c r="F495" s="38" t="inlineStr">
        <is>
          <t>2026-05-12T19:11:23-05:00</t>
        </is>
      </c>
      <c r="G495" s="62" t="inlineStr">
        <is>
          <t>Entonces, ¿por qué es que no tenemos claras las reglas sobre pensiones para este punto?</t>
        </is>
      </c>
      <c r="H495" s="62" t="inlineStr">
        <is>
          <t>Para este punto de la historia, la discusión puede marear un poco, entre el cruce de declaraciones que este martes ya incluía a la Corte Suprema y a varios ministerios, además del presidente Petro, siempre activo con las descalificaciones a través de su cuenta de X.</t>
        </is>
      </c>
      <c r="I495" s="62" t="n"/>
      <c r="J495" s="38" t="n"/>
      <c r="K495" s="62" t="n"/>
      <c r="L495" s="38" t="n"/>
      <c r="M495" s="62" t="n"/>
      <c r="N495" s="38" t="n"/>
      <c r="O495" s="62" t="n"/>
      <c r="P495" s="38" t="n"/>
      <c r="Q495" s="62" t="n"/>
      <c r="R495" s="38" t="n"/>
      <c r="S495" s="62" t="n"/>
      <c r="T495" s="38" t="n"/>
      <c r="U495" s="62" t="n"/>
      <c r="V495" s="38" t="n"/>
      <c r="W495" s="62" t="n"/>
      <c r="X495" s="38" t="n"/>
      <c r="Y495" s="62" t="n"/>
      <c r="Z495" s="38" t="n"/>
      <c r="AA495" s="62" t="n"/>
      <c r="AB495" s="38" t="n"/>
      <c r="AC495" s="62" t="n"/>
      <c r="AD495" s="38" t="n"/>
      <c r="AE495" s="38" t="n"/>
      <c r="AF495" s="61">
        <f>IF(COUNTIF($B$5:B495,B495)=1,1,0)</f>
        <v/>
      </c>
      <c r="AG495" s="62" t="inlineStr">
        <is>
          <t>https://www.elespectador.com/economia/macroeconomia/pensiones-en-colombia-2026-la-historia-del-enredo-entre-la-reforma-la-corte-constitucional-y-los-fondos-privados/</t>
        </is>
      </c>
    </row>
    <row r="496" ht="15" customHeight="1" s="31">
      <c r="A496" s="38" t="inlineStr">
        <is>
          <t>https://www.elespectador.com/economia/como-va-la-reconstruccion-en-colombia-tras-el-terremoto-esto-dijo-minvivienda-en-debate-de-control-en-el-senado/</t>
        </is>
      </c>
      <c r="B496" s="38" t="inlineStr">
        <is>
          <t>https://www.elespectador.com/economia/como-va-la-reconstruccion-en-colombia-tras-el-terremoto-esto-dijo-minvivienda-en-debate-de-control-en-el-senado/_S01</t>
        </is>
      </c>
      <c r="C496" s="38" t="inlineStr">
        <is>
          <t>El Espectador</t>
        </is>
      </c>
      <c r="D496" s="38" t="inlineStr">
        <is>
          <t>Respuesta a la emergencia del terremoto</t>
        </is>
      </c>
      <c r="E496" s="38" t="inlineStr">
        <is>
          <t>Noticia dura</t>
        </is>
      </c>
      <c r="F496" s="38" t="inlineStr">
        <is>
          <t>2026-09-02T13:33:50-05:00</t>
        </is>
      </c>
      <c r="G496" s="62" t="inlineStr">
        <is>
          <t>Este miércoles 2 de septiembre, el ministro de Vivienda, Jaime Andrés Beltrán, compareció ante la Comisión Séptima del Senado en un debate de control político sobre la reconstrucción del país tras el terremoto del 10 de agosto de 2026.</t>
        </is>
      </c>
      <c r="H496" s="62" t="n"/>
      <c r="I496" s="62" t="inlineStr">
        <is>
          <t>La sesión ocurrió, además, después de la polémica generada por las imágenes del ministro durante un puente festivo en Santa Marta con su familia, apenas cinco días después de la emergencia.</t>
        </is>
      </c>
      <c r="J496" s="38" t="n"/>
      <c r="K496" s="62" t="n"/>
      <c r="L496" s="38" t="n"/>
      <c r="M496" s="62" t="n"/>
      <c r="N496" s="38" t="n"/>
      <c r="O496" s="62" t="n"/>
      <c r="P496" s="38" t="n"/>
      <c r="Q496" s="62" t="n"/>
      <c r="R496" s="38" t="n"/>
      <c r="S496" s="62" t="n"/>
      <c r="T496" s="38" t="n"/>
      <c r="U496" s="62" t="n"/>
      <c r="V496" s="38" t="n"/>
      <c r="W496" s="62" t="n"/>
      <c r="X496" s="38" t="n"/>
      <c r="Y496" s="62" t="n"/>
      <c r="Z496" s="38" t="n"/>
      <c r="AA496" s="62" t="n"/>
      <c r="AB496" s="38" t="n"/>
      <c r="AC496" s="62" t="n"/>
      <c r="AD496" s="38" t="n"/>
      <c r="AE496" s="38" t="n"/>
      <c r="AF496" s="61">
        <f>IF(COUNTIF($B$5:B496,B496)=1,1,0)</f>
        <v/>
      </c>
      <c r="AG496" s="62" t="inlineStr">
        <is>
          <t>https://www.elespectador.com/economia/como-va-la-reconstruccion-en-colombia-tras-el-terremoto-esto-dijo-minvivienda-en-debate-de-control-en-el-senado/</t>
        </is>
      </c>
    </row>
    <row r="497" ht="15" customHeight="1" s="31">
      <c r="A497" s="38" t="inlineStr">
        <is>
          <t>https://www.elespectador.com/economia/como-va-la-reconstruccion-en-colombia-tras-el-terremoto-esto-dijo-minvivienda-en-debate-de-control-en-el-senado/</t>
        </is>
      </c>
      <c r="B497" s="38" t="inlineStr">
        <is>
          <t>https://www.elespectador.com/economia/como-va-la-reconstruccion-en-colombia-tras-el-terremoto-esto-dijo-minvivienda-en-debate-de-control-en-el-senado/_S02</t>
        </is>
      </c>
      <c r="C497" s="38" t="inlineStr">
        <is>
          <t>El Espectador</t>
        </is>
      </c>
      <c r="D497" s="38" t="inlineStr">
        <is>
          <t>Respuesta a la emergencia del terremoto</t>
        </is>
      </c>
      <c r="E497" s="38" t="inlineStr">
        <is>
          <t>Noticia dura</t>
        </is>
      </c>
      <c r="F497" s="38" t="inlineStr">
        <is>
          <t>2026-09-02T13:33:50-05:00</t>
        </is>
      </c>
      <c r="G497" s="62" t="inlineStr">
        <is>
          <t>La sesión ocurrió, además, después de la polémica generada por las imágenes del ministro durante un puente festivo en Santa Marta con su familia, apenas cinco días después de la emergencia.</t>
        </is>
      </c>
      <c r="H497" s="62" t="inlineStr">
        <is>
          <t>Este miércoles 2 de septiembre, el ministro de Vivienda, Jaime Andrés Beltrán, compareció ante la Comisión Séptima del Senado en un debate de control político sobre la reconstrucción del país tras el terremoto del 10 de agosto de 2026.</t>
        </is>
      </c>
      <c r="I497" s="62" t="inlineStr">
        <is>
          <t>Beltrán pidió disculpas a las familias que se sintieron afectadas por su decisión, pero durante su intervención esquivó las críticas e insistió en que el debate debía concentrarse en las soluciones para la reconstrucción.</t>
        </is>
      </c>
      <c r="J497" s="38" t="n"/>
      <c r="K497" s="62" t="n"/>
      <c r="L497" s="38" t="n"/>
      <c r="M497" s="62" t="n"/>
      <c r="N497" s="38" t="n"/>
      <c r="O497" s="62" t="n"/>
      <c r="P497" s="38" t="n"/>
      <c r="Q497" s="62" t="n"/>
      <c r="R497" s="38" t="n"/>
      <c r="S497" s="62" t="n"/>
      <c r="T497" s="38" t="n"/>
      <c r="U497" s="62" t="n"/>
      <c r="V497" s="38" t="n"/>
      <c r="W497" s="62" t="n"/>
      <c r="X497" s="38" t="n"/>
      <c r="Y497" s="62" t="n"/>
      <c r="Z497" s="38" t="n"/>
      <c r="AA497" s="62" t="n"/>
      <c r="AB497" s="38" t="n"/>
      <c r="AC497" s="62" t="n"/>
      <c r="AD497" s="38" t="n"/>
      <c r="AE497" s="38" t="n"/>
      <c r="AF497" s="61">
        <f>IF(COUNTIF($B$5:B497,B497)=1,1,0)</f>
        <v/>
      </c>
      <c r="AG497" s="62" t="inlineStr">
        <is>
          <t>https://www.elespectador.com/economia/como-va-la-reconstruccion-en-colombia-tras-el-terremoto-esto-dijo-minvivienda-en-debate-de-control-en-el-senado/</t>
        </is>
      </c>
    </row>
    <row r="498" ht="15" customHeight="1" s="31">
      <c r="A498" s="38" t="inlineStr">
        <is>
          <t>https://www.elespectador.com/economia/como-va-la-reconstruccion-en-colombia-tras-el-terremoto-esto-dijo-minvivienda-en-debate-de-control-en-el-senado/</t>
        </is>
      </c>
      <c r="B498" s="38" t="inlineStr">
        <is>
          <t>https://www.elespectador.com/economia/como-va-la-reconstruccion-en-colombia-tras-el-terremoto-esto-dijo-minvivienda-en-debate-de-control-en-el-senado/_S03</t>
        </is>
      </c>
      <c r="C498" s="38" t="inlineStr">
        <is>
          <t>El Espectador</t>
        </is>
      </c>
      <c r="D498" s="38" t="inlineStr">
        <is>
          <t>Respuesta a la emergencia del terremoto</t>
        </is>
      </c>
      <c r="E498" s="38" t="inlineStr">
        <is>
          <t>Noticia dura</t>
        </is>
      </c>
      <c r="F498" s="38" t="inlineStr">
        <is>
          <t>2026-09-02T13:33:50-05:00</t>
        </is>
      </c>
      <c r="G498" s="62" t="inlineStr">
        <is>
          <t>Beltrán pidió disculpas a las familias que se sintieron afectadas por su decisión, pero durante su intervención esquivó las críticas e insistió en que el debate debía concentrarse en las soluciones para la reconstrucción.</t>
        </is>
      </c>
      <c r="H498" s="62" t="inlineStr">
        <is>
          <t>La sesión ocurrió, además, después de la polémica generada por las imágenes del ministro durante un puente festivo en Santa Marta con su familia, apenas cinco días después de la emergencia.</t>
        </is>
      </c>
      <c r="I498" s="62" t="inlineStr">
        <is>
          <t>“La riqueza de este debate no debe ser en función de la persona y la acción del Ministerio, sino en torno a las acciones que tenemos sobre la mesa”, dijo el ministro.</t>
        </is>
      </c>
      <c r="J498" s="38" t="n"/>
      <c r="K498" s="62" t="n"/>
      <c r="L498" s="38" t="n"/>
      <c r="M498" s="62" t="n"/>
      <c r="N498" s="38" t="n"/>
      <c r="O498" s="62" t="n"/>
      <c r="P498" s="38" t="n"/>
      <c r="Q498" s="62" t="n"/>
      <c r="R498" s="38" t="n"/>
      <c r="S498" s="62" t="n"/>
      <c r="T498" s="38" t="n"/>
      <c r="U498" s="62" t="n"/>
      <c r="V498" s="38" t="n"/>
      <c r="W498" s="62" t="n"/>
      <c r="X498" s="38" t="n"/>
      <c r="Y498" s="62" t="n"/>
      <c r="Z498" s="38" t="n"/>
      <c r="AA498" s="62" t="n"/>
      <c r="AB498" s="38" t="n"/>
      <c r="AC498" s="62" t="n"/>
      <c r="AD498" s="38" t="n"/>
      <c r="AE498" s="38" t="n"/>
      <c r="AF498" s="61">
        <f>IF(COUNTIF($B$5:B498,B498)=1,1,0)</f>
        <v/>
      </c>
      <c r="AG498" s="62" t="inlineStr">
        <is>
          <t>https://www.elespectador.com/economia/como-va-la-reconstruccion-en-colombia-tras-el-terremoto-esto-dijo-minvivienda-en-debate-de-control-en-el-senado/</t>
        </is>
      </c>
    </row>
    <row r="499" ht="15" customHeight="1" s="31">
      <c r="A499" s="38" t="inlineStr">
        <is>
          <t>https://www.elespectador.com/economia/como-va-la-reconstruccion-en-colombia-tras-el-terremoto-esto-dijo-minvivienda-en-debate-de-control-en-el-senado/</t>
        </is>
      </c>
      <c r="B499" s="38" t="inlineStr">
        <is>
          <t>https://www.elespectador.com/economia/como-va-la-reconstruccion-en-colombia-tras-el-terremoto-esto-dijo-minvivienda-en-debate-de-control-en-el-senado/_S04</t>
        </is>
      </c>
      <c r="C499" s="38" t="inlineStr">
        <is>
          <t>El Espectador</t>
        </is>
      </c>
      <c r="D499" s="38" t="inlineStr">
        <is>
          <t>Respuesta a la emergencia del terremoto</t>
        </is>
      </c>
      <c r="E499" s="38" t="inlineStr">
        <is>
          <t>Noticia dura</t>
        </is>
      </c>
      <c r="F499" s="38" t="inlineStr">
        <is>
          <t>2026-09-02T13:33:50-05:00</t>
        </is>
      </c>
      <c r="G499" s="62" t="inlineStr">
        <is>
          <t>“La riqueza de este debate no debe ser en función de la persona y la acción del Ministerio, sino en torno a las acciones que tenemos sobre la mesa”, dijo el ministro.</t>
        </is>
      </c>
      <c r="H499" s="62" t="inlineStr">
        <is>
          <t>Beltrán pidió disculpas a las familias que se sintieron afectadas por su decisión, pero durante su intervención esquivó las críticas e insistió en que el debate debía concentrarse en las soluciones para la reconstrucción.</t>
        </is>
      </c>
      <c r="I499" s="62" t="inlineStr">
        <is>
          <t>Le puede interesar: Reconstruir lejos de las ciudades: el reto que le espera a Colombia.</t>
        </is>
      </c>
      <c r="J499" s="38" t="n"/>
      <c r="K499" s="62" t="n"/>
      <c r="L499" s="38" t="n"/>
      <c r="M499" s="62" t="n"/>
      <c r="N499" s="38" t="n"/>
      <c r="O499" s="62" t="n"/>
      <c r="P499" s="38" t="n"/>
      <c r="Q499" s="62" t="n"/>
      <c r="R499" s="38" t="n"/>
      <c r="S499" s="62" t="n"/>
      <c r="T499" s="38" t="n"/>
      <c r="U499" s="62" t="n"/>
      <c r="V499" s="38" t="n"/>
      <c r="W499" s="62" t="n"/>
      <c r="X499" s="38" t="n"/>
      <c r="Y499" s="62" t="n"/>
      <c r="Z499" s="38" t="n"/>
      <c r="AA499" s="62" t="n"/>
      <c r="AB499" s="38" t="n"/>
      <c r="AC499" s="62" t="n"/>
      <c r="AD499" s="38" t="n"/>
      <c r="AE499" s="38" t="n"/>
      <c r="AF499" s="61">
        <f>IF(COUNTIF($B$5:B499,B499)=1,1,0)</f>
        <v/>
      </c>
      <c r="AG499" s="62" t="inlineStr">
        <is>
          <t>https://www.elespectador.com/economia/como-va-la-reconstruccion-en-colombia-tras-el-terremoto-esto-dijo-minvivienda-en-debate-de-control-en-el-senado/</t>
        </is>
      </c>
    </row>
    <row r="500" ht="15" customHeight="1" s="31">
      <c r="A500" s="38" t="inlineStr">
        <is>
          <t>https://www.elespectador.com/economia/como-va-la-reconstruccion-en-colombia-tras-el-terremoto-esto-dijo-minvivienda-en-debate-de-control-en-el-senado/</t>
        </is>
      </c>
      <c r="B500" s="38" t="inlineStr">
        <is>
          <t>https://www.elespectador.com/economia/como-va-la-reconstruccion-en-colombia-tras-el-terremoto-esto-dijo-minvivienda-en-debate-de-control-en-el-senado/_S05</t>
        </is>
      </c>
      <c r="C500" s="38" t="inlineStr">
        <is>
          <t>El Espectador</t>
        </is>
      </c>
      <c r="D500" s="38" t="inlineStr">
        <is>
          <t>Respuesta a la emergencia del terremoto</t>
        </is>
      </c>
      <c r="E500" s="38" t="inlineStr">
        <is>
          <t>Noticia dura</t>
        </is>
      </c>
      <c r="F500" s="38" t="inlineStr">
        <is>
          <t>2026-09-02T13:33:50-05:00</t>
        </is>
      </c>
      <c r="G500" s="62" t="inlineStr">
        <is>
          <t>Le puede interesar: Reconstruir lejos de las ciudades: el reto que le espera a Colombia.</t>
        </is>
      </c>
      <c r="H500" s="62" t="inlineStr">
        <is>
          <t>“La riqueza de este debate no debe ser en función de la persona y la acción del Ministerio, sino en torno a las acciones que tenemos sobre la mesa”, dijo el ministro.</t>
        </is>
      </c>
      <c r="I500" s="62" t="inlineStr">
        <is>
          <t>El principal problema para calcular el costo de la reconstrucción es que el Gobierno aún no termina de establecer la dimensión de los daños.</t>
        </is>
      </c>
      <c r="J500" s="38" t="n"/>
      <c r="K500" s="62" t="n"/>
      <c r="L500" s="38" t="n"/>
      <c r="M500" s="62" t="n"/>
      <c r="N500" s="38" t="n"/>
      <c r="O500" s="62" t="n"/>
      <c r="P500" s="38" t="n"/>
      <c r="Q500" s="62" t="n"/>
      <c r="R500" s="38" t="n"/>
      <c r="S500" s="62" t="n"/>
      <c r="T500" s="38" t="n"/>
      <c r="U500" s="62" t="n"/>
      <c r="V500" s="38" t="n"/>
      <c r="W500" s="62" t="n"/>
      <c r="X500" s="38" t="n"/>
      <c r="Y500" s="62" t="n"/>
      <c r="Z500" s="38" t="n"/>
      <c r="AA500" s="62" t="n"/>
      <c r="AB500" s="38" t="n"/>
      <c r="AC500" s="62" t="n"/>
      <c r="AD500" s="38" t="n"/>
      <c r="AE500" s="38" t="n"/>
      <c r="AF500" s="61">
        <f>IF(COUNTIF($B$5:B500,B500)=1,1,0)</f>
        <v/>
      </c>
      <c r="AG500" s="62" t="inlineStr">
        <is>
          <t>https://www.elespectador.com/economia/como-va-la-reconstruccion-en-colombia-tras-el-terremoto-esto-dijo-minvivienda-en-debate-de-control-en-el-senado/</t>
        </is>
      </c>
    </row>
    <row r="501" ht="15" customHeight="1" s="31">
      <c r="A501" s="38" t="inlineStr">
        <is>
          <t>https://www.elespectador.com/economia/como-va-la-reconstruccion-en-colombia-tras-el-terremoto-esto-dijo-minvivienda-en-debate-de-control-en-el-senado/</t>
        </is>
      </c>
      <c r="B501" s="38" t="inlineStr">
        <is>
          <t>https://www.elespectador.com/economia/como-va-la-reconstruccion-en-colombia-tras-el-terremoto-esto-dijo-minvivienda-en-debate-de-control-en-el-senado/_S06</t>
        </is>
      </c>
      <c r="C501" s="38" t="inlineStr">
        <is>
          <t>El Espectador</t>
        </is>
      </c>
      <c r="D501" s="38" t="inlineStr">
        <is>
          <t>Respuesta a la emergencia del terremoto</t>
        </is>
      </c>
      <c r="E501" s="38" t="inlineStr">
        <is>
          <t>Noticia dura</t>
        </is>
      </c>
      <c r="F501" s="38" t="inlineStr">
        <is>
          <t>2026-09-02T13:33:50-05:00</t>
        </is>
      </c>
      <c r="G501" s="62" t="inlineStr">
        <is>
          <t>El principal problema para calcular el costo de la reconstrucción es que el Gobierno aún no termina de establecer la dimensión de los daños.</t>
        </is>
      </c>
      <c r="H501" s="62" t="inlineStr">
        <is>
          <t>Le puede interesar: Reconstruir lejos de las ciudades: el reto que le espera a Colombia.</t>
        </is>
      </c>
      <c r="I501" s="62" t="n"/>
      <c r="J501" s="38" t="n"/>
      <c r="K501" s="62" t="n"/>
      <c r="L501" s="38" t="n"/>
      <c r="M501" s="62" t="n"/>
      <c r="N501" s="38" t="n"/>
      <c r="O501" s="62" t="n"/>
      <c r="P501" s="38" t="n"/>
      <c r="Q501" s="62" t="n"/>
      <c r="R501" s="38" t="n"/>
      <c r="S501" s="62" t="n"/>
      <c r="T501" s="38" t="n"/>
      <c r="U501" s="62" t="n"/>
      <c r="V501" s="38" t="n"/>
      <c r="W501" s="62" t="n"/>
      <c r="X501" s="38" t="n"/>
      <c r="Y501" s="62" t="n"/>
      <c r="Z501" s="38" t="n"/>
      <c r="AA501" s="62" t="n"/>
      <c r="AB501" s="38" t="n"/>
      <c r="AC501" s="62" t="n"/>
      <c r="AD501" s="38" t="n"/>
      <c r="AE501" s="38" t="n"/>
      <c r="AF501" s="61">
        <f>IF(COUNTIF($B$5:B501,B501)=1,1,0)</f>
        <v/>
      </c>
      <c r="AG501" s="62" t="inlineStr">
        <is>
          <t>https://www.elespectador.com/economia/como-va-la-reconstruccion-en-colombia-tras-el-terremoto-esto-dijo-minvivienda-en-debate-de-control-en-el-senado/</t>
        </is>
      </c>
    </row>
    <row r="502" ht="15" customHeight="1" s="31">
      <c r="A502" s="38" t="inlineStr">
        <is>
          <t>https://www.eltiempo.com/mundo/eeuu-y-canada/estados-unidos-anuncia-un-nuevo-regimen-de-aranceles-para-colombia-y-fija-el-gravamen-en-12-5-que-cambia-para-los-exportadores-3573311</t>
        </is>
      </c>
      <c r="B502" s="38" t="inlineStr">
        <is>
          <t>https://www.eltiempo.com/mundo/eeuu-y-canada/estados-unidos-anuncia-un-nuevo-regimen-de-aranceles-para-colombia-y-fija-el-gravamen-en-12-5-que-cambia-para-los-exportadores-3573311_S01</t>
        </is>
      </c>
      <c r="C502" s="38" t="inlineStr">
        <is>
          <t>El Tiempo</t>
        </is>
      </c>
      <c r="D502" s="38" t="inlineStr">
        <is>
          <t>Relación con Estados Unidos</t>
        </is>
      </c>
      <c r="E502" s="38" t="inlineStr">
        <is>
          <t>Noticia dura</t>
        </is>
      </c>
      <c r="F502" s="38" t="inlineStr">
        <is>
          <t>2026-07-23T16:34:40-05:00</t>
        </is>
      </c>
      <c r="G502" s="62" t="inlineStr">
        <is>
          <t>La administración del presidente Donald Trump confirmó este jueves un nuevo paquete de aranceles a las importaciones de decenas de países, entre ellos Colombia, en una decisión que impone un gravamen del 12,5 por ciento a los productos originarios del país que ingresen al mercado estadounidense.</t>
        </is>
      </c>
      <c r="H502" s="62" t="inlineStr"/>
      <c r="I502" s="62" t="inlineStr">
        <is>
          <t>La medida, adoptada al amparo de la Sección 301 de la Ley de Comercio de 1974, entrará en vigor a las 12:01 a. m. de este viernes 24 de julio.</t>
        </is>
      </c>
      <c r="J502" s="38" t="n"/>
      <c r="K502" s="62" t="n"/>
      <c r="L502" s="38" t="n"/>
      <c r="M502" s="62" t="n"/>
      <c r="N502" s="38" t="n"/>
      <c r="O502" s="62" t="n"/>
      <c r="P502" s="38" t="n"/>
      <c r="Q502" s="62" t="n"/>
      <c r="R502" s="38" t="n"/>
      <c r="S502" s="62" t="n"/>
      <c r="T502" s="38" t="n"/>
      <c r="U502" s="62" t="n"/>
      <c r="V502" s="38" t="n"/>
      <c r="W502" s="62" t="n"/>
      <c r="X502" s="38" t="n"/>
      <c r="Y502" s="62" t="n"/>
      <c r="Z502" s="38" t="n"/>
      <c r="AA502" s="62" t="n"/>
      <c r="AB502" s="38" t="n"/>
      <c r="AC502" s="62" t="n"/>
      <c r="AD502" s="38" t="n"/>
      <c r="AE502" s="38" t="n"/>
      <c r="AF502" s="61">
        <f>IF(COUNTIF($B$5:B502,B502)=1,1,0)</f>
        <v/>
      </c>
      <c r="AG502" s="62" t="inlineStr">
        <is>
          <t>https://www.eltiempo.com/mundo/eeuu-y-canada/estados-unidos-anuncia-un-nuevo-regimen-de-aranceles-para-colombia-y-fija-el-gravamen-en-12-5-que-cambia-para-los-exportadores-3573311</t>
        </is>
      </c>
    </row>
    <row r="503" ht="15" customHeight="1" s="31">
      <c r="A503" s="38" t="inlineStr">
        <is>
          <t>https://www.eltiempo.com/mundo/eeuu-y-canada/estados-unidos-anuncia-un-nuevo-regimen-de-aranceles-para-colombia-y-fija-el-gravamen-en-12-5-que-cambia-para-los-exportadores-3573311</t>
        </is>
      </c>
      <c r="B503" s="38" t="inlineStr">
        <is>
          <t>https://www.eltiempo.com/mundo/eeuu-y-canada/estados-unidos-anuncia-un-nuevo-regimen-de-aranceles-para-colombia-y-fija-el-gravamen-en-12-5-que-cambia-para-los-exportadores-3573311_S02</t>
        </is>
      </c>
      <c r="C503" s="38" t="inlineStr">
        <is>
          <t>El Tiempo</t>
        </is>
      </c>
      <c r="D503" s="38" t="inlineStr">
        <is>
          <t>Relación con Estados Unidos</t>
        </is>
      </c>
      <c r="E503" s="38" t="inlineStr">
        <is>
          <t>Noticia dura</t>
        </is>
      </c>
      <c r="F503" s="38" t="inlineStr">
        <is>
          <t>2026-07-23T16:34:40-05:00</t>
        </is>
      </c>
      <c r="G503" s="62" t="inlineStr">
        <is>
          <t>La medida, adoptada al amparo de la Sección 301 de la Ley de Comercio de 1974, entrará en vigor a las 12:01 a. m. de este viernes 24 de julio.</t>
        </is>
      </c>
      <c r="H503" s="62" t="inlineStr">
        <is>
          <t>La administración del presidente Donald Trump confirmó este jueves un nuevo paquete de aranceles a las importaciones de decenas de países, entre ellos Colombia, en una decisión que impone un gravamen del 12,5 por ciento a los productos originarios del país que ingresen al mercado estadounidense.</t>
        </is>
      </c>
      <c r="I503" s="62" t="inlineStr">
        <is>
          <t>Así lo confirmó el representante comercial de Estados Unidos, Jamieson Greer, quien oficializó la adopción de las medidas tras concluir una investigación sobre las políticas de 54 economías respecto a la importación de bienes producidos con trabajo forzoso.</t>
        </is>
      </c>
      <c r="J503" s="38" t="n"/>
      <c r="K503" s="62" t="n"/>
      <c r="L503" s="38" t="n"/>
      <c r="M503" s="62" t="n"/>
      <c r="N503" s="38" t="n"/>
      <c r="O503" s="62" t="n"/>
      <c r="P503" s="38" t="n"/>
      <c r="Q503" s="62" t="n"/>
      <c r="R503" s="38" t="n"/>
      <c r="S503" s="62" t="n"/>
      <c r="T503" s="38" t="n"/>
      <c r="U503" s="62" t="n"/>
      <c r="V503" s="38" t="n"/>
      <c r="W503" s="62" t="n"/>
      <c r="X503" s="38" t="n"/>
      <c r="Y503" s="62" t="n"/>
      <c r="Z503" s="38" t="n"/>
      <c r="AA503" s="62" t="n"/>
      <c r="AB503" s="38" t="n"/>
      <c r="AC503" s="62" t="n"/>
      <c r="AD503" s="38" t="n"/>
      <c r="AE503" s="38" t="n"/>
      <c r="AF503" s="61">
        <f>IF(COUNTIF($B$5:B503,B503)=1,1,0)</f>
        <v/>
      </c>
      <c r="AG503" s="62" t="inlineStr">
        <is>
          <t>https://www.eltiempo.com/mundo/eeuu-y-canada/estados-unidos-anuncia-un-nuevo-regimen-de-aranceles-para-colombia-y-fija-el-gravamen-en-12-5-que-cambia-para-los-exportadores-3573311</t>
        </is>
      </c>
    </row>
    <row r="504" ht="15" customHeight="1" s="31">
      <c r="A504" s="38" t="inlineStr">
        <is>
          <t>https://www.eltiempo.com/mundo/eeuu-y-canada/estados-unidos-anuncia-un-nuevo-regimen-de-aranceles-para-colombia-y-fija-el-gravamen-en-12-5-que-cambia-para-los-exportadores-3573311</t>
        </is>
      </c>
      <c r="B504" s="38" t="inlineStr">
        <is>
          <t>https://www.eltiempo.com/mundo/eeuu-y-canada/estados-unidos-anuncia-un-nuevo-regimen-de-aranceles-para-colombia-y-fija-el-gravamen-en-12-5-que-cambia-para-los-exportadores-3573311_S03</t>
        </is>
      </c>
      <c r="C504" s="38" t="inlineStr">
        <is>
          <t>El Tiempo</t>
        </is>
      </c>
      <c r="D504" s="38" t="inlineStr">
        <is>
          <t>Relación con Estados Unidos</t>
        </is>
      </c>
      <c r="E504" s="38" t="inlineStr">
        <is>
          <t>Noticia dura</t>
        </is>
      </c>
      <c r="F504" s="38" t="inlineStr">
        <is>
          <t>2026-07-23T16:34:40-05:00</t>
        </is>
      </c>
      <c r="G504" s="62" t="inlineStr">
        <is>
          <t>Así lo confirmó el representante comercial de Estados Unidos, Jamieson Greer, quien oficializó la adopción de las medidas tras concluir una investigación sobre las políticas de 54 economías respecto a la importación de bienes producidos con trabajo forzoso.</t>
        </is>
      </c>
      <c r="H504" s="62" t="inlineStr">
        <is>
          <t>La medida, adoptada al amparo de la Sección 301 de la Ley de Comercio de 1974, entrará en vigor a las 12:01 a. m. de este viernes 24 de julio.</t>
        </is>
      </c>
      <c r="I504" s="62" t="inlineStr">
        <is>
          <t>“El presidente Trump reconoce que décadas de persuasión moral no han erradicado el trabajo forzoso de las cadenas de suministro globales.</t>
        </is>
      </c>
      <c r="J504" s="38" t="n"/>
      <c r="K504" s="62" t="n"/>
      <c r="L504" s="38" t="n"/>
      <c r="M504" s="62" t="n"/>
      <c r="N504" s="38" t="n"/>
      <c r="O504" s="62" t="n"/>
      <c r="P504" s="38" t="n"/>
      <c r="Q504" s="62" t="n"/>
      <c r="R504" s="38" t="n"/>
      <c r="S504" s="62" t="n"/>
      <c r="T504" s="38" t="n"/>
      <c r="U504" s="62" t="n"/>
      <c r="V504" s="38" t="n"/>
      <c r="W504" s="62" t="n"/>
      <c r="X504" s="38" t="n"/>
      <c r="Y504" s="62" t="n"/>
      <c r="Z504" s="38" t="n"/>
      <c r="AA504" s="62" t="n"/>
      <c r="AB504" s="38" t="n"/>
      <c r="AC504" s="62" t="n"/>
      <c r="AD504" s="38" t="n"/>
      <c r="AE504" s="38" t="n"/>
      <c r="AF504" s="61">
        <f>IF(COUNTIF($B$5:B504,B504)=1,1,0)</f>
        <v/>
      </c>
      <c r="AG504" s="62" t="inlineStr">
        <is>
          <t>https://www.eltiempo.com/mundo/eeuu-y-canada/estados-unidos-anuncia-un-nuevo-regimen-de-aranceles-para-colombia-y-fija-el-gravamen-en-12-5-que-cambia-para-los-exportadores-3573311</t>
        </is>
      </c>
    </row>
    <row r="505" ht="15" customHeight="1" s="31">
      <c r="A505" s="38" t="inlineStr">
        <is>
          <t>https://www.eltiempo.com/mundo/eeuu-y-canada/estados-unidos-anuncia-un-nuevo-regimen-de-aranceles-para-colombia-y-fija-el-gravamen-en-12-5-que-cambia-para-los-exportadores-3573311</t>
        </is>
      </c>
      <c r="B505" s="38" t="inlineStr">
        <is>
          <t>https://www.eltiempo.com/mundo/eeuu-y-canada/estados-unidos-anuncia-un-nuevo-regimen-de-aranceles-para-colombia-y-fija-el-gravamen-en-12-5-que-cambia-para-los-exportadores-3573311_S04</t>
        </is>
      </c>
      <c r="C505" s="38" t="inlineStr">
        <is>
          <t>El Tiempo</t>
        </is>
      </c>
      <c r="D505" s="38" t="inlineStr">
        <is>
          <t>Relación con Estados Unidos</t>
        </is>
      </c>
      <c r="E505" s="38" t="inlineStr">
        <is>
          <t>Noticia dura</t>
        </is>
      </c>
      <c r="F505" s="38" t="inlineStr">
        <is>
          <t>2026-07-23T16:34:40-05:00</t>
        </is>
      </c>
      <c r="G505" s="62" t="inlineStr">
        <is>
          <t>“El presidente Trump reconoce que décadas de persuasión moral no han erradicado el trabajo forzoso de las cadenas de suministro globales.</t>
        </is>
      </c>
      <c r="H505" s="62" t="inlineStr">
        <is>
          <t>Así lo confirmó el representante comercial de Estados Unidos, Jamieson Greer, quien oficializó la adopción de las medidas tras concluir una investigación sobre las políticas de 54 economías respecto a la importación de bienes producidos con trabajo forzoso.</t>
        </is>
      </c>
      <c r="I505" s="62" t="inlineStr">
        <is>
          <t>Estados Unidos mantiene una prohibición de importación de productos elaborados con trabajo forzoso desde hace casi un siglo y la aplica rigurosamente; ya es hora de que nuestros socios comerciales hagan lo mismo”, señaló Greer.</t>
        </is>
      </c>
      <c r="J505" s="38" t="n"/>
      <c r="K505" s="62" t="n"/>
      <c r="L505" s="38" t="n"/>
      <c r="M505" s="62" t="n"/>
      <c r="N505" s="38" t="n"/>
      <c r="O505" s="62" t="n"/>
      <c r="P505" s="38" t="n"/>
      <c r="Q505" s="62" t="n"/>
      <c r="R505" s="38" t="n"/>
      <c r="S505" s="62" t="n"/>
      <c r="T505" s="38" t="n"/>
      <c r="U505" s="62" t="n"/>
      <c r="V505" s="38" t="n"/>
      <c r="W505" s="62" t="n"/>
      <c r="X505" s="38" t="n"/>
      <c r="Y505" s="62" t="n"/>
      <c r="Z505" s="38" t="n"/>
      <c r="AA505" s="62" t="n"/>
      <c r="AB505" s="38" t="n"/>
      <c r="AC505" s="62" t="n"/>
      <c r="AD505" s="38" t="n"/>
      <c r="AE505" s="38" t="n"/>
      <c r="AF505" s="61">
        <f>IF(COUNTIF($B$5:B505,B505)=1,1,0)</f>
        <v/>
      </c>
      <c r="AG505" s="62" t="inlineStr">
        <is>
          <t>https://www.eltiempo.com/mundo/eeuu-y-canada/estados-unidos-anuncia-un-nuevo-regimen-de-aranceles-para-colombia-y-fija-el-gravamen-en-12-5-que-cambia-para-los-exportadores-3573311</t>
        </is>
      </c>
    </row>
    <row r="506" ht="15" customHeight="1" s="31">
      <c r="A506" s="38" t="inlineStr">
        <is>
          <t>https://www.eltiempo.com/mundo/eeuu-y-canada/estados-unidos-anuncia-un-nuevo-regimen-de-aranceles-para-colombia-y-fija-el-gravamen-en-12-5-que-cambia-para-los-exportadores-3573311</t>
        </is>
      </c>
      <c r="B506" s="38" t="inlineStr">
        <is>
          <t>https://www.eltiempo.com/mundo/eeuu-y-canada/estados-unidos-anuncia-un-nuevo-regimen-de-aranceles-para-colombia-y-fija-el-gravamen-en-12-5-que-cambia-para-los-exportadores-3573311_S05</t>
        </is>
      </c>
      <c r="C506" s="38" t="inlineStr">
        <is>
          <t>El Tiempo</t>
        </is>
      </c>
      <c r="D506" s="38" t="inlineStr">
        <is>
          <t>Relación con Estados Unidos</t>
        </is>
      </c>
      <c r="E506" s="38" t="inlineStr">
        <is>
          <t>Noticia dura</t>
        </is>
      </c>
      <c r="F506" s="38" t="inlineStr">
        <is>
          <t>2026-07-23T16:34:40-05:00</t>
        </is>
      </c>
      <c r="G506" s="62" t="inlineStr">
        <is>
          <t>Estados Unidos mantiene una prohibición de importación de productos elaborados con trabajo forzoso desde hace casi un siglo y la aplica rigurosamente; ya es hora de que nuestros socios comerciales hagan lo mismo”, señaló Greer.</t>
        </is>
      </c>
      <c r="H506" s="62" t="inlineStr">
        <is>
          <t>“El presidente Trump reconoce que décadas de persuasión moral no han erradicado el trabajo forzoso de las cadenas de suministro globales.</t>
        </is>
      </c>
      <c r="I506" s="62" t="inlineStr">
        <is>
          <t>Desde comienzos de este año, la Casa Blanca había impuesto un arancel general del 10 por ciento (amparado en la Sección 122 de la Ley de Comercio) a la mayoría de las importaciones que llegan al país para reemplazar los gravámenes (impuestos bajo la Ley de Poderes Económicos de Emergencia Internacional) que fueron anulados por la Corte Suprema de Estados Unidos.</t>
        </is>
      </c>
      <c r="J506" s="38" t="n"/>
      <c r="K506" s="62" t="n"/>
      <c r="L506" s="38" t="n"/>
      <c r="M506" s="62" t="n"/>
      <c r="N506" s="38" t="n"/>
      <c r="O506" s="62" t="n"/>
      <c r="P506" s="38" t="n"/>
      <c r="Q506" s="62" t="n"/>
      <c r="R506" s="38" t="n"/>
      <c r="S506" s="62" t="n"/>
      <c r="T506" s="38" t="n"/>
      <c r="U506" s="62" t="n"/>
      <c r="V506" s="38" t="n"/>
      <c r="W506" s="62" t="n"/>
      <c r="X506" s="38" t="n"/>
      <c r="Y506" s="62" t="n"/>
      <c r="Z506" s="38" t="n"/>
      <c r="AA506" s="62" t="n"/>
      <c r="AB506" s="38" t="n"/>
      <c r="AC506" s="62" t="n"/>
      <c r="AD506" s="38" t="n"/>
      <c r="AE506" s="38" t="n"/>
      <c r="AF506" s="61">
        <f>IF(COUNTIF($B$5:B506,B506)=1,1,0)</f>
        <v/>
      </c>
      <c r="AG506" s="62" t="inlineStr">
        <is>
          <t>https://www.eltiempo.com/mundo/eeuu-y-canada/estados-unidos-anuncia-un-nuevo-regimen-de-aranceles-para-colombia-y-fija-el-gravamen-en-12-5-que-cambia-para-los-exportadores-3573311</t>
        </is>
      </c>
    </row>
    <row r="507" ht="15" customHeight="1" s="31">
      <c r="A507" s="38" t="inlineStr">
        <is>
          <t>https://www.eltiempo.com/mundo/eeuu-y-canada/estados-unidos-anuncia-un-nuevo-regimen-de-aranceles-para-colombia-y-fija-el-gravamen-en-12-5-que-cambia-para-los-exportadores-3573311</t>
        </is>
      </c>
      <c r="B507" s="38" t="inlineStr">
        <is>
          <t>https://www.eltiempo.com/mundo/eeuu-y-canada/estados-unidos-anuncia-un-nuevo-regimen-de-aranceles-para-colombia-y-fija-el-gravamen-en-12-5-que-cambia-para-los-exportadores-3573311_S06</t>
        </is>
      </c>
      <c r="C507" s="38" t="inlineStr">
        <is>
          <t>El Tiempo</t>
        </is>
      </c>
      <c r="D507" s="38" t="inlineStr">
        <is>
          <t>Relación con Estados Unidos</t>
        </is>
      </c>
      <c r="E507" s="38" t="inlineStr">
        <is>
          <t>Noticia dura</t>
        </is>
      </c>
      <c r="F507" s="38" t="inlineStr">
        <is>
          <t>2026-07-23T16:34:40-05:00</t>
        </is>
      </c>
      <c r="G507" s="62" t="inlineStr">
        <is>
          <t>Desde comienzos de este año, la Casa Blanca había impuesto un arancel general del 10 por ciento (amparado en la Sección 122 de la Ley de Comercio) a la mayoría de las importaciones que llegan al país para reemplazar los gravámenes (impuestos bajo la Ley de Poderes Económicos de Emergencia Internacional) que fueron anulados por la Corte Suprema de Estados Unidos.</t>
        </is>
      </c>
      <c r="H507" s="62" t="inlineStr">
        <is>
          <t>Estados Unidos mantiene una prohibición de importación de productos elaborados con trabajo forzoso desde hace casi un siglo y la aplica rigurosamente; ya es hora de que nuestros socios comerciales hagan lo mismo”, señaló Greer.</t>
        </is>
      </c>
      <c r="I507" s="62" t="inlineStr"/>
      <c r="J507" s="38" t="n"/>
      <c r="K507" s="62" t="n"/>
      <c r="L507" s="38" t="n"/>
      <c r="M507" s="62" t="n"/>
      <c r="N507" s="38" t="n"/>
      <c r="O507" s="62" t="n"/>
      <c r="P507" s="38" t="n"/>
      <c r="Q507" s="62" t="n"/>
      <c r="R507" s="38" t="n"/>
      <c r="S507" s="62" t="n"/>
      <c r="T507" s="38" t="n"/>
      <c r="U507" s="62" t="n"/>
      <c r="V507" s="38" t="n"/>
      <c r="W507" s="62" t="n"/>
      <c r="X507" s="38" t="n"/>
      <c r="Y507" s="62" t="n"/>
      <c r="Z507" s="38" t="n"/>
      <c r="AA507" s="62" t="n"/>
      <c r="AB507" s="38" t="n"/>
      <c r="AC507" s="62" t="n"/>
      <c r="AD507" s="38" t="n"/>
      <c r="AE507" s="38" t="n"/>
      <c r="AF507" s="61">
        <f>IF(COUNTIF($B$5:B507,B507)=1,1,0)</f>
        <v/>
      </c>
      <c r="AG507" s="62" t="inlineStr">
        <is>
          <t>https://www.eltiempo.com/mundo/eeuu-y-canada/estados-unidos-anuncia-un-nuevo-regimen-de-aranceles-para-colombia-y-fija-el-gravamen-en-12-5-que-cambia-para-los-exportadores-3573311</t>
        </is>
      </c>
    </row>
    <row r="508" ht="15" customHeight="1" s="31">
      <c r="A508" s="38" t="n"/>
      <c r="B508" s="38" t="n"/>
      <c r="C508" s="38" t="n"/>
      <c r="D508" s="38" t="n"/>
      <c r="E508" s="38" t="n"/>
      <c r="F508" s="38" t="n"/>
      <c r="G508" s="62" t="n"/>
      <c r="H508" s="62" t="n"/>
      <c r="I508" s="62" t="n"/>
      <c r="J508" s="38" t="n"/>
      <c r="K508" s="62" t="n"/>
      <c r="L508" s="38" t="n"/>
      <c r="M508" s="62" t="n"/>
      <c r="N508" s="38" t="n"/>
      <c r="O508" s="62" t="n"/>
      <c r="P508" s="38" t="n"/>
      <c r="Q508" s="62" t="n"/>
      <c r="R508" s="38" t="n"/>
      <c r="S508" s="62" t="n"/>
      <c r="T508" s="38" t="n"/>
      <c r="U508" s="62" t="n"/>
      <c r="V508" s="38" t="n"/>
      <c r="W508" s="62" t="n"/>
      <c r="X508" s="38" t="n"/>
      <c r="Y508" s="62" t="n"/>
      <c r="Z508" s="38" t="n"/>
      <c r="AA508" s="62" t="n"/>
      <c r="AB508" s="38" t="n"/>
      <c r="AC508" s="62" t="n"/>
      <c r="AD508" s="38" t="n"/>
      <c r="AE508" s="38" t="n"/>
      <c r="AF508" s="61">
        <f>IF(COUNTIF($B$5:B508,B508)=1,1,0)</f>
        <v/>
      </c>
      <c r="AG508" s="62" t="n"/>
    </row>
    <row r="509" ht="15" customHeight="1" s="31">
      <c r="A509" s="38" t="n"/>
      <c r="B509" s="38" t="n"/>
      <c r="C509" s="38" t="n"/>
      <c r="D509" s="38" t="n"/>
      <c r="E509" s="38" t="n"/>
      <c r="F509" s="38" t="n"/>
      <c r="G509" s="62" t="n"/>
      <c r="H509" s="62" t="n"/>
      <c r="I509" s="62" t="n"/>
      <c r="J509" s="38" t="n"/>
      <c r="K509" s="62" t="n"/>
      <c r="L509" s="38" t="n"/>
      <c r="M509" s="62" t="n"/>
      <c r="N509" s="38" t="n"/>
      <c r="O509" s="62" t="n"/>
      <c r="P509" s="38" t="n"/>
      <c r="Q509" s="62" t="n"/>
      <c r="R509" s="38" t="n"/>
      <c r="S509" s="62" t="n"/>
      <c r="T509" s="38" t="n"/>
      <c r="U509" s="62" t="n"/>
      <c r="V509" s="38" t="n"/>
      <c r="W509" s="62" t="n"/>
      <c r="X509" s="38" t="n"/>
      <c r="Y509" s="62" t="n"/>
      <c r="Z509" s="38" t="n"/>
      <c r="AA509" s="62" t="n"/>
      <c r="AB509" s="38" t="n"/>
      <c r="AC509" s="62" t="n"/>
      <c r="AD509" s="38" t="n"/>
      <c r="AE509" s="38" t="n"/>
      <c r="AF509" s="61">
        <f>IF(COUNTIF($B$5:B509,B509)=1,1,0)</f>
        <v/>
      </c>
      <c r="AG509" s="62" t="n"/>
    </row>
    <row r="510" ht="15" customHeight="1" s="31">
      <c r="A510" s="38" t="n"/>
      <c r="B510" s="38" t="n"/>
      <c r="C510" s="38" t="n"/>
      <c r="D510" s="38" t="n"/>
      <c r="E510" s="38" t="n"/>
      <c r="F510" s="38" t="n"/>
      <c r="G510" s="62" t="n"/>
      <c r="H510" s="62" t="n"/>
      <c r="I510" s="62" t="n"/>
      <c r="J510" s="38" t="n"/>
      <c r="K510" s="62" t="n"/>
      <c r="L510" s="38" t="n"/>
      <c r="M510" s="62" t="n"/>
      <c r="N510" s="38" t="n"/>
      <c r="O510" s="62" t="n"/>
      <c r="P510" s="38" t="n"/>
      <c r="Q510" s="62" t="n"/>
      <c r="R510" s="38" t="n"/>
      <c r="S510" s="62" t="n"/>
      <c r="T510" s="38" t="n"/>
      <c r="U510" s="62" t="n"/>
      <c r="V510" s="38" t="n"/>
      <c r="W510" s="62" t="n"/>
      <c r="X510" s="38" t="n"/>
      <c r="Y510" s="62" t="n"/>
      <c r="Z510" s="38" t="n"/>
      <c r="AA510" s="62" t="n"/>
      <c r="AB510" s="38" t="n"/>
      <c r="AC510" s="62" t="n"/>
      <c r="AD510" s="38" t="n"/>
      <c r="AE510" s="38" t="n"/>
      <c r="AF510" s="61">
        <f>IF(COUNTIF($B$5:B510,B510)=1,1,0)</f>
        <v/>
      </c>
      <c r="AG510" s="62" t="n"/>
    </row>
    <row r="511" ht="15" customHeight="1" s="31">
      <c r="A511" s="38" t="n"/>
      <c r="B511" s="38" t="n"/>
      <c r="C511" s="38" t="n"/>
      <c r="D511" s="38" t="n"/>
      <c r="E511" s="38" t="n"/>
      <c r="F511" s="38" t="n"/>
      <c r="G511" s="62" t="n"/>
      <c r="H511" s="62" t="n"/>
      <c r="I511" s="62" t="n"/>
      <c r="J511" s="38" t="n"/>
      <c r="K511" s="62" t="n"/>
      <c r="L511" s="38" t="n"/>
      <c r="M511" s="62" t="n"/>
      <c r="N511" s="38" t="n"/>
      <c r="O511" s="62" t="n"/>
      <c r="P511" s="38" t="n"/>
      <c r="Q511" s="62" t="n"/>
      <c r="R511" s="38" t="n"/>
      <c r="S511" s="62" t="n"/>
      <c r="T511" s="38" t="n"/>
      <c r="U511" s="62" t="n"/>
      <c r="V511" s="38" t="n"/>
      <c r="W511" s="62" t="n"/>
      <c r="X511" s="38" t="n"/>
      <c r="Y511" s="62" t="n"/>
      <c r="Z511" s="38" t="n"/>
      <c r="AA511" s="62" t="n"/>
      <c r="AB511" s="38" t="n"/>
      <c r="AC511" s="62" t="n"/>
      <c r="AD511" s="38" t="n"/>
      <c r="AE511" s="38" t="n"/>
      <c r="AF511" s="61">
        <f>IF(COUNTIF($B$5:B511,B511)=1,1,0)</f>
        <v/>
      </c>
      <c r="AG511" s="62" t="n"/>
    </row>
    <row r="512" ht="15" customHeight="1" s="31">
      <c r="A512" s="38" t="n"/>
      <c r="B512" s="38" t="n"/>
      <c r="C512" s="38" t="n"/>
      <c r="D512" s="38" t="n"/>
      <c r="E512" s="38" t="n"/>
      <c r="F512" s="38" t="n"/>
      <c r="G512" s="62" t="n"/>
      <c r="H512" s="62" t="n"/>
      <c r="I512" s="62" t="n"/>
      <c r="J512" s="38" t="n"/>
      <c r="K512" s="62" t="n"/>
      <c r="L512" s="38" t="n"/>
      <c r="M512" s="62" t="n"/>
      <c r="N512" s="38" t="n"/>
      <c r="O512" s="62" t="n"/>
      <c r="P512" s="38" t="n"/>
      <c r="Q512" s="62" t="n"/>
      <c r="R512" s="38" t="n"/>
      <c r="S512" s="62" t="n"/>
      <c r="T512" s="38" t="n"/>
      <c r="U512" s="62" t="n"/>
      <c r="V512" s="38" t="n"/>
      <c r="W512" s="62" t="n"/>
      <c r="X512" s="38" t="n"/>
      <c r="Y512" s="62" t="n"/>
      <c r="Z512" s="38" t="n"/>
      <c r="AA512" s="62" t="n"/>
      <c r="AB512" s="38" t="n"/>
      <c r="AC512" s="62" t="n"/>
      <c r="AD512" s="38" t="n"/>
      <c r="AE512" s="38" t="n"/>
      <c r="AF512" s="61">
        <f>IF(COUNTIF($B$5:B512,B512)=1,1,0)</f>
        <v/>
      </c>
      <c r="AG512" s="62" t="n"/>
    </row>
    <row r="513" ht="15" customHeight="1" s="31">
      <c r="A513" s="38" t="n"/>
      <c r="B513" s="38" t="n"/>
      <c r="C513" s="38" t="n"/>
      <c r="D513" s="38" t="n"/>
      <c r="E513" s="38" t="n"/>
      <c r="F513" s="38" t="n"/>
      <c r="G513" s="62" t="n"/>
      <c r="H513" s="62" t="n"/>
      <c r="I513" s="62" t="n"/>
      <c r="J513" s="38" t="n"/>
      <c r="K513" s="62" t="n"/>
      <c r="L513" s="38" t="n"/>
      <c r="M513" s="62" t="n"/>
      <c r="N513" s="38" t="n"/>
      <c r="O513" s="62" t="n"/>
      <c r="P513" s="38" t="n"/>
      <c r="Q513" s="62" t="n"/>
      <c r="R513" s="38" t="n"/>
      <c r="S513" s="62" t="n"/>
      <c r="T513" s="38" t="n"/>
      <c r="U513" s="62" t="n"/>
      <c r="V513" s="38" t="n"/>
      <c r="W513" s="62" t="n"/>
      <c r="X513" s="38" t="n"/>
      <c r="Y513" s="62" t="n"/>
      <c r="Z513" s="38" t="n"/>
      <c r="AA513" s="62" t="n"/>
      <c r="AB513" s="38" t="n"/>
      <c r="AC513" s="62" t="n"/>
      <c r="AD513" s="38" t="n"/>
      <c r="AE513" s="38" t="n"/>
      <c r="AF513" s="61">
        <f>IF(COUNTIF($B$5:B513,B513)=1,1,0)</f>
        <v/>
      </c>
      <c r="AG513" s="62" t="n"/>
    </row>
    <row r="514" ht="15" customHeight="1" s="31">
      <c r="A514" s="38" t="n"/>
      <c r="B514" s="38" t="n"/>
      <c r="C514" s="38" t="n"/>
      <c r="D514" s="38" t="n"/>
      <c r="E514" s="38" t="n"/>
      <c r="F514" s="38" t="n"/>
      <c r="G514" s="62" t="n"/>
      <c r="H514" s="62" t="n"/>
      <c r="I514" s="62" t="n"/>
      <c r="J514" s="38" t="n"/>
      <c r="K514" s="62" t="n"/>
      <c r="L514" s="38" t="n"/>
      <c r="M514" s="62" t="n"/>
      <c r="N514" s="38" t="n"/>
      <c r="O514" s="62" t="n"/>
      <c r="P514" s="38" t="n"/>
      <c r="Q514" s="62" t="n"/>
      <c r="R514" s="38" t="n"/>
      <c r="S514" s="62" t="n"/>
      <c r="T514" s="38" t="n"/>
      <c r="U514" s="62" t="n"/>
      <c r="V514" s="38" t="n"/>
      <c r="W514" s="62" t="n"/>
      <c r="X514" s="38" t="n"/>
      <c r="Y514" s="62" t="n"/>
      <c r="Z514" s="38" t="n"/>
      <c r="AA514" s="62" t="n"/>
      <c r="AB514" s="38" t="n"/>
      <c r="AC514" s="62" t="n"/>
      <c r="AD514" s="38" t="n"/>
      <c r="AE514" s="38" t="n"/>
      <c r="AF514" s="61">
        <f>IF(COUNTIF($B$5:B514,B514)=1,1,0)</f>
        <v/>
      </c>
      <c r="AG514" s="62" t="n"/>
    </row>
    <row r="515" ht="15" customHeight="1" s="31">
      <c r="A515" s="38" t="n"/>
      <c r="B515" s="38" t="n"/>
      <c r="C515" s="38" t="n"/>
      <c r="D515" s="38" t="n"/>
      <c r="E515" s="38" t="n"/>
      <c r="F515" s="38" t="n"/>
      <c r="G515" s="62" t="n"/>
      <c r="H515" s="62" t="n"/>
      <c r="I515" s="62" t="n"/>
      <c r="J515" s="38" t="n"/>
      <c r="K515" s="62" t="n"/>
      <c r="L515" s="38" t="n"/>
      <c r="M515" s="62" t="n"/>
      <c r="N515" s="38" t="n"/>
      <c r="O515" s="62" t="n"/>
      <c r="P515" s="38" t="n"/>
      <c r="Q515" s="62" t="n"/>
      <c r="R515" s="38" t="n"/>
      <c r="S515" s="62" t="n"/>
      <c r="T515" s="38" t="n"/>
      <c r="U515" s="62" t="n"/>
      <c r="V515" s="38" t="n"/>
      <c r="W515" s="62" t="n"/>
      <c r="X515" s="38" t="n"/>
      <c r="Y515" s="62" t="n"/>
      <c r="Z515" s="38" t="n"/>
      <c r="AA515" s="62" t="n"/>
      <c r="AB515" s="38" t="n"/>
      <c r="AC515" s="62" t="n"/>
      <c r="AD515" s="38" t="n"/>
      <c r="AE515" s="38" t="n"/>
      <c r="AF515" s="61">
        <f>IF(COUNTIF($B$5:B515,B515)=1,1,0)</f>
        <v/>
      </c>
      <c r="AG515" s="62" t="n"/>
    </row>
    <row r="516" ht="15" customHeight="1" s="31">
      <c r="A516" s="38" t="n"/>
      <c r="B516" s="38" t="n"/>
      <c r="C516" s="38" t="n"/>
      <c r="D516" s="38" t="n"/>
      <c r="E516" s="38" t="n"/>
      <c r="F516" s="38" t="n"/>
      <c r="G516" s="62" t="n"/>
      <c r="H516" s="62" t="n"/>
      <c r="I516" s="62" t="n"/>
      <c r="J516" s="38" t="n"/>
      <c r="K516" s="62" t="n"/>
      <c r="L516" s="38" t="n"/>
      <c r="M516" s="62" t="n"/>
      <c r="N516" s="38" t="n"/>
      <c r="O516" s="62" t="n"/>
      <c r="P516" s="38" t="n"/>
      <c r="Q516" s="62" t="n"/>
      <c r="R516" s="38" t="n"/>
      <c r="S516" s="62" t="n"/>
      <c r="T516" s="38" t="n"/>
      <c r="U516" s="62" t="n"/>
      <c r="V516" s="38" t="n"/>
      <c r="W516" s="62" t="n"/>
      <c r="X516" s="38" t="n"/>
      <c r="Y516" s="62" t="n"/>
      <c r="Z516" s="38" t="n"/>
      <c r="AA516" s="62" t="n"/>
      <c r="AB516" s="38" t="n"/>
      <c r="AC516" s="62" t="n"/>
      <c r="AD516" s="38" t="n"/>
      <c r="AE516" s="38" t="n"/>
      <c r="AF516" s="61">
        <f>IF(COUNTIF($B$5:B516,B516)=1,1,0)</f>
        <v/>
      </c>
      <c r="AG516" s="62" t="n"/>
    </row>
    <row r="517" ht="15" customHeight="1" s="31">
      <c r="A517" s="38" t="n"/>
      <c r="B517" s="38" t="n"/>
      <c r="C517" s="38" t="n"/>
      <c r="D517" s="38" t="n"/>
      <c r="E517" s="38" t="n"/>
      <c r="F517" s="38" t="n"/>
      <c r="G517" s="62" t="n"/>
      <c r="H517" s="62" t="n"/>
      <c r="I517" s="62" t="n"/>
      <c r="J517" s="38" t="n"/>
      <c r="K517" s="62" t="n"/>
      <c r="L517" s="38" t="n"/>
      <c r="M517" s="62" t="n"/>
      <c r="N517" s="38" t="n"/>
      <c r="O517" s="62" t="n"/>
      <c r="P517" s="38" t="n"/>
      <c r="Q517" s="62" t="n"/>
      <c r="R517" s="38" t="n"/>
      <c r="S517" s="62" t="n"/>
      <c r="T517" s="38" t="n"/>
      <c r="U517" s="62" t="n"/>
      <c r="V517" s="38" t="n"/>
      <c r="W517" s="62" t="n"/>
      <c r="X517" s="38" t="n"/>
      <c r="Y517" s="62" t="n"/>
      <c r="Z517" s="38" t="n"/>
      <c r="AA517" s="62" t="n"/>
      <c r="AB517" s="38" t="n"/>
      <c r="AC517" s="62" t="n"/>
      <c r="AD517" s="38" t="n"/>
      <c r="AE517" s="38" t="n"/>
      <c r="AF517" s="61">
        <f>IF(COUNTIF($B$5:B517,B517)=1,1,0)</f>
        <v/>
      </c>
      <c r="AG517" s="62" t="n"/>
    </row>
    <row r="518" ht="15" customHeight="1" s="31">
      <c r="A518" s="38" t="n"/>
      <c r="B518" s="38" t="n"/>
      <c r="C518" s="38" t="n"/>
      <c r="D518" s="38" t="n"/>
      <c r="E518" s="38" t="n"/>
      <c r="F518" s="38" t="n"/>
      <c r="G518" s="62" t="n"/>
      <c r="H518" s="62" t="n"/>
      <c r="I518" s="62" t="n"/>
      <c r="J518" s="38" t="n"/>
      <c r="K518" s="62" t="n"/>
      <c r="L518" s="38" t="n"/>
      <c r="M518" s="62" t="n"/>
      <c r="N518" s="38" t="n"/>
      <c r="O518" s="62" t="n"/>
      <c r="P518" s="38" t="n"/>
      <c r="Q518" s="62" t="n"/>
      <c r="R518" s="38" t="n"/>
      <c r="S518" s="62" t="n"/>
      <c r="T518" s="38" t="n"/>
      <c r="U518" s="62" t="n"/>
      <c r="V518" s="38" t="n"/>
      <c r="W518" s="62" t="n"/>
      <c r="X518" s="38" t="n"/>
      <c r="Y518" s="62" t="n"/>
      <c r="Z518" s="38" t="n"/>
      <c r="AA518" s="62" t="n"/>
      <c r="AB518" s="38" t="n"/>
      <c r="AC518" s="62" t="n"/>
      <c r="AD518" s="38" t="n"/>
      <c r="AE518" s="38" t="n"/>
      <c r="AF518" s="61">
        <f>IF(COUNTIF($B$5:B518,B518)=1,1,0)</f>
        <v/>
      </c>
      <c r="AG518" s="62" t="n"/>
    </row>
    <row r="519" ht="15" customHeight="1" s="31">
      <c r="A519" s="38" t="n"/>
      <c r="B519" s="38" t="n"/>
      <c r="C519" s="38" t="n"/>
      <c r="D519" s="38" t="n"/>
      <c r="E519" s="38" t="n"/>
      <c r="F519" s="38" t="n"/>
      <c r="G519" s="62" t="n"/>
      <c r="H519" s="62" t="n"/>
      <c r="I519" s="62" t="n"/>
      <c r="J519" s="38" t="n"/>
      <c r="K519" s="62" t="n"/>
      <c r="L519" s="38" t="n"/>
      <c r="M519" s="62" t="n"/>
      <c r="N519" s="38" t="n"/>
      <c r="O519" s="62" t="n"/>
      <c r="P519" s="38" t="n"/>
      <c r="Q519" s="62" t="n"/>
      <c r="R519" s="38" t="n"/>
      <c r="S519" s="62" t="n"/>
      <c r="T519" s="38" t="n"/>
      <c r="U519" s="62" t="n"/>
      <c r="V519" s="38" t="n"/>
      <c r="W519" s="62" t="n"/>
      <c r="X519" s="38" t="n"/>
      <c r="Y519" s="62" t="n"/>
      <c r="Z519" s="38" t="n"/>
      <c r="AA519" s="62" t="n"/>
      <c r="AB519" s="38" t="n"/>
      <c r="AC519" s="62" t="n"/>
      <c r="AD519" s="38" t="n"/>
      <c r="AE519" s="38" t="n"/>
      <c r="AF519" s="61">
        <f>IF(COUNTIF($B$5:B519,B519)=1,1,0)</f>
        <v/>
      </c>
      <c r="AG519" s="62" t="n"/>
    </row>
    <row r="520" ht="15" customHeight="1" s="31">
      <c r="A520" s="38" t="n"/>
      <c r="B520" s="38" t="n"/>
      <c r="C520" s="38" t="n"/>
      <c r="D520" s="38" t="n"/>
      <c r="E520" s="38" t="n"/>
      <c r="F520" s="38" t="n"/>
      <c r="G520" s="62" t="n"/>
      <c r="H520" s="62" t="n"/>
      <c r="I520" s="62" t="n"/>
      <c r="J520" s="38" t="n"/>
      <c r="K520" s="62" t="n"/>
      <c r="L520" s="38" t="n"/>
      <c r="M520" s="62" t="n"/>
      <c r="N520" s="38" t="n"/>
      <c r="O520" s="62" t="n"/>
      <c r="P520" s="38" t="n"/>
      <c r="Q520" s="62" t="n"/>
      <c r="R520" s="38" t="n"/>
      <c r="S520" s="62" t="n"/>
      <c r="T520" s="38" t="n"/>
      <c r="U520" s="62" t="n"/>
      <c r="V520" s="38" t="n"/>
      <c r="W520" s="62" t="n"/>
      <c r="X520" s="38" t="n"/>
      <c r="Y520" s="62" t="n"/>
      <c r="Z520" s="38" t="n"/>
      <c r="AA520" s="62" t="n"/>
      <c r="AB520" s="38" t="n"/>
      <c r="AC520" s="62" t="n"/>
      <c r="AD520" s="38" t="n"/>
      <c r="AE520" s="38" t="n"/>
      <c r="AF520" s="61">
        <f>IF(COUNTIF($B$5:B520,B520)=1,1,0)</f>
        <v/>
      </c>
      <c r="AG520" s="62" t="n"/>
    </row>
    <row r="521" ht="15" customHeight="1" s="31">
      <c r="A521" s="38" t="n"/>
      <c r="B521" s="38" t="n"/>
      <c r="C521" s="38" t="n"/>
      <c r="D521" s="38" t="n"/>
      <c r="E521" s="38" t="n"/>
      <c r="F521" s="38" t="n"/>
      <c r="G521" s="62" t="n"/>
      <c r="H521" s="62" t="n"/>
      <c r="I521" s="62" t="n"/>
      <c r="J521" s="38" t="n"/>
      <c r="K521" s="62" t="n"/>
      <c r="L521" s="38" t="n"/>
      <c r="M521" s="62" t="n"/>
      <c r="N521" s="38" t="n"/>
      <c r="O521" s="62" t="n"/>
      <c r="P521" s="38" t="n"/>
      <c r="Q521" s="62" t="n"/>
      <c r="R521" s="38" t="n"/>
      <c r="S521" s="62" t="n"/>
      <c r="T521" s="38" t="n"/>
      <c r="U521" s="62" t="n"/>
      <c r="V521" s="38" t="n"/>
      <c r="W521" s="62" t="n"/>
      <c r="X521" s="38" t="n"/>
      <c r="Y521" s="62" t="n"/>
      <c r="Z521" s="38" t="n"/>
      <c r="AA521" s="62" t="n"/>
      <c r="AB521" s="38" t="n"/>
      <c r="AC521" s="62" t="n"/>
      <c r="AD521" s="38" t="n"/>
      <c r="AE521" s="38" t="n"/>
      <c r="AF521" s="61">
        <f>IF(COUNTIF($B$5:B521,B521)=1,1,0)</f>
        <v/>
      </c>
      <c r="AG521" s="62" t="n"/>
    </row>
    <row r="522" ht="15" customHeight="1" s="31">
      <c r="A522" s="38" t="n"/>
      <c r="B522" s="38" t="n"/>
      <c r="C522" s="38" t="n"/>
      <c r="D522" s="38" t="n"/>
      <c r="E522" s="38" t="n"/>
      <c r="F522" s="38" t="n"/>
      <c r="G522" s="62" t="n"/>
      <c r="H522" s="62" t="n"/>
      <c r="I522" s="62" t="n"/>
      <c r="J522" s="38" t="n"/>
      <c r="K522" s="62" t="n"/>
      <c r="L522" s="38" t="n"/>
      <c r="M522" s="62" t="n"/>
      <c r="N522" s="38" t="n"/>
      <c r="O522" s="62" t="n"/>
      <c r="P522" s="38" t="n"/>
      <c r="Q522" s="62" t="n"/>
      <c r="R522" s="38" t="n"/>
      <c r="S522" s="62" t="n"/>
      <c r="T522" s="38" t="n"/>
      <c r="U522" s="62" t="n"/>
      <c r="V522" s="38" t="n"/>
      <c r="W522" s="62" t="n"/>
      <c r="X522" s="38" t="n"/>
      <c r="Y522" s="62" t="n"/>
      <c r="Z522" s="38" t="n"/>
      <c r="AA522" s="62" t="n"/>
      <c r="AB522" s="38" t="n"/>
      <c r="AC522" s="62" t="n"/>
      <c r="AD522" s="38" t="n"/>
      <c r="AE522" s="38" t="n"/>
      <c r="AF522" s="61">
        <f>IF(COUNTIF($B$5:B522,B522)=1,1,0)</f>
        <v/>
      </c>
      <c r="AG522" s="62" t="n"/>
    </row>
    <row r="523" ht="15" customHeight="1" s="31">
      <c r="A523" s="38" t="n"/>
      <c r="B523" s="38" t="n"/>
      <c r="C523" s="38" t="n"/>
      <c r="D523" s="38" t="n"/>
      <c r="E523" s="38" t="n"/>
      <c r="F523" s="38" t="n"/>
      <c r="G523" s="62" t="n"/>
      <c r="H523" s="62" t="n"/>
      <c r="I523" s="62" t="n"/>
      <c r="J523" s="38" t="n"/>
      <c r="K523" s="62" t="n"/>
      <c r="L523" s="38" t="n"/>
      <c r="M523" s="62" t="n"/>
      <c r="N523" s="38" t="n"/>
      <c r="O523" s="62" t="n"/>
      <c r="P523" s="38" t="n"/>
      <c r="Q523" s="62" t="n"/>
      <c r="R523" s="38" t="n"/>
      <c r="S523" s="62" t="n"/>
      <c r="T523" s="38" t="n"/>
      <c r="U523" s="62" t="n"/>
      <c r="V523" s="38" t="n"/>
      <c r="W523" s="62" t="n"/>
      <c r="X523" s="38" t="n"/>
      <c r="Y523" s="62" t="n"/>
      <c r="Z523" s="38" t="n"/>
      <c r="AA523" s="62" t="n"/>
      <c r="AB523" s="38" t="n"/>
      <c r="AC523" s="62" t="n"/>
      <c r="AD523" s="38" t="n"/>
      <c r="AE523" s="38" t="n"/>
      <c r="AF523" s="61">
        <f>IF(COUNTIF($B$5:B523,B523)=1,1,0)</f>
        <v/>
      </c>
      <c r="AG523" s="62" t="n"/>
    </row>
    <row r="524" ht="15" customHeight="1" s="31">
      <c r="A524" s="38" t="n"/>
      <c r="B524" s="38" t="n"/>
      <c r="C524" s="38" t="n"/>
      <c r="D524" s="38" t="n"/>
      <c r="E524" s="38" t="n"/>
      <c r="F524" s="38" t="n"/>
      <c r="G524" s="62" t="n"/>
      <c r="H524" s="62" t="n"/>
      <c r="I524" s="62" t="n"/>
      <c r="J524" s="38" t="n"/>
      <c r="K524" s="62" t="n"/>
      <c r="L524" s="38" t="n"/>
      <c r="M524" s="62" t="n"/>
      <c r="N524" s="38" t="n"/>
      <c r="O524" s="62" t="n"/>
      <c r="P524" s="38" t="n"/>
      <c r="Q524" s="62" t="n"/>
      <c r="R524" s="38" t="n"/>
      <c r="S524" s="62" t="n"/>
      <c r="T524" s="38" t="n"/>
      <c r="U524" s="62" t="n"/>
      <c r="V524" s="38" t="n"/>
      <c r="W524" s="62" t="n"/>
      <c r="X524" s="38" t="n"/>
      <c r="Y524" s="62" t="n"/>
      <c r="Z524" s="38" t="n"/>
      <c r="AA524" s="62" t="n"/>
      <c r="AB524" s="38" t="n"/>
      <c r="AC524" s="62" t="n"/>
      <c r="AD524" s="38" t="n"/>
      <c r="AE524" s="38" t="n"/>
      <c r="AF524" s="61">
        <f>IF(COUNTIF($B$5:B524,B524)=1,1,0)</f>
        <v/>
      </c>
      <c r="AG524" s="62" t="n"/>
    </row>
    <row r="525" ht="15" customHeight="1" s="31">
      <c r="A525" s="38" t="n"/>
      <c r="B525" s="38" t="n"/>
      <c r="C525" s="38" t="n"/>
      <c r="D525" s="38" t="n"/>
      <c r="E525" s="38" t="n"/>
      <c r="F525" s="38" t="n"/>
      <c r="G525" s="62" t="n"/>
      <c r="H525" s="62" t="n"/>
      <c r="I525" s="62" t="n"/>
      <c r="J525" s="38" t="n"/>
      <c r="K525" s="62" t="n"/>
      <c r="L525" s="38" t="n"/>
      <c r="M525" s="62" t="n"/>
      <c r="N525" s="38" t="n"/>
      <c r="O525" s="62" t="n"/>
      <c r="P525" s="38" t="n"/>
      <c r="Q525" s="62" t="n"/>
      <c r="R525" s="38" t="n"/>
      <c r="S525" s="62" t="n"/>
      <c r="T525" s="38" t="n"/>
      <c r="U525" s="62" t="n"/>
      <c r="V525" s="38" t="n"/>
      <c r="W525" s="62" t="n"/>
      <c r="X525" s="38" t="n"/>
      <c r="Y525" s="62" t="n"/>
      <c r="Z525" s="38" t="n"/>
      <c r="AA525" s="62" t="n"/>
      <c r="AB525" s="38" t="n"/>
      <c r="AC525" s="62" t="n"/>
      <c r="AD525" s="38" t="n"/>
      <c r="AE525" s="38" t="n"/>
      <c r="AF525" s="61">
        <f>IF(COUNTIF($B$5:B525,B525)=1,1,0)</f>
        <v/>
      </c>
      <c r="AG525" s="62" t="n"/>
    </row>
    <row r="526" ht="15" customHeight="1" s="31">
      <c r="A526" s="38" t="n"/>
      <c r="B526" s="38" t="n"/>
      <c r="C526" s="38" t="n"/>
      <c r="D526" s="38" t="n"/>
      <c r="E526" s="38" t="n"/>
      <c r="F526" s="38" t="n"/>
      <c r="G526" s="62" t="n"/>
      <c r="H526" s="62" t="n"/>
      <c r="I526" s="62" t="n"/>
      <c r="J526" s="38" t="n"/>
      <c r="K526" s="62" t="n"/>
      <c r="L526" s="38" t="n"/>
      <c r="M526" s="62" t="n"/>
      <c r="N526" s="38" t="n"/>
      <c r="O526" s="62" t="n"/>
      <c r="P526" s="38" t="n"/>
      <c r="Q526" s="62" t="n"/>
      <c r="R526" s="38" t="n"/>
      <c r="S526" s="62" t="n"/>
      <c r="T526" s="38" t="n"/>
      <c r="U526" s="62" t="n"/>
      <c r="V526" s="38" t="n"/>
      <c r="W526" s="62" t="n"/>
      <c r="X526" s="38" t="n"/>
      <c r="Y526" s="62" t="n"/>
      <c r="Z526" s="38" t="n"/>
      <c r="AA526" s="62" t="n"/>
      <c r="AB526" s="38" t="n"/>
      <c r="AC526" s="62" t="n"/>
      <c r="AD526" s="38" t="n"/>
      <c r="AE526" s="38" t="n"/>
      <c r="AF526" s="61">
        <f>IF(COUNTIF($B$5:B526,B526)=1,1,0)</f>
        <v/>
      </c>
      <c r="AG526" s="62" t="n"/>
    </row>
    <row r="527" ht="15" customHeight="1" s="31">
      <c r="A527" s="38" t="n"/>
      <c r="B527" s="38" t="n"/>
      <c r="C527" s="38" t="n"/>
      <c r="D527" s="38" t="n"/>
      <c r="E527" s="38" t="n"/>
      <c r="F527" s="38" t="n"/>
      <c r="G527" s="62" t="n"/>
      <c r="H527" s="62" t="n"/>
      <c r="I527" s="62" t="n"/>
      <c r="J527" s="38" t="n"/>
      <c r="K527" s="62" t="n"/>
      <c r="L527" s="38" t="n"/>
      <c r="M527" s="62" t="n"/>
      <c r="N527" s="38" t="n"/>
      <c r="O527" s="62" t="n"/>
      <c r="P527" s="38" t="n"/>
      <c r="Q527" s="62" t="n"/>
      <c r="R527" s="38" t="n"/>
      <c r="S527" s="62" t="n"/>
      <c r="T527" s="38" t="n"/>
      <c r="U527" s="62" t="n"/>
      <c r="V527" s="38" t="n"/>
      <c r="W527" s="62" t="n"/>
      <c r="X527" s="38" t="n"/>
      <c r="Y527" s="62" t="n"/>
      <c r="Z527" s="38" t="n"/>
      <c r="AA527" s="62" t="n"/>
      <c r="AB527" s="38" t="n"/>
      <c r="AC527" s="62" t="n"/>
      <c r="AD527" s="38" t="n"/>
      <c r="AE527" s="38" t="n"/>
      <c r="AF527" s="61">
        <f>IF(COUNTIF($B$5:B527,B527)=1,1,0)</f>
        <v/>
      </c>
      <c r="AG527" s="62" t="n"/>
    </row>
    <row r="528" ht="15" customHeight="1" s="31">
      <c r="A528" s="38" t="n"/>
      <c r="B528" s="38" t="n"/>
      <c r="C528" s="38" t="n"/>
      <c r="D528" s="38" t="n"/>
      <c r="E528" s="38" t="n"/>
      <c r="F528" s="38" t="n"/>
      <c r="G528" s="62" t="n"/>
      <c r="H528" s="62" t="n"/>
      <c r="I528" s="62" t="n"/>
      <c r="J528" s="38" t="n"/>
      <c r="K528" s="62" t="n"/>
      <c r="L528" s="38" t="n"/>
      <c r="M528" s="62" t="n"/>
      <c r="N528" s="38" t="n"/>
      <c r="O528" s="62" t="n"/>
      <c r="P528" s="38" t="n"/>
      <c r="Q528" s="62" t="n"/>
      <c r="R528" s="38" t="n"/>
      <c r="S528" s="62" t="n"/>
      <c r="T528" s="38" t="n"/>
      <c r="U528" s="62" t="n"/>
      <c r="V528" s="38" t="n"/>
      <c r="W528" s="62" t="n"/>
      <c r="X528" s="38" t="n"/>
      <c r="Y528" s="62" t="n"/>
      <c r="Z528" s="38" t="n"/>
      <c r="AA528" s="62" t="n"/>
      <c r="AB528" s="38" t="n"/>
      <c r="AC528" s="62" t="n"/>
      <c r="AD528" s="38" t="n"/>
      <c r="AE528" s="38" t="n"/>
      <c r="AF528" s="61">
        <f>IF(COUNTIF($B$5:B528,B528)=1,1,0)</f>
        <v/>
      </c>
      <c r="AG528" s="62" t="n"/>
    </row>
    <row r="529" ht="15" customHeight="1" s="31">
      <c r="A529" s="38" t="n"/>
      <c r="B529" s="38" t="n"/>
      <c r="C529" s="38" t="n"/>
      <c r="D529" s="38" t="n"/>
      <c r="E529" s="38" t="n"/>
      <c r="F529" s="38" t="n"/>
      <c r="G529" s="62" t="n"/>
      <c r="H529" s="62" t="n"/>
      <c r="I529" s="62" t="n"/>
      <c r="J529" s="38" t="n"/>
      <c r="K529" s="62" t="n"/>
      <c r="L529" s="38" t="n"/>
      <c r="M529" s="62" t="n"/>
      <c r="N529" s="38" t="n"/>
      <c r="O529" s="62" t="n"/>
      <c r="P529" s="38" t="n"/>
      <c r="Q529" s="62" t="n"/>
      <c r="R529" s="38" t="n"/>
      <c r="S529" s="62" t="n"/>
      <c r="T529" s="38" t="n"/>
      <c r="U529" s="62" t="n"/>
      <c r="V529" s="38" t="n"/>
      <c r="W529" s="62" t="n"/>
      <c r="X529" s="38" t="n"/>
      <c r="Y529" s="62" t="n"/>
      <c r="Z529" s="38" t="n"/>
      <c r="AA529" s="62" t="n"/>
      <c r="AB529" s="38" t="n"/>
      <c r="AC529" s="62" t="n"/>
      <c r="AD529" s="38" t="n"/>
      <c r="AE529" s="38" t="n"/>
      <c r="AF529" s="61">
        <f>IF(COUNTIF($B$5:B529,B529)=1,1,0)</f>
        <v/>
      </c>
      <c r="AG529" s="62" t="n"/>
    </row>
    <row r="530" ht="15" customHeight="1" s="31">
      <c r="A530" s="38" t="n"/>
      <c r="B530" s="38" t="n"/>
      <c r="C530" s="38" t="n"/>
      <c r="D530" s="38" t="n"/>
      <c r="E530" s="38" t="n"/>
      <c r="F530" s="38" t="n"/>
      <c r="G530" s="62" t="n"/>
      <c r="H530" s="62" t="n"/>
      <c r="I530" s="62" t="n"/>
      <c r="J530" s="38" t="n"/>
      <c r="K530" s="62" t="n"/>
      <c r="L530" s="38" t="n"/>
      <c r="M530" s="62" t="n"/>
      <c r="N530" s="38" t="n"/>
      <c r="O530" s="62" t="n"/>
      <c r="P530" s="38" t="n"/>
      <c r="Q530" s="62" t="n"/>
      <c r="R530" s="38" t="n"/>
      <c r="S530" s="62" t="n"/>
      <c r="T530" s="38" t="n"/>
      <c r="U530" s="62" t="n"/>
      <c r="V530" s="38" t="n"/>
      <c r="W530" s="62" t="n"/>
      <c r="X530" s="38" t="n"/>
      <c r="Y530" s="62" t="n"/>
      <c r="Z530" s="38" t="n"/>
      <c r="AA530" s="62" t="n"/>
      <c r="AB530" s="38" t="n"/>
      <c r="AC530" s="62" t="n"/>
      <c r="AD530" s="38" t="n"/>
      <c r="AE530" s="38" t="n"/>
      <c r="AF530" s="61">
        <f>IF(COUNTIF($B$5:B530,B530)=1,1,0)</f>
        <v/>
      </c>
      <c r="AG530" s="62" t="n"/>
    </row>
    <row r="531" ht="15" customHeight="1" s="31">
      <c r="A531" s="38" t="n"/>
      <c r="B531" s="38" t="n"/>
      <c r="C531" s="38" t="n"/>
      <c r="D531" s="38" t="n"/>
      <c r="E531" s="38" t="n"/>
      <c r="F531" s="38" t="n"/>
      <c r="G531" s="62" t="n"/>
      <c r="H531" s="62" t="n"/>
      <c r="I531" s="62" t="n"/>
      <c r="J531" s="38" t="n"/>
      <c r="K531" s="62" t="n"/>
      <c r="L531" s="38" t="n"/>
      <c r="M531" s="62" t="n"/>
      <c r="N531" s="38" t="n"/>
      <c r="O531" s="62" t="n"/>
      <c r="P531" s="38" t="n"/>
      <c r="Q531" s="62" t="n"/>
      <c r="R531" s="38" t="n"/>
      <c r="S531" s="62" t="n"/>
      <c r="T531" s="38" t="n"/>
      <c r="U531" s="62" t="n"/>
      <c r="V531" s="38" t="n"/>
      <c r="W531" s="62" t="n"/>
      <c r="X531" s="38" t="n"/>
      <c r="Y531" s="62" t="n"/>
      <c r="Z531" s="38" t="n"/>
      <c r="AA531" s="62" t="n"/>
      <c r="AB531" s="38" t="n"/>
      <c r="AC531" s="62" t="n"/>
      <c r="AD531" s="38" t="n"/>
      <c r="AE531" s="38" t="n"/>
      <c r="AF531" s="61">
        <f>IF(COUNTIF($B$5:B531,B531)=1,1,0)</f>
        <v/>
      </c>
      <c r="AG531" s="62" t="n"/>
    </row>
    <row r="532" ht="15" customHeight="1" s="31">
      <c r="A532" s="38" t="n"/>
      <c r="B532" s="38" t="n"/>
      <c r="C532" s="38" t="n"/>
      <c r="D532" s="38" t="n"/>
      <c r="E532" s="38" t="n"/>
      <c r="F532" s="38" t="n"/>
      <c r="G532" s="62" t="n"/>
      <c r="H532" s="62" t="n"/>
      <c r="I532" s="62" t="n"/>
      <c r="J532" s="38" t="n"/>
      <c r="K532" s="62" t="n"/>
      <c r="L532" s="38" t="n"/>
      <c r="M532" s="62" t="n"/>
      <c r="N532" s="38" t="n"/>
      <c r="O532" s="62" t="n"/>
      <c r="P532" s="38" t="n"/>
      <c r="Q532" s="62" t="n"/>
      <c r="R532" s="38" t="n"/>
      <c r="S532" s="62" t="n"/>
      <c r="T532" s="38" t="n"/>
      <c r="U532" s="62" t="n"/>
      <c r="V532" s="38" t="n"/>
      <c r="W532" s="62" t="n"/>
      <c r="X532" s="38" t="n"/>
      <c r="Y532" s="62" t="n"/>
      <c r="Z532" s="38" t="n"/>
      <c r="AA532" s="62" t="n"/>
      <c r="AB532" s="38" t="n"/>
      <c r="AC532" s="62" t="n"/>
      <c r="AD532" s="38" t="n"/>
      <c r="AE532" s="38" t="n"/>
      <c r="AF532" s="61">
        <f>IF(COUNTIF($B$5:B532,B532)=1,1,0)</f>
        <v/>
      </c>
      <c r="AG532" s="62" t="n"/>
    </row>
    <row r="533" ht="15" customHeight="1" s="31">
      <c r="A533" s="38" t="n"/>
      <c r="B533" s="38" t="n"/>
      <c r="C533" s="38" t="n"/>
      <c r="D533" s="38" t="n"/>
      <c r="E533" s="38" t="n"/>
      <c r="F533" s="38" t="n"/>
      <c r="G533" s="62" t="n"/>
      <c r="H533" s="62" t="n"/>
      <c r="I533" s="62" t="n"/>
      <c r="J533" s="38" t="n"/>
      <c r="K533" s="62" t="n"/>
      <c r="L533" s="38" t="n"/>
      <c r="M533" s="62" t="n"/>
      <c r="N533" s="38" t="n"/>
      <c r="O533" s="62" t="n"/>
      <c r="P533" s="38" t="n"/>
      <c r="Q533" s="62" t="n"/>
      <c r="R533" s="38" t="n"/>
      <c r="S533" s="62" t="n"/>
      <c r="T533" s="38" t="n"/>
      <c r="U533" s="62" t="n"/>
      <c r="V533" s="38" t="n"/>
      <c r="W533" s="62" t="n"/>
      <c r="X533" s="38" t="n"/>
      <c r="Y533" s="62" t="n"/>
      <c r="Z533" s="38" t="n"/>
      <c r="AA533" s="62" t="n"/>
      <c r="AB533" s="38" t="n"/>
      <c r="AC533" s="62" t="n"/>
      <c r="AD533" s="38" t="n"/>
      <c r="AE533" s="38" t="n"/>
      <c r="AF533" s="61">
        <f>IF(COUNTIF($B$5:B533,B533)=1,1,0)</f>
        <v/>
      </c>
      <c r="AG533" s="62" t="n"/>
    </row>
    <row r="534" ht="15" customHeight="1" s="31">
      <c r="A534" s="38" t="n"/>
      <c r="B534" s="38" t="n"/>
      <c r="C534" s="38" t="n"/>
      <c r="D534" s="38" t="n"/>
      <c r="E534" s="38" t="n"/>
      <c r="F534" s="38" t="n"/>
      <c r="G534" s="62" t="n"/>
      <c r="H534" s="62" t="n"/>
      <c r="I534" s="62" t="n"/>
      <c r="J534" s="38" t="n"/>
      <c r="K534" s="62" t="n"/>
      <c r="L534" s="38" t="n"/>
      <c r="M534" s="62" t="n"/>
      <c r="N534" s="38" t="n"/>
      <c r="O534" s="62" t="n"/>
      <c r="P534" s="38" t="n"/>
      <c r="Q534" s="62" t="n"/>
      <c r="R534" s="38" t="n"/>
      <c r="S534" s="62" t="n"/>
      <c r="T534" s="38" t="n"/>
      <c r="U534" s="62" t="n"/>
      <c r="V534" s="38" t="n"/>
      <c r="W534" s="62" t="n"/>
      <c r="X534" s="38" t="n"/>
      <c r="Y534" s="62" t="n"/>
      <c r="Z534" s="38" t="n"/>
      <c r="AA534" s="62" t="n"/>
      <c r="AB534" s="38" t="n"/>
      <c r="AC534" s="62" t="n"/>
      <c r="AD534" s="38" t="n"/>
      <c r="AE534" s="38" t="n"/>
      <c r="AF534" s="61">
        <f>IF(COUNTIF($B$5:B534,B534)=1,1,0)</f>
        <v/>
      </c>
      <c r="AG534" s="62" t="n"/>
    </row>
    <row r="535" ht="15" customHeight="1" s="31">
      <c r="A535" s="38" t="n"/>
      <c r="B535" s="38" t="n"/>
      <c r="C535" s="38" t="n"/>
      <c r="D535" s="38" t="n"/>
      <c r="E535" s="38" t="n"/>
      <c r="F535" s="38" t="n"/>
      <c r="G535" s="62" t="n"/>
      <c r="H535" s="62" t="n"/>
      <c r="I535" s="62" t="n"/>
      <c r="J535" s="38" t="n"/>
      <c r="K535" s="62" t="n"/>
      <c r="L535" s="38" t="n"/>
      <c r="M535" s="62" t="n"/>
      <c r="N535" s="38" t="n"/>
      <c r="O535" s="62" t="n"/>
      <c r="P535" s="38" t="n"/>
      <c r="Q535" s="62" t="n"/>
      <c r="R535" s="38" t="n"/>
      <c r="S535" s="62" t="n"/>
      <c r="T535" s="38" t="n"/>
      <c r="U535" s="62" t="n"/>
      <c r="V535" s="38" t="n"/>
      <c r="W535" s="62" t="n"/>
      <c r="X535" s="38" t="n"/>
      <c r="Y535" s="62" t="n"/>
      <c r="Z535" s="38" t="n"/>
      <c r="AA535" s="62" t="n"/>
      <c r="AB535" s="38" t="n"/>
      <c r="AC535" s="62" t="n"/>
      <c r="AD535" s="38" t="n"/>
      <c r="AE535" s="38" t="n"/>
      <c r="AF535" s="61">
        <f>IF(COUNTIF($B$5:B535,B535)=1,1,0)</f>
        <v/>
      </c>
      <c r="AG535" s="62" t="n"/>
    </row>
    <row r="536" ht="15" customHeight="1" s="31">
      <c r="A536" s="38" t="n"/>
      <c r="B536" s="38" t="n"/>
      <c r="C536" s="38" t="n"/>
      <c r="D536" s="38" t="n"/>
      <c r="E536" s="38" t="n"/>
      <c r="F536" s="38" t="n"/>
      <c r="G536" s="62" t="n"/>
      <c r="H536" s="62" t="n"/>
      <c r="I536" s="62" t="n"/>
      <c r="J536" s="38" t="n"/>
      <c r="K536" s="62" t="n"/>
      <c r="L536" s="38" t="n"/>
      <c r="M536" s="62" t="n"/>
      <c r="N536" s="38" t="n"/>
      <c r="O536" s="62" t="n"/>
      <c r="P536" s="38" t="n"/>
      <c r="Q536" s="62" t="n"/>
      <c r="R536" s="38" t="n"/>
      <c r="S536" s="62" t="n"/>
      <c r="T536" s="38" t="n"/>
      <c r="U536" s="62" t="n"/>
      <c r="V536" s="38" t="n"/>
      <c r="W536" s="62" t="n"/>
      <c r="X536" s="38" t="n"/>
      <c r="Y536" s="62" t="n"/>
      <c r="Z536" s="38" t="n"/>
      <c r="AA536" s="62" t="n"/>
      <c r="AB536" s="38" t="n"/>
      <c r="AC536" s="62" t="n"/>
      <c r="AD536" s="38" t="n"/>
      <c r="AE536" s="38" t="n"/>
      <c r="AF536" s="61">
        <f>IF(COUNTIF($B$5:B536,B536)=1,1,0)</f>
        <v/>
      </c>
      <c r="AG536" s="62" t="n"/>
    </row>
    <row r="537" ht="15" customHeight="1" s="31">
      <c r="A537" s="38" t="n"/>
      <c r="B537" s="38" t="n"/>
      <c r="C537" s="38" t="n"/>
      <c r="D537" s="38" t="n"/>
      <c r="E537" s="38" t="n"/>
      <c r="F537" s="38" t="n"/>
      <c r="G537" s="62" t="n"/>
      <c r="H537" s="62" t="n"/>
      <c r="I537" s="62" t="n"/>
      <c r="J537" s="38" t="n"/>
      <c r="K537" s="62" t="n"/>
      <c r="L537" s="38" t="n"/>
      <c r="M537" s="62" t="n"/>
      <c r="N537" s="38" t="n"/>
      <c r="O537" s="62" t="n"/>
      <c r="P537" s="38" t="n"/>
      <c r="Q537" s="62" t="n"/>
      <c r="R537" s="38" t="n"/>
      <c r="S537" s="62" t="n"/>
      <c r="T537" s="38" t="n"/>
      <c r="U537" s="62" t="n"/>
      <c r="V537" s="38" t="n"/>
      <c r="W537" s="62" t="n"/>
      <c r="X537" s="38" t="n"/>
      <c r="Y537" s="62" t="n"/>
      <c r="Z537" s="38" t="n"/>
      <c r="AA537" s="62" t="n"/>
      <c r="AB537" s="38" t="n"/>
      <c r="AC537" s="62" t="n"/>
      <c r="AD537" s="38" t="n"/>
      <c r="AE537" s="38" t="n"/>
      <c r="AF537" s="61">
        <f>IF(COUNTIF($B$5:B537,B537)=1,1,0)</f>
        <v/>
      </c>
      <c r="AG537" s="62" t="n"/>
    </row>
    <row r="538" ht="15" customHeight="1" s="31">
      <c r="A538" s="38" t="n"/>
      <c r="B538" s="38" t="n"/>
      <c r="C538" s="38" t="n"/>
      <c r="D538" s="38" t="n"/>
      <c r="E538" s="38" t="n"/>
      <c r="F538" s="38" t="n"/>
      <c r="G538" s="62" t="n"/>
      <c r="H538" s="62" t="n"/>
      <c r="I538" s="62" t="n"/>
      <c r="J538" s="38" t="n"/>
      <c r="K538" s="62" t="n"/>
      <c r="L538" s="38" t="n"/>
      <c r="M538" s="62" t="n"/>
      <c r="N538" s="38" t="n"/>
      <c r="O538" s="62" t="n"/>
      <c r="P538" s="38" t="n"/>
      <c r="Q538" s="62" t="n"/>
      <c r="R538" s="38" t="n"/>
      <c r="S538" s="62" t="n"/>
      <c r="T538" s="38" t="n"/>
      <c r="U538" s="62" t="n"/>
      <c r="V538" s="38" t="n"/>
      <c r="W538" s="62" t="n"/>
      <c r="X538" s="38" t="n"/>
      <c r="Y538" s="62" t="n"/>
      <c r="Z538" s="38" t="n"/>
      <c r="AA538" s="62" t="n"/>
      <c r="AB538" s="38" t="n"/>
      <c r="AC538" s="62" t="n"/>
      <c r="AD538" s="38" t="n"/>
      <c r="AE538" s="38" t="n"/>
      <c r="AF538" s="61">
        <f>IF(COUNTIF($B$5:B538,B538)=1,1,0)</f>
        <v/>
      </c>
      <c r="AG538" s="62" t="n"/>
    </row>
    <row r="539" ht="15" customHeight="1" s="31">
      <c r="A539" s="38" t="n"/>
      <c r="B539" s="38" t="n"/>
      <c r="C539" s="38" t="n"/>
      <c r="D539" s="38" t="n"/>
      <c r="E539" s="38" t="n"/>
      <c r="F539" s="38" t="n"/>
      <c r="G539" s="62" t="n"/>
      <c r="H539" s="62" t="n"/>
      <c r="I539" s="62" t="n"/>
      <c r="J539" s="38" t="n"/>
      <c r="K539" s="62" t="n"/>
      <c r="L539" s="38" t="n"/>
      <c r="M539" s="62" t="n"/>
      <c r="N539" s="38" t="n"/>
      <c r="O539" s="62" t="n"/>
      <c r="P539" s="38" t="n"/>
      <c r="Q539" s="62" t="n"/>
      <c r="R539" s="38" t="n"/>
      <c r="S539" s="62" t="n"/>
      <c r="T539" s="38" t="n"/>
      <c r="U539" s="62" t="n"/>
      <c r="V539" s="38" t="n"/>
      <c r="W539" s="62" t="n"/>
      <c r="X539" s="38" t="n"/>
      <c r="Y539" s="62" t="n"/>
      <c r="Z539" s="38" t="n"/>
      <c r="AA539" s="62" t="n"/>
      <c r="AB539" s="38" t="n"/>
      <c r="AC539" s="62" t="n"/>
      <c r="AD539" s="38" t="n"/>
      <c r="AE539" s="38" t="n"/>
      <c r="AF539" s="61">
        <f>IF(COUNTIF($B$5:B539,B539)=1,1,0)</f>
        <v/>
      </c>
      <c r="AG539" s="62" t="n"/>
    </row>
    <row r="540" ht="15" customHeight="1" s="31">
      <c r="A540" s="38" t="n"/>
      <c r="B540" s="38" t="n"/>
      <c r="C540" s="38" t="n"/>
      <c r="D540" s="38" t="n"/>
      <c r="E540" s="38" t="n"/>
      <c r="F540" s="38" t="n"/>
      <c r="G540" s="62" t="n"/>
      <c r="H540" s="62" t="n"/>
      <c r="I540" s="62" t="n"/>
      <c r="J540" s="38" t="n"/>
      <c r="K540" s="62" t="n"/>
      <c r="L540" s="38" t="n"/>
      <c r="M540" s="62" t="n"/>
      <c r="N540" s="38" t="n"/>
      <c r="O540" s="62" t="n"/>
      <c r="P540" s="38" t="n"/>
      <c r="Q540" s="62" t="n"/>
      <c r="R540" s="38" t="n"/>
      <c r="S540" s="62" t="n"/>
      <c r="T540" s="38" t="n"/>
      <c r="U540" s="62" t="n"/>
      <c r="V540" s="38" t="n"/>
      <c r="W540" s="62" t="n"/>
      <c r="X540" s="38" t="n"/>
      <c r="Y540" s="62" t="n"/>
      <c r="Z540" s="38" t="n"/>
      <c r="AA540" s="62" t="n"/>
      <c r="AB540" s="38" t="n"/>
      <c r="AC540" s="62" t="n"/>
      <c r="AD540" s="38" t="n"/>
      <c r="AE540" s="38" t="n"/>
      <c r="AF540" s="61">
        <f>IF(COUNTIF($B$5:B540,B540)=1,1,0)</f>
        <v/>
      </c>
      <c r="AG540" s="62" t="n"/>
    </row>
    <row r="541" ht="15" customHeight="1" s="31">
      <c r="A541" s="38" t="n"/>
      <c r="B541" s="38" t="n"/>
      <c r="C541" s="38" t="n"/>
      <c r="D541" s="38" t="n"/>
      <c r="E541" s="38" t="n"/>
      <c r="F541" s="38" t="n"/>
      <c r="G541" s="62" t="n"/>
      <c r="H541" s="62" t="n"/>
      <c r="I541" s="62" t="n"/>
      <c r="J541" s="38" t="n"/>
      <c r="K541" s="62" t="n"/>
      <c r="L541" s="38" t="n"/>
      <c r="M541" s="62" t="n"/>
      <c r="N541" s="38" t="n"/>
      <c r="O541" s="62" t="n"/>
      <c r="P541" s="38" t="n"/>
      <c r="Q541" s="62" t="n"/>
      <c r="R541" s="38" t="n"/>
      <c r="S541" s="62" t="n"/>
      <c r="T541" s="38" t="n"/>
      <c r="U541" s="62" t="n"/>
      <c r="V541" s="38" t="n"/>
      <c r="W541" s="62" t="n"/>
      <c r="X541" s="38" t="n"/>
      <c r="Y541" s="62" t="n"/>
      <c r="Z541" s="38" t="n"/>
      <c r="AA541" s="62" t="n"/>
      <c r="AB541" s="38" t="n"/>
      <c r="AC541" s="62" t="n"/>
      <c r="AD541" s="38" t="n"/>
      <c r="AE541" s="38" t="n"/>
      <c r="AF541" s="61">
        <f>IF(COUNTIF($B$5:B541,B541)=1,1,0)</f>
        <v/>
      </c>
      <c r="AG541" s="62" t="n"/>
    </row>
    <row r="542" ht="15" customHeight="1" s="31">
      <c r="A542" s="38" t="n"/>
      <c r="B542" s="38" t="n"/>
      <c r="C542" s="38" t="n"/>
      <c r="D542" s="38" t="n"/>
      <c r="E542" s="38" t="n"/>
      <c r="F542" s="38" t="n"/>
      <c r="G542" s="62" t="n"/>
      <c r="H542" s="62" t="n"/>
      <c r="I542" s="62" t="n"/>
      <c r="J542" s="38" t="n"/>
      <c r="K542" s="62" t="n"/>
      <c r="L542" s="38" t="n"/>
      <c r="M542" s="62" t="n"/>
      <c r="N542" s="38" t="n"/>
      <c r="O542" s="62" t="n"/>
      <c r="P542" s="38" t="n"/>
      <c r="Q542" s="62" t="n"/>
      <c r="R542" s="38" t="n"/>
      <c r="S542" s="62" t="n"/>
      <c r="T542" s="38" t="n"/>
      <c r="U542" s="62" t="n"/>
      <c r="V542" s="38" t="n"/>
      <c r="W542" s="62" t="n"/>
      <c r="X542" s="38" t="n"/>
      <c r="Y542" s="62" t="n"/>
      <c r="Z542" s="38" t="n"/>
      <c r="AA542" s="62" t="n"/>
      <c r="AB542" s="38" t="n"/>
      <c r="AC542" s="62" t="n"/>
      <c r="AD542" s="38" t="n"/>
      <c r="AE542" s="38" t="n"/>
      <c r="AF542" s="61">
        <f>IF(COUNTIF($B$5:B542,B542)=1,1,0)</f>
        <v/>
      </c>
      <c r="AG542" s="62" t="n"/>
    </row>
    <row r="543" ht="15" customHeight="1" s="31">
      <c r="A543" s="38" t="n"/>
      <c r="B543" s="38" t="n"/>
      <c r="C543" s="38" t="n"/>
      <c r="D543" s="38" t="n"/>
      <c r="E543" s="38" t="n"/>
      <c r="F543" s="38" t="n"/>
      <c r="G543" s="62" t="n"/>
      <c r="H543" s="62" t="n"/>
      <c r="I543" s="62" t="n"/>
      <c r="J543" s="38" t="n"/>
      <c r="K543" s="62" t="n"/>
      <c r="L543" s="38" t="n"/>
      <c r="M543" s="62" t="n"/>
      <c r="N543" s="38" t="n"/>
      <c r="O543" s="62" t="n"/>
      <c r="P543" s="38" t="n"/>
      <c r="Q543" s="62" t="n"/>
      <c r="R543" s="38" t="n"/>
      <c r="S543" s="62" t="n"/>
      <c r="T543" s="38" t="n"/>
      <c r="U543" s="62" t="n"/>
      <c r="V543" s="38" t="n"/>
      <c r="W543" s="62" t="n"/>
      <c r="X543" s="38" t="n"/>
      <c r="Y543" s="62" t="n"/>
      <c r="Z543" s="38" t="n"/>
      <c r="AA543" s="62" t="n"/>
      <c r="AB543" s="38" t="n"/>
      <c r="AC543" s="62" t="n"/>
      <c r="AD543" s="38" t="n"/>
      <c r="AE543" s="38" t="n"/>
      <c r="AF543" s="61">
        <f>IF(COUNTIF($B$5:B543,B543)=1,1,0)</f>
        <v/>
      </c>
      <c r="AG543" s="62" t="n"/>
    </row>
    <row r="544" ht="15" customHeight="1" s="31">
      <c r="A544" s="38" t="n"/>
      <c r="B544" s="38" t="n"/>
      <c r="C544" s="38" t="n"/>
      <c r="D544" s="38" t="n"/>
      <c r="E544" s="38" t="n"/>
      <c r="F544" s="38" t="n"/>
      <c r="G544" s="62" t="n"/>
      <c r="H544" s="62" t="n"/>
      <c r="I544" s="62" t="n"/>
      <c r="J544" s="38" t="n"/>
      <c r="K544" s="62" t="n"/>
      <c r="L544" s="38" t="n"/>
      <c r="M544" s="62" t="n"/>
      <c r="N544" s="38" t="n"/>
      <c r="O544" s="62" t="n"/>
      <c r="P544" s="38" t="n"/>
      <c r="Q544" s="62" t="n"/>
      <c r="R544" s="38" t="n"/>
      <c r="S544" s="62" t="n"/>
      <c r="T544" s="38" t="n"/>
      <c r="U544" s="62" t="n"/>
      <c r="V544" s="38" t="n"/>
      <c r="W544" s="62" t="n"/>
      <c r="X544" s="38" t="n"/>
      <c r="Y544" s="62" t="n"/>
      <c r="Z544" s="38" t="n"/>
      <c r="AA544" s="62" t="n"/>
      <c r="AB544" s="38" t="n"/>
      <c r="AC544" s="62" t="n"/>
      <c r="AD544" s="38" t="n"/>
      <c r="AE544" s="38" t="n"/>
      <c r="AF544" s="61">
        <f>IF(COUNTIF($B$5:B544,B544)=1,1,0)</f>
        <v/>
      </c>
      <c r="AG544" s="62" t="n"/>
    </row>
    <row r="545" ht="15" customHeight="1" s="31">
      <c r="A545" s="38" t="n"/>
      <c r="B545" s="38" t="n"/>
      <c r="C545" s="38" t="n"/>
      <c r="D545" s="38" t="n"/>
      <c r="E545" s="38" t="n"/>
      <c r="F545" s="38" t="n"/>
      <c r="G545" s="62" t="n"/>
      <c r="H545" s="62" t="n"/>
      <c r="I545" s="62" t="n"/>
      <c r="J545" s="38" t="n"/>
      <c r="K545" s="62" t="n"/>
      <c r="L545" s="38" t="n"/>
      <c r="M545" s="62" t="n"/>
      <c r="N545" s="38" t="n"/>
      <c r="O545" s="62" t="n"/>
      <c r="P545" s="38" t="n"/>
      <c r="Q545" s="62" t="n"/>
      <c r="R545" s="38" t="n"/>
      <c r="S545" s="62" t="n"/>
      <c r="T545" s="38" t="n"/>
      <c r="U545" s="62" t="n"/>
      <c r="V545" s="38" t="n"/>
      <c r="W545" s="62" t="n"/>
      <c r="X545" s="38" t="n"/>
      <c r="Y545" s="62" t="n"/>
      <c r="Z545" s="38" t="n"/>
      <c r="AA545" s="62" t="n"/>
      <c r="AB545" s="38" t="n"/>
      <c r="AC545" s="62" t="n"/>
      <c r="AD545" s="38" t="n"/>
      <c r="AE545" s="38" t="n"/>
      <c r="AF545" s="61">
        <f>IF(COUNTIF($B$5:B545,B545)=1,1,0)</f>
        <v/>
      </c>
      <c r="AG545" s="62" t="n"/>
    </row>
    <row r="546" ht="15" customHeight="1" s="31">
      <c r="A546" s="38" t="n"/>
      <c r="B546" s="38" t="n"/>
      <c r="C546" s="38" t="n"/>
      <c r="D546" s="38" t="n"/>
      <c r="E546" s="38" t="n"/>
      <c r="F546" s="38" t="n"/>
      <c r="G546" s="62" t="n"/>
      <c r="H546" s="62" t="n"/>
      <c r="I546" s="62" t="n"/>
      <c r="J546" s="38" t="n"/>
      <c r="K546" s="62" t="n"/>
      <c r="L546" s="38" t="n"/>
      <c r="M546" s="62" t="n"/>
      <c r="N546" s="38" t="n"/>
      <c r="O546" s="62" t="n"/>
      <c r="P546" s="38" t="n"/>
      <c r="Q546" s="62" t="n"/>
      <c r="R546" s="38" t="n"/>
      <c r="S546" s="62" t="n"/>
      <c r="T546" s="38" t="n"/>
      <c r="U546" s="62" t="n"/>
      <c r="V546" s="38" t="n"/>
      <c r="W546" s="62" t="n"/>
      <c r="X546" s="38" t="n"/>
      <c r="Y546" s="62" t="n"/>
      <c r="Z546" s="38" t="n"/>
      <c r="AA546" s="62" t="n"/>
      <c r="AB546" s="38" t="n"/>
      <c r="AC546" s="62" t="n"/>
      <c r="AD546" s="38" t="n"/>
      <c r="AE546" s="38" t="n"/>
      <c r="AF546" s="61">
        <f>IF(COUNTIF($B$5:B546,B546)=1,1,0)</f>
        <v/>
      </c>
      <c r="AG546" s="62" t="n"/>
    </row>
    <row r="547" ht="15" customHeight="1" s="31">
      <c r="A547" s="38" t="n"/>
      <c r="B547" s="38" t="n"/>
      <c r="C547" s="38" t="n"/>
      <c r="D547" s="38" t="n"/>
      <c r="E547" s="38" t="n"/>
      <c r="F547" s="38" t="n"/>
      <c r="G547" s="62" t="n"/>
      <c r="H547" s="62" t="n"/>
      <c r="I547" s="62" t="n"/>
      <c r="J547" s="38" t="n"/>
      <c r="K547" s="62" t="n"/>
      <c r="L547" s="38" t="n"/>
      <c r="M547" s="62" t="n"/>
      <c r="N547" s="38" t="n"/>
      <c r="O547" s="62" t="n"/>
      <c r="P547" s="38" t="n"/>
      <c r="Q547" s="62" t="n"/>
      <c r="R547" s="38" t="n"/>
      <c r="S547" s="62" t="n"/>
      <c r="T547" s="38" t="n"/>
      <c r="U547" s="62" t="n"/>
      <c r="V547" s="38" t="n"/>
      <c r="W547" s="62" t="n"/>
      <c r="X547" s="38" t="n"/>
      <c r="Y547" s="62" t="n"/>
      <c r="Z547" s="38" t="n"/>
      <c r="AA547" s="62" t="n"/>
      <c r="AB547" s="38" t="n"/>
      <c r="AC547" s="62" t="n"/>
      <c r="AD547" s="38" t="n"/>
      <c r="AE547" s="38" t="n"/>
      <c r="AF547" s="61">
        <f>IF(COUNTIF($B$5:B547,B547)=1,1,0)</f>
        <v/>
      </c>
      <c r="AG547" s="62" t="n"/>
    </row>
    <row r="548" ht="15" customHeight="1" s="31">
      <c r="A548" s="38" t="n"/>
      <c r="B548" s="38" t="n"/>
      <c r="C548" s="38" t="n"/>
      <c r="D548" s="38" t="n"/>
      <c r="E548" s="38" t="n"/>
      <c r="F548" s="38" t="n"/>
      <c r="G548" s="62" t="n"/>
      <c r="H548" s="62" t="n"/>
      <c r="I548" s="62" t="n"/>
      <c r="J548" s="38" t="n"/>
      <c r="K548" s="62" t="n"/>
      <c r="L548" s="38" t="n"/>
      <c r="M548" s="62" t="n"/>
      <c r="N548" s="38" t="n"/>
      <c r="O548" s="62" t="n"/>
      <c r="P548" s="38" t="n"/>
      <c r="Q548" s="62" t="n"/>
      <c r="R548" s="38" t="n"/>
      <c r="S548" s="62" t="n"/>
      <c r="T548" s="38" t="n"/>
      <c r="U548" s="62" t="n"/>
      <c r="V548" s="38" t="n"/>
      <c r="W548" s="62" t="n"/>
      <c r="X548" s="38" t="n"/>
      <c r="Y548" s="62" t="n"/>
      <c r="Z548" s="38" t="n"/>
      <c r="AA548" s="62" t="n"/>
      <c r="AB548" s="38" t="n"/>
      <c r="AC548" s="62" t="n"/>
      <c r="AD548" s="38" t="n"/>
      <c r="AE548" s="38" t="n"/>
      <c r="AF548" s="61">
        <f>IF(COUNTIF($B$5:B548,B548)=1,1,0)</f>
        <v/>
      </c>
      <c r="AG548" s="62" t="n"/>
    </row>
    <row r="549" ht="15" customHeight="1" s="31">
      <c r="A549" s="38" t="n"/>
      <c r="B549" s="38" t="n"/>
      <c r="C549" s="38" t="n"/>
      <c r="D549" s="38" t="n"/>
      <c r="E549" s="38" t="n"/>
      <c r="F549" s="38" t="n"/>
      <c r="G549" s="62" t="n"/>
      <c r="H549" s="62" t="n"/>
      <c r="I549" s="62" t="n"/>
      <c r="J549" s="38" t="n"/>
      <c r="K549" s="62" t="n"/>
      <c r="L549" s="38" t="n"/>
      <c r="M549" s="62" t="n"/>
      <c r="N549" s="38" t="n"/>
      <c r="O549" s="62" t="n"/>
      <c r="P549" s="38" t="n"/>
      <c r="Q549" s="62" t="n"/>
      <c r="R549" s="38" t="n"/>
      <c r="S549" s="62" t="n"/>
      <c r="T549" s="38" t="n"/>
      <c r="U549" s="62" t="n"/>
      <c r="V549" s="38" t="n"/>
      <c r="W549" s="62" t="n"/>
      <c r="X549" s="38" t="n"/>
      <c r="Y549" s="62" t="n"/>
      <c r="Z549" s="38" t="n"/>
      <c r="AA549" s="62" t="n"/>
      <c r="AB549" s="38" t="n"/>
      <c r="AC549" s="62" t="n"/>
      <c r="AD549" s="38" t="n"/>
      <c r="AE549" s="38" t="n"/>
      <c r="AF549" s="61">
        <f>IF(COUNTIF($B$5:B549,B549)=1,1,0)</f>
        <v/>
      </c>
      <c r="AG549" s="62" t="n"/>
    </row>
    <row r="550" ht="15" customHeight="1" s="31">
      <c r="A550" s="38" t="n"/>
      <c r="B550" s="38" t="n"/>
      <c r="C550" s="38" t="n"/>
      <c r="D550" s="38" t="n"/>
      <c r="E550" s="38" t="n"/>
      <c r="F550" s="38" t="n"/>
      <c r="G550" s="62" t="n"/>
      <c r="H550" s="62" t="n"/>
      <c r="I550" s="62" t="n"/>
      <c r="J550" s="38" t="n"/>
      <c r="K550" s="62" t="n"/>
      <c r="L550" s="38" t="n"/>
      <c r="M550" s="62" t="n"/>
      <c r="N550" s="38" t="n"/>
      <c r="O550" s="62" t="n"/>
      <c r="P550" s="38" t="n"/>
      <c r="Q550" s="62" t="n"/>
      <c r="R550" s="38" t="n"/>
      <c r="S550" s="62" t="n"/>
      <c r="T550" s="38" t="n"/>
      <c r="U550" s="62" t="n"/>
      <c r="V550" s="38" t="n"/>
      <c r="W550" s="62" t="n"/>
      <c r="X550" s="38" t="n"/>
      <c r="Y550" s="62" t="n"/>
      <c r="Z550" s="38" t="n"/>
      <c r="AA550" s="62" t="n"/>
      <c r="AB550" s="38" t="n"/>
      <c r="AC550" s="62" t="n"/>
      <c r="AD550" s="38" t="n"/>
      <c r="AE550" s="38" t="n"/>
      <c r="AF550" s="61">
        <f>IF(COUNTIF($B$5:B550,B550)=1,1,0)</f>
        <v/>
      </c>
      <c r="AG550" s="62" t="n"/>
    </row>
    <row r="551" ht="15" customHeight="1" s="31">
      <c r="A551" s="38" t="n"/>
      <c r="B551" s="38" t="n"/>
      <c r="C551" s="38" t="n"/>
      <c r="D551" s="38" t="n"/>
      <c r="E551" s="38" t="n"/>
      <c r="F551" s="38" t="n"/>
      <c r="G551" s="62" t="n"/>
      <c r="H551" s="62" t="n"/>
      <c r="I551" s="62" t="n"/>
      <c r="J551" s="38" t="n"/>
      <c r="K551" s="62" t="n"/>
      <c r="L551" s="38" t="n"/>
      <c r="M551" s="62" t="n"/>
      <c r="N551" s="38" t="n"/>
      <c r="O551" s="62" t="n"/>
      <c r="P551" s="38" t="n"/>
      <c r="Q551" s="62" t="n"/>
      <c r="R551" s="38" t="n"/>
      <c r="S551" s="62" t="n"/>
      <c r="T551" s="38" t="n"/>
      <c r="U551" s="62" t="n"/>
      <c r="V551" s="38" t="n"/>
      <c r="W551" s="62" t="n"/>
      <c r="X551" s="38" t="n"/>
      <c r="Y551" s="62" t="n"/>
      <c r="Z551" s="38" t="n"/>
      <c r="AA551" s="62" t="n"/>
      <c r="AB551" s="38" t="n"/>
      <c r="AC551" s="62" t="n"/>
      <c r="AD551" s="38" t="n"/>
      <c r="AE551" s="38" t="n"/>
      <c r="AF551" s="61">
        <f>IF(COUNTIF($B$5:B551,B551)=1,1,0)</f>
        <v/>
      </c>
      <c r="AG551" s="62" t="n"/>
    </row>
    <row r="552" ht="15" customHeight="1" s="31">
      <c r="A552" s="38" t="n"/>
      <c r="B552" s="38" t="n"/>
      <c r="C552" s="38" t="n"/>
      <c r="D552" s="38" t="n"/>
      <c r="E552" s="38" t="n"/>
      <c r="F552" s="38" t="n"/>
      <c r="G552" s="62" t="n"/>
      <c r="H552" s="62" t="n"/>
      <c r="I552" s="62" t="n"/>
      <c r="J552" s="38" t="n"/>
      <c r="K552" s="62" t="n"/>
      <c r="L552" s="38" t="n"/>
      <c r="M552" s="62" t="n"/>
      <c r="N552" s="38" t="n"/>
      <c r="O552" s="62" t="n"/>
      <c r="P552" s="38" t="n"/>
      <c r="Q552" s="62" t="n"/>
      <c r="R552" s="38" t="n"/>
      <c r="S552" s="62" t="n"/>
      <c r="T552" s="38" t="n"/>
      <c r="U552" s="62" t="n"/>
      <c r="V552" s="38" t="n"/>
      <c r="W552" s="62" t="n"/>
      <c r="X552" s="38" t="n"/>
      <c r="Y552" s="62" t="n"/>
      <c r="Z552" s="38" t="n"/>
      <c r="AA552" s="62" t="n"/>
      <c r="AB552" s="38" t="n"/>
      <c r="AC552" s="62" t="n"/>
      <c r="AD552" s="38" t="n"/>
      <c r="AE552" s="38" t="n"/>
      <c r="AF552" s="61">
        <f>IF(COUNTIF($B$5:B552,B552)=1,1,0)</f>
        <v/>
      </c>
      <c r="AG552" s="62" t="n"/>
    </row>
    <row r="553" ht="15" customHeight="1" s="31">
      <c r="A553" s="38" t="n"/>
      <c r="B553" s="38" t="n"/>
      <c r="C553" s="38" t="n"/>
      <c r="D553" s="38" t="n"/>
      <c r="E553" s="38" t="n"/>
      <c r="F553" s="38" t="n"/>
      <c r="G553" s="62" t="n"/>
      <c r="H553" s="62" t="n"/>
      <c r="I553" s="62" t="n"/>
      <c r="J553" s="38" t="n"/>
      <c r="K553" s="62" t="n"/>
      <c r="L553" s="38" t="n"/>
      <c r="M553" s="62" t="n"/>
      <c r="N553" s="38" t="n"/>
      <c r="O553" s="62" t="n"/>
      <c r="P553" s="38" t="n"/>
      <c r="Q553" s="62" t="n"/>
      <c r="R553" s="38" t="n"/>
      <c r="S553" s="62" t="n"/>
      <c r="T553" s="38" t="n"/>
      <c r="U553" s="62" t="n"/>
      <c r="V553" s="38" t="n"/>
      <c r="W553" s="62" t="n"/>
      <c r="X553" s="38" t="n"/>
      <c r="Y553" s="62" t="n"/>
      <c r="Z553" s="38" t="n"/>
      <c r="AA553" s="62" t="n"/>
      <c r="AB553" s="38" t="n"/>
      <c r="AC553" s="62" t="n"/>
      <c r="AD553" s="38" t="n"/>
      <c r="AE553" s="38" t="n"/>
      <c r="AF553" s="61">
        <f>IF(COUNTIF($B$5:B553,B553)=1,1,0)</f>
        <v/>
      </c>
      <c r="AG553" s="62" t="n"/>
    </row>
    <row r="554" ht="15" customHeight="1" s="31">
      <c r="A554" s="38" t="n"/>
      <c r="B554" s="38" t="n"/>
      <c r="C554" s="38" t="n"/>
      <c r="D554" s="38" t="n"/>
      <c r="E554" s="38" t="n"/>
      <c r="F554" s="38" t="n"/>
      <c r="G554" s="62" t="n"/>
      <c r="H554" s="62" t="n"/>
      <c r="I554" s="62" t="n"/>
      <c r="J554" s="38" t="n"/>
      <c r="K554" s="62" t="n"/>
      <c r="L554" s="38" t="n"/>
      <c r="M554" s="62" t="n"/>
      <c r="N554" s="38" t="n"/>
      <c r="O554" s="62" t="n"/>
      <c r="P554" s="38" t="n"/>
      <c r="Q554" s="62" t="n"/>
      <c r="R554" s="38" t="n"/>
      <c r="S554" s="62" t="n"/>
      <c r="T554" s="38" t="n"/>
      <c r="U554" s="62" t="n"/>
      <c r="V554" s="38" t="n"/>
      <c r="W554" s="62" t="n"/>
      <c r="X554" s="38" t="n"/>
      <c r="Y554" s="62" t="n"/>
      <c r="Z554" s="38" t="n"/>
      <c r="AA554" s="62" t="n"/>
      <c r="AB554" s="38" t="n"/>
      <c r="AC554" s="62" t="n"/>
      <c r="AD554" s="38" t="n"/>
      <c r="AE554" s="38" t="n"/>
      <c r="AF554" s="61">
        <f>IF(COUNTIF($B$5:B554,B554)=1,1,0)</f>
        <v/>
      </c>
      <c r="AG554" s="62" t="n"/>
    </row>
    <row r="555" ht="15" customHeight="1" s="31">
      <c r="A555" s="38" t="n"/>
      <c r="B555" s="38" t="n"/>
      <c r="C555" s="38" t="n"/>
      <c r="D555" s="38" t="n"/>
      <c r="E555" s="38" t="n"/>
      <c r="F555" s="38" t="n"/>
      <c r="G555" s="62" t="n"/>
      <c r="H555" s="62" t="n"/>
      <c r="I555" s="62" t="n"/>
      <c r="J555" s="38" t="n"/>
      <c r="K555" s="62" t="n"/>
      <c r="L555" s="38" t="n"/>
      <c r="M555" s="62" t="n"/>
      <c r="N555" s="38" t="n"/>
      <c r="O555" s="62" t="n"/>
      <c r="P555" s="38" t="n"/>
      <c r="Q555" s="62" t="n"/>
      <c r="R555" s="38" t="n"/>
      <c r="S555" s="62" t="n"/>
      <c r="T555" s="38" t="n"/>
      <c r="U555" s="62" t="n"/>
      <c r="V555" s="38" t="n"/>
      <c r="W555" s="62" t="n"/>
      <c r="X555" s="38" t="n"/>
      <c r="Y555" s="62" t="n"/>
      <c r="Z555" s="38" t="n"/>
      <c r="AA555" s="62" t="n"/>
      <c r="AB555" s="38" t="n"/>
      <c r="AC555" s="62" t="n"/>
      <c r="AD555" s="38" t="n"/>
      <c r="AE555" s="38" t="n"/>
      <c r="AF555" s="61">
        <f>IF(COUNTIF($B$5:B555,B555)=1,1,0)</f>
        <v/>
      </c>
      <c r="AG555" s="62" t="n"/>
    </row>
    <row r="556" ht="15" customHeight="1" s="31">
      <c r="A556" s="38" t="n"/>
      <c r="B556" s="38" t="n"/>
      <c r="C556" s="38" t="n"/>
      <c r="D556" s="38" t="n"/>
      <c r="E556" s="38" t="n"/>
      <c r="F556" s="38" t="n"/>
      <c r="G556" s="62" t="n"/>
      <c r="H556" s="62" t="n"/>
      <c r="I556" s="62" t="n"/>
      <c r="J556" s="38" t="n"/>
      <c r="K556" s="62" t="n"/>
      <c r="L556" s="38" t="n"/>
      <c r="M556" s="62" t="n"/>
      <c r="N556" s="38" t="n"/>
      <c r="O556" s="62" t="n"/>
      <c r="P556" s="38" t="n"/>
      <c r="Q556" s="62" t="n"/>
      <c r="R556" s="38" t="n"/>
      <c r="S556" s="62" t="n"/>
      <c r="T556" s="38" t="n"/>
      <c r="U556" s="62" t="n"/>
      <c r="V556" s="38" t="n"/>
      <c r="W556" s="62" t="n"/>
      <c r="X556" s="38" t="n"/>
      <c r="Y556" s="62" t="n"/>
      <c r="Z556" s="38" t="n"/>
      <c r="AA556" s="62" t="n"/>
      <c r="AB556" s="38" t="n"/>
      <c r="AC556" s="62" t="n"/>
      <c r="AD556" s="38" t="n"/>
      <c r="AE556" s="38" t="n"/>
      <c r="AF556" s="61">
        <f>IF(COUNTIF($B$5:B556,B556)=1,1,0)</f>
        <v/>
      </c>
      <c r="AG556" s="62" t="n"/>
    </row>
    <row r="557" ht="15" customHeight="1" s="31">
      <c r="A557" s="38" t="n"/>
      <c r="B557" s="38" t="n"/>
      <c r="C557" s="38" t="n"/>
      <c r="D557" s="38" t="n"/>
      <c r="E557" s="38" t="n"/>
      <c r="F557" s="38" t="n"/>
      <c r="G557" s="62" t="n"/>
      <c r="H557" s="62" t="n"/>
      <c r="I557" s="62" t="n"/>
      <c r="J557" s="38" t="n"/>
      <c r="K557" s="62" t="n"/>
      <c r="L557" s="38" t="n"/>
      <c r="M557" s="62" t="n"/>
      <c r="N557" s="38" t="n"/>
      <c r="O557" s="62" t="n"/>
      <c r="P557" s="38" t="n"/>
      <c r="Q557" s="62" t="n"/>
      <c r="R557" s="38" t="n"/>
      <c r="S557" s="62" t="n"/>
      <c r="T557" s="38" t="n"/>
      <c r="U557" s="62" t="n"/>
      <c r="V557" s="38" t="n"/>
      <c r="W557" s="62" t="n"/>
      <c r="X557" s="38" t="n"/>
      <c r="Y557" s="62" t="n"/>
      <c r="Z557" s="38" t="n"/>
      <c r="AA557" s="62" t="n"/>
      <c r="AB557" s="38" t="n"/>
      <c r="AC557" s="62" t="n"/>
      <c r="AD557" s="38" t="n"/>
      <c r="AE557" s="38" t="n"/>
      <c r="AF557" s="61">
        <f>IF(COUNTIF($B$5:B557,B557)=1,1,0)</f>
        <v/>
      </c>
      <c r="AG557" s="62" t="n"/>
    </row>
  </sheetData>
  <mergeCells count="2">
    <mergeCell ref="A2:AG2"/>
    <mergeCell ref="A1:AG1"/>
  </mergeCells>
  <dataValidations count="6">
    <dataValidation sqref="C5:C557" showDropDown="0" showInputMessage="0" showErrorMessage="0" allowBlank="1" type="list" errorStyle="stop" operator="between">
      <formula1>"Infobae Colombia,El Tiempo,El Espectador,La Silla Vacía,Semana"</formula1>
      <formula2>0</formula2>
    </dataValidation>
    <dataValidation sqref="D5:D557" showDropDown="0" showInputMessage="0" showErrorMessage="0" allowBlank="1" type="list" errorStyle="stop" operator="between">
      <formula1>"Transición de gobierno y relación con la oposición,Respuesta a la emergencia del terremoto,Relación con Estados Unidos,Reformas sociales en disputa (pensional/tributaria),Seguridad y orden público"</formula1>
      <formula2>0</formula2>
    </dataValidation>
    <dataValidation sqref="E5:E557" showDropDown="0" showInputMessage="0" showErrorMessage="0" allowBlank="1" type="list" errorStyle="stop" operator="between">
      <formula1>"Noticia dura,Opinión-análisis"</formula1>
      <formula2>0</formula2>
    </dataValidation>
    <dataValidation sqref="J5:J557 L5:L557 N5:N557 P5:P557 R5:R557 T5:T557 V5:V557 X5:X557 Z5:Z557" showDropDown="0" showInputMessage="0" showErrorMessage="0" allowBlank="0" type="list">
      <formula1>"TRUE,FALSE"</formula1>
    </dataValidation>
    <dataValidation sqref="AB5:AB557" showDropDown="0" showInputMessage="0" showErrorMessage="0" allowBlank="0" type="list">
      <formula1>"favorece,perjudica,neutral"</formula1>
    </dataValidation>
    <dataValidation sqref="AD5:AD557 AE5:AE557" showDropDown="0" showInputMessage="0" showErrorMessage="0" allowBlank="0" type="whole" operator="between">
      <formula1>1</formula1>
      <formula2>5</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2026-09-04T05:19:50Z</dcterms:created>
  <dcterms:modified xmlns:dcterms="http://purl.org/dc/terms/" xmlns:xsi="http://www.w3.org/2001/XMLSchema-instance" xsi:type="dcterms:W3CDTF">2026-09-06T05:16:04Z</dcterms:modified>
  <cp:revision>0</cp:revision>
</cp:coreProperties>
</file>