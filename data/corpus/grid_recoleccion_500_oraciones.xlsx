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Grid de recoleccion"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rpus - oraciones" sheetId="4" state="visible" r:id="rId4"/>
    <sheet xmlns:r="http://schemas.openxmlformats.org/officeDocument/2006/relationships" name="Grid de recoleccion v2" sheetId="5" state="visible" r:id="rId5"/>
    <sheet xmlns:r="http://schemas.openxmlformats.org/officeDocument/2006/relationships" name="Corpus - oraciones v2"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color rgb="FFFFFFFF"/>
      <sz val="10"/>
    </font>
    <font>
      <name val="Arial"/>
      <charset val="1"/>
      <family val="0"/>
      <sz val="10"/>
    </font>
    <font>
      <name val="Arial"/>
      <charset val="1"/>
      <family val="0"/>
      <color rgb="FF0000FF"/>
      <sz val="10"/>
    </font>
    <font>
      <name val="Arial"/>
      <charset val="1"/>
      <family val="0"/>
      <color rgb="FF000000"/>
      <sz val="10"/>
    </font>
    <font>
      <name val="Arial"/>
      <charset val="1"/>
      <family val="0"/>
      <b val="1"/>
      <sz val="10"/>
    </font>
    <font>
      <name val="Arial"/>
      <charset val="1"/>
      <family val="0"/>
      <b val="1"/>
      <color rgb="FFFFFFFF"/>
      <sz val="9"/>
    </font>
    <font>
      <name val="Arial"/>
      <charset val="1"/>
      <family val="0"/>
      <i val="1"/>
      <color rgb="FF595959"/>
      <sz val="9"/>
    </font>
    <font>
      <name val="Arial"/>
      <charset val="1"/>
      <family val="0"/>
      <color rgb="FF595959"/>
      <sz val="9"/>
    </font>
  </fonts>
  <fills count="6">
    <fill>
      <patternFill/>
    </fill>
    <fill>
      <patternFill patternType="gray125"/>
    </fill>
    <fill>
      <patternFill patternType="solid">
        <fgColor rgb="FF2F5496"/>
        <bgColor rgb="FF1F3864"/>
      </patternFill>
    </fill>
    <fill>
      <patternFill patternType="solid">
        <fgColor rgb="FFFFFF00"/>
        <bgColor rgb="FFFFFF00"/>
      </patternFill>
    </fill>
    <fill>
      <patternFill patternType="solid">
        <fgColor rgb="FFF2F2F2"/>
        <bgColor rgb="FFFFFFFF"/>
      </patternFill>
    </fill>
    <fill>
      <patternFill patternType="solid">
        <fgColor rgb="FFD9E1F2"/>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general" vertical="bottom"/>
    </xf>
    <xf numFmtId="0" fontId="5"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0" fillId="0" borderId="4" pivotButton="0" quotePrefix="0" xfId="0"/>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left" vertical="center"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1"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3"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7" customWidth="1" style="30" min="1" max="1"/>
    <col width="30" customWidth="1" style="30" min="2" max="2"/>
    <col width="10" customWidth="1" style="30" min="3" max="3"/>
    <col width="12" customWidth="1" style="30" min="4" max="4"/>
    <col width="9" customWidth="1" style="30" min="5" max="5"/>
    <col width="11" customWidth="1" style="30" min="6" max="7"/>
    <col width="10" customWidth="1" style="30" min="8" max="8"/>
    <col width="9" customWidth="1" style="30" min="9" max="9"/>
    <col width="12" customWidth="1" style="30" min="10" max="10"/>
    <col width="22" customWidth="1" style="30" min="11" max="11"/>
  </cols>
  <sheetData>
    <row r="1" ht="17.35" customHeight="1" s="31">
      <c r="A1" s="55" t="inlineStr">
        <is>
          <t>Grid de recolección — 500 oraciones (5 medios x 5 temas)</t>
        </is>
      </c>
    </row>
    <row r="2" ht="27.75" customHeight="1" s="31">
      <c r="A2" s="56" t="inlineStr">
        <is>
          <t>Celdas en AMARILLO son las que se editan: objetivos ya propuestos (ajustables), artículos recolectados y estado. La columna 'Oraciones anotadas (real)' YA NO se llena a mano: se calcula sola contando lo que hay en la hoja 'Corpus - oraciones'.</t>
        </is>
      </c>
    </row>
    <row r="4" ht="46.25" customHeight="1" s="31">
      <c r="A4" s="34" t="inlineStr">
        <is>
          <t>Medio</t>
        </is>
      </c>
      <c r="B4" s="34" t="inlineStr">
        <is>
          <t>Tema</t>
        </is>
      </c>
      <c r="C4" s="34" t="inlineStr">
        <is>
          <t>Objetivo
oraciones
(dura)</t>
        </is>
      </c>
      <c r="D4" s="34" t="inlineStr">
        <is>
          <t>Objetivo
oraciones
(opinión/análisis)</t>
        </is>
      </c>
      <c r="E4" s="34" t="inlineStr">
        <is>
          <t>Objetivo
total</t>
        </is>
      </c>
      <c r="F4" s="34" t="inlineStr">
        <is>
          <t>Artículos
recolectados
(dura)</t>
        </is>
      </c>
      <c r="G4" s="34" t="inlineStr">
        <is>
          <t>Artículos
recolectados
(opinión)</t>
        </is>
      </c>
      <c r="H4" s="34" t="inlineStr">
        <is>
          <t>Oraciones
anotadas
(real)</t>
        </is>
      </c>
      <c r="I4" s="34" t="inlineStr">
        <is>
          <t>% avance</t>
        </is>
      </c>
      <c r="J4" s="34" t="inlineStr">
        <is>
          <t>Estado</t>
        </is>
      </c>
      <c r="K4" s="34" t="inlineStr">
        <is>
          <t>Notas</t>
        </is>
      </c>
    </row>
    <row r="5" ht="30" customHeight="1" s="31">
      <c r="A5" s="35" t="inlineStr">
        <is>
          <t>Infobae Colombia</t>
        </is>
      </c>
      <c r="B5" s="35" t="inlineStr">
        <is>
          <t>Transición de gobierno y relación con la oposición</t>
        </is>
      </c>
      <c r="C5" s="36" t="n">
        <v>20</v>
      </c>
      <c r="D5" s="36" t="n">
        <v>0</v>
      </c>
      <c r="E5" s="37">
        <f>C5+D5</f>
        <v/>
      </c>
      <c r="F5" s="38" t="n">
        <v>3</v>
      </c>
      <c r="G5" s="38" t="n">
        <v>0</v>
      </c>
      <c r="H5" s="37">
        <f>SUMIFS('Corpus - oraciones'!$AF$3:$AF$600,'Corpus - oraciones'!$C$3:$C$600,A5,'Corpus - oraciones'!$D$3:$D$600,B5)</f>
        <v/>
      </c>
      <c r="I5" s="39">
        <f>IFERROR(H5/E5,0)</f>
        <v/>
      </c>
      <c r="J5" s="38" t="inlineStr">
        <is>
          <t>Pendiente</t>
        </is>
      </c>
      <c r="K5" s="62" t="inlineStr">
        <is>
          <t>Redistribuido 2026-09-05: sin opinión propia de Colombia (ver aviso_legal en medios.yaml); objetivo movido íntegro a dura.</t>
        </is>
      </c>
    </row>
    <row r="6" ht="30" customHeight="1" s="31">
      <c r="A6" s="35" t="inlineStr">
        <is>
          <t>Infobae Colombia</t>
        </is>
      </c>
      <c r="B6" s="35" t="inlineStr">
        <is>
          <t>Respuesta a la emergencia del terremoto</t>
        </is>
      </c>
      <c r="C6" s="36" t="n">
        <v>20</v>
      </c>
      <c r="D6" s="36" t="n">
        <v>0</v>
      </c>
      <c r="E6" s="37">
        <f>C6+D6</f>
        <v/>
      </c>
      <c r="F6" s="38" t="n">
        <v>3</v>
      </c>
      <c r="G6" s="38" t="n">
        <v>0</v>
      </c>
      <c r="H6" s="37">
        <f>SUMIFS('Corpus - oraciones'!$AF$3:$AF$600,'Corpus - oraciones'!$C$3:$C$600,A6,'Corpus - oraciones'!$D$3:$D$600,B6)</f>
        <v/>
      </c>
      <c r="I6" s="39">
        <f>IFERROR(H6/E6,0)</f>
        <v/>
      </c>
      <c r="J6" s="38" t="inlineStr">
        <is>
          <t>Pendiente</t>
        </is>
      </c>
      <c r="K6" s="62" t="inlineStr">
        <is>
          <t>Redistribuido 2026-09-05: sin opinión propia de Colombia (ver aviso_legal en medios.yaml); objetivo movido íntegro a dura.</t>
        </is>
      </c>
    </row>
    <row r="7" ht="30" customHeight="1" s="31">
      <c r="A7" s="35" t="inlineStr">
        <is>
          <t>Infobae Colombia</t>
        </is>
      </c>
      <c r="B7" s="35" t="inlineStr">
        <is>
          <t>Relación con Estados Unidos</t>
        </is>
      </c>
      <c r="C7" s="36" t="n">
        <v>20</v>
      </c>
      <c r="D7" s="36" t="n">
        <v>0</v>
      </c>
      <c r="E7" s="37">
        <f>C7+D7</f>
        <v/>
      </c>
      <c r="F7" s="38" t="n">
        <v>4</v>
      </c>
      <c r="G7" s="38" t="n">
        <v>0</v>
      </c>
      <c r="H7" s="37">
        <f>SUMIFS('Corpus - oraciones'!$AF$3:$AF$600,'Corpus - oraciones'!$C$3:$C$600,A7,'Corpus - oraciones'!$D$3:$D$600,B7)</f>
        <v/>
      </c>
      <c r="I7" s="39">
        <f>IFERROR(H7/E7,0)</f>
        <v/>
      </c>
      <c r="J7" s="38" t="inlineStr">
        <is>
          <t>Pendiente</t>
        </is>
      </c>
      <c r="K7" s="62" t="inlineStr">
        <is>
          <t>Redistribuido 2026-09-05: sin opinión propia de Colombia (ver aviso_legal en medios.yaml); objetivo movido íntegro a dura.</t>
        </is>
      </c>
    </row>
    <row r="8" ht="30" customHeight="1" s="31">
      <c r="A8" s="35" t="inlineStr">
        <is>
          <t>Infobae Colombia</t>
        </is>
      </c>
      <c r="B8" s="35" t="inlineStr">
        <is>
          <t>Reformas sociales en disputa (pensional/tributaria)</t>
        </is>
      </c>
      <c r="C8" s="36" t="n">
        <v>20</v>
      </c>
      <c r="D8" s="36" t="n">
        <v>0</v>
      </c>
      <c r="E8" s="37">
        <f>C8+D8</f>
        <v/>
      </c>
      <c r="F8" s="38" t="n">
        <v>3</v>
      </c>
      <c r="G8" s="38" t="n">
        <v>0</v>
      </c>
      <c r="H8" s="37">
        <f>SUMIFS('Corpus - oraciones'!$AF$3:$AF$600,'Corpus - oraciones'!$C$3:$C$600,A8,'Corpus - oraciones'!$D$3:$D$600,B8)</f>
        <v/>
      </c>
      <c r="I8" s="39">
        <f>IFERROR(H8/E8,0)</f>
        <v/>
      </c>
      <c r="J8" s="38" t="inlineStr">
        <is>
          <t>Pendiente</t>
        </is>
      </c>
      <c r="K8" s="62" t="inlineStr">
        <is>
          <t>Redistribuido 2026-09-05: sin opinión propia de Colombia (ver aviso_legal en medios.yaml); objetivo movido íntegro a dura.</t>
        </is>
      </c>
    </row>
    <row r="9" ht="30" customHeight="1" s="31">
      <c r="A9" s="35" t="inlineStr">
        <is>
          <t>Infobae Colombia</t>
        </is>
      </c>
      <c r="B9" s="35" t="inlineStr">
        <is>
          <t>Seguridad y orden público</t>
        </is>
      </c>
      <c r="C9" s="36" t="n">
        <v>20</v>
      </c>
      <c r="D9" s="36" t="n">
        <v>0</v>
      </c>
      <c r="E9" s="37">
        <f>C9+D9</f>
        <v/>
      </c>
      <c r="F9" s="38" t="n">
        <v>3</v>
      </c>
      <c r="G9" s="38" t="n">
        <v>0</v>
      </c>
      <c r="H9" s="37">
        <f>SUMIFS('Corpus - oraciones'!$AF$3:$AF$600,'Corpus - oraciones'!$C$3:$C$600,A9,'Corpus - oraciones'!$D$3:$D$600,B9)</f>
        <v/>
      </c>
      <c r="I9" s="39">
        <f>IFERROR(H9/E9,0)</f>
        <v/>
      </c>
      <c r="J9" s="38" t="inlineStr">
        <is>
          <t>Pendiente</t>
        </is>
      </c>
      <c r="K9" s="62" t="inlineStr">
        <is>
          <t>Redistribuido 2026-09-05: sin opinión propia de Colombia (ver aviso_legal en medios.yaml); objetivo movido íntegro a dura.</t>
        </is>
      </c>
    </row>
    <row r="10" ht="30" customHeight="1" s="31">
      <c r="A10" s="41" t="inlineStr">
        <is>
          <t>El Tiempo</t>
        </is>
      </c>
      <c r="B10" s="41" t="inlineStr">
        <is>
          <t>Transición de gobierno y relación con la oposición</t>
        </is>
      </c>
      <c r="C10" s="36" t="n">
        <v>14</v>
      </c>
      <c r="D10" s="36" t="n">
        <v>6</v>
      </c>
      <c r="E10" s="42">
        <f>C10+D10</f>
        <v/>
      </c>
      <c r="F10" s="38" t="n">
        <v>2</v>
      </c>
      <c r="G10" s="38" t="n">
        <v>1</v>
      </c>
      <c r="H10" s="42">
        <f>SUMIFS('Corpus - oraciones'!$AF$3:$AF$600,'Corpus - oraciones'!$C$3:$C$600,A10,'Corpus - oraciones'!$D$3:$D$600,B10)</f>
        <v/>
      </c>
      <c r="I10" s="43">
        <f>IFERROR(H10/E10,0)</f>
        <v/>
      </c>
      <c r="J10" s="38" t="inlineStr">
        <is>
          <t>Pendiente</t>
        </is>
      </c>
      <c r="K10" s="62" t="n"/>
    </row>
    <row r="11" ht="30" customHeight="1" s="31">
      <c r="A11" s="41" t="inlineStr">
        <is>
          <t>El Tiempo</t>
        </is>
      </c>
      <c r="B11" s="41" t="inlineStr">
        <is>
          <t>Respuesta a la emergencia del terremoto</t>
        </is>
      </c>
      <c r="C11" s="36" t="n">
        <v>14</v>
      </c>
      <c r="D11" s="36" t="n">
        <v>6</v>
      </c>
      <c r="E11" s="42">
        <f>C11+D11</f>
        <v/>
      </c>
      <c r="F11" s="38" t="n">
        <v>3</v>
      </c>
      <c r="G11" s="38" t="n">
        <v>1</v>
      </c>
      <c r="H11" s="42">
        <f>SUMIFS('Corpus - oraciones'!$AF$3:$AF$600,'Corpus - oraciones'!$C$3:$C$600,A11,'Corpus - oraciones'!$D$3:$D$600,B11)</f>
        <v/>
      </c>
      <c r="I11" s="43">
        <f>IFERROR(H11/E11,0)</f>
        <v/>
      </c>
      <c r="J11" s="38" t="inlineStr">
        <is>
          <t>Pendiente</t>
        </is>
      </c>
      <c r="K11" s="62" t="n"/>
    </row>
    <row r="12" ht="30" customHeight="1" s="31">
      <c r="A12" s="41" t="inlineStr">
        <is>
          <t>El Tiempo</t>
        </is>
      </c>
      <c r="B12" s="41" t="inlineStr">
        <is>
          <t>Relación con Estados Unidos</t>
        </is>
      </c>
      <c r="C12" s="36" t="n">
        <v>20</v>
      </c>
      <c r="D12" s="36" t="n">
        <v>0</v>
      </c>
      <c r="E12" s="42">
        <f>C12+D12</f>
        <v/>
      </c>
      <c r="F12" s="38" t="n">
        <v>3</v>
      </c>
      <c r="G12" s="38" t="n">
        <v>0</v>
      </c>
      <c r="H12" s="42">
        <f>SUMIFS('Corpus - oraciones'!$AF$3:$AF$600,'Corpus - oraciones'!$C$3:$C$600,A12,'Corpus - oraciones'!$D$3:$D$600,B12)</f>
        <v/>
      </c>
      <c r="I12" s="43">
        <f>IFERROR(H12/E12,0)</f>
        <v/>
      </c>
      <c r="J12" s="38" t="inlineStr">
        <is>
          <t>Pendiente</t>
        </is>
      </c>
      <c r="K12" s="62" t="inlineStr">
        <is>
          <t>Redistribuido 2026-09-05: no se encontró columna de opinión propia sobre Estados Unidos en circulación actual (se probaron ~15 columnas de opinión de El Tiempo -- política exterior, editoriales -- ninguna calificó tras verificar con clasificar_tema()); objetivo movido íntegro a dura, igual que Infobae/El Espectador-Seguridad.</t>
        </is>
      </c>
    </row>
    <row r="13" ht="30" customHeight="1" s="31">
      <c r="A13" s="41" t="inlineStr">
        <is>
          <t>El Tiempo</t>
        </is>
      </c>
      <c r="B13" s="41" t="inlineStr">
        <is>
          <t>Reformas sociales en disputa (pensional/tributaria)</t>
        </is>
      </c>
      <c r="C13" s="36" t="n">
        <v>14</v>
      </c>
      <c r="D13" s="36" t="n">
        <v>6</v>
      </c>
      <c r="E13" s="42">
        <f>C13+D13</f>
        <v/>
      </c>
      <c r="F13" s="38" t="n">
        <v>2</v>
      </c>
      <c r="G13" s="38" t="n">
        <v>1</v>
      </c>
      <c r="H13" s="42">
        <f>SUMIFS('Corpus - oraciones'!$AF$3:$AF$600,'Corpus - oraciones'!$C$3:$C$600,A13,'Corpus - oraciones'!$D$3:$D$600,B13)</f>
        <v/>
      </c>
      <c r="I13" s="43">
        <f>IFERROR(H13/E13,0)</f>
        <v/>
      </c>
      <c r="J13" s="38" t="inlineStr">
        <is>
          <t>Pendiente</t>
        </is>
      </c>
      <c r="K13" s="62" t="n"/>
    </row>
    <row r="14" ht="30" customHeight="1" s="31">
      <c r="A14" s="41" t="inlineStr">
        <is>
          <t>El Tiempo</t>
        </is>
      </c>
      <c r="B14" s="41" t="inlineStr">
        <is>
          <t>Seguridad y orden público</t>
        </is>
      </c>
      <c r="C14" s="36" t="n">
        <v>14</v>
      </c>
      <c r="D14" s="36" t="n">
        <v>6</v>
      </c>
      <c r="E14" s="42">
        <f>C14+D14</f>
        <v/>
      </c>
      <c r="F14" s="38" t="n">
        <v>2</v>
      </c>
      <c r="G14" s="38" t="n">
        <v>1</v>
      </c>
      <c r="H14" s="42">
        <f>SUMIFS('Corpus - oraciones'!$AF$3:$AF$600,'Corpus - oraciones'!$C$3:$C$600,A14,'Corpus - oraciones'!$D$3:$D$600,B14)</f>
        <v/>
      </c>
      <c r="I14" s="43">
        <f>IFERROR(H14/E14,0)</f>
        <v/>
      </c>
      <c r="J14" s="38" t="inlineStr">
        <is>
          <t>Pendiente</t>
        </is>
      </c>
      <c r="K14" s="62" t="n"/>
    </row>
    <row r="15" ht="30" customHeight="1" s="31">
      <c r="A15" s="35" t="inlineStr">
        <is>
          <t>El Espectador</t>
        </is>
      </c>
      <c r="B15" s="35" t="inlineStr">
        <is>
          <t>Transición de gobierno y relación con la oposición</t>
        </is>
      </c>
      <c r="C15" s="36" t="n">
        <v>6</v>
      </c>
      <c r="D15" s="36" t="n">
        <v>14</v>
      </c>
      <c r="E15" s="37">
        <f>C15+D15</f>
        <v/>
      </c>
      <c r="F15" s="38" t="n">
        <v>1</v>
      </c>
      <c r="G15" s="38" t="n">
        <v>1</v>
      </c>
      <c r="H15" s="37">
        <f>SUMIFS('Corpus - oraciones'!$AF$3:$AF$600,'Corpus - oraciones'!$C$3:$C$600,A15,'Corpus - oraciones'!$D$3:$D$600,B15)</f>
        <v/>
      </c>
      <c r="I15" s="39">
        <f>IFERROR(H15/E15,0)</f>
        <v/>
      </c>
      <c r="J15" s="38" t="inlineStr">
        <is>
          <t>Pendiente</t>
        </is>
      </c>
      <c r="K15" s="62" t="n"/>
    </row>
    <row r="16" ht="30" customHeight="1" s="31">
      <c r="A16" s="35" t="inlineStr">
        <is>
          <t>El Espectador</t>
        </is>
      </c>
      <c r="B16" s="35" t="inlineStr">
        <is>
          <t>Respuesta a la emergencia del terremoto</t>
        </is>
      </c>
      <c r="C16" s="36" t="n">
        <v>6</v>
      </c>
      <c r="D16" s="36" t="n">
        <v>14</v>
      </c>
      <c r="E16" s="37">
        <f>C16+D16</f>
        <v/>
      </c>
      <c r="F16" s="38" t="n">
        <v>1</v>
      </c>
      <c r="G16" s="38" t="n">
        <v>1</v>
      </c>
      <c r="H16" s="37">
        <f>SUMIFS('Corpus - oraciones'!$AF$3:$AF$600,'Corpus - oraciones'!$C$3:$C$600,A16,'Corpus - oraciones'!$D$3:$D$600,B16)</f>
        <v/>
      </c>
      <c r="I16" s="39">
        <f>IFERROR(H16/E16,0)</f>
        <v/>
      </c>
      <c r="J16" s="38" t="inlineStr">
        <is>
          <t>Pendiente</t>
        </is>
      </c>
      <c r="K16" s="62" t="n"/>
    </row>
    <row r="17" ht="30" customHeight="1" s="31">
      <c r="A17" s="35" t="inlineStr">
        <is>
          <t>El Espectador</t>
        </is>
      </c>
      <c r="B17" s="35" t="inlineStr">
        <is>
          <t>Relación con Estados Unidos</t>
        </is>
      </c>
      <c r="C17" s="36" t="n">
        <v>6</v>
      </c>
      <c r="D17" s="36" t="n">
        <v>14</v>
      </c>
      <c r="E17" s="37">
        <f>C17+D17</f>
        <v/>
      </c>
      <c r="F17" s="38" t="n">
        <v>1</v>
      </c>
      <c r="G17" s="38" t="n">
        <v>1</v>
      </c>
      <c r="H17" s="37">
        <f>SUMIFS('Corpus - oraciones'!$AF$3:$AF$600,'Corpus - oraciones'!$C$3:$C$600,A17,'Corpus - oraciones'!$D$3:$D$600,B17)</f>
        <v/>
      </c>
      <c r="I17" s="39">
        <f>IFERROR(H17/E17,0)</f>
        <v/>
      </c>
      <c r="J17" s="38" t="inlineStr">
        <is>
          <t>Pendiente</t>
        </is>
      </c>
      <c r="K17" s="62" t="n"/>
    </row>
    <row r="18" ht="30" customHeight="1" s="31">
      <c r="A18" s="35" t="inlineStr">
        <is>
          <t>El Espectador</t>
        </is>
      </c>
      <c r="B18" s="35" t="inlineStr">
        <is>
          <t>Reformas sociales en disputa (pensional/tributaria)</t>
        </is>
      </c>
      <c r="C18" s="36" t="n">
        <v>6</v>
      </c>
      <c r="D18" s="36" t="n">
        <v>14</v>
      </c>
      <c r="E18" s="37">
        <f>C18+D18</f>
        <v/>
      </c>
      <c r="F18" s="38" t="n">
        <v>1</v>
      </c>
      <c r="G18" s="38" t="n">
        <v>1</v>
      </c>
      <c r="H18" s="37">
        <f>SUMIFS('Corpus - oraciones'!$AF$3:$AF$600,'Corpus - oraciones'!$C$3:$C$600,A18,'Corpus - oraciones'!$D$3:$D$600,B18)</f>
        <v/>
      </c>
      <c r="I18" s="39">
        <f>IFERROR(H18/E18,0)</f>
        <v/>
      </c>
      <c r="J18" s="38" t="inlineStr">
        <is>
          <t>Pendiente</t>
        </is>
      </c>
      <c r="K18" s="62" t="n"/>
    </row>
    <row r="19" ht="30" customHeight="1" s="31">
      <c r="A19" s="35" t="inlineStr">
        <is>
          <t>El Espectador</t>
        </is>
      </c>
      <c r="B19" s="35" t="inlineStr">
        <is>
          <t>Seguridad y orden público</t>
        </is>
      </c>
      <c r="C19" s="36" t="n">
        <v>20</v>
      </c>
      <c r="D19" s="36" t="n">
        <v>0</v>
      </c>
      <c r="E19" s="37">
        <f>C19+D19</f>
        <v/>
      </c>
      <c r="F19" s="38" t="n">
        <v>3</v>
      </c>
      <c r="G19" s="38" t="n">
        <v>0</v>
      </c>
      <c r="H19" s="37">
        <f>SUMIFS('Corpus - oraciones'!$AF$3:$AF$600,'Corpus - oraciones'!$C$3:$C$600,A19,'Corpus - oraciones'!$D$3:$D$600,B19)</f>
        <v/>
      </c>
      <c r="I19" s="39">
        <f>IFERROR(H19/E19,0)</f>
        <v/>
      </c>
      <c r="J19" s="38" t="inlineStr">
        <is>
          <t>Pendiente</t>
        </is>
      </c>
      <c r="K19" s="62" t="inlineStr">
        <is>
          <t>Redistribuido 2026-09-05: sin opinión sobre seguridad disponible tras 2 intentos; objetivo movido íntegro a dura.</t>
        </is>
      </c>
    </row>
    <row r="20" ht="30" customHeight="1" s="31">
      <c r="A20" s="41" t="inlineStr">
        <is>
          <t>La Silla Vacía</t>
        </is>
      </c>
      <c r="B20" s="41" t="inlineStr">
        <is>
          <t>Transición de gobierno y relación con la oposición</t>
        </is>
      </c>
      <c r="C20" s="36" t="n">
        <v>8</v>
      </c>
      <c r="D20" s="36" t="n">
        <v>12</v>
      </c>
      <c r="E20" s="42">
        <f>C20+D20</f>
        <v/>
      </c>
      <c r="F20" s="38" t="n">
        <v>1</v>
      </c>
      <c r="G20" s="38" t="n">
        <v>2</v>
      </c>
      <c r="H20" s="42">
        <f>SUMIFS('Corpus - oraciones'!$AF$3:$AF$600,'Corpus - oraciones'!$C$3:$C$600,A20,'Corpus - oraciones'!$D$3:$D$600,B20)</f>
        <v/>
      </c>
      <c r="I20" s="43">
        <f>IFERROR(H20/E20,0)</f>
        <v/>
      </c>
      <c r="J20" s="38" t="inlineStr">
        <is>
          <t>Pendiente</t>
        </is>
      </c>
      <c r="K20" s="62" t="n"/>
    </row>
    <row r="21" ht="30" customHeight="1" s="31">
      <c r="A21" s="41" t="inlineStr">
        <is>
          <t>La Silla Vacía</t>
        </is>
      </c>
      <c r="B21" s="41" t="inlineStr">
        <is>
          <t>Respuesta a la emergencia del terremoto</t>
        </is>
      </c>
      <c r="C21" s="36" t="n">
        <v>8</v>
      </c>
      <c r="D21" s="36" t="n">
        <v>12</v>
      </c>
      <c r="E21" s="42">
        <f>C21+D21</f>
        <v/>
      </c>
      <c r="F21" s="38" t="n">
        <v>1</v>
      </c>
      <c r="G21" s="38" t="n">
        <v>2</v>
      </c>
      <c r="H21" s="42">
        <f>SUMIFS('Corpus - oraciones'!$AF$3:$AF$600,'Corpus - oraciones'!$C$3:$C$600,A21,'Corpus - oraciones'!$D$3:$D$600,B21)</f>
        <v/>
      </c>
      <c r="I21" s="43">
        <f>IFERROR(H21/E21,0)</f>
        <v/>
      </c>
      <c r="J21" s="38" t="inlineStr">
        <is>
          <t>Pendiente</t>
        </is>
      </c>
      <c r="K21" s="62" t="n"/>
    </row>
    <row r="22" ht="30" customHeight="1" s="31">
      <c r="A22" s="41" t="inlineStr">
        <is>
          <t>La Silla Vacía</t>
        </is>
      </c>
      <c r="B22" s="41" t="inlineStr">
        <is>
          <t>Relación con Estados Unidos</t>
        </is>
      </c>
      <c r="C22" s="36" t="n">
        <v>8</v>
      </c>
      <c r="D22" s="36" t="n">
        <v>12</v>
      </c>
      <c r="E22" s="42">
        <f>C22+D22</f>
        <v/>
      </c>
      <c r="F22" s="38" t="n">
        <v>1</v>
      </c>
      <c r="G22" s="38" t="n">
        <v>3</v>
      </c>
      <c r="H22" s="42">
        <f>SUMIFS('Corpus - oraciones'!$AF$3:$AF$600,'Corpus - oraciones'!$C$3:$C$600,A22,'Corpus - oraciones'!$D$3:$D$600,B22)</f>
        <v/>
      </c>
      <c r="I22" s="43">
        <f>IFERROR(H22/E22,0)</f>
        <v/>
      </c>
      <c r="J22" s="38" t="inlineStr">
        <is>
          <t>Pendiente</t>
        </is>
      </c>
      <c r="K22" s="62" t="n"/>
    </row>
    <row r="23" ht="30" customHeight="1" s="31">
      <c r="A23" s="41" t="inlineStr">
        <is>
          <t>La Silla Vacía</t>
        </is>
      </c>
      <c r="B23" s="41" t="inlineStr">
        <is>
          <t>Reformas sociales en disputa (pensional/tributaria)</t>
        </is>
      </c>
      <c r="C23" s="36" t="n">
        <v>8</v>
      </c>
      <c r="D23" s="36" t="n">
        <v>12</v>
      </c>
      <c r="E23" s="42">
        <f>C23+D23</f>
        <v/>
      </c>
      <c r="F23" s="38" t="n">
        <v>1</v>
      </c>
      <c r="G23" s="38" t="n">
        <v>3</v>
      </c>
      <c r="H23" s="42">
        <f>SUMIFS('Corpus - oraciones'!$AF$3:$AF$600,'Corpus - oraciones'!$C$3:$C$600,A23,'Corpus - oraciones'!$D$3:$D$600,B23)</f>
        <v/>
      </c>
      <c r="I23" s="43">
        <f>IFERROR(H23/E23,0)</f>
        <v/>
      </c>
      <c r="J23" s="38" t="inlineStr">
        <is>
          <t>Pendiente</t>
        </is>
      </c>
      <c r="K23" s="62" t="n"/>
    </row>
    <row r="24" ht="30" customHeight="1" s="31">
      <c r="A24" s="41" t="inlineStr">
        <is>
          <t>La Silla Vacía</t>
        </is>
      </c>
      <c r="B24" s="41" t="inlineStr">
        <is>
          <t>Seguridad y orden público</t>
        </is>
      </c>
      <c r="C24" s="36" t="n">
        <v>8</v>
      </c>
      <c r="D24" s="36" t="n">
        <v>12</v>
      </c>
      <c r="E24" s="42">
        <f>C24+D24</f>
        <v/>
      </c>
      <c r="F24" s="38" t="n">
        <v>1</v>
      </c>
      <c r="G24" s="38" t="n">
        <v>3</v>
      </c>
      <c r="H24" s="42">
        <f>SUMIFS('Corpus - oraciones'!$AF$3:$AF$600,'Corpus - oraciones'!$C$3:$C$600,A24,'Corpus - oraciones'!$D$3:$D$600,B24)</f>
        <v/>
      </c>
      <c r="I24" s="43">
        <f>IFERROR(H24/E24,0)</f>
        <v/>
      </c>
      <c r="J24" s="38" t="inlineStr">
        <is>
          <t>Pendiente</t>
        </is>
      </c>
      <c r="K24" s="62" t="n"/>
    </row>
    <row r="25" ht="30" customHeight="1" s="31">
      <c r="A25" s="35" t="inlineStr">
        <is>
          <t>Semana</t>
        </is>
      </c>
      <c r="B25" s="35" t="inlineStr">
        <is>
          <t>Transición de gobierno y relación con la oposición</t>
        </is>
      </c>
      <c r="C25" s="36" t="n">
        <v>10</v>
      </c>
      <c r="D25" s="36" t="n">
        <v>10</v>
      </c>
      <c r="E25" s="37">
        <f>C25+D25</f>
        <v/>
      </c>
      <c r="F25" s="38" t="n">
        <v>1</v>
      </c>
      <c r="G25" s="38" t="n">
        <v>1</v>
      </c>
      <c r="H25" s="37">
        <f>SUMIFS('Corpus - oraciones'!$AF$3:$AF$600,'Corpus - oraciones'!$C$3:$C$600,A25,'Corpus - oraciones'!$D$3:$D$600,B25)</f>
        <v/>
      </c>
      <c r="I25" s="39">
        <f>IFERROR(H25/E25,0)</f>
        <v/>
      </c>
      <c r="J25" s="38" t="inlineStr">
        <is>
          <t>Pendiente</t>
        </is>
      </c>
      <c r="K25" s="62" t="n"/>
    </row>
    <row r="26" ht="30" customHeight="1" s="31">
      <c r="A26" s="35" t="inlineStr">
        <is>
          <t>Semana</t>
        </is>
      </c>
      <c r="B26" s="35" t="inlineStr">
        <is>
          <t>Respuesta a la emergencia del terremoto</t>
        </is>
      </c>
      <c r="C26" s="36" t="n">
        <v>10</v>
      </c>
      <c r="D26" s="36" t="n">
        <v>10</v>
      </c>
      <c r="E26" s="37">
        <f>C26+D26</f>
        <v/>
      </c>
      <c r="F26" s="38" t="n">
        <v>1</v>
      </c>
      <c r="G26" s="38" t="n">
        <v>1</v>
      </c>
      <c r="H26" s="37">
        <f>SUMIFS('Corpus - oraciones'!$AF$3:$AF$600,'Corpus - oraciones'!$C$3:$C$600,A26,'Corpus - oraciones'!$D$3:$D$600,B26)</f>
        <v/>
      </c>
      <c r="I26" s="39">
        <f>IFERROR(H26/E26,0)</f>
        <v/>
      </c>
      <c r="J26" s="38" t="inlineStr">
        <is>
          <t>Pendiente</t>
        </is>
      </c>
      <c r="K26" s="62" t="n"/>
    </row>
    <row r="27" ht="30" customHeight="1" s="31">
      <c r="A27" s="35" t="inlineStr">
        <is>
          <t>Semana</t>
        </is>
      </c>
      <c r="B27" s="35" t="inlineStr">
        <is>
          <t>Relación con Estados Unidos</t>
        </is>
      </c>
      <c r="C27" s="36" t="n">
        <v>10</v>
      </c>
      <c r="D27" s="36" t="n">
        <v>10</v>
      </c>
      <c r="E27" s="37">
        <f>C27+D27</f>
        <v/>
      </c>
      <c r="F27" s="38" t="n">
        <v>1</v>
      </c>
      <c r="G27" s="38" t="n">
        <v>1</v>
      </c>
      <c r="H27" s="37">
        <f>SUMIFS('Corpus - oraciones'!$AF$3:$AF$600,'Corpus - oraciones'!$C$3:$C$600,A27,'Corpus - oraciones'!$D$3:$D$600,B27)</f>
        <v/>
      </c>
      <c r="I27" s="39">
        <f>IFERROR(H27/E27,0)</f>
        <v/>
      </c>
      <c r="J27" s="38" t="inlineStr">
        <is>
          <t>Pendiente</t>
        </is>
      </c>
      <c r="K27" s="62" t="n"/>
    </row>
    <row r="28" ht="30" customHeight="1" s="31">
      <c r="A28" s="35" t="inlineStr">
        <is>
          <t>Semana</t>
        </is>
      </c>
      <c r="B28" s="35" t="inlineStr">
        <is>
          <t>Reformas sociales en disputa (pensional/tributaria)</t>
        </is>
      </c>
      <c r="C28" s="36" t="n">
        <v>10</v>
      </c>
      <c r="D28" s="36" t="n">
        <v>10</v>
      </c>
      <c r="E28" s="37">
        <f>C28+D28</f>
        <v/>
      </c>
      <c r="F28" s="38" t="n">
        <v>1</v>
      </c>
      <c r="G28" s="38" t="n">
        <v>1</v>
      </c>
      <c r="H28" s="37">
        <f>SUMIFS('Corpus - oraciones'!$AF$3:$AF$600,'Corpus - oraciones'!$C$3:$C$600,A28,'Corpus - oraciones'!$D$3:$D$600,B28)</f>
        <v/>
      </c>
      <c r="I28" s="39">
        <f>IFERROR(H28/E28,0)</f>
        <v/>
      </c>
      <c r="J28" s="38" t="inlineStr">
        <is>
          <t>Pendiente</t>
        </is>
      </c>
      <c r="K28" s="62" t="n"/>
    </row>
    <row r="29" ht="30" customHeight="1" s="31">
      <c r="A29" s="35" t="inlineStr">
        <is>
          <t>Semana</t>
        </is>
      </c>
      <c r="B29" s="35" t="inlineStr">
        <is>
          <t>Seguridad y orden público</t>
        </is>
      </c>
      <c r="C29" s="36" t="n">
        <v>10</v>
      </c>
      <c r="D29" s="36" t="n">
        <v>10</v>
      </c>
      <c r="E29" s="37">
        <f>C29+D29</f>
        <v/>
      </c>
      <c r="F29" s="38" t="n">
        <v>1</v>
      </c>
      <c r="G29" s="38" t="n">
        <v>1</v>
      </c>
      <c r="H29" s="37">
        <f>SUMIFS('Corpus - oraciones'!$AF$3:$AF$600,'Corpus - oraciones'!$C$3:$C$600,A29,'Corpus - oraciones'!$D$3:$D$600,B29)</f>
        <v/>
      </c>
      <c r="I29" s="39">
        <f>IFERROR(H29/E29,0)</f>
        <v/>
      </c>
      <c r="J29" s="38" t="inlineStr">
        <is>
          <t>Pendiente</t>
        </is>
      </c>
      <c r="K29" s="62" t="n"/>
    </row>
    <row r="30" ht="15" customHeight="1" s="31">
      <c r="A30" s="44" t="inlineStr">
        <is>
          <t>TOTAL</t>
        </is>
      </c>
      <c r="B30" s="45" t="n"/>
      <c r="C30" s="44">
        <f>SUM(C5:C29)</f>
        <v/>
      </c>
      <c r="D30" s="44">
        <f>SUM(D5:D29)</f>
        <v/>
      </c>
      <c r="E30" s="44">
        <f>SUM(E5:E29)</f>
        <v/>
      </c>
      <c r="F30" s="46" t="n"/>
      <c r="G30" s="46" t="n"/>
      <c r="H30" s="44">
        <f>SUM(H5:H29)</f>
        <v/>
      </c>
      <c r="I30" s="47">
        <f>IFERROR(H30/E30,0)</f>
        <v/>
      </c>
      <c r="J30" s="46" t="n"/>
      <c r="K30" s="46" t="n"/>
    </row>
  </sheetData>
  <mergeCells count="3">
    <mergeCell ref="A2:K2"/>
    <mergeCell ref="A1:K1"/>
    <mergeCell ref="A30:B30"/>
  </mergeCells>
  <conditionalFormatting sqref="I5:I29">
    <cfRule type="colorScale" priority="2">
      <colorScale>
        <cfvo type="num" val="0"/>
        <cfvo type="num" val="0.5"/>
        <cfvo type="num" val="1"/>
        <color rgb="FFF8696B"/>
        <color rgb="FFFFEB84"/>
        <color rgb="FF63BE7B"/>
      </colorScale>
    </cfRule>
  </conditionalFormatting>
  <dataValidations count="1">
    <dataValidation sqref="J5:J29" showDropDown="0" showInputMessage="0" showErrorMessage="0" allowBlank="1" type="list" errorStyle="stop" operator="between">
      <formula1>"Pendiente,En progreso,Completo"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0" min="1" max="1"/>
    <col width="15" customWidth="1" style="30" min="2" max="2"/>
    <col width="18" customWidth="1" style="30" min="3" max="3"/>
    <col width="12" customWidth="1" style="30" min="4" max="4"/>
  </cols>
  <sheetData>
    <row r="1" ht="17.35" customHeight="1" s="31">
      <c r="A1" s="55" t="inlineStr">
        <is>
          <t>Resumen por medio y por tema</t>
        </is>
      </c>
    </row>
    <row r="3" ht="15" customHeight="1" s="31">
      <c r="A3" s="48" t="inlineStr">
        <is>
          <t>Por medio</t>
        </is>
      </c>
    </row>
    <row r="4" ht="15" customHeight="1" s="31">
      <c r="A4" s="34" t="inlineStr">
        <is>
          <t>Medio</t>
        </is>
      </c>
      <c r="B4" s="34" t="inlineStr">
        <is>
          <t>Objetivo total</t>
        </is>
      </c>
      <c r="C4" s="34" t="inlineStr">
        <is>
          <t>Oraciones anotadas</t>
        </is>
      </c>
      <c r="D4" s="34" t="inlineStr">
        <is>
          <t>% avance</t>
        </is>
      </c>
    </row>
    <row r="5" ht="18" customHeight="1" s="31">
      <c r="A5" s="35" t="inlineStr">
        <is>
          <t>Infobae Colombia</t>
        </is>
      </c>
      <c r="B5" s="49">
        <f>SUMIF('Grid de recoleccion'!A:A,A5,'Grid de recoleccion'!E:E)</f>
        <v/>
      </c>
      <c r="C5" s="49">
        <f>SUMIF('Grid de recoleccion'!A:A,A5,'Grid de recoleccion'!H:H)</f>
        <v/>
      </c>
      <c r="D5" s="50">
        <f>IFERROR(C5/B5,0)</f>
        <v/>
      </c>
    </row>
    <row r="6" ht="18" customHeight="1" s="31">
      <c r="A6" s="35" t="inlineStr">
        <is>
          <t>El Tiempo</t>
        </is>
      </c>
      <c r="B6" s="49">
        <f>SUMIF('Grid de recoleccion'!A:A,A6,'Grid de recoleccion'!E:E)</f>
        <v/>
      </c>
      <c r="C6" s="49">
        <f>SUMIF('Grid de recoleccion'!A:A,A6,'Grid de recoleccion'!H:H)</f>
        <v/>
      </c>
      <c r="D6" s="50">
        <f>IFERROR(C6/B6,0)</f>
        <v/>
      </c>
    </row>
    <row r="7" ht="18" customHeight="1" s="31">
      <c r="A7" s="35" t="inlineStr">
        <is>
          <t>El Espectador</t>
        </is>
      </c>
      <c r="B7" s="49">
        <f>SUMIF('Grid de recoleccion'!A:A,A7,'Grid de recoleccion'!E:E)</f>
        <v/>
      </c>
      <c r="C7" s="49">
        <f>SUMIF('Grid de recoleccion'!A:A,A7,'Grid de recoleccion'!H:H)</f>
        <v/>
      </c>
      <c r="D7" s="50">
        <f>IFERROR(C7/B7,0)</f>
        <v/>
      </c>
    </row>
    <row r="8" ht="18" customHeight="1" s="31">
      <c r="A8" s="35" t="inlineStr">
        <is>
          <t>La Silla Vacía</t>
        </is>
      </c>
      <c r="B8" s="49">
        <f>SUMIF('Grid de recoleccion'!A:A,A8,'Grid de recoleccion'!E:E)</f>
        <v/>
      </c>
      <c r="C8" s="49">
        <f>SUMIF('Grid de recoleccion'!A:A,A8,'Grid de recoleccion'!H:H)</f>
        <v/>
      </c>
      <c r="D8" s="50">
        <f>IFERROR(C8/B8,0)</f>
        <v/>
      </c>
    </row>
    <row r="9" ht="18" customHeight="1" s="31">
      <c r="A9" s="35" t="inlineStr">
        <is>
          <t>Semana</t>
        </is>
      </c>
      <c r="B9" s="49">
        <f>SUMIF('Grid de recoleccion'!A:A,A9,'Grid de recoleccion'!E:E)</f>
        <v/>
      </c>
      <c r="C9" s="49">
        <f>SUMIF('Grid de recoleccion'!A:A,A9,'Grid de recoleccion'!H:H)</f>
        <v/>
      </c>
      <c r="D9" s="50">
        <f>IFERROR(C9/B9,0)</f>
        <v/>
      </c>
    </row>
    <row r="10" ht="15" customHeight="1" s="31">
      <c r="A10" s="51" t="inlineStr">
        <is>
          <t>TOTAL</t>
        </is>
      </c>
      <c r="B10" s="51">
        <f>SUM(B5:B9)</f>
        <v/>
      </c>
      <c r="C10" s="51">
        <f>SUM(C5:C9)</f>
        <v/>
      </c>
      <c r="D10" s="52">
        <f>IFERROR(C10/B10,0)</f>
        <v/>
      </c>
    </row>
    <row r="13" ht="15" customHeight="1" s="31">
      <c r="A13" s="48" t="inlineStr">
        <is>
          <t>Por tema</t>
        </is>
      </c>
    </row>
    <row r="14" ht="15" customHeight="1" s="31">
      <c r="A14" s="34" t="inlineStr">
        <is>
          <t>Tema</t>
        </is>
      </c>
      <c r="B14" s="34" t="inlineStr">
        <is>
          <t>Objetivo total</t>
        </is>
      </c>
      <c r="C14" s="34" t="inlineStr">
        <is>
          <t>Oraciones anotadas</t>
        </is>
      </c>
      <c r="D14" s="34" t="inlineStr">
        <is>
          <t>% avance</t>
        </is>
      </c>
    </row>
    <row r="15" ht="23.85" customHeight="1" s="31">
      <c r="A15" s="35" t="inlineStr">
        <is>
          <t>Transición de gobierno y relación con la oposición</t>
        </is>
      </c>
      <c r="B15" s="49">
        <f>SUMIF('Grid de recoleccion'!B:B,A15,'Grid de recoleccion'!E:E)</f>
        <v/>
      </c>
      <c r="C15" s="49">
        <f>SUMIF('Grid de recoleccion'!B:B,A15,'Grid de recoleccion'!H:H)</f>
        <v/>
      </c>
      <c r="D15" s="50">
        <f>IFERROR(C15/B15,0)</f>
        <v/>
      </c>
    </row>
    <row r="16" ht="23.85" customHeight="1" s="31">
      <c r="A16" s="35" t="inlineStr">
        <is>
          <t>Respuesta a la emergencia del terremoto</t>
        </is>
      </c>
      <c r="B16" s="49">
        <f>SUMIF('Grid de recoleccion'!B:B,A16,'Grid de recoleccion'!E:E)</f>
        <v/>
      </c>
      <c r="C16" s="49">
        <f>SUMIF('Grid de recoleccion'!B:B,A16,'Grid de recoleccion'!H:H)</f>
        <v/>
      </c>
      <c r="D16" s="50">
        <f>IFERROR(C16/B16,0)</f>
        <v/>
      </c>
    </row>
    <row r="17" ht="15" customHeight="1" s="31">
      <c r="A17" s="35" t="inlineStr">
        <is>
          <t>Relación con Estados Unidos</t>
        </is>
      </c>
      <c r="B17" s="49">
        <f>SUMIF('Grid de recoleccion'!B:B,A17,'Grid de recoleccion'!E:E)</f>
        <v/>
      </c>
      <c r="C17" s="49">
        <f>SUMIF('Grid de recoleccion'!B:B,A17,'Grid de recoleccion'!H:H)</f>
        <v/>
      </c>
      <c r="D17" s="50">
        <f>IFERROR(C17/B17,0)</f>
        <v/>
      </c>
    </row>
    <row r="18" ht="23.85" customHeight="1" s="31">
      <c r="A18" s="35" t="inlineStr">
        <is>
          <t>Reformas sociales en disputa (pensional/tributaria)</t>
        </is>
      </c>
      <c r="B18" s="49">
        <f>SUMIF('Grid de recoleccion'!B:B,A18,'Grid de recoleccion'!E:E)</f>
        <v/>
      </c>
      <c r="C18" s="49">
        <f>SUMIF('Grid de recoleccion'!B:B,A18,'Grid de recoleccion'!H:H)</f>
        <v/>
      </c>
      <c r="D18" s="50">
        <f>IFERROR(C18/B18,0)</f>
        <v/>
      </c>
    </row>
    <row r="19" ht="15" customHeight="1" s="31">
      <c r="A19" s="35" t="inlineStr">
        <is>
          <t>Seguridad y orden público</t>
        </is>
      </c>
      <c r="B19" s="49">
        <f>SUMIF('Grid de recoleccion'!B:B,A19,'Grid de recoleccion'!E:E)</f>
        <v/>
      </c>
      <c r="C19" s="49">
        <f>SUMIF('Grid de recoleccion'!B:B,A19,'Grid de recoleccion'!H:H)</f>
        <v/>
      </c>
      <c r="D19" s="50">
        <f>IFERROR(C19/B19,0)</f>
        <v/>
      </c>
    </row>
    <row r="20" ht="15" customHeight="1" s="31">
      <c r="A20" s="51" t="inlineStr">
        <is>
          <t>TOTAL</t>
        </is>
      </c>
      <c r="B20" s="51">
        <f>SUM(B15:B19)</f>
        <v/>
      </c>
      <c r="C20" s="51">
        <f>SUM(C15:C19)</f>
        <v/>
      </c>
      <c r="D20" s="52">
        <f>IFERROR(C20/B20,0)</f>
        <v/>
      </c>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0" min="1" max="1"/>
    <col width="60" customWidth="1" style="30" min="2" max="2"/>
  </cols>
  <sheetData>
    <row r="1" ht="17.35" customHeight="1" s="31">
      <c r="A1" s="55" t="inlineStr">
        <is>
          <t>Cómo usar este archivo</t>
        </is>
      </c>
    </row>
    <row r="3" ht="39.75" customHeight="1" s="31">
      <c r="A3" s="53" t="inlineStr">
        <is>
          <t>Objetivo oraciones (dura) / (opinión)</t>
        </is>
      </c>
      <c r="B3" s="35" t="inlineStr">
        <is>
          <t>Editable (amarillo). Ya vienen propuestos según la fortaleza de cada medio — ajústalos si el avance real muestra que un medio/tema rinde distinto a lo esperado.</t>
        </is>
      </c>
    </row>
    <row r="4" ht="39.75" customHeight="1" s="31">
      <c r="A4" s="53" t="inlineStr">
        <is>
          <t>Objetivo total</t>
        </is>
      </c>
      <c r="B4" s="35" t="inlineStr">
        <is>
          <t>Se calcula solo (dura + opinión). No editar.</t>
        </is>
      </c>
    </row>
    <row r="5" ht="39.75" customHeight="1" s="31">
      <c r="A5" s="53" t="inlineStr">
        <is>
          <t>Artículos recolectados (dura/opinión)</t>
        </is>
      </c>
      <c r="B5" s="35" t="inlineStr">
        <is>
          <t>Editable. Cuenta cuántos artículos de cada género llevas recolectados para esa celda.</t>
        </is>
      </c>
    </row>
    <row r="6" ht="39.75" customHeight="1" s="31">
      <c r="A6" s="53" t="inlineStr">
        <is>
          <t>Oraciones anotadas (real)</t>
        </is>
      </c>
      <c r="B6" s="35" t="inlineStr">
        <is>
          <t>Editable. Actualízalo a medida que el profesional anota — es lo que alimenta el % de avance.</t>
        </is>
      </c>
    </row>
    <row r="7" ht="39.75" customHeight="1" s="31">
      <c r="A7" s="53" t="inlineStr">
        <is>
          <t>% avance</t>
        </is>
      </c>
      <c r="B7" s="35" t="inlineStr">
        <is>
          <t>Se calcula solo (oraciones anotadas / objetivo total). Rojo = arrancando, amarillo = a mitad, verde = completo.</t>
        </is>
      </c>
    </row>
    <row r="8" ht="39.75" customHeight="1" s="31">
      <c r="A8" s="53" t="inlineStr">
        <is>
          <t>Estado</t>
        </is>
      </c>
      <c r="B8" s="35" t="inlineStr">
        <is>
          <t>Editable, selecciona de la lista desplegable: Pendiente / En progreso / Completo.</t>
        </is>
      </c>
    </row>
    <row r="9" ht="39.75" customHeight="1" s="31">
      <c r="A9" s="53" t="inlineStr">
        <is>
          <t>Notas</t>
        </is>
      </c>
      <c r="B9" s="35" t="inlineStr">
        <is>
          <t>Editable, libre — por ejemplo "El Espectador: solo se consiguieron 4 de 6 artículos de opinión, faltan 2".</t>
        </is>
      </c>
    </row>
    <row r="10" ht="39.75" customHeight="1" s="31">
      <c r="A10" s="53" t="inlineStr">
        <is>
          <t>Hoja Resumen</t>
        </is>
      </c>
      <c r="B10" s="35" t="inlineStr">
        <is>
          <t>Se calcula sola a partir de la hoja principal — no editar directamente, solo lectura.</t>
        </is>
      </c>
    </row>
    <row r="12" ht="15" customHeight="1" s="31">
      <c r="A12" s="56" t="inlineStr">
        <is>
          <t>Ejemplo de fila ya en progreso (referencia, no editar aquí):</t>
        </is>
      </c>
    </row>
    <row r="13" ht="39.75" customHeight="1" s="31">
      <c r="A13" s="56" t="inlineStr">
        <is>
          <t>Infobae — Seguridad y orden público</t>
        </is>
      </c>
      <c r="B13" s="54" t="inlineStr">
        <is>
          <t>Objetivo 20 (14 dura + 6 opinión); llevan 3 artículos dura + 1 opinión recolectados, 17 oraciones ya anotadas → 85% avance, Estado: En progreso.</t>
        </is>
      </c>
    </row>
    <row r="15" ht="90" customHeight="1" s="31">
      <c r="A15" s="53" t="inlineStr">
        <is>
          <t>Hoja 'Corpus - oraciones'</t>
        </is>
      </c>
      <c r="B15" s="35" t="inlineStr">
        <is>
          <t>Aquí van las 500 oraciones reales con su texto y su anotación. Las 3 primeras filas (en gris, cursiva) son el ejemplo de referencia -- una fila por oración, no se editan ni se cuentan (fila 5 = ejemplo con hallazgo léxico Y discursivo a la vez, fila 6 = ejemplo con hallazgo solo discursivo, fila 7 = ejemplo neutral). IMPORTANTE: toda oración revisada recibe exactamente una fila, incluso si todas las categorías quedan en FALSE -- las oraciones neutras son tan necesarias como las sesgadas, no se omiten. Esquema completo (Tabla 1 de esquemas_anotacion.xlsx): 5 categorías léxicas J1 (verbo_factivo, verbo_asertivo, palabra_subjetiva, hedge, etiqueta_valorativa) + 4 discursivas J2 (sensacionalismo, mind_reading, falta_atribucion, opinion_como_hecho), cada una con su propia columna de span al lado (se llena solo si esa categoría quedó en TRUE). direccion/actor_objetivo aplican sobre cualquiera de los dos niveles (actor_objetivo es obligatorio si direccion != neutral). intensidad_lexica se llena solo si algún J1 quedó TRUE; camuflaje_epistemico solo si algún J2 quedó TRUE -- ambas en escala 1-5 (ver manual). medio/tema/género/direccion/las 9 categorías booleanas tienen lista desplegable. La columna 'aux' alimenta automáticamente el avance en la hoja principal -- no se toca.</t>
        </is>
      </c>
    </row>
    <row r="17" ht="90" customHeight="1" s="31">
      <c r="A17" s="53" t="inlineStr">
        <is>
          <t>Hoja 'Grid de recoleccion v2'</t>
        </is>
      </c>
      <c r="B17" s="35" t="inlineStr">
        <is>
          <t>Mismo tablero de control, pero para el corpus multi-dominio v2 (500 oraciones nuevas en 5 dominios: Política, Economía y negocios, Salud, Medio ambiente, Deportes). La recolección ya está CERRADA: los objetivos reflejan exactamente lo recolectado (100 oraciones por dominio, 500 en total) y todas las celdas están en 'Completo'. Las columnas 'Objetivo' quedaron fijadas al conteo real para que el % de avance mida la ANOTACIÓN, no la recolección.</t>
        </is>
      </c>
    </row>
    <row r="18" ht="90" customHeight="1" s="31">
      <c r="A18" s="53" t="inlineStr">
        <is>
          <t>Hoja 'Corpus - oraciones v2'</t>
        </is>
      </c>
      <c r="B18" s="35" t="inlineStr">
        <is>
          <t>Las 500 oraciones del corpus multi-dominio, con el MISMO esquema de anotación de la hoja 'Corpus - oraciones' (columnas J..AE). Datos reales desde la fila 8; las filas 5-7 son el mismo ejemplo ilustrativo de referencia (no editar, no contar). Cada fila trae además su url_fuente (columna AG) para poder consultar el artículo original. Auditada oración por oración (2026-09-09): sin duplicados, sin pies de foto ni subtítulos colados como oraciones, sin boilerplate de navegación, y con el tema verificado contra el contenido real de cada artículo.</t>
        </is>
      </c>
    </row>
    <row r="19" ht="90" customHeight="1" s="31">
      <c r="A19" s="53" t="inlineStr">
        <is>
          <t>¿Cuál hoja debo anotar?</t>
        </is>
      </c>
      <c r="B19" s="35" t="inlineStr">
        <is>
          <t>Ambos corpus usan el mismo esquema y son independientes: 'Corpus - oraciones' (500 oraciones, solo política, 5 sub-temas) y 'Corpus - oraciones v2' (500 oraciones, 5 dominios distintos). Anote la que le indique el investigador; no mezcle filas entre hojas.</t>
        </is>
      </c>
    </row>
  </sheetData>
  <mergeCells count="2">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G55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0" min="1" max="1"/>
    <col width="14" customWidth="1" style="30" min="2" max="3"/>
    <col width="24" customWidth="1" style="30" min="4" max="4"/>
    <col width="12" customWidth="1" style="30" min="5" max="5"/>
    <col width="11" customWidth="1" style="30" min="6" max="6"/>
    <col width="42" customWidth="1" style="30" min="7" max="7"/>
    <col width="30" customWidth="1" style="30" min="8" max="9"/>
    <col width="11" customWidth="1" style="30" min="10" max="10"/>
    <col width="26" customWidth="1" style="30" min="11" max="11"/>
    <col width="11" customWidth="1" style="30" min="12" max="12"/>
    <col width="26" customWidth="1" style="30" min="13" max="13"/>
    <col width="11" customWidth="1" style="30" min="14" max="14"/>
    <col width="26" customWidth="1" style="30" min="15" max="15"/>
    <col width="11" customWidth="1" style="30" min="16" max="16"/>
    <col width="26" customWidth="1" style="31" min="17" max="17"/>
    <col width="11" customWidth="1" style="31" min="18" max="18"/>
    <col width="26" customWidth="1" style="31" min="19" max="19"/>
    <col width="11" customWidth="1" style="31" min="20" max="20"/>
    <col width="26" customWidth="1" style="31" min="21" max="21"/>
    <col width="11" customWidth="1" style="31" min="22" max="22"/>
    <col width="26" customWidth="1" style="31" min="23" max="23"/>
    <col width="11" customWidth="1" style="31" min="24" max="24"/>
    <col width="26" customWidth="1" style="31" min="25" max="25"/>
    <col width="11" customWidth="1" style="31" min="26" max="26"/>
    <col width="26" customWidth="1" style="31" min="27" max="27"/>
    <col width="12" customWidth="1" style="31" min="28" max="28"/>
    <col width="22" customWidth="1" style="31" min="29" max="29"/>
    <col width="12" customWidth="1" style="31" min="30" max="30"/>
    <col width="14" customWidth="1" style="31" min="31" max="31"/>
    <col width="12" customWidth="1" style="31" min="32" max="32"/>
    <col width="45" customWidth="1" style="31" min="33" max="33"/>
  </cols>
  <sheetData>
    <row r="1" ht="17.35" customHeight="1" s="31">
      <c r="A1" s="55" t="inlineStr">
        <is>
          <t>Corpus real — una fila por oración (esquema completo: 9 categorías léxico/discursivo)</t>
        </is>
      </c>
    </row>
    <row r="2" ht="27.75" customHeight="1" s="31">
      <c r="A2" s="56" t="inlineStr">
        <is>
          <t>Aquí van las 500 oraciones reales, su texto, y su anotación (esquema completo: J1 léxico + J2 discursivo, 9 categorías, cada una con su span). Celdas amarillas = editables. La columna AF es auxiliar, no se edita -- alimenta el conteo automático de la hoja 'Grid de recoleccion'.</t>
        </is>
      </c>
    </row>
    <row r="4" ht="33.75" customHeight="1" s="31">
      <c r="A4" s="58" t="inlineStr">
        <is>
          <t>articulo_id</t>
        </is>
      </c>
      <c r="B4" s="58" t="inlineStr">
        <is>
          <t>oracion_id</t>
        </is>
      </c>
      <c r="C4" s="58" t="inlineStr">
        <is>
          <t>medio</t>
        </is>
      </c>
      <c r="D4" s="58" t="inlineStr">
        <is>
          <t>tema</t>
        </is>
      </c>
      <c r="E4" s="58" t="inlineStr">
        <is>
          <t>género
(dura/opinión)</t>
        </is>
      </c>
      <c r="F4" s="58" t="inlineStr">
        <is>
          <t>fecha_
publicación</t>
        </is>
      </c>
      <c r="G4" s="58" t="inlineStr">
        <is>
          <t>oracion_texto</t>
        </is>
      </c>
      <c r="H4" s="58" t="inlineStr">
        <is>
          <t>oracion_anterior</t>
        </is>
      </c>
      <c r="I4" s="58" t="inlineStr">
        <is>
          <t>oracion_siguiente</t>
        </is>
      </c>
      <c r="J4" s="58" t="inlineStr">
        <is>
          <t>verbo_factivo
(J1)</t>
        </is>
      </c>
      <c r="K4" s="58" t="inlineStr">
        <is>
          <t>verbo_factivo_span</t>
        </is>
      </c>
      <c r="L4" s="58" t="inlineStr">
        <is>
          <t>verbo_asertivo
(J1)</t>
        </is>
      </c>
      <c r="M4" s="58" t="inlineStr">
        <is>
          <t>verbo_asertivo_span</t>
        </is>
      </c>
      <c r="N4" s="58" t="inlineStr">
        <is>
          <t>palabra_subjetiva
(J1)</t>
        </is>
      </c>
      <c r="O4" s="58" t="inlineStr">
        <is>
          <t>palabra_subjetiva_span</t>
        </is>
      </c>
      <c r="P4" s="58" t="inlineStr">
        <is>
          <t>hedge
(J1)</t>
        </is>
      </c>
      <c r="Q4" s="58" t="inlineStr">
        <is>
          <t>hedge_span</t>
        </is>
      </c>
      <c r="R4" s="58" t="inlineStr">
        <is>
          <t>etiqueta_valorativa
(J1)</t>
        </is>
      </c>
      <c r="S4" s="58" t="inlineStr">
        <is>
          <t>etiqueta_valorativa_span</t>
        </is>
      </c>
      <c r="T4" s="58" t="inlineStr">
        <is>
          <t>sensacionalismo
(J2)</t>
        </is>
      </c>
      <c r="U4" s="58" t="inlineStr">
        <is>
          <t>sensacionalismo_span</t>
        </is>
      </c>
      <c r="V4" s="58" t="inlineStr">
        <is>
          <t>mind_reading
(J2)</t>
        </is>
      </c>
      <c r="W4" s="58" t="inlineStr">
        <is>
          <t>mind_reading_span</t>
        </is>
      </c>
      <c r="X4" s="58" t="inlineStr">
        <is>
          <t>falta_atribucion
(J2)</t>
        </is>
      </c>
      <c r="Y4" s="58" t="inlineStr">
        <is>
          <t>falta_atribucion_span</t>
        </is>
      </c>
      <c r="Z4" s="58" t="inlineStr">
        <is>
          <t>opinion_como_hecho
(J2)</t>
        </is>
      </c>
      <c r="AA4" s="58" t="inlineStr">
        <is>
          <t>opinion_como_hecho_span</t>
        </is>
      </c>
      <c r="AB4" s="58" t="inlineStr">
        <is>
          <t>direccion</t>
        </is>
      </c>
      <c r="AC4" s="58" t="inlineStr">
        <is>
          <t>actor_objetivo</t>
        </is>
      </c>
      <c r="AD4" s="58" t="inlineStr">
        <is>
          <t>intensidad_lexica
(1-5, si J1)</t>
        </is>
      </c>
      <c r="AE4" s="58" t="inlineStr">
        <is>
          <t>camuflaje_epistemico
(1-5, si J2)</t>
        </is>
      </c>
      <c r="AF4" s="58" t="inlineStr">
        <is>
          <t>aux: primera
fila de la
oración (no editar)</t>
        </is>
      </c>
      <c r="AG4" s="58" t="inlineStr">
        <is>
          <t>url_fuente</t>
        </is>
      </c>
    </row>
    <row r="5" ht="32.8" customHeight="1" s="31">
      <c r="A5" s="59" t="inlineStr">
        <is>
          <t>ART_0231</t>
        </is>
      </c>
      <c r="B5" s="59" t="inlineStr">
        <is>
          <t>ART_0231_S07</t>
        </is>
      </c>
      <c r="C5" s="59" t="inlineStr">
        <is>
          <t>El Tiempo</t>
        </is>
      </c>
      <c r="D5" s="59" t="inlineStr">
        <is>
          <t>Transición de gobierno y relación con la oposición</t>
        </is>
      </c>
      <c r="E5" s="59" t="inlineStr">
        <is>
          <t>Noticia dura</t>
        </is>
      </c>
      <c r="F5" s="59" t="inlineStr">
        <is>
          <t>2026-08-20</t>
        </is>
      </c>
      <c r="G5" s="60" t="inlineStr">
        <is>
          <t>El Gobierno impuso la polémica reforma tributaria pese a las advertencias de los gremios, sabiendo que afectaría directamente a la clase media.</t>
        </is>
      </c>
      <c r="H5" s="60" t="inlineStr">
        <is>
          <t>El anuncio se dio durante la rueda de prensa de la tarde.</t>
        </is>
      </c>
      <c r="I5" s="60" t="inlineStr">
        <is>
          <t>El Ministerio de Hacienda no respondió a las solicitudes de entrevista.</t>
        </is>
      </c>
      <c r="J5" s="38" t="inlineStr">
        <is>
          <t>FALSE</t>
        </is>
      </c>
      <c r="K5" s="62" t="n"/>
      <c r="L5" s="38" t="inlineStr">
        <is>
          <t>FALSE</t>
        </is>
      </c>
      <c r="M5" s="62" t="n"/>
      <c r="N5" s="38" t="inlineStr">
        <is>
          <t>FALSE</t>
        </is>
      </c>
      <c r="O5" s="62" t="n"/>
      <c r="P5" s="38" t="inlineStr">
        <is>
          <t>FALSE</t>
        </is>
      </c>
      <c r="Q5" s="62" t="n"/>
      <c r="R5" s="38" t="inlineStr">
        <is>
          <t>TRUE</t>
        </is>
      </c>
      <c r="S5" s="62" t="inlineStr">
        <is>
          <t>polémica</t>
        </is>
      </c>
      <c r="T5" s="38" t="inlineStr">
        <is>
          <t>FALSE</t>
        </is>
      </c>
      <c r="U5" s="62" t="n"/>
      <c r="V5" s="38" t="inlineStr">
        <is>
          <t>TRUE</t>
        </is>
      </c>
      <c r="W5" s="62" t="inlineStr">
        <is>
          <t>sabiendo que afectaría directamente a la clase media</t>
        </is>
      </c>
      <c r="X5" s="38" t="inlineStr">
        <is>
          <t>FALSE</t>
        </is>
      </c>
      <c r="Y5" s="62" t="n"/>
      <c r="Z5" s="38" t="inlineStr">
        <is>
          <t>FALSE</t>
        </is>
      </c>
      <c r="AA5" s="62" t="n"/>
      <c r="AB5" s="38" t="inlineStr">
        <is>
          <t>perjudica</t>
        </is>
      </c>
      <c r="AC5" s="62" t="inlineStr">
        <is>
          <t>Gobierno nacional</t>
        </is>
      </c>
      <c r="AD5" s="38" t="n">
        <v>3</v>
      </c>
      <c r="AE5" s="38" t="n">
        <v>4</v>
      </c>
      <c r="AF5" s="61">
        <f>IF(COUNTIF($B$5:B5,B5)=1,1,0)</f>
        <v/>
      </c>
      <c r="AG5" s="62" t="n"/>
    </row>
    <row r="6" ht="32.8" customHeight="1" s="31">
      <c r="A6" s="59" t="inlineStr">
        <is>
          <t>ART_0198</t>
        </is>
      </c>
      <c r="B6" s="59" t="inlineStr">
        <is>
          <t>ART_0198_S02</t>
        </is>
      </c>
      <c r="C6" s="59" t="inlineStr">
        <is>
          <t>El Espectador</t>
        </is>
      </c>
      <c r="D6" s="59" t="inlineStr">
        <is>
          <t>Reformas sociales en disputa (pensional/tributaria)</t>
        </is>
      </c>
      <c r="E6" s="59" t="inlineStr">
        <is>
          <t>Opinión-análisis</t>
        </is>
      </c>
      <c r="F6" s="59" t="inlineStr">
        <is>
          <t>2026-07-10</t>
        </is>
      </c>
      <c r="G6" s="60" t="inlineStr">
        <is>
          <t>El plan pensional fracasará antes de que termine el año.</t>
        </is>
      </c>
      <c r="H6" s="60" t="inlineStr">
        <is>
          <t>El columnista abrió su texto recordando las promesas de campaña.</t>
        </is>
      </c>
      <c r="I6" s="60" t="inlineStr">
        <is>
          <t>Nadie en el Gobierno ha salido a desmentirlo.</t>
        </is>
      </c>
      <c r="J6" s="38" t="inlineStr">
        <is>
          <t>FALSE</t>
        </is>
      </c>
      <c r="K6" s="62" t="n"/>
      <c r="L6" s="38" t="inlineStr">
        <is>
          <t>FALSE</t>
        </is>
      </c>
      <c r="M6" s="62" t="n"/>
      <c r="N6" s="38" t="inlineStr">
        <is>
          <t>FALSE</t>
        </is>
      </c>
      <c r="O6" s="62" t="n"/>
      <c r="P6" s="38" t="inlineStr">
        <is>
          <t>FALSE</t>
        </is>
      </c>
      <c r="Q6" s="62" t="n"/>
      <c r="R6" s="38" t="inlineStr">
        <is>
          <t>FALSE</t>
        </is>
      </c>
      <c r="S6" s="62" t="n"/>
      <c r="T6" s="38" t="inlineStr">
        <is>
          <t>FALSE</t>
        </is>
      </c>
      <c r="U6" s="62" t="n"/>
      <c r="V6" s="38" t="inlineStr">
        <is>
          <t>FALSE</t>
        </is>
      </c>
      <c r="W6" s="62" t="n"/>
      <c r="X6" s="38" t="inlineStr">
        <is>
          <t>FALSE</t>
        </is>
      </c>
      <c r="Y6" s="62" t="n"/>
      <c r="Z6" s="38" t="inlineStr">
        <is>
          <t>TRUE</t>
        </is>
      </c>
      <c r="AA6" s="62" t="inlineStr">
        <is>
          <t>El plan pensional fracasará antes de que termine el año</t>
        </is>
      </c>
      <c r="AB6" s="38" t="inlineStr">
        <is>
          <t>perjudica</t>
        </is>
      </c>
      <c r="AC6" s="62" t="inlineStr">
        <is>
          <t>Gobierno nacional / reforma pensional</t>
        </is>
      </c>
      <c r="AD6" s="38" t="n"/>
      <c r="AE6" s="38" t="n">
        <v>3</v>
      </c>
      <c r="AF6" s="61">
        <f>IF(COUNTIF($B$5:B6,B6)=1,1,0)</f>
        <v/>
      </c>
      <c r="AG6" s="62" t="n"/>
    </row>
    <row r="7" ht="22.35" customHeight="1" s="31">
      <c r="A7" s="59" t="inlineStr">
        <is>
          <t>ART_0245</t>
        </is>
      </c>
      <c r="B7" s="59" t="inlineStr">
        <is>
          <t>ART_0245_S03</t>
        </is>
      </c>
      <c r="C7" s="59" t="inlineStr">
        <is>
          <t>El Tiempo</t>
        </is>
      </c>
      <c r="D7" s="59" t="inlineStr">
        <is>
          <t>Transición de gobierno y relación con la oposición</t>
        </is>
      </c>
      <c r="E7" s="59" t="inlineStr">
        <is>
          <t>Noticia dura</t>
        </is>
      </c>
      <c r="F7" s="59" t="inlineStr">
        <is>
          <t>2026-08-20</t>
        </is>
      </c>
      <c r="G7" s="60" t="inlineStr">
        <is>
          <t>El Banco de la República publicará el informe de inflación el próximo martes.</t>
        </is>
      </c>
      <c r="H7" s="60" t="inlineStr">
        <is>
          <t>La medida se conoció durante la sesión ordinaria.</t>
        </is>
      </c>
      <c r="I7" s="60" t="inlineStr">
        <is>
          <t>Analistas esperan el dato con atención.</t>
        </is>
      </c>
      <c r="J7" s="38" t="inlineStr">
        <is>
          <t>FALSE</t>
        </is>
      </c>
      <c r="K7" s="62" t="n"/>
      <c r="L7" s="38" t="inlineStr">
        <is>
          <t>FALSE</t>
        </is>
      </c>
      <c r="M7" s="62" t="n"/>
      <c r="N7" s="38" t="inlineStr">
        <is>
          <t>FALSE</t>
        </is>
      </c>
      <c r="O7" s="62" t="n"/>
      <c r="P7" s="38" t="inlineStr">
        <is>
          <t>FALSE</t>
        </is>
      </c>
      <c r="Q7" s="62" t="n"/>
      <c r="R7" s="38" t="inlineStr">
        <is>
          <t>FALSE</t>
        </is>
      </c>
      <c r="S7" s="62" t="n"/>
      <c r="T7" s="38" t="inlineStr">
        <is>
          <t>FALSE</t>
        </is>
      </c>
      <c r="U7" s="62" t="n"/>
      <c r="V7" s="38" t="inlineStr">
        <is>
          <t>FALSE</t>
        </is>
      </c>
      <c r="W7" s="62" t="n"/>
      <c r="X7" s="38" t="inlineStr">
        <is>
          <t>FALSE</t>
        </is>
      </c>
      <c r="Y7" s="62" t="n"/>
      <c r="Z7" s="38" t="inlineStr">
        <is>
          <t>FALSE</t>
        </is>
      </c>
      <c r="AA7" s="62" t="n"/>
      <c r="AB7" s="38" t="inlineStr">
        <is>
          <t>neutral</t>
        </is>
      </c>
      <c r="AC7" s="62" t="n"/>
      <c r="AD7" s="38" t="n"/>
      <c r="AE7" s="38" t="n"/>
      <c r="AF7" s="61">
        <f>IF(COUNTIF($B$5:B7,B7)=1,1,0)</f>
        <v/>
      </c>
      <c r="AG7" s="62" t="n"/>
    </row>
    <row r="8" ht="15" customHeight="1" s="31">
      <c r="A8" s="38" t="inlineStr">
        <is>
          <t>ART_001</t>
        </is>
      </c>
      <c r="B8" s="38" t="inlineStr">
        <is>
          <t>ART_001_S01</t>
        </is>
      </c>
      <c r="C8" s="38" t="inlineStr">
        <is>
          <t>Infobae Colombia</t>
        </is>
      </c>
      <c r="D8" s="38" t="inlineStr">
        <is>
          <t>Seguridad y orden público</t>
        </is>
      </c>
      <c r="E8" s="38" t="inlineStr">
        <is>
          <t>Noticia dura</t>
        </is>
      </c>
      <c r="F8" s="38" t="inlineStr">
        <is>
          <t>Fri, 04 Sep 2026 21:14:49 +0000</t>
        </is>
      </c>
      <c r="G8" s="62" t="inlineStr">
        <is>
          <t>El Instituto Nacional de Medicina Legal y Ciencias Forenses comunicó oficialmente que identificó a 20 de los 24 cuerpos que recibió tras las acciones militares que desarrollaron de manera conjunta las fuerzas del orden en la vereda Lagos del Dorado, en el municipio de Miraflores, Guaviare, a través de la Operación Azarías en contra de los grupos armados que tienen presencia en el arco amazónico.</t>
        </is>
      </c>
      <c r="H8" s="62" t="n"/>
      <c r="I8" s="62" t="inlineStr">
        <is>
          <t>La entidad aseguró que los cuerpos ingresaron el 1 de septiembre de 2026.</t>
        </is>
      </c>
      <c r="J8" s="38" t="n"/>
      <c r="K8" s="62" t="n"/>
      <c r="L8" s="38" t="n"/>
      <c r="M8" s="62" t="n"/>
      <c r="N8" s="38" t="n"/>
      <c r="O8" s="62" t="n"/>
      <c r="P8" s="38" t="n"/>
      <c r="Q8" s="62" t="n"/>
      <c r="R8" s="38" t="n"/>
      <c r="S8" s="62" t="n"/>
      <c r="T8" s="38" t="n"/>
      <c r="U8" s="62" t="n"/>
      <c r="V8" s="38" t="n"/>
      <c r="W8" s="62" t="n"/>
      <c r="X8" s="38" t="n"/>
      <c r="Y8" s="62" t="n"/>
      <c r="Z8" s="38" t="n"/>
      <c r="AA8" s="62" t="n"/>
      <c r="AB8" s="38" t="n"/>
      <c r="AC8" s="62" t="n"/>
      <c r="AD8" s="38" t="n"/>
      <c r="AE8" s="38" t="n"/>
      <c r="AF8" s="61">
        <f>IF(COUNTIF($B$5:B8,B8)=1,1,0)</f>
        <v/>
      </c>
      <c r="AG8" s="62" t="inlineStr">
        <is>
          <t>https://www.infobae.com/colombia/2026/09/04/medicina-legal-confirmo-los-resultados-de-la-operacion-azarias-en-guaviare-en-la-que-murieron-23-disidentes-dos-eran-menores-de-edad/</t>
        </is>
      </c>
    </row>
    <row r="9" ht="15" customHeight="1" s="31">
      <c r="A9" s="38" t="inlineStr">
        <is>
          <t>ART_001</t>
        </is>
      </c>
      <c r="B9" s="38" t="inlineStr">
        <is>
          <t>ART_001_S02</t>
        </is>
      </c>
      <c r="C9" s="38" t="inlineStr">
        <is>
          <t>Infobae Colombia</t>
        </is>
      </c>
      <c r="D9" s="38" t="inlineStr">
        <is>
          <t>Seguridad y orden público</t>
        </is>
      </c>
      <c r="E9" s="38" t="inlineStr">
        <is>
          <t>Noticia dura</t>
        </is>
      </c>
      <c r="F9" s="38" t="inlineStr">
        <is>
          <t>Fri, 04 Sep 2026 21:14:49 +0000</t>
        </is>
      </c>
      <c r="G9" s="62" t="inlineStr">
        <is>
          <t>La entidad aseguró que los cuerpos ingresaron el 1 de septiembre de 2026.</t>
        </is>
      </c>
      <c r="H9" s="62" t="inlineStr">
        <is>
          <t>El Instituto Nacional de Medicina Legal y Ciencias Forenses comunicó oficialmente que identificó a 20 de los 24 cuerpos que recibió tras las acciones militares que desarrollaron de manera conjunta las fuerzas del orden en la vereda Lagos del Dorado, en el municipio de Miraflores, Guaviare, a través de la Operación Azarías en contra de los grupos armados que tienen presencia en el arco amazónico.</t>
        </is>
      </c>
      <c r="I9" s="62" t="inlineStr">
        <is>
          <t>Del total de 24 cuerpos inertes recibidos, cuatro permanecen en abordaje forense debido a las condiciones en que fueron entregados.</t>
        </is>
      </c>
      <c r="J9" s="38" t="n"/>
      <c r="K9" s="62" t="n"/>
      <c r="L9" s="38" t="n"/>
      <c r="M9" s="62" t="n"/>
      <c r="N9" s="38" t="n"/>
      <c r="O9" s="62" t="n"/>
      <c r="P9" s="38" t="n"/>
      <c r="Q9" s="62" t="n"/>
      <c r="R9" s="38" t="n"/>
      <c r="S9" s="62" t="n"/>
      <c r="T9" s="38" t="n"/>
      <c r="U9" s="62" t="n"/>
      <c r="V9" s="38" t="n"/>
      <c r="W9" s="62" t="n"/>
      <c r="X9" s="38" t="n"/>
      <c r="Y9" s="62" t="n"/>
      <c r="Z9" s="38" t="n"/>
      <c r="AA9" s="62" t="n"/>
      <c r="AB9" s="38" t="n"/>
      <c r="AC9" s="62" t="n"/>
      <c r="AD9" s="38" t="n"/>
      <c r="AE9" s="38" t="n"/>
      <c r="AF9" s="61">
        <f>IF(COUNTIF($B$5:B9,B9)=1,1,0)</f>
        <v/>
      </c>
      <c r="AG9" s="62" t="inlineStr">
        <is>
          <t>https://www.infobae.com/colombia/2026/09/04/medicina-legal-confirmo-los-resultados-de-la-operacion-azarias-en-guaviare-en-la-que-murieron-23-disidentes-dos-eran-menores-de-edad/</t>
        </is>
      </c>
    </row>
    <row r="10" ht="15" customHeight="1" s="31">
      <c r="A10" s="38" t="inlineStr">
        <is>
          <t>ART_001</t>
        </is>
      </c>
      <c r="B10" s="38" t="inlineStr">
        <is>
          <t>ART_001_S03</t>
        </is>
      </c>
      <c r="C10" s="38" t="inlineStr">
        <is>
          <t>Infobae Colombia</t>
        </is>
      </c>
      <c r="D10" s="38" t="inlineStr">
        <is>
          <t>Seguridad y orden público</t>
        </is>
      </c>
      <c r="E10" s="38" t="inlineStr">
        <is>
          <t>Noticia dura</t>
        </is>
      </c>
      <c r="F10" s="38" t="inlineStr">
        <is>
          <t>Fri, 04 Sep 2026 21:14:49 +0000</t>
        </is>
      </c>
      <c r="G10" s="62" t="inlineStr">
        <is>
          <t>Del total de 24 cuerpos inertes recibidos, cuatro permanecen en abordaje forense debido a las condiciones en que fueron entregados.</t>
        </is>
      </c>
      <c r="H10" s="62" t="inlineStr">
        <is>
          <t>La entidad aseguró que los cuerpos ingresaron el 1 de septiembre de 2026.</t>
        </is>
      </c>
      <c r="I10" s="62" t="inlineStr">
        <is>
          <t>Medicina Legal ratificó que, además, entre las 20 personas identificadas hay ocho mujeres y 12 hombres, de acuerdo con el balance oficial que se divulgó este 4 de septiembre.</t>
        </is>
      </c>
      <c r="J10" s="38" t="n"/>
      <c r="K10" s="62" t="n"/>
      <c r="L10" s="38" t="n"/>
      <c r="M10" s="62" t="n"/>
      <c r="N10" s="38" t="n"/>
      <c r="O10" s="62" t="n"/>
      <c r="P10" s="38" t="n"/>
      <c r="Q10" s="62" t="n"/>
      <c r="R10" s="38" t="n"/>
      <c r="S10" s="62" t="n"/>
      <c r="T10" s="38" t="n"/>
      <c r="U10" s="62" t="n"/>
      <c r="V10" s="38" t="n"/>
      <c r="W10" s="62" t="n"/>
      <c r="X10" s="38" t="n"/>
      <c r="Y10" s="62" t="n"/>
      <c r="Z10" s="38" t="n"/>
      <c r="AA10" s="62" t="n"/>
      <c r="AB10" s="38" t="n"/>
      <c r="AC10" s="62" t="n"/>
      <c r="AD10" s="38" t="n"/>
      <c r="AE10" s="38" t="n"/>
      <c r="AF10" s="61">
        <f>IF(COUNTIF($B$5:B10,B10)=1,1,0)</f>
        <v/>
      </c>
      <c r="AG10" s="62" t="inlineStr">
        <is>
          <t>https://www.infobae.com/colombia/2026/09/04/medicina-legal-confirmo-los-resultados-de-la-operacion-azarias-en-guaviare-en-la-que-murieron-23-disidentes-dos-eran-menores-de-edad/</t>
        </is>
      </c>
    </row>
    <row r="11" ht="15" customHeight="1" s="31">
      <c r="A11" s="38" t="inlineStr">
        <is>
          <t>ART_001</t>
        </is>
      </c>
      <c r="B11" s="38" t="inlineStr">
        <is>
          <t>ART_001_S04</t>
        </is>
      </c>
      <c r="C11" s="38" t="inlineStr">
        <is>
          <t>Infobae Colombia</t>
        </is>
      </c>
      <c r="D11" s="38" t="inlineStr">
        <is>
          <t>Seguridad y orden público</t>
        </is>
      </c>
      <c r="E11" s="38" t="inlineStr">
        <is>
          <t>Noticia dura</t>
        </is>
      </c>
      <c r="F11" s="38" t="inlineStr">
        <is>
          <t>Fri, 04 Sep 2026 21:14:49 +0000</t>
        </is>
      </c>
      <c r="G11" s="62" t="inlineStr">
        <is>
          <t>Medicina Legal ratificó que, además, entre las 20 personas identificadas hay ocho mujeres y 12 hombres, de acuerdo con el balance oficial que se divulgó este 4 de septiembre.</t>
        </is>
      </c>
      <c r="H11" s="62" t="inlineStr">
        <is>
          <t>Del total de 24 cuerpos inertes recibidos, cuatro permanecen en abordaje forense debido a las condiciones en que fueron entregados.</t>
        </is>
      </c>
      <c r="I11" s="62" t="inlineStr">
        <is>
          <t>Frente a la polémica por la presunta presencia de menores en el área en la que se desarrolló la ofensiva, el Instituto precisó que dos de las personas abatidas ya identificadas son menores de edad.</t>
        </is>
      </c>
      <c r="J11" s="38" t="n"/>
      <c r="K11" s="62" t="n"/>
      <c r="L11" s="38" t="n"/>
      <c r="M11" s="62" t="n"/>
      <c r="N11" s="38" t="n"/>
      <c r="O11" s="62" t="n"/>
      <c r="P11" s="38" t="n"/>
      <c r="Q11" s="62" t="n"/>
      <c r="R11" s="38" t="n"/>
      <c r="S11" s="62" t="n"/>
      <c r="T11" s="38" t="n"/>
      <c r="U11" s="62" t="n"/>
      <c r="V11" s="38" t="n"/>
      <c r="W11" s="62" t="n"/>
      <c r="X11" s="38" t="n"/>
      <c r="Y11" s="62" t="n"/>
      <c r="Z11" s="38" t="n"/>
      <c r="AA11" s="62" t="n"/>
      <c r="AB11" s="38" t="n"/>
      <c r="AC11" s="62" t="n"/>
      <c r="AD11" s="38" t="n"/>
      <c r="AE11" s="38" t="n"/>
      <c r="AF11" s="61">
        <f>IF(COUNTIF($B$5:B11,B11)=1,1,0)</f>
        <v/>
      </c>
      <c r="AG11" s="62" t="inlineStr">
        <is>
          <t>https://www.infobae.com/colombia/2026/09/04/medicina-legal-confirmo-los-resultados-de-la-operacion-azarias-en-guaviare-en-la-que-murieron-23-disidentes-dos-eran-menores-de-edad/</t>
        </is>
      </c>
    </row>
    <row r="12" ht="15" customHeight="1" s="31">
      <c r="A12" s="38" t="inlineStr">
        <is>
          <t>ART_001</t>
        </is>
      </c>
      <c r="B12" s="38" t="inlineStr">
        <is>
          <t>ART_001_S05</t>
        </is>
      </c>
      <c r="C12" s="38" t="inlineStr">
        <is>
          <t>Infobae Colombia</t>
        </is>
      </c>
      <c r="D12" s="38" t="inlineStr">
        <is>
          <t>Seguridad y orden público</t>
        </is>
      </c>
      <c r="E12" s="38" t="inlineStr">
        <is>
          <t>Noticia dura</t>
        </is>
      </c>
      <c r="F12" s="38" t="inlineStr">
        <is>
          <t>Fri, 04 Sep 2026 21:14:49 +0000</t>
        </is>
      </c>
      <c r="G12" s="62" t="inlineStr">
        <is>
          <t>Frente a la polémica por la presunta presencia de menores en el área en la que se desarrolló la ofensiva, el Instituto precisó que dos de las personas abatidas ya identificadas son menores de edad.</t>
        </is>
      </c>
      <c r="H12" s="62" t="inlineStr">
        <is>
          <t>Medicina Legal ratificó que, además, entre las 20 personas identificadas hay ocho mujeres y 12 hombres, de acuerdo con el balance oficial que se divulgó este 4 de septiembre.</t>
        </is>
      </c>
      <c r="I12" s="62" t="inlineStr">
        <is>
          <t>El comunicado no detalló sus identidades, edades ni las circunstancias en las que murieron.</t>
        </is>
      </c>
      <c r="J12" s="38" t="n"/>
      <c r="K12" s="62" t="n"/>
      <c r="L12" s="38" t="n"/>
      <c r="M12" s="62" t="n"/>
      <c r="N12" s="38" t="n"/>
      <c r="O12" s="62" t="n"/>
      <c r="P12" s="38" t="n"/>
      <c r="Q12" s="62" t="n"/>
      <c r="R12" s="38" t="n"/>
      <c r="S12" s="62" t="n"/>
      <c r="T12" s="38" t="n"/>
      <c r="U12" s="62" t="n"/>
      <c r="V12" s="38" t="n"/>
      <c r="W12" s="62" t="n"/>
      <c r="X12" s="38" t="n"/>
      <c r="Y12" s="62" t="n"/>
      <c r="Z12" s="38" t="n"/>
      <c r="AA12" s="62" t="n"/>
      <c r="AB12" s="38" t="n"/>
      <c r="AC12" s="62" t="n"/>
      <c r="AD12" s="38" t="n"/>
      <c r="AE12" s="38" t="n"/>
      <c r="AF12" s="61">
        <f>IF(COUNTIF($B$5:B12,B12)=1,1,0)</f>
        <v/>
      </c>
      <c r="AG12" s="62" t="inlineStr">
        <is>
          <t>https://www.infobae.com/colombia/2026/09/04/medicina-legal-confirmo-los-resultados-de-la-operacion-azarias-en-guaviare-en-la-que-murieron-23-disidentes-dos-eran-menores-de-edad/</t>
        </is>
      </c>
    </row>
    <row r="13" ht="15" customHeight="1" s="31">
      <c r="A13" s="38" t="inlineStr">
        <is>
          <t>ART_001</t>
        </is>
      </c>
      <c r="B13" s="38" t="inlineStr">
        <is>
          <t>ART_001_S06</t>
        </is>
      </c>
      <c r="C13" s="38" t="inlineStr">
        <is>
          <t>Infobae Colombia</t>
        </is>
      </c>
      <c r="D13" s="38" t="inlineStr">
        <is>
          <t>Seguridad y orden público</t>
        </is>
      </c>
      <c r="E13" s="38" t="inlineStr">
        <is>
          <t>Noticia dura</t>
        </is>
      </c>
      <c r="F13" s="38" t="inlineStr">
        <is>
          <t>Fri, 04 Sep 2026 21:14:49 +0000</t>
        </is>
      </c>
      <c r="G13" s="62" t="inlineStr">
        <is>
          <t>El comunicado no detalló sus identidades, edades ni las circunstancias en las que murieron.</t>
        </is>
      </c>
      <c r="H13" s="62" t="inlineStr">
        <is>
          <t>Frente a la polémica por la presunta presencia de menores en el área en la que se desarrolló la ofensiva, el Instituto precisó que dos de las personas abatidas ya identificadas son menores de edad.</t>
        </is>
      </c>
      <c r="I13" s="62" t="inlineStr">
        <is>
          <t>En cuanto a los procedimientos sobre los cuatro cuerpos pendientes, las identificaciones continuarán pese a las dificultades que presentan los cadáveres.</t>
        </is>
      </c>
      <c r="J13" s="38" t="n"/>
      <c r="K13" s="62" t="n"/>
      <c r="L13" s="38" t="n"/>
      <c r="M13" s="62" t="n"/>
      <c r="N13" s="38" t="n"/>
      <c r="O13" s="62" t="n"/>
      <c r="P13" s="38" t="n"/>
      <c r="Q13" s="62" t="n"/>
      <c r="R13" s="38" t="n"/>
      <c r="S13" s="62" t="n"/>
      <c r="T13" s="38" t="n"/>
      <c r="U13" s="62" t="n"/>
      <c r="V13" s="38" t="n"/>
      <c r="W13" s="62" t="n"/>
      <c r="X13" s="38" t="n"/>
      <c r="Y13" s="62" t="n"/>
      <c r="Z13" s="38" t="n"/>
      <c r="AA13" s="62" t="n"/>
      <c r="AB13" s="38" t="n"/>
      <c r="AC13" s="62" t="n"/>
      <c r="AD13" s="38" t="n"/>
      <c r="AE13" s="38" t="n"/>
      <c r="AF13" s="61">
        <f>IF(COUNTIF($B$5:B13,B13)=1,1,0)</f>
        <v/>
      </c>
      <c r="AG13" s="62" t="inlineStr">
        <is>
          <t>https://www.infobae.com/colombia/2026/09/04/medicina-legal-confirmo-los-resultados-de-la-operacion-azarias-en-guaviare-en-la-que-murieron-23-disidentes-dos-eran-menores-de-edad/</t>
        </is>
      </c>
    </row>
    <row r="14" ht="15" customHeight="1" s="31">
      <c r="A14" s="38" t="inlineStr">
        <is>
          <t>ART_001</t>
        </is>
      </c>
      <c r="B14" s="38" t="inlineStr">
        <is>
          <t>ART_001_S07</t>
        </is>
      </c>
      <c r="C14" s="38" t="inlineStr">
        <is>
          <t>Infobae Colombia</t>
        </is>
      </c>
      <c r="D14" s="38" t="inlineStr">
        <is>
          <t>Seguridad y orden público</t>
        </is>
      </c>
      <c r="E14" s="38" t="inlineStr">
        <is>
          <t>Noticia dura</t>
        </is>
      </c>
      <c r="F14" s="38" t="inlineStr">
        <is>
          <t>Fri, 04 Sep 2026 21:14:49 +0000</t>
        </is>
      </c>
      <c r="G14" s="62" t="inlineStr">
        <is>
          <t>En cuanto a los procedimientos sobre los cuatro cuerpos pendientes, las identificaciones continuarán pese a las dificultades que presentan los cadáveres.</t>
        </is>
      </c>
      <c r="H14" s="62" t="inlineStr">
        <is>
          <t>El comunicado no detalló sus identidades, edades ni las circunstancias en las que murieron.</t>
        </is>
      </c>
      <c r="I14" s="62" t="inlineStr">
        <is>
          <t>Sin embargo, la institución no indicó un plazo para completar los registros.</t>
        </is>
      </c>
      <c r="J14" s="38" t="n"/>
      <c r="K14" s="62" t="n"/>
      <c r="L14" s="38" t="n"/>
      <c r="M14" s="62" t="n"/>
      <c r="N14" s="38" t="n"/>
      <c r="O14" s="62" t="n"/>
      <c r="P14" s="38" t="n"/>
      <c r="Q14" s="62" t="n"/>
      <c r="R14" s="38" t="n"/>
      <c r="S14" s="62" t="n"/>
      <c r="T14" s="38" t="n"/>
      <c r="U14" s="62" t="n"/>
      <c r="V14" s="38" t="n"/>
      <c r="W14" s="62" t="n"/>
      <c r="X14" s="38" t="n"/>
      <c r="Y14" s="62" t="n"/>
      <c r="Z14" s="38" t="n"/>
      <c r="AA14" s="62" t="n"/>
      <c r="AB14" s="38" t="n"/>
      <c r="AC14" s="62" t="n"/>
      <c r="AD14" s="38" t="n"/>
      <c r="AE14" s="38" t="n"/>
      <c r="AF14" s="61">
        <f>IF(COUNTIF($B$5:B14,B14)=1,1,0)</f>
        <v/>
      </c>
      <c r="AG14" s="62" t="inlineStr">
        <is>
          <t>https://www.infobae.com/colombia/2026/09/04/medicina-legal-confirmo-los-resultados-de-la-operacion-azarias-en-guaviare-en-la-que-murieron-23-disidentes-dos-eran-menores-de-edad/</t>
        </is>
      </c>
    </row>
    <row r="15" ht="15" customHeight="1" s="31">
      <c r="A15" s="38" t="inlineStr">
        <is>
          <t>ART_001</t>
        </is>
      </c>
      <c r="B15" s="38" t="inlineStr">
        <is>
          <t>ART_001_S08</t>
        </is>
      </c>
      <c r="C15" s="38" t="inlineStr">
        <is>
          <t>Infobae Colombia</t>
        </is>
      </c>
      <c r="D15" s="38" t="inlineStr">
        <is>
          <t>Seguridad y orden público</t>
        </is>
      </c>
      <c r="E15" s="38" t="inlineStr">
        <is>
          <t>Noticia dura</t>
        </is>
      </c>
      <c r="F15" s="38" t="inlineStr">
        <is>
          <t>Fri, 04 Sep 2026 21:14:49 +0000</t>
        </is>
      </c>
      <c r="G15" s="62" t="inlineStr">
        <is>
          <t>Sin embargo, la institución no indicó un plazo para completar los registros.</t>
        </is>
      </c>
      <c r="H15" s="62" t="inlineStr">
        <is>
          <t>En cuanto a los procedimientos sobre los cuatro cuerpos pendientes, las identificaciones continuarán pese a las dificultades que presentan los cadáveres.</t>
        </is>
      </c>
      <c r="I15" s="62" t="inlineStr">
        <is>
          <t>En su pronunciamiento, el organismo afirmó que mantendrá su compromiso con la independencia técnica y la transparencia en apoyo a la administración de justicia.</t>
        </is>
      </c>
      <c r="J15" s="38" t="n"/>
      <c r="K15" s="62" t="n"/>
      <c r="L15" s="38" t="n"/>
      <c r="M15" s="62" t="n"/>
      <c r="N15" s="38" t="n"/>
      <c r="O15" s="62" t="n"/>
      <c r="P15" s="38" t="n"/>
      <c r="Q15" s="62" t="n"/>
      <c r="R15" s="38" t="n"/>
      <c r="S15" s="62" t="n"/>
      <c r="T15" s="38" t="n"/>
      <c r="U15" s="62" t="n"/>
      <c r="V15" s="38" t="n"/>
      <c r="W15" s="62" t="n"/>
      <c r="X15" s="38" t="n"/>
      <c r="Y15" s="62" t="n"/>
      <c r="Z15" s="38" t="n"/>
      <c r="AA15" s="62" t="n"/>
      <c r="AB15" s="38" t="n"/>
      <c r="AC15" s="62" t="n"/>
      <c r="AD15" s="38" t="n"/>
      <c r="AE15" s="38" t="n"/>
      <c r="AF15" s="61">
        <f>IF(COUNTIF($B$5:B15,B15)=1,1,0)</f>
        <v/>
      </c>
      <c r="AG15" s="62" t="inlineStr">
        <is>
          <t>https://www.infobae.com/colombia/2026/09/04/medicina-legal-confirmo-los-resultados-de-la-operacion-azarias-en-guaviare-en-la-que-murieron-23-disidentes-dos-eran-menores-de-edad/</t>
        </is>
      </c>
    </row>
    <row r="16" ht="15" customHeight="1" s="31">
      <c r="A16" s="38" t="inlineStr">
        <is>
          <t>ART_001</t>
        </is>
      </c>
      <c r="B16" s="38" t="inlineStr">
        <is>
          <t>ART_001_S09</t>
        </is>
      </c>
      <c r="C16" s="38" t="inlineStr">
        <is>
          <t>Infobae Colombia</t>
        </is>
      </c>
      <c r="D16" s="38" t="inlineStr">
        <is>
          <t>Seguridad y orden público</t>
        </is>
      </c>
      <c r="E16" s="38" t="inlineStr">
        <is>
          <t>Noticia dura</t>
        </is>
      </c>
      <c r="F16" s="38" t="inlineStr">
        <is>
          <t>Fri, 04 Sep 2026 21:14:49 +0000</t>
        </is>
      </c>
      <c r="G16" s="62" t="inlineStr">
        <is>
          <t>En su pronunciamiento, el organismo afirmó que mantendrá su compromiso con la independencia técnica y la transparencia en apoyo a la administración de justicia.</t>
        </is>
      </c>
      <c r="H16" s="62" t="inlineStr">
        <is>
          <t>Sin embargo, la institución no indicó un plazo para completar los registros.</t>
        </is>
      </c>
      <c r="I16" s="62" t="inlineStr">
        <is>
          <t>El reporte de Medicina Legal se conoció cuatro días después de que el presidente Abelardo de la Espriella divulgara el resultado del operativo que incluyó bombardeos.</t>
        </is>
      </c>
      <c r="J16" s="38" t="n"/>
      <c r="K16" s="62" t="n"/>
      <c r="L16" s="38" t="n"/>
      <c r="M16" s="62" t="n"/>
      <c r="N16" s="38" t="n"/>
      <c r="O16" s="62" t="n"/>
      <c r="P16" s="38" t="n"/>
      <c r="Q16" s="62" t="n"/>
      <c r="R16" s="38" t="n"/>
      <c r="S16" s="62" t="n"/>
      <c r="T16" s="38" t="n"/>
      <c r="U16" s="62" t="n"/>
      <c r="V16" s="38" t="n"/>
      <c r="W16" s="62" t="n"/>
      <c r="X16" s="38" t="n"/>
      <c r="Y16" s="62" t="n"/>
      <c r="Z16" s="38" t="n"/>
      <c r="AA16" s="62" t="n"/>
      <c r="AB16" s="38" t="n"/>
      <c r="AC16" s="62" t="n"/>
      <c r="AD16" s="38" t="n"/>
      <c r="AE16" s="38" t="n"/>
      <c r="AF16" s="61">
        <f>IF(COUNTIF($B$5:B16,B16)=1,1,0)</f>
        <v/>
      </c>
      <c r="AG16" s="62" t="inlineStr">
        <is>
          <t>https://www.infobae.com/colombia/2026/09/04/medicina-legal-confirmo-los-resultados-de-la-operacion-azarias-en-guaviare-en-la-que-murieron-23-disidentes-dos-eran-menores-de-edad/</t>
        </is>
      </c>
    </row>
    <row r="17" ht="15" customHeight="1" s="31">
      <c r="A17" s="38" t="inlineStr">
        <is>
          <t>ART_001</t>
        </is>
      </c>
      <c r="B17" s="38" t="inlineStr">
        <is>
          <t>ART_001_S10</t>
        </is>
      </c>
      <c r="C17" s="38" t="inlineStr">
        <is>
          <t>Infobae Colombia</t>
        </is>
      </c>
      <c r="D17" s="38" t="inlineStr">
        <is>
          <t>Seguridad y orden público</t>
        </is>
      </c>
      <c r="E17" s="38" t="inlineStr">
        <is>
          <t>Noticia dura</t>
        </is>
      </c>
      <c r="F17" s="38" t="inlineStr">
        <is>
          <t>Fri, 04 Sep 2026 21:14:49 +0000</t>
        </is>
      </c>
      <c r="G17" s="62" t="inlineStr">
        <is>
          <t>El reporte de Medicina Legal se conoció cuatro días después de que el presidente Abelardo de la Espriella divulgara el resultado del operativo que incluyó bombardeos.</t>
        </is>
      </c>
      <c r="H17" s="62" t="inlineStr">
        <is>
          <t>En su pronunciamiento, el organismo afirmó que mantendrá su compromiso con la independencia técnica y la transparencia en apoyo a la administración de justicia.</t>
        </is>
      </c>
      <c r="I17" s="62" t="inlineStr">
        <is>
          <t>Según el mandatario, durante la incursión murió alias El Tigre, a quien identificó como jefe del frente Carolina Ramírez, de las disidencias de las Farc.</t>
        </is>
      </c>
      <c r="J17" s="38" t="n"/>
      <c r="K17" s="62" t="n"/>
      <c r="L17" s="38" t="n"/>
      <c r="M17" s="62" t="n"/>
      <c r="N17" s="38" t="n"/>
      <c r="O17" s="62" t="n"/>
      <c r="P17" s="38" t="n"/>
      <c r="Q17" s="62" t="n"/>
      <c r="R17" s="38" t="n"/>
      <c r="S17" s="62" t="n"/>
      <c r="T17" s="38" t="n"/>
      <c r="U17" s="62" t="n"/>
      <c r="V17" s="38" t="n"/>
      <c r="W17" s="62" t="n"/>
      <c r="X17" s="38" t="n"/>
      <c r="Y17" s="62" t="n"/>
      <c r="Z17" s="38" t="n"/>
      <c r="AA17" s="62" t="n"/>
      <c r="AB17" s="38" t="n"/>
      <c r="AC17" s="62" t="n"/>
      <c r="AD17" s="38" t="n"/>
      <c r="AE17" s="38" t="n"/>
      <c r="AF17" s="61">
        <f>IF(COUNTIF($B$5:B17,B17)=1,1,0)</f>
        <v/>
      </c>
      <c r="AG17" s="62" t="inlineStr">
        <is>
          <t>https://www.infobae.com/colombia/2026/09/04/medicina-legal-confirmo-los-resultados-de-la-operacion-azarias-en-guaviare-en-la-que-murieron-23-disidentes-dos-eran-menores-de-edad/</t>
        </is>
      </c>
    </row>
    <row r="18" ht="15" customHeight="1" s="31">
      <c r="A18" s="38" t="inlineStr">
        <is>
          <t>ART_001</t>
        </is>
      </c>
      <c r="B18" s="38" t="inlineStr">
        <is>
          <t>ART_001_S11</t>
        </is>
      </c>
      <c r="C18" s="38" t="inlineStr">
        <is>
          <t>Infobae Colombia</t>
        </is>
      </c>
      <c r="D18" s="38" t="inlineStr">
        <is>
          <t>Seguridad y orden público</t>
        </is>
      </c>
      <c r="E18" s="38" t="inlineStr">
        <is>
          <t>Noticia dura</t>
        </is>
      </c>
      <c r="F18" s="38" t="inlineStr">
        <is>
          <t>Fri, 04 Sep 2026 21:14:49 +0000</t>
        </is>
      </c>
      <c r="G18" s="62" t="inlineStr">
        <is>
          <t>Según el mandatario, durante la incursión murió alias El Tigre, a quien identificó como jefe del frente Carolina Ramírez, de las disidencias de las Farc.</t>
        </is>
      </c>
      <c r="H18" s="62" t="inlineStr">
        <is>
          <t>El reporte de Medicina Legal se conoció cuatro días después de que el presidente Abelardo de la Espriella divulgara el resultado del operativo que incluyó bombardeos.</t>
        </is>
      </c>
      <c r="I18" s="62" t="inlineStr">
        <is>
          <t>Esa estructura operaba bajo el mando de Néstor Gregorio Vera, alias Iván Mordisco, señalado por el Gobierno nacional como el hombre más buscado del país.</t>
        </is>
      </c>
      <c r="J18" s="38" t="n"/>
      <c r="K18" s="62" t="n"/>
      <c r="L18" s="38" t="n"/>
      <c r="M18" s="62" t="n"/>
      <c r="N18" s="38" t="n"/>
      <c r="O18" s="62" t="n"/>
      <c r="P18" s="38" t="n"/>
      <c r="Q18" s="62" t="n"/>
      <c r="R18" s="38" t="n"/>
      <c r="S18" s="62" t="n"/>
      <c r="T18" s="38" t="n"/>
      <c r="U18" s="62" t="n"/>
      <c r="V18" s="38" t="n"/>
      <c r="W18" s="62" t="n"/>
      <c r="X18" s="38" t="n"/>
      <c r="Y18" s="62" t="n"/>
      <c r="Z18" s="38" t="n"/>
      <c r="AA18" s="62" t="n"/>
      <c r="AB18" s="38" t="n"/>
      <c r="AC18" s="62" t="n"/>
      <c r="AD18" s="38" t="n"/>
      <c r="AE18" s="38" t="n"/>
      <c r="AF18" s="61">
        <f>IF(COUNTIF($B$5:B18,B18)=1,1,0)</f>
        <v/>
      </c>
      <c r="AG18" s="62" t="inlineStr">
        <is>
          <t>https://www.infobae.com/colombia/2026/09/04/medicina-legal-confirmo-los-resultados-de-la-operacion-azarias-en-guaviare-en-la-que-murieron-23-disidentes-dos-eran-menores-de-edad/</t>
        </is>
      </c>
    </row>
    <row r="19" ht="15" customHeight="1" s="31">
      <c r="A19" s="38" t="inlineStr">
        <is>
          <t>ART_001</t>
        </is>
      </c>
      <c r="B19" s="38" t="inlineStr">
        <is>
          <t>ART_001_S12</t>
        </is>
      </c>
      <c r="C19" s="38" t="inlineStr">
        <is>
          <t>Infobae Colombia</t>
        </is>
      </c>
      <c r="D19" s="38" t="inlineStr">
        <is>
          <t>Seguridad y orden público</t>
        </is>
      </c>
      <c r="E19" s="38" t="inlineStr">
        <is>
          <t>Noticia dura</t>
        </is>
      </c>
      <c r="F19" s="38" t="inlineStr">
        <is>
          <t>Fri, 04 Sep 2026 21:14:49 +0000</t>
        </is>
      </c>
      <c r="G19" s="62" t="inlineStr">
        <is>
          <t>Esa estructura operaba bajo el mando de Néstor Gregorio Vera, alias Iván Mordisco, señalado por el Gobierno nacional como el hombre más buscado del país.</t>
        </is>
      </c>
      <c r="H19" s="62" t="inlineStr">
        <is>
          <t>Según el mandatario, durante la incursión murió alias El Tigre, a quien identificó como jefe del frente Carolina Ramírez, de las disidencias de las Farc.</t>
        </is>
      </c>
      <c r="I19" s="62" t="n"/>
      <c r="J19" s="38" t="n"/>
      <c r="K19" s="62" t="n"/>
      <c r="L19" s="38" t="n"/>
      <c r="M19" s="62" t="n"/>
      <c r="N19" s="38" t="n"/>
      <c r="O19" s="62" t="n"/>
      <c r="P19" s="38" t="n"/>
      <c r="Q19" s="62" t="n"/>
      <c r="R19" s="38" t="n"/>
      <c r="S19" s="62" t="n"/>
      <c r="T19" s="38" t="n"/>
      <c r="U19" s="62" t="n"/>
      <c r="V19" s="38" t="n"/>
      <c r="W19" s="62" t="n"/>
      <c r="X19" s="38" t="n"/>
      <c r="Y19" s="62" t="n"/>
      <c r="Z19" s="38" t="n"/>
      <c r="AA19" s="62" t="n"/>
      <c r="AB19" s="38" t="n"/>
      <c r="AC19" s="62" t="n"/>
      <c r="AD19" s="38" t="n"/>
      <c r="AE19" s="38" t="n"/>
      <c r="AF19" s="61">
        <f>IF(COUNTIF($B$5:B19,B19)=1,1,0)</f>
        <v/>
      </c>
      <c r="AG19" s="62" t="inlineStr">
        <is>
          <t>https://www.infobae.com/colombia/2026/09/04/medicina-legal-confirmo-los-resultados-de-la-operacion-azarias-en-guaviare-en-la-que-murieron-23-disidentes-dos-eran-menores-de-edad/</t>
        </is>
      </c>
    </row>
    <row r="20" ht="15" customHeight="1" s="31">
      <c r="A20" s="38" t="inlineStr">
        <is>
          <t>ART_002</t>
        </is>
      </c>
      <c r="B20" s="38" t="inlineStr">
        <is>
          <t>ART_002_S01</t>
        </is>
      </c>
      <c r="C20" s="38" t="inlineStr">
        <is>
          <t>Infobae Colombia</t>
        </is>
      </c>
      <c r="D20" s="38" t="inlineStr">
        <is>
          <t>Transición de gobierno y relación con la oposición</t>
        </is>
      </c>
      <c r="E20" s="38" t="inlineStr">
        <is>
          <t>Noticia dura</t>
        </is>
      </c>
      <c r="F20" s="38" t="inlineStr">
        <is>
          <t>Fri, 04 Sep 2026 20:26:29 +0000</t>
        </is>
      </c>
      <c r="G20" s="62" t="inlineStr">
        <is>
          <t>En medio de rumores, se confirmó que Naín Pérez Toncel, alias Bendito Menor, cabecilla de las Autodefensas Conquistadoras de la Sierra Nevada (Acsn), fue abatido en una operación militar ejecutada en el barrio Los Olivos de Riohacha, en el departamento de La Guajira.</t>
        </is>
      </c>
      <c r="H20" s="62" t="n"/>
      <c r="I20" s="62" t="inlineStr">
        <is>
          <t>Desde el Batallón Cartagena de Riohacha, el presidente Abelardo de la Espriella se refirió a los hechos y aseguró que este resultado operacional responde a un trabajo conjunto de distintas instituciones de la fuerza pública.</t>
        </is>
      </c>
      <c r="J20" s="38" t="n"/>
      <c r="K20" s="62" t="n"/>
      <c r="L20" s="38" t="n"/>
      <c r="M20" s="62" t="n"/>
      <c r="N20" s="38" t="n"/>
      <c r="O20" s="62" t="n"/>
      <c r="P20" s="38" t="n"/>
      <c r="Q20" s="62" t="n"/>
      <c r="R20" s="38" t="n"/>
      <c r="S20" s="62" t="n"/>
      <c r="T20" s="38" t="n"/>
      <c r="U20" s="62" t="n"/>
      <c r="V20" s="38" t="n"/>
      <c r="W20" s="62" t="n"/>
      <c r="X20" s="38" t="n"/>
      <c r="Y20" s="62" t="n"/>
      <c r="Z20" s="38" t="n"/>
      <c r="AA20" s="62" t="n"/>
      <c r="AB20" s="38" t="n"/>
      <c r="AC20" s="62" t="n"/>
      <c r="AD20" s="38" t="n"/>
      <c r="AE20" s="38" t="n"/>
      <c r="AF20" s="61">
        <f>IF(COUNTIF($B$5:B20,B20)=1,1,0)</f>
        <v/>
      </c>
      <c r="AG20" s="62" t="inlineStr">
        <is>
          <t>https://www.infobae.com/colombia/2026/09/04/autodefensas-conquistadoras-se-pronunciaron-sobre-la-muerte-del-cabecilla-bendito-menor-y-su-novia-la-bebecita-aseguraron-que-no-habra-represalias/</t>
        </is>
      </c>
    </row>
    <row r="21" ht="15" customHeight="1" s="31">
      <c r="A21" s="38" t="inlineStr">
        <is>
          <t>ART_002</t>
        </is>
      </c>
      <c r="B21" s="38" t="inlineStr">
        <is>
          <t>ART_002_S02</t>
        </is>
      </c>
      <c r="C21" s="38" t="inlineStr">
        <is>
          <t>Infobae Colombia</t>
        </is>
      </c>
      <c r="D21" s="38" t="inlineStr">
        <is>
          <t>Transición de gobierno y relación con la oposición</t>
        </is>
      </c>
      <c r="E21" s="38" t="inlineStr">
        <is>
          <t>Noticia dura</t>
        </is>
      </c>
      <c r="F21" s="38" t="inlineStr">
        <is>
          <t>Fri, 04 Sep 2026 20:26:29 +0000</t>
        </is>
      </c>
      <c r="G21" s="62" t="inlineStr">
        <is>
          <t>Desde el Batallón Cartagena de Riohacha, el presidente Abelardo de la Espriella se refirió a los hechos y aseguró que este resultado operacional responde a un trabajo conjunto de distintas instituciones de la fuerza pública.</t>
        </is>
      </c>
      <c r="H21" s="62" t="inlineStr">
        <is>
          <t>En medio de rumores, se confirmó que Naín Pérez Toncel, alias Bendito Menor, cabecilla de las Autodefensas Conquistadoras de la Sierra Nevada (Acsn), fue abatido en una operación militar ejecutada en el barrio Los Olivos de Riohacha, en el departamento de La Guajira.</t>
        </is>
      </c>
      <c r="I21" s="62" t="inlineStr">
        <is>
          <t>“Gracias a una operación impecable realizada por nuestra Policía Nacional, por un comando especial de la Dijín, se dio de baja a uno de los más peligrosos delincuentes de nuestro país (...).</t>
        </is>
      </c>
      <c r="J21" s="38" t="n"/>
      <c r="K21" s="62" t="n"/>
      <c r="L21" s="38" t="n"/>
      <c r="M21" s="62" t="n"/>
      <c r="N21" s="38" t="n"/>
      <c r="O21" s="62" t="n"/>
      <c r="P21" s="38" t="n"/>
      <c r="Q21" s="62" t="n"/>
      <c r="R21" s="38" t="n"/>
      <c r="S21" s="62" t="n"/>
      <c r="T21" s="38" t="n"/>
      <c r="U21" s="62" t="n"/>
      <c r="V21" s="38" t="n"/>
      <c r="W21" s="62" t="n"/>
      <c r="X21" s="38" t="n"/>
      <c r="Y21" s="62" t="n"/>
      <c r="Z21" s="38" t="n"/>
      <c r="AA21" s="62" t="n"/>
      <c r="AB21" s="38" t="n"/>
      <c r="AC21" s="62" t="n"/>
      <c r="AD21" s="38" t="n"/>
      <c r="AE21" s="38" t="n"/>
      <c r="AF21" s="61">
        <f>IF(COUNTIF($B$5:B21,B21)=1,1,0)</f>
        <v/>
      </c>
      <c r="AG21" s="62" t="inlineStr">
        <is>
          <t>https://www.infobae.com/colombia/2026/09/04/autodefensas-conquistadoras-se-pronunciaron-sobre-la-muerte-del-cabecilla-bendito-menor-y-su-novia-la-bebecita-aseguraron-que-no-habra-represalias/</t>
        </is>
      </c>
    </row>
    <row r="22" ht="15" customHeight="1" s="31">
      <c r="A22" s="38" t="inlineStr">
        <is>
          <t>ART_002</t>
        </is>
      </c>
      <c r="B22" s="38" t="inlineStr">
        <is>
          <t>ART_002_S03</t>
        </is>
      </c>
      <c r="C22" s="38" t="inlineStr">
        <is>
          <t>Infobae Colombia</t>
        </is>
      </c>
      <c r="D22" s="38" t="inlineStr">
        <is>
          <t>Transición de gobierno y relación con la oposición</t>
        </is>
      </c>
      <c r="E22" s="38" t="inlineStr">
        <is>
          <t>Noticia dura</t>
        </is>
      </c>
      <c r="F22" s="38" t="inlineStr">
        <is>
          <t>Fri, 04 Sep 2026 20:26:29 +0000</t>
        </is>
      </c>
      <c r="G22" s="62" t="inlineStr">
        <is>
          <t>“Gracias a una operación impecable realizada por nuestra Policía Nacional, por un comando especial de la Dijín, se dio de baja a uno de los más peligrosos delincuentes de nuestro país (...).</t>
        </is>
      </c>
      <c r="H22" s="62" t="inlineStr">
        <is>
          <t>Desde el Batallón Cartagena de Riohacha, el presidente Abelardo de la Espriella se refirió a los hechos y aseguró que este resultado operacional responde a un trabajo conjunto de distintas instituciones de la fuerza pública.</t>
        </is>
      </c>
      <c r="I22" s="62" t="inlineStr">
        <is>
          <t>Hoy ha llegado el fin de las actividades criminales de este narcoterrorista que tenía azotada a La Guajira y al Caribe colombiano”, precisó el jefe de Estado en declaraciones públicas.</t>
        </is>
      </c>
      <c r="J22" s="38" t="n"/>
      <c r="K22" s="62" t="n"/>
      <c r="L22" s="38" t="n"/>
      <c r="M22" s="62" t="n"/>
      <c r="N22" s="38" t="n"/>
      <c r="O22" s="62" t="n"/>
      <c r="P22" s="38" t="n"/>
      <c r="Q22" s="62" t="n"/>
      <c r="R22" s="38" t="n"/>
      <c r="S22" s="62" t="n"/>
      <c r="T22" s="38" t="n"/>
      <c r="U22" s="62" t="n"/>
      <c r="V22" s="38" t="n"/>
      <c r="W22" s="62" t="n"/>
      <c r="X22" s="38" t="n"/>
      <c r="Y22" s="62" t="n"/>
      <c r="Z22" s="38" t="n"/>
      <c r="AA22" s="62" t="n"/>
      <c r="AB22" s="38" t="n"/>
      <c r="AC22" s="62" t="n"/>
      <c r="AD22" s="38" t="n"/>
      <c r="AE22" s="38" t="n"/>
      <c r="AF22" s="61">
        <f>IF(COUNTIF($B$5:B22,B22)=1,1,0)</f>
        <v/>
      </c>
      <c r="AG22" s="62" t="inlineStr">
        <is>
          <t>https://www.infobae.com/colombia/2026/09/04/autodefensas-conquistadoras-se-pronunciaron-sobre-la-muerte-del-cabecilla-bendito-menor-y-su-novia-la-bebecita-aseguraron-que-no-habra-represalias/</t>
        </is>
      </c>
    </row>
    <row r="23" ht="15" customHeight="1" s="31">
      <c r="A23" s="38" t="inlineStr">
        <is>
          <t>ART_002</t>
        </is>
      </c>
      <c r="B23" s="38" t="inlineStr">
        <is>
          <t>ART_002_S04</t>
        </is>
      </c>
      <c r="C23" s="38" t="inlineStr">
        <is>
          <t>Infobae Colombia</t>
        </is>
      </c>
      <c r="D23" s="38" t="inlineStr">
        <is>
          <t>Transición de gobierno y relación con la oposición</t>
        </is>
      </c>
      <c r="E23" s="38" t="inlineStr">
        <is>
          <t>Noticia dura</t>
        </is>
      </c>
      <c r="F23" s="38" t="inlineStr">
        <is>
          <t>Fri, 04 Sep 2026 20:26:29 +0000</t>
        </is>
      </c>
      <c r="G23" s="62" t="inlineStr">
        <is>
          <t>Hoy ha llegado el fin de las actividades criminales de este narcoterrorista que tenía azotada a La Guajira y al Caribe colombiano”, precisó el jefe de Estado en declaraciones públicas.</t>
        </is>
      </c>
      <c r="H23" s="62" t="inlineStr">
        <is>
          <t>“Gracias a una operación impecable realizada por nuestra Policía Nacional, por un comando especial de la Dijín, se dio de baja a uno de los más peligrosos delincuentes de nuestro país (...).</t>
        </is>
      </c>
      <c r="I23" s="62" t="inlineStr">
        <is>
          <t>Por medio de un comunicado, las Acsn también confirmaron la muerte del peligroso cabecilla.</t>
        </is>
      </c>
      <c r="J23" s="38" t="n"/>
      <c r="K23" s="62" t="n"/>
      <c r="L23" s="38" t="n"/>
      <c r="M23" s="62" t="n"/>
      <c r="N23" s="38" t="n"/>
      <c r="O23" s="62" t="n"/>
      <c r="P23" s="38" t="n"/>
      <c r="Q23" s="62" t="n"/>
      <c r="R23" s="38" t="n"/>
      <c r="S23" s="62" t="n"/>
      <c r="T23" s="38" t="n"/>
      <c r="U23" s="62" t="n"/>
      <c r="V23" s="38" t="n"/>
      <c r="W23" s="62" t="n"/>
      <c r="X23" s="38" t="n"/>
      <c r="Y23" s="62" t="n"/>
      <c r="Z23" s="38" t="n"/>
      <c r="AA23" s="62" t="n"/>
      <c r="AB23" s="38" t="n"/>
      <c r="AC23" s="62" t="n"/>
      <c r="AD23" s="38" t="n"/>
      <c r="AE23" s="38" t="n"/>
      <c r="AF23" s="61">
        <f>IF(COUNTIF($B$5:B23,B23)=1,1,0)</f>
        <v/>
      </c>
      <c r="AG23" s="62" t="inlineStr">
        <is>
          <t>https://www.infobae.com/colombia/2026/09/04/autodefensas-conquistadoras-se-pronunciaron-sobre-la-muerte-del-cabecilla-bendito-menor-y-su-novia-la-bebecita-aseguraron-que-no-habra-represalias/</t>
        </is>
      </c>
    </row>
    <row r="24" ht="15" customHeight="1" s="31">
      <c r="A24" s="38" t="inlineStr">
        <is>
          <t>ART_002</t>
        </is>
      </c>
      <c r="B24" s="38" t="inlineStr">
        <is>
          <t>ART_002_S05</t>
        </is>
      </c>
      <c r="C24" s="38" t="inlineStr">
        <is>
          <t>Infobae Colombia</t>
        </is>
      </c>
      <c r="D24" s="38" t="inlineStr">
        <is>
          <t>Transición de gobierno y relación con la oposición</t>
        </is>
      </c>
      <c r="E24" s="38" t="inlineStr">
        <is>
          <t>Noticia dura</t>
        </is>
      </c>
      <c r="F24" s="38" t="inlineStr">
        <is>
          <t>Fri, 04 Sep 2026 20:26:29 +0000</t>
        </is>
      </c>
      <c r="G24" s="62" t="inlineStr">
        <is>
          <t>Por medio de un comunicado, las Acsn también confirmaron la muerte del peligroso cabecilla.</t>
        </is>
      </c>
      <c r="H24" s="62" t="inlineStr">
        <is>
          <t>Hoy ha llegado el fin de las actividades criminales de este narcoterrorista que tenía azotada a La Guajira y al Caribe colombiano”, precisó el jefe de Estado en declaraciones públicas.</t>
        </is>
      </c>
      <c r="I24" s="62" t="inlineStr">
        <is>
          <t>“Lamentamos profundamente el fallecimiento de Naín Pérez Toncel, ocurrido en el marco de un operativo adelantado por la Fuerza Pública.</t>
        </is>
      </c>
      <c r="J24" s="38" t="n"/>
      <c r="K24" s="62" t="n"/>
      <c r="L24" s="38" t="n"/>
      <c r="M24" s="62" t="n"/>
      <c r="N24" s="38" t="n"/>
      <c r="O24" s="62" t="n"/>
      <c r="P24" s="38" t="n"/>
      <c r="Q24" s="62" t="n"/>
      <c r="R24" s="38" t="n"/>
      <c r="S24" s="62" t="n"/>
      <c r="T24" s="38" t="n"/>
      <c r="U24" s="62" t="n"/>
      <c r="V24" s="38" t="n"/>
      <c r="W24" s="62" t="n"/>
      <c r="X24" s="38" t="n"/>
      <c r="Y24" s="62" t="n"/>
      <c r="Z24" s="38" t="n"/>
      <c r="AA24" s="62" t="n"/>
      <c r="AB24" s="38" t="n"/>
      <c r="AC24" s="62" t="n"/>
      <c r="AD24" s="38" t="n"/>
      <c r="AE24" s="38" t="n"/>
      <c r="AF24" s="61">
        <f>IF(COUNTIF($B$5:B24,B24)=1,1,0)</f>
        <v/>
      </c>
      <c r="AG24" s="62" t="inlineStr">
        <is>
          <t>https://www.infobae.com/colombia/2026/09/04/autodefensas-conquistadoras-se-pronunciaron-sobre-la-muerte-del-cabecilla-bendito-menor-y-su-novia-la-bebecita-aseguraron-que-no-habra-represalias/</t>
        </is>
      </c>
    </row>
    <row r="25" ht="15" customHeight="1" s="31">
      <c r="A25" s="38" t="inlineStr">
        <is>
          <t>ART_002</t>
        </is>
      </c>
      <c r="B25" s="38" t="inlineStr">
        <is>
          <t>ART_002_S06</t>
        </is>
      </c>
      <c r="C25" s="38" t="inlineStr">
        <is>
          <t>Infobae Colombia</t>
        </is>
      </c>
      <c r="D25" s="38" t="inlineStr">
        <is>
          <t>Transición de gobierno y relación con la oposición</t>
        </is>
      </c>
      <c r="E25" s="38" t="inlineStr">
        <is>
          <t>Noticia dura</t>
        </is>
      </c>
      <c r="F25" s="38" t="inlineStr">
        <is>
          <t>Fri, 04 Sep 2026 20:26:29 +0000</t>
        </is>
      </c>
      <c r="G25" s="62" t="inlineStr">
        <is>
          <t>“Lamentamos profundamente el fallecimiento de Naín Pérez Toncel, ocurrido en el marco de un operativo adelantado por la Fuerza Pública.</t>
        </is>
      </c>
      <c r="H25" s="62" t="inlineStr">
        <is>
          <t>Por medio de un comunicado, las Acsn también confirmaron la muerte del peligroso cabecilla.</t>
        </is>
      </c>
      <c r="I25" s="62" t="inlineStr">
        <is>
          <t>Se reconoce el impacto que este hecho representa para sus familiares, allegados y para las comunidades que han conocido de los acontecimientos registrados durante las últimas horas”, precisó la organización criminal en la comunicación oficial.</t>
        </is>
      </c>
      <c r="J25" s="38" t="n"/>
      <c r="K25" s="62" t="n"/>
      <c r="L25" s="38" t="n"/>
      <c r="M25" s="62" t="n"/>
      <c r="N25" s="38" t="n"/>
      <c r="O25" s="62" t="n"/>
      <c r="P25" s="38" t="n"/>
      <c r="Q25" s="62" t="n"/>
      <c r="R25" s="38" t="n"/>
      <c r="S25" s="62" t="n"/>
      <c r="T25" s="38" t="n"/>
      <c r="U25" s="62" t="n"/>
      <c r="V25" s="38" t="n"/>
      <c r="W25" s="62" t="n"/>
      <c r="X25" s="38" t="n"/>
      <c r="Y25" s="62" t="n"/>
      <c r="Z25" s="38" t="n"/>
      <c r="AA25" s="62" t="n"/>
      <c r="AB25" s="38" t="n"/>
      <c r="AC25" s="62" t="n"/>
      <c r="AD25" s="38" t="n"/>
      <c r="AE25" s="38" t="n"/>
      <c r="AF25" s="61">
        <f>IF(COUNTIF($B$5:B25,B25)=1,1,0)</f>
        <v/>
      </c>
      <c r="AG25" s="62" t="inlineStr">
        <is>
          <t>https://www.infobae.com/colombia/2026/09/04/autodefensas-conquistadoras-se-pronunciaron-sobre-la-muerte-del-cabecilla-bendito-menor-y-su-novia-la-bebecita-aseguraron-que-no-habra-represalias/</t>
        </is>
      </c>
    </row>
    <row r="26" ht="15" customHeight="1" s="31">
      <c r="A26" s="38" t="inlineStr">
        <is>
          <t>ART_002</t>
        </is>
      </c>
      <c r="B26" s="38" t="inlineStr">
        <is>
          <t>ART_002_S07</t>
        </is>
      </c>
      <c r="C26" s="38" t="inlineStr">
        <is>
          <t>Infobae Colombia</t>
        </is>
      </c>
      <c r="D26" s="38" t="inlineStr">
        <is>
          <t>Transición de gobierno y relación con la oposición</t>
        </is>
      </c>
      <c r="E26" s="38" t="inlineStr">
        <is>
          <t>Noticia dura</t>
        </is>
      </c>
      <c r="F26" s="38" t="inlineStr">
        <is>
          <t>Fri, 04 Sep 2026 20:26:29 +0000</t>
        </is>
      </c>
      <c r="G26" s="62" t="inlineStr">
        <is>
          <t>Se reconoce el impacto que este hecho representa para sus familiares, allegados y para las comunidades que han conocido de los acontecimientos registrados durante las últimas horas”, precisó la organización criminal en la comunicación oficial.</t>
        </is>
      </c>
      <c r="H26" s="62" t="inlineStr">
        <is>
          <t>“Lamentamos profundamente el fallecimiento de Naín Pérez Toncel, ocurrido en el marco de un operativo adelantado por la Fuerza Pública.</t>
        </is>
      </c>
      <c r="I26" s="62" t="inlineStr">
        <is>
          <t>De igual manera, lamentó la muerte de Rosa Angélica Tarazona, alias La Bebecita, que era la pareja sentimental de alias Bendito Menor.</t>
        </is>
      </c>
      <c r="J26" s="38" t="n"/>
      <c r="K26" s="62" t="n"/>
      <c r="L26" s="38" t="n"/>
      <c r="M26" s="62" t="n"/>
      <c r="N26" s="38" t="n"/>
      <c r="O26" s="62" t="n"/>
      <c r="P26" s="38" t="n"/>
      <c r="Q26" s="62" t="n"/>
      <c r="R26" s="38" t="n"/>
      <c r="S26" s="62" t="n"/>
      <c r="T26" s="38" t="n"/>
      <c r="U26" s="62" t="n"/>
      <c r="V26" s="38" t="n"/>
      <c r="W26" s="62" t="n"/>
      <c r="X26" s="38" t="n"/>
      <c r="Y26" s="62" t="n"/>
      <c r="Z26" s="38" t="n"/>
      <c r="AA26" s="62" t="n"/>
      <c r="AB26" s="38" t="n"/>
      <c r="AC26" s="62" t="n"/>
      <c r="AD26" s="38" t="n"/>
      <c r="AE26" s="38" t="n"/>
      <c r="AF26" s="61">
        <f>IF(COUNTIF($B$5:B26,B26)=1,1,0)</f>
        <v/>
      </c>
      <c r="AG26" s="62" t="inlineStr">
        <is>
          <t>https://www.infobae.com/colombia/2026/09/04/autodefensas-conquistadoras-se-pronunciaron-sobre-la-muerte-del-cabecilla-bendito-menor-y-su-novia-la-bebecita-aseguraron-que-no-habra-represalias/</t>
        </is>
      </c>
    </row>
    <row r="27" ht="15" customHeight="1" s="31">
      <c r="A27" s="38" t="inlineStr">
        <is>
          <t>ART_002</t>
        </is>
      </c>
      <c r="B27" s="38" t="inlineStr">
        <is>
          <t>ART_002_S08</t>
        </is>
      </c>
      <c r="C27" s="38" t="inlineStr">
        <is>
          <t>Infobae Colombia</t>
        </is>
      </c>
      <c r="D27" s="38" t="inlineStr">
        <is>
          <t>Transición de gobierno y relación con la oposición</t>
        </is>
      </c>
      <c r="E27" s="38" t="inlineStr">
        <is>
          <t>Noticia dura</t>
        </is>
      </c>
      <c r="F27" s="38" t="inlineStr">
        <is>
          <t>Fri, 04 Sep 2026 20:26:29 +0000</t>
        </is>
      </c>
      <c r="G27" s="62" t="inlineStr">
        <is>
          <t>De igual manera, lamentó la muerte de Rosa Angélica Tarazona, alias La Bebecita, que era la pareja sentimental de alias Bendito Menor.</t>
        </is>
      </c>
      <c r="H27" s="62" t="inlineStr">
        <is>
          <t>Se reconoce el impacto que este hecho representa para sus familiares, allegados y para las comunidades que han conocido de los acontecimientos registrados durante las últimas horas”, precisó la organización criminal en la comunicación oficial.</t>
        </is>
      </c>
      <c r="I27" s="62" t="inlineStr">
        <is>
          <t>Recientemente, el señalado criminal se había comprometido en matrimonio con la mujer en un evento romántico en la playa.</t>
        </is>
      </c>
      <c r="J27" s="38" t="n"/>
      <c r="K27" s="62" t="n"/>
      <c r="L27" s="38" t="n"/>
      <c r="M27" s="62" t="n"/>
      <c r="N27" s="38" t="n"/>
      <c r="O27" s="62" t="n"/>
      <c r="P27" s="38" t="n"/>
      <c r="Q27" s="62" t="n"/>
      <c r="R27" s="38" t="n"/>
      <c r="S27" s="62" t="n"/>
      <c r="T27" s="38" t="n"/>
      <c r="U27" s="62" t="n"/>
      <c r="V27" s="38" t="n"/>
      <c r="W27" s="62" t="n"/>
      <c r="X27" s="38" t="n"/>
      <c r="Y27" s="62" t="n"/>
      <c r="Z27" s="38" t="n"/>
      <c r="AA27" s="62" t="n"/>
      <c r="AB27" s="38" t="n"/>
      <c r="AC27" s="62" t="n"/>
      <c r="AD27" s="38" t="n"/>
      <c r="AE27" s="38" t="n"/>
      <c r="AF27" s="61">
        <f>IF(COUNTIF($B$5:B27,B27)=1,1,0)</f>
        <v/>
      </c>
      <c r="AG27" s="62" t="inlineStr">
        <is>
          <t>https://www.infobae.com/colombia/2026/09/04/autodefensas-conquistadoras-se-pronunciaron-sobre-la-muerte-del-cabecilla-bendito-menor-y-su-novia-la-bebecita-aseguraron-que-no-habra-represalias/</t>
        </is>
      </c>
    </row>
    <row r="28" ht="15" customHeight="1" s="31">
      <c r="A28" s="38" t="inlineStr">
        <is>
          <t>ART_002</t>
        </is>
      </c>
      <c r="B28" s="38" t="inlineStr">
        <is>
          <t>ART_002_S09</t>
        </is>
      </c>
      <c r="C28" s="38" t="inlineStr">
        <is>
          <t>Infobae Colombia</t>
        </is>
      </c>
      <c r="D28" s="38" t="inlineStr">
        <is>
          <t>Transición de gobierno y relación con la oposición</t>
        </is>
      </c>
      <c r="E28" s="38" t="inlineStr">
        <is>
          <t>Noticia dura</t>
        </is>
      </c>
      <c r="F28" s="38" t="inlineStr">
        <is>
          <t>Fri, 04 Sep 2026 20:26:29 +0000</t>
        </is>
      </c>
      <c r="G28" s="62" t="inlineStr">
        <is>
          <t>Recientemente, el señalado criminal se había comprometido en matrimonio con la mujer en un evento romántico en la playa.</t>
        </is>
      </c>
      <c r="H28" s="62" t="inlineStr">
        <is>
          <t>De igual manera, lamentó la muerte de Rosa Angélica Tarazona, alias La Bebecita, que era la pareja sentimental de alias Bendito Menor.</t>
        </is>
      </c>
      <c r="I28" s="62" t="inlineStr">
        <is>
          <t>El grupo terrorista también informó que, aunque la operación militar ordenada por el Gobierno nacional supone una afectación para la organización al margen de la ley, no habrá retaliaciones de ningún tipo.</t>
        </is>
      </c>
      <c r="J28" s="38" t="n"/>
      <c r="K28" s="62" t="n"/>
      <c r="L28" s="38" t="n"/>
      <c r="M28" s="62" t="n"/>
      <c r="N28" s="38" t="n"/>
      <c r="O28" s="62" t="n"/>
      <c r="P28" s="38" t="n"/>
      <c r="Q28" s="62" t="n"/>
      <c r="R28" s="38" t="n"/>
      <c r="S28" s="62" t="n"/>
      <c r="T28" s="38" t="n"/>
      <c r="U28" s="62" t="n"/>
      <c r="V28" s="38" t="n"/>
      <c r="W28" s="62" t="n"/>
      <c r="X28" s="38" t="n"/>
      <c r="Y28" s="62" t="n"/>
      <c r="Z28" s="38" t="n"/>
      <c r="AA28" s="62" t="n"/>
      <c r="AB28" s="38" t="n"/>
      <c r="AC28" s="62" t="n"/>
      <c r="AD28" s="38" t="n"/>
      <c r="AE28" s="38" t="n"/>
      <c r="AF28" s="61">
        <f>IF(COUNTIF($B$5:B28,B28)=1,1,0)</f>
        <v/>
      </c>
      <c r="AG28" s="62" t="inlineStr">
        <is>
          <t>https://www.infobae.com/colombia/2026/09/04/autodefensas-conquistadoras-se-pronunciaron-sobre-la-muerte-del-cabecilla-bendito-menor-y-su-novia-la-bebecita-aseguraron-que-no-habra-represalias/</t>
        </is>
      </c>
    </row>
    <row r="29" ht="15" customHeight="1" s="31">
      <c r="A29" s="38" t="inlineStr">
        <is>
          <t>ART_002</t>
        </is>
      </c>
      <c r="B29" s="38" t="inlineStr">
        <is>
          <t>ART_002_S10</t>
        </is>
      </c>
      <c r="C29" s="38" t="inlineStr">
        <is>
          <t>Infobae Colombia</t>
        </is>
      </c>
      <c r="D29" s="38" t="inlineStr">
        <is>
          <t>Transición de gobierno y relación con la oposición</t>
        </is>
      </c>
      <c r="E29" s="38" t="inlineStr">
        <is>
          <t>Noticia dura</t>
        </is>
      </c>
      <c r="F29" s="38" t="inlineStr">
        <is>
          <t>Fri, 04 Sep 2026 20:26:29 +0000</t>
        </is>
      </c>
      <c r="G29" s="62" t="inlineStr">
        <is>
          <t>El grupo terrorista también informó que, aunque la operación militar ordenada por el Gobierno nacional supone una afectación para la organización al margen de la ley, no habrá retaliaciones de ningún tipo.</t>
        </is>
      </c>
      <c r="H29" s="62" t="inlineStr">
        <is>
          <t>Recientemente, el señalado criminal se había comprometido en matrimonio con la mujer en un evento romántico en la playa.</t>
        </is>
      </c>
      <c r="I29" s="62" t="inlineStr">
        <is>
          <t>“Hacemos un llamado a la población civil de la Sierra Nevada de Santa Marta y de los departamentos del Magdalena, La Guajira y Cesar a mantener la calma.</t>
        </is>
      </c>
      <c r="J29" s="38" t="n"/>
      <c r="K29" s="62" t="n"/>
      <c r="L29" s="38" t="n"/>
      <c r="M29" s="62" t="n"/>
      <c r="N29" s="38" t="n"/>
      <c r="O29" s="62" t="n"/>
      <c r="P29" s="38" t="n"/>
      <c r="Q29" s="62" t="n"/>
      <c r="R29" s="38" t="n"/>
      <c r="S29" s="62" t="n"/>
      <c r="T29" s="38" t="n"/>
      <c r="U29" s="62" t="n"/>
      <c r="V29" s="38" t="n"/>
      <c r="W29" s="62" t="n"/>
      <c r="X29" s="38" t="n"/>
      <c r="Y29" s="62" t="n"/>
      <c r="Z29" s="38" t="n"/>
      <c r="AA29" s="62" t="n"/>
      <c r="AB29" s="38" t="n"/>
      <c r="AC29" s="62" t="n"/>
      <c r="AD29" s="38" t="n"/>
      <c r="AE29" s="38" t="n"/>
      <c r="AF29" s="61">
        <f>IF(COUNTIF($B$5:B29,B29)=1,1,0)</f>
        <v/>
      </c>
      <c r="AG29" s="62" t="inlineStr">
        <is>
          <t>https://www.infobae.com/colombia/2026/09/04/autodefensas-conquistadoras-se-pronunciaron-sobre-la-muerte-del-cabecilla-bendito-menor-y-su-novia-la-bebecita-aseguraron-que-no-habra-represalias/</t>
        </is>
      </c>
    </row>
    <row r="30" ht="15" customHeight="1" s="31">
      <c r="A30" s="38" t="inlineStr">
        <is>
          <t>ART_002</t>
        </is>
      </c>
      <c r="B30" s="38" t="inlineStr">
        <is>
          <t>ART_002_S11</t>
        </is>
      </c>
      <c r="C30" s="38" t="inlineStr">
        <is>
          <t>Infobae Colombia</t>
        </is>
      </c>
      <c r="D30" s="38" t="inlineStr">
        <is>
          <t>Transición de gobierno y relación con la oposición</t>
        </is>
      </c>
      <c r="E30" s="38" t="inlineStr">
        <is>
          <t>Noticia dura</t>
        </is>
      </c>
      <c r="F30" s="38" t="inlineStr">
        <is>
          <t>Fri, 04 Sep 2026 20:26:29 +0000</t>
        </is>
      </c>
      <c r="G30" s="62" t="inlineStr">
        <is>
          <t>“Hacemos un llamado a la población civil de la Sierra Nevada de Santa Marta y de los departamentos del Magdalena, La Guajira y Cesar a mantener la calma.</t>
        </is>
      </c>
      <c r="H30" s="62" t="inlineStr">
        <is>
          <t>El grupo terrorista también informó que, aunque la operación militar ordenada por el Gobierno nacional supone una afectación para la organización al margen de la ley, no habrá retaliaciones de ningún tipo.</t>
        </is>
      </c>
      <c r="I30" s="62" t="inlineStr">
        <is>
          <t>Aunque es un golpe a nuestra organización, no habrá retaliaciones”, indicó el grupo armado.</t>
        </is>
      </c>
      <c r="J30" s="38" t="n"/>
      <c r="K30" s="62" t="n"/>
      <c r="L30" s="38" t="n"/>
      <c r="M30" s="62" t="n"/>
      <c r="N30" s="38" t="n"/>
      <c r="O30" s="62" t="n"/>
      <c r="P30" s="38" t="n"/>
      <c r="Q30" s="62" t="n"/>
      <c r="R30" s="38" t="n"/>
      <c r="S30" s="62" t="n"/>
      <c r="T30" s="38" t="n"/>
      <c r="U30" s="62" t="n"/>
      <c r="V30" s="38" t="n"/>
      <c r="W30" s="62" t="n"/>
      <c r="X30" s="38" t="n"/>
      <c r="Y30" s="62" t="n"/>
      <c r="Z30" s="38" t="n"/>
      <c r="AA30" s="62" t="n"/>
      <c r="AB30" s="38" t="n"/>
      <c r="AC30" s="62" t="n"/>
      <c r="AD30" s="38" t="n"/>
      <c r="AE30" s="38" t="n"/>
      <c r="AF30" s="61">
        <f>IF(COUNTIF($B$5:B30,B30)=1,1,0)</f>
        <v/>
      </c>
      <c r="AG30" s="62" t="inlineStr">
        <is>
          <t>https://www.infobae.com/colombia/2026/09/04/autodefensas-conquistadoras-se-pronunciaron-sobre-la-muerte-del-cabecilla-bendito-menor-y-su-novia-la-bebecita-aseguraron-que-no-habra-represalias/</t>
        </is>
      </c>
    </row>
    <row r="31" ht="15" customHeight="1" s="31">
      <c r="A31" s="38" t="inlineStr">
        <is>
          <t>ART_002</t>
        </is>
      </c>
      <c r="B31" s="38" t="inlineStr">
        <is>
          <t>ART_002_S12</t>
        </is>
      </c>
      <c r="C31" s="38" t="inlineStr">
        <is>
          <t>Infobae Colombia</t>
        </is>
      </c>
      <c r="D31" s="38" t="inlineStr">
        <is>
          <t>Transición de gobierno y relación con la oposición</t>
        </is>
      </c>
      <c r="E31" s="38" t="inlineStr">
        <is>
          <t>Noticia dura</t>
        </is>
      </c>
      <c r="F31" s="38" t="inlineStr">
        <is>
          <t>Fri, 04 Sep 2026 20:26:29 +0000</t>
        </is>
      </c>
      <c r="G31" s="62" t="inlineStr">
        <is>
          <t>Aunque es un golpe a nuestra organización, no habrá retaliaciones”, indicó el grupo armado.</t>
        </is>
      </c>
      <c r="H31" s="62" t="inlineStr">
        <is>
          <t>“Hacemos un llamado a la población civil de la Sierra Nevada de Santa Marta y de los departamentos del Magdalena, La Guajira y Cesar a mantener la calma.</t>
        </is>
      </c>
      <c r="I31" s="62" t="n"/>
      <c r="J31" s="38" t="n"/>
      <c r="K31" s="62" t="n"/>
      <c r="L31" s="38" t="n"/>
      <c r="M31" s="62" t="n"/>
      <c r="N31" s="38" t="n"/>
      <c r="O31" s="62" t="n"/>
      <c r="P31" s="38" t="n"/>
      <c r="Q31" s="62" t="n"/>
      <c r="R31" s="38" t="n"/>
      <c r="S31" s="62" t="n"/>
      <c r="T31" s="38" t="n"/>
      <c r="U31" s="62" t="n"/>
      <c r="V31" s="38" t="n"/>
      <c r="W31" s="62" t="n"/>
      <c r="X31" s="38" t="n"/>
      <c r="Y31" s="62" t="n"/>
      <c r="Z31" s="38" t="n"/>
      <c r="AA31" s="62" t="n"/>
      <c r="AB31" s="38" t="n"/>
      <c r="AC31" s="62" t="n"/>
      <c r="AD31" s="38" t="n"/>
      <c r="AE31" s="38" t="n"/>
      <c r="AF31" s="61">
        <f>IF(COUNTIF($B$5:B31,B31)=1,1,0)</f>
        <v/>
      </c>
      <c r="AG31" s="62" t="inlineStr">
        <is>
          <t>https://www.infobae.com/colombia/2026/09/04/autodefensas-conquistadoras-se-pronunciaron-sobre-la-muerte-del-cabecilla-bendito-menor-y-su-novia-la-bebecita-aseguraron-que-no-habra-represalias/</t>
        </is>
      </c>
    </row>
    <row r="32" ht="15" customHeight="1" s="31">
      <c r="A32" s="38" t="inlineStr">
        <is>
          <t>ART_003</t>
        </is>
      </c>
      <c r="B32" s="38" t="inlineStr">
        <is>
          <t>ART_003_S01</t>
        </is>
      </c>
      <c r="C32" s="38" t="inlineStr">
        <is>
          <t>Infobae Colombia</t>
        </is>
      </c>
      <c r="D32" s="38" t="inlineStr">
        <is>
          <t>Transición de gobierno y relación con la oposición</t>
        </is>
      </c>
      <c r="E32" s="38" t="inlineStr">
        <is>
          <t>Noticia dura</t>
        </is>
      </c>
      <c r="F32" s="38" t="inlineStr">
        <is>
          <t>Fri, 04 Sep 2026 18:20:11 +0000</t>
        </is>
      </c>
      <c r="G32"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H32" s="62" t="n"/>
      <c r="I32" s="62" t="inlineStr">
        <is>
          <t>La colectividad “rechaza contundentemente la violencia política, verbal y simbólica” de la que, según afirma, ha sido víctima la congresista por parte del legislador del Pacto Histórico.</t>
        </is>
      </c>
      <c r="J32" s="38" t="n"/>
      <c r="K32" s="62" t="n"/>
      <c r="L32" s="38" t="n"/>
      <c r="M32" s="62" t="n"/>
      <c r="N32" s="38" t="n"/>
      <c r="O32" s="62" t="n"/>
      <c r="P32" s="38" t="n"/>
      <c r="Q32" s="62" t="n"/>
      <c r="R32" s="38" t="n"/>
      <c r="S32" s="62" t="n"/>
      <c r="T32" s="38" t="n"/>
      <c r="U32" s="62" t="n"/>
      <c r="V32" s="38" t="n"/>
      <c r="W32" s="62" t="n"/>
      <c r="X32" s="38" t="n"/>
      <c r="Y32" s="62" t="n"/>
      <c r="Z32" s="38" t="n"/>
      <c r="AA32" s="62" t="n"/>
      <c r="AB32" s="38" t="n"/>
      <c r="AC32" s="62" t="n"/>
      <c r="AD32" s="38" t="n"/>
      <c r="AE32" s="38" t="n"/>
      <c r="AF32" s="61">
        <f>IF(COUNTIF($B$5:B32,B32)=1,1,0)</f>
        <v/>
      </c>
      <c r="AG32" s="62" t="inlineStr">
        <is>
          <t>https://www.infobae.com/colombia/2026/09/04/alianza-verde-critico-a-david-racero-por-llamar-lavaperros-a-catherine-juvinao-durante-la-discusion-del-presupuesto-general-de-la-nacion-violencia-politica-verbal-y-simbolica/</t>
        </is>
      </c>
    </row>
    <row r="33" ht="15" customHeight="1" s="31">
      <c r="A33" s="38" t="inlineStr">
        <is>
          <t>ART_003</t>
        </is>
      </c>
      <c r="B33" s="38" t="inlineStr">
        <is>
          <t>ART_003_S02</t>
        </is>
      </c>
      <c r="C33" s="38" t="inlineStr">
        <is>
          <t>Infobae Colombia</t>
        </is>
      </c>
      <c r="D33" s="38" t="inlineStr">
        <is>
          <t>Transición de gobierno y relación con la oposición</t>
        </is>
      </c>
      <c r="E33" s="38" t="inlineStr">
        <is>
          <t>Noticia dura</t>
        </is>
      </c>
      <c r="F33" s="38" t="inlineStr">
        <is>
          <t>Fri, 04 Sep 2026 18:20:11 +0000</t>
        </is>
      </c>
      <c r="G33" s="62" t="inlineStr">
        <is>
          <t>La colectividad “rechaza contundentemente la violencia política, verbal y simbólica” de la que, según afirma, ha sido víctima la congresista por parte del legislador del Pacto Histórico.</t>
        </is>
      </c>
      <c r="H33"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I33" s="62" t="n"/>
      <c r="J33" s="38" t="n"/>
      <c r="K33" s="62" t="n"/>
      <c r="L33" s="38" t="n"/>
      <c r="M33" s="62" t="n"/>
      <c r="N33" s="38" t="n"/>
      <c r="O33" s="62" t="n"/>
      <c r="P33" s="38" t="n"/>
      <c r="Q33" s="62" t="n"/>
      <c r="R33" s="38" t="n"/>
      <c r="S33" s="62" t="n"/>
      <c r="T33" s="38" t="n"/>
      <c r="U33" s="62" t="n"/>
      <c r="V33" s="38" t="n"/>
      <c r="W33" s="62" t="n"/>
      <c r="X33" s="38" t="n"/>
      <c r="Y33" s="62" t="n"/>
      <c r="Z33" s="38" t="n"/>
      <c r="AA33" s="62" t="n"/>
      <c r="AB33" s="38" t="n"/>
      <c r="AC33" s="62" t="n"/>
      <c r="AD33" s="38" t="n"/>
      <c r="AE33" s="38" t="n"/>
      <c r="AF33" s="61">
        <f>IF(COUNTIF($B$5:B33,B33)=1,1,0)</f>
        <v/>
      </c>
      <c r="AG33" s="62" t="inlineStr">
        <is>
          <t>https://www.infobae.com/colombia/2026/09/04/alianza-verde-critico-a-david-racero-por-llamar-lavaperros-a-catherine-juvinao-durante-la-discusion-del-presupuesto-general-de-la-nacion-violencia-politica-verbal-y-simbolica/</t>
        </is>
      </c>
    </row>
    <row r="34" ht="15" customHeight="1" s="31">
      <c r="A34" s="38" t="inlineStr">
        <is>
          <t>ART_004</t>
        </is>
      </c>
      <c r="B34" s="38" t="inlineStr">
        <is>
          <t>ART_004_S01</t>
        </is>
      </c>
      <c r="C34" s="38" t="inlineStr">
        <is>
          <t>Infobae Colombia</t>
        </is>
      </c>
      <c r="D34" s="38" t="inlineStr">
        <is>
          <t>Seguridad y orden público</t>
        </is>
      </c>
      <c r="E34" s="38" t="inlineStr">
        <is>
          <t>Noticia dura</t>
        </is>
      </c>
      <c r="F34" s="38" t="inlineStr">
        <is>
          <t>Fri, 04 Sep 2026 02:29:45 +0000</t>
        </is>
      </c>
      <c r="G34" s="62"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H34" s="62" t="n"/>
      <c r="I34" s="62" t="inlineStr">
        <is>
          <t>Así lo determinó el Juzgado 34 de Familia de Bogotá en un fallo proferido el 2 de septiembre de 2026, por medio del cual decretó la medida provisional, en respuesta a una acción de tutela que está en estudio.</t>
        </is>
      </c>
      <c r="J34" s="38" t="n"/>
      <c r="K34" s="62" t="n"/>
      <c r="L34" s="38" t="n"/>
      <c r="M34" s="62" t="n"/>
      <c r="N34" s="38" t="n"/>
      <c r="O34" s="62" t="n"/>
      <c r="P34" s="38" t="n"/>
      <c r="Q34" s="62" t="n"/>
      <c r="R34" s="38" t="n"/>
      <c r="S34" s="62" t="n"/>
      <c r="T34" s="38" t="n"/>
      <c r="U34" s="62" t="n"/>
      <c r="V34" s="38" t="n"/>
      <c r="W34" s="62" t="n"/>
      <c r="X34" s="38" t="n"/>
      <c r="Y34" s="62" t="n"/>
      <c r="Z34" s="38" t="n"/>
      <c r="AA34" s="62" t="n"/>
      <c r="AB34" s="38" t="n"/>
      <c r="AC34" s="62" t="n"/>
      <c r="AD34" s="38" t="n"/>
      <c r="AE34" s="38" t="n"/>
      <c r="AF34" s="61">
        <f>IF(COUNTIF($B$5:B34,B34)=1,1,0)</f>
        <v/>
      </c>
      <c r="AG34" s="62" t="inlineStr">
        <is>
          <t>https://www.infobae.com/colombia/2026/09/04/accionante-que-logro-que-un-juzgado-frenara-bombardeos-por-presencia-de-menores-explico-el-alcance-de-su-tutela-se-deben-proteger/</t>
        </is>
      </c>
    </row>
    <row r="35" ht="15" customHeight="1" s="31">
      <c r="A35" s="38" t="inlineStr">
        <is>
          <t>ART_004</t>
        </is>
      </c>
      <c r="B35" s="38" t="inlineStr">
        <is>
          <t>ART_004_S02</t>
        </is>
      </c>
      <c r="C35" s="38" t="inlineStr">
        <is>
          <t>Infobae Colombia</t>
        </is>
      </c>
      <c r="D35" s="38" t="inlineStr">
        <is>
          <t>Seguridad y orden público</t>
        </is>
      </c>
      <c r="E35" s="38" t="inlineStr">
        <is>
          <t>Noticia dura</t>
        </is>
      </c>
      <c r="F35" s="38" t="inlineStr">
        <is>
          <t>Fri, 04 Sep 2026 02:29:45 +0000</t>
        </is>
      </c>
      <c r="G35" s="62" t="inlineStr">
        <is>
          <t>Así lo determinó el Juzgado 34 de Familia de Bogotá en un fallo proferido el 2 de septiembre de 2026, por medio del cual decretó la medida provisional, en respuesta a una acción de tutela que está en estudio.</t>
        </is>
      </c>
      <c r="H35" s="62"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I35" s="62" t="n"/>
      <c r="J35" s="38" t="n"/>
      <c r="K35" s="62" t="n"/>
      <c r="L35" s="38" t="n"/>
      <c r="M35" s="62" t="n"/>
      <c r="N35" s="38" t="n"/>
      <c r="O35" s="62" t="n"/>
      <c r="P35" s="38" t="n"/>
      <c r="Q35" s="62" t="n"/>
      <c r="R35" s="38" t="n"/>
      <c r="S35" s="62" t="n"/>
      <c r="T35" s="38" t="n"/>
      <c r="U35" s="62" t="n"/>
      <c r="V35" s="38" t="n"/>
      <c r="W35" s="62" t="n"/>
      <c r="X35" s="38" t="n"/>
      <c r="Y35" s="62" t="n"/>
      <c r="Z35" s="38" t="n"/>
      <c r="AA35" s="62" t="n"/>
      <c r="AB35" s="38" t="n"/>
      <c r="AC35" s="62" t="n"/>
      <c r="AD35" s="38" t="n"/>
      <c r="AE35" s="38" t="n"/>
      <c r="AF35" s="61">
        <f>IF(COUNTIF($B$5:B35,B35)=1,1,0)</f>
        <v/>
      </c>
      <c r="AG35" s="62" t="inlineStr">
        <is>
          <t>https://www.infobae.com/colombia/2026/09/04/accionante-que-logro-que-un-juzgado-frenara-bombardeos-por-presencia-de-menores-explico-el-alcance-de-su-tutela-se-deben-proteger/</t>
        </is>
      </c>
    </row>
    <row r="36" ht="15" customHeight="1" s="31">
      <c r="A36" s="38" t="inlineStr">
        <is>
          <t>ART_005</t>
        </is>
      </c>
      <c r="B36" s="38" t="inlineStr">
        <is>
          <t>ART_005_S01</t>
        </is>
      </c>
      <c r="C36" s="38" t="inlineStr">
        <is>
          <t>El Tiempo</t>
        </is>
      </c>
      <c r="D36" s="38" t="inlineStr">
        <is>
          <t>Transición de gobierno y relación con la oposición</t>
        </is>
      </c>
      <c r="E36" s="38" t="inlineStr">
        <is>
          <t>Noticia dura</t>
        </is>
      </c>
      <c r="F36" s="38" t="inlineStr">
        <is>
          <t>2026-09-04T16:36:43-05:00</t>
        </is>
      </c>
      <c r="G36" s="62" t="inlineStr">
        <is>
          <t>La decisión de la Alianza Verde de declararse como partido independiente al gobierno de Abelardo De La Espriella ha generado polémica.</t>
        </is>
      </c>
      <c r="H36" s="62" t="n"/>
      <c r="I36"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J36" s="38" t="n"/>
      <c r="K36" s="62" t="n"/>
      <c r="L36" s="38" t="n"/>
      <c r="M36" s="62" t="n"/>
      <c r="N36" s="38" t="n"/>
      <c r="O36" s="62" t="n"/>
      <c r="P36" s="38" t="n"/>
      <c r="Q36" s="62" t="n"/>
      <c r="R36" s="38" t="n"/>
      <c r="S36" s="62" t="n"/>
      <c r="T36" s="38" t="n"/>
      <c r="U36" s="62" t="n"/>
      <c r="V36" s="38" t="n"/>
      <c r="W36" s="62" t="n"/>
      <c r="X36" s="38" t="n"/>
      <c r="Y36" s="62" t="n"/>
      <c r="Z36" s="38" t="n"/>
      <c r="AA36" s="62" t="n"/>
      <c r="AB36" s="38" t="n"/>
      <c r="AC36" s="62" t="n"/>
      <c r="AD36" s="38" t="n"/>
      <c r="AE36" s="38" t="n"/>
      <c r="AF36" s="61">
        <f>IF(COUNTIF($B$5:B36,B36)=1,1,0)</f>
        <v/>
      </c>
      <c r="AG36" s="62" t="inlineStr">
        <is>
          <t>https://www.eltiempo.com/politica/partidos-politicos/las-movidas-detras-de-la-declaratoria-de-la-alianza-verde-como-partido-independiente-al-gobierno-de-abelardo-de-la-espriella-3583710</t>
        </is>
      </c>
    </row>
    <row r="37" ht="15" customHeight="1" s="31">
      <c r="A37" s="38" t="inlineStr">
        <is>
          <t>ART_005</t>
        </is>
      </c>
      <c r="B37" s="38" t="inlineStr">
        <is>
          <t>ART_005_S02</t>
        </is>
      </c>
      <c r="C37" s="38" t="inlineStr">
        <is>
          <t>El Tiempo</t>
        </is>
      </c>
      <c r="D37" s="38" t="inlineStr">
        <is>
          <t>Transición de gobierno y relación con la oposición</t>
        </is>
      </c>
      <c r="E37" s="38" t="inlineStr">
        <is>
          <t>Noticia dura</t>
        </is>
      </c>
      <c r="F37" s="38" t="inlineStr">
        <is>
          <t>2026-09-04T16:36:43-05:00</t>
        </is>
      </c>
      <c r="G37"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H37" s="62" t="inlineStr">
        <is>
          <t>La decisión de la Alianza Verde de declararse como partido independiente al gobierno de Abelardo De La Espriella ha generado polémica.</t>
        </is>
      </c>
      <c r="I37" s="62" t="inlineStr">
        <is>
          <t>Las críticas no se han hecho esperar.</t>
        </is>
      </c>
      <c r="J37" s="38" t="n"/>
      <c r="K37" s="62" t="n"/>
      <c r="L37" s="38" t="n"/>
      <c r="M37" s="62" t="n"/>
      <c r="N37" s="38" t="n"/>
      <c r="O37" s="62" t="n"/>
      <c r="P37" s="38" t="n"/>
      <c r="Q37" s="62" t="n"/>
      <c r="R37" s="38" t="n"/>
      <c r="S37" s="62" t="n"/>
      <c r="T37" s="38" t="n"/>
      <c r="U37" s="62" t="n"/>
      <c r="V37" s="38" t="n"/>
      <c r="W37" s="62" t="n"/>
      <c r="X37" s="38" t="n"/>
      <c r="Y37" s="62" t="n"/>
      <c r="Z37" s="38" t="n"/>
      <c r="AA37" s="62" t="n"/>
      <c r="AB37" s="38" t="n"/>
      <c r="AC37" s="62" t="n"/>
      <c r="AD37" s="38" t="n"/>
      <c r="AE37" s="38" t="n"/>
      <c r="AF37" s="61">
        <f>IF(COUNTIF($B$5:B37,B37)=1,1,0)</f>
        <v/>
      </c>
      <c r="AG37" s="62" t="inlineStr">
        <is>
          <t>https://www.eltiempo.com/politica/partidos-politicos/las-movidas-detras-de-la-declaratoria-de-la-alianza-verde-como-partido-independiente-al-gobierno-de-abelardo-de-la-espriella-3583710</t>
        </is>
      </c>
    </row>
    <row r="38" ht="15" customHeight="1" s="31">
      <c r="A38" s="38" t="inlineStr">
        <is>
          <t>ART_005</t>
        </is>
      </c>
      <c r="B38" s="38" t="inlineStr">
        <is>
          <t>ART_005_S03</t>
        </is>
      </c>
      <c r="C38" s="38" t="inlineStr">
        <is>
          <t>El Tiempo</t>
        </is>
      </c>
      <c r="D38" s="38" t="inlineStr">
        <is>
          <t>Transición de gobierno y relación con la oposición</t>
        </is>
      </c>
      <c r="E38" s="38" t="inlineStr">
        <is>
          <t>Noticia dura</t>
        </is>
      </c>
      <c r="F38" s="38" t="inlineStr">
        <is>
          <t>2026-09-04T16:36:43-05:00</t>
        </is>
      </c>
      <c r="G38" s="62" t="inlineStr">
        <is>
          <t>Las críticas no se han hecho esperar.</t>
        </is>
      </c>
      <c r="H38" s="62" t="inlineStr">
        <is>
          <t>No sólo dejó al Pacto Histórico y En Marcha como únicas fuerzas de oposición, sino que se ha llamado la atención debido a que el partido de centro pasó de ser uno de los grandes aliados de Gustavo Petro a no acompañar a su bancada en su postura frente a la nueva administración.</t>
        </is>
      </c>
      <c r="I38" s="62" t="inlineStr">
        <is>
          <t>“Frente al fascismo no se puede ser independiente”, dijo el excandidato presidencial y senador, Iván Cepeda.</t>
        </is>
      </c>
      <c r="J38" s="38" t="n"/>
      <c r="K38" s="62" t="n"/>
      <c r="L38" s="38" t="n"/>
      <c r="M38" s="62" t="n"/>
      <c r="N38" s="38" t="n"/>
      <c r="O38" s="62" t="n"/>
      <c r="P38" s="38" t="n"/>
      <c r="Q38" s="62" t="n"/>
      <c r="R38" s="38" t="n"/>
      <c r="S38" s="62" t="n"/>
      <c r="T38" s="38" t="n"/>
      <c r="U38" s="62" t="n"/>
      <c r="V38" s="38" t="n"/>
      <c r="W38" s="62" t="n"/>
      <c r="X38" s="38" t="n"/>
      <c r="Y38" s="62" t="n"/>
      <c r="Z38" s="38" t="n"/>
      <c r="AA38" s="62" t="n"/>
      <c r="AB38" s="38" t="n"/>
      <c r="AC38" s="62" t="n"/>
      <c r="AD38" s="38" t="n"/>
      <c r="AE38" s="38" t="n"/>
      <c r="AF38" s="61">
        <f>IF(COUNTIF($B$5:B38,B38)=1,1,0)</f>
        <v/>
      </c>
      <c r="AG38" s="62" t="inlineStr">
        <is>
          <t>https://www.eltiempo.com/politica/partidos-politicos/las-movidas-detras-de-la-declaratoria-de-la-alianza-verde-como-partido-independiente-al-gobierno-de-abelardo-de-la-espriella-3583710</t>
        </is>
      </c>
    </row>
    <row r="39" ht="15" customHeight="1" s="31">
      <c r="A39" s="38" t="inlineStr">
        <is>
          <t>ART_005</t>
        </is>
      </c>
      <c r="B39" s="38" t="inlineStr">
        <is>
          <t>ART_005_S04</t>
        </is>
      </c>
      <c r="C39" s="38" t="inlineStr">
        <is>
          <t>El Tiempo</t>
        </is>
      </c>
      <c r="D39" s="38" t="inlineStr">
        <is>
          <t>Transición de gobierno y relación con la oposición</t>
        </is>
      </c>
      <c r="E39" s="38" t="inlineStr">
        <is>
          <t>Noticia dura</t>
        </is>
      </c>
      <c r="F39" s="38" t="inlineStr">
        <is>
          <t>2026-09-04T16:36:43-05:00</t>
        </is>
      </c>
      <c r="G39" s="62" t="inlineStr">
        <is>
          <t>“Frente al fascismo no se puede ser independiente”, dijo el excandidato presidencial y senador, Iván Cepeda.</t>
        </is>
      </c>
      <c r="H39" s="62" t="inlineStr">
        <is>
          <t>Las críticas no se han hecho esperar.</t>
        </is>
      </c>
      <c r="I39" s="62" t="inlineStr">
        <is>
          <t>Y es que algunos no entienden la decisión y qué hay detrás de ella.</t>
        </is>
      </c>
      <c r="J39" s="38" t="n"/>
      <c r="K39" s="62" t="n"/>
      <c r="L39" s="38" t="n"/>
      <c r="M39" s="62" t="n"/>
      <c r="N39" s="38" t="n"/>
      <c r="O39" s="62" t="n"/>
      <c r="P39" s="38" t="n"/>
      <c r="Q39" s="62" t="n"/>
      <c r="R39" s="38" t="n"/>
      <c r="S39" s="62" t="n"/>
      <c r="T39" s="38" t="n"/>
      <c r="U39" s="62" t="n"/>
      <c r="V39" s="38" t="n"/>
      <c r="W39" s="62" t="n"/>
      <c r="X39" s="38" t="n"/>
      <c r="Y39" s="62" t="n"/>
      <c r="Z39" s="38" t="n"/>
      <c r="AA39" s="62" t="n"/>
      <c r="AB39" s="38" t="n"/>
      <c r="AC39" s="62" t="n"/>
      <c r="AD39" s="38" t="n"/>
      <c r="AE39" s="38" t="n"/>
      <c r="AF39" s="61">
        <f>IF(COUNTIF($B$5:B39,B39)=1,1,0)</f>
        <v/>
      </c>
      <c r="AG39" s="62" t="inlineStr">
        <is>
          <t>https://www.eltiempo.com/politica/partidos-politicos/las-movidas-detras-de-la-declaratoria-de-la-alianza-verde-como-partido-independiente-al-gobierno-de-abelardo-de-la-espriella-3583710</t>
        </is>
      </c>
    </row>
    <row r="40" ht="15" customHeight="1" s="31">
      <c r="A40" s="38" t="inlineStr">
        <is>
          <t>ART_005</t>
        </is>
      </c>
      <c r="B40" s="38" t="inlineStr">
        <is>
          <t>ART_005_S05</t>
        </is>
      </c>
      <c r="C40" s="38" t="inlineStr">
        <is>
          <t>El Tiempo</t>
        </is>
      </c>
      <c r="D40" s="38" t="inlineStr">
        <is>
          <t>Transición de gobierno y relación con la oposición</t>
        </is>
      </c>
      <c r="E40" s="38" t="inlineStr">
        <is>
          <t>Noticia dura</t>
        </is>
      </c>
      <c r="F40" s="38" t="inlineStr">
        <is>
          <t>2026-09-04T16:36:43-05:00</t>
        </is>
      </c>
      <c r="G40" s="62" t="inlineStr">
        <is>
          <t>Y es que algunos no entienden la decisión y qué hay detrás de ella.</t>
        </is>
      </c>
      <c r="H40" s="62" t="inlineStr">
        <is>
          <t>“Frente al fascismo no se puede ser independiente”, dijo el excandidato presidencial y senador, Iván Cepeda.</t>
        </is>
      </c>
      <c r="I40" s="62" t="inlineStr">
        <is>
          <t>Lo ven como una falta de coherencia frente a lo que ha predicado el partido durante su existencia.</t>
        </is>
      </c>
      <c r="J40" s="38" t="n"/>
      <c r="K40" s="62" t="n"/>
      <c r="L40" s="38" t="n"/>
      <c r="M40" s="62" t="n"/>
      <c r="N40" s="38" t="n"/>
      <c r="O40" s="62" t="n"/>
      <c r="P40" s="38" t="n"/>
      <c r="Q40" s="62" t="n"/>
      <c r="R40" s="38" t="n"/>
      <c r="S40" s="62" t="n"/>
      <c r="T40" s="38" t="n"/>
      <c r="U40" s="62" t="n"/>
      <c r="V40" s="38" t="n"/>
      <c r="W40" s="62" t="n"/>
      <c r="X40" s="38" t="n"/>
      <c r="Y40" s="62" t="n"/>
      <c r="Z40" s="38" t="n"/>
      <c r="AA40" s="62" t="n"/>
      <c r="AB40" s="38" t="n"/>
      <c r="AC40" s="62" t="n"/>
      <c r="AD40" s="38" t="n"/>
      <c r="AE40" s="38" t="n"/>
      <c r="AF40" s="61">
        <f>IF(COUNTIF($B$5:B40,B40)=1,1,0)</f>
        <v/>
      </c>
      <c r="AG40" s="62" t="inlineStr">
        <is>
          <t>https://www.eltiempo.com/politica/partidos-politicos/las-movidas-detras-de-la-declaratoria-de-la-alianza-verde-como-partido-independiente-al-gobierno-de-abelardo-de-la-espriella-3583710</t>
        </is>
      </c>
    </row>
    <row r="41" ht="15" customHeight="1" s="31">
      <c r="A41" s="38" t="inlineStr">
        <is>
          <t>ART_005</t>
        </is>
      </c>
      <c r="B41" s="38" t="inlineStr">
        <is>
          <t>ART_005_S06</t>
        </is>
      </c>
      <c r="C41" s="38" t="inlineStr">
        <is>
          <t>El Tiempo</t>
        </is>
      </c>
      <c r="D41" s="38" t="inlineStr">
        <is>
          <t>Transición de gobierno y relación con la oposición</t>
        </is>
      </c>
      <c r="E41" s="38" t="inlineStr">
        <is>
          <t>Noticia dura</t>
        </is>
      </c>
      <c r="F41" s="38" t="inlineStr">
        <is>
          <t>2026-09-04T16:36:43-05:00</t>
        </is>
      </c>
      <c r="G41" s="62" t="inlineStr">
        <is>
          <t>Lo ven como una falta de coherencia frente a lo que ha predicado el partido durante su existencia.</t>
        </is>
      </c>
      <c r="H41" s="62" t="inlineStr">
        <is>
          <t>Y es que algunos no entienden la decisión y qué hay detrás de ella.</t>
        </is>
      </c>
      <c r="I41" s="62" t="inlineStr">
        <is>
          <t>Además, han cuestionado que hasta hace unos días venía ganando la postura de la oposición y al final se revirtió la tendencia.</t>
        </is>
      </c>
      <c r="J41" s="38" t="n"/>
      <c r="K41" s="62" t="n"/>
      <c r="L41" s="38" t="n"/>
      <c r="M41" s="62" t="n"/>
      <c r="N41" s="38" t="n"/>
      <c r="O41" s="62" t="n"/>
      <c r="P41" s="38" t="n"/>
      <c r="Q41" s="62" t="n"/>
      <c r="R41" s="38" t="n"/>
      <c r="S41" s="62" t="n"/>
      <c r="T41" s="38" t="n"/>
      <c r="U41" s="62" t="n"/>
      <c r="V41" s="38" t="n"/>
      <c r="W41" s="62" t="n"/>
      <c r="X41" s="38" t="n"/>
      <c r="Y41" s="62" t="n"/>
      <c r="Z41" s="38" t="n"/>
      <c r="AA41" s="62" t="n"/>
      <c r="AB41" s="38" t="n"/>
      <c r="AC41" s="62" t="n"/>
      <c r="AD41" s="38" t="n"/>
      <c r="AE41" s="38" t="n"/>
      <c r="AF41" s="61">
        <f>IF(COUNTIF($B$5:B41,B41)=1,1,0)</f>
        <v/>
      </c>
      <c r="AG41" s="62" t="inlineStr">
        <is>
          <t>https://www.eltiempo.com/politica/partidos-politicos/las-movidas-detras-de-la-declaratoria-de-la-alianza-verde-como-partido-independiente-al-gobierno-de-abelardo-de-la-espriella-3583710</t>
        </is>
      </c>
    </row>
    <row r="42" ht="15" customHeight="1" s="31">
      <c r="A42" s="38" t="inlineStr">
        <is>
          <t>ART_005</t>
        </is>
      </c>
      <c r="B42" s="38" t="inlineStr">
        <is>
          <t>ART_005_S07</t>
        </is>
      </c>
      <c r="C42" s="38" t="inlineStr">
        <is>
          <t>El Tiempo</t>
        </is>
      </c>
      <c r="D42" s="38" t="inlineStr">
        <is>
          <t>Transición de gobierno y relación con la oposición</t>
        </is>
      </c>
      <c r="E42" s="38" t="inlineStr">
        <is>
          <t>Noticia dura</t>
        </is>
      </c>
      <c r="F42" s="38" t="inlineStr">
        <is>
          <t>2026-09-04T16:36:43-05:00</t>
        </is>
      </c>
      <c r="G42" s="62" t="inlineStr">
        <is>
          <t>Además, han cuestionado que hasta hace unos días venía ganando la postura de la oposición y al final se revirtió la tendencia.</t>
        </is>
      </c>
      <c r="H42" s="62" t="inlineStr">
        <is>
          <t>Lo ven como una falta de coherencia frente a lo que ha predicado el partido durante su existencia.</t>
        </is>
      </c>
      <c r="I42" s="62" t="inlineStr">
        <is>
          <t>Hay distintas versiones sobre lo que motivó a la mayoría de los Verdes a votar por la independencia.</t>
        </is>
      </c>
      <c r="J42" s="38" t="n"/>
      <c r="K42" s="62" t="n"/>
      <c r="L42" s="38" t="n"/>
      <c r="M42" s="62" t="n"/>
      <c r="N42" s="38" t="n"/>
      <c r="O42" s="62" t="n"/>
      <c r="P42" s="38" t="n"/>
      <c r="Q42" s="62" t="n"/>
      <c r="R42" s="38" t="n"/>
      <c r="S42" s="62" t="n"/>
      <c r="T42" s="38" t="n"/>
      <c r="U42" s="62" t="n"/>
      <c r="V42" s="38" t="n"/>
      <c r="W42" s="62" t="n"/>
      <c r="X42" s="38" t="n"/>
      <c r="Y42" s="62" t="n"/>
      <c r="Z42" s="38" t="n"/>
      <c r="AA42" s="62" t="n"/>
      <c r="AB42" s="38" t="n"/>
      <c r="AC42" s="62" t="n"/>
      <c r="AD42" s="38" t="n"/>
      <c r="AE42" s="38" t="n"/>
      <c r="AF42" s="61">
        <f>IF(COUNTIF($B$5:B42,B42)=1,1,0)</f>
        <v/>
      </c>
      <c r="AG42" s="62" t="inlineStr">
        <is>
          <t>https://www.eltiempo.com/politica/partidos-politicos/las-movidas-detras-de-la-declaratoria-de-la-alianza-verde-como-partido-independiente-al-gobierno-de-abelardo-de-la-espriella-3583710</t>
        </is>
      </c>
    </row>
    <row r="43" ht="15" customHeight="1" s="31">
      <c r="A43" s="38" t="inlineStr">
        <is>
          <t>ART_005</t>
        </is>
      </c>
      <c r="B43" s="38" t="inlineStr">
        <is>
          <t>ART_005_S08</t>
        </is>
      </c>
      <c r="C43" s="38" t="inlineStr">
        <is>
          <t>El Tiempo</t>
        </is>
      </c>
      <c r="D43" s="38" t="inlineStr">
        <is>
          <t>Transición de gobierno y relación con la oposición</t>
        </is>
      </c>
      <c r="E43" s="38" t="inlineStr">
        <is>
          <t>Noticia dura</t>
        </is>
      </c>
      <c r="F43" s="38" t="inlineStr">
        <is>
          <t>2026-09-04T16:36:43-05:00</t>
        </is>
      </c>
      <c r="G43" s="62" t="inlineStr">
        <is>
          <t>Hay distintas versiones sobre lo que motivó a la mayoría de los Verdes a votar por la independencia.</t>
        </is>
      </c>
      <c r="H43" s="62" t="inlineStr">
        <is>
          <t>Además, han cuestionado que hasta hace unos días venía ganando la postura de la oposición y al final se revirtió la tendencia.</t>
        </is>
      </c>
      <c r="I43" s="62" t="inlineStr">
        <is>
          <t>Algunos de los consultados aseguran que se impuso la independencia debido a que se quieren desligar del Pacto Histórico.</t>
        </is>
      </c>
      <c r="J43" s="38" t="n"/>
      <c r="K43" s="62" t="n"/>
      <c r="L43" s="38" t="n"/>
      <c r="M43" s="62" t="n"/>
      <c r="N43" s="38" t="n"/>
      <c r="O43" s="62" t="n"/>
      <c r="P43" s="38" t="n"/>
      <c r="Q43" s="62" t="n"/>
      <c r="R43" s="38" t="n"/>
      <c r="S43" s="62" t="n"/>
      <c r="T43" s="38" t="n"/>
      <c r="U43" s="62" t="n"/>
      <c r="V43" s="38" t="n"/>
      <c r="W43" s="62" t="n"/>
      <c r="X43" s="38" t="n"/>
      <c r="Y43" s="62" t="n"/>
      <c r="Z43" s="38" t="n"/>
      <c r="AA43" s="62" t="n"/>
      <c r="AB43" s="38" t="n"/>
      <c r="AC43" s="62" t="n"/>
      <c r="AD43" s="38" t="n"/>
      <c r="AE43" s="38" t="n"/>
      <c r="AF43" s="61">
        <f>IF(COUNTIF($B$5:B43,B43)=1,1,0)</f>
        <v/>
      </c>
      <c r="AG43" s="62" t="inlineStr">
        <is>
          <t>https://www.eltiempo.com/politica/partidos-politicos/las-movidas-detras-de-la-declaratoria-de-la-alianza-verde-como-partido-independiente-al-gobierno-de-abelardo-de-la-espriella-3583710</t>
        </is>
      </c>
    </row>
    <row r="44" ht="15" customHeight="1" s="31">
      <c r="A44" s="38" t="inlineStr">
        <is>
          <t>ART_005</t>
        </is>
      </c>
      <c r="B44" s="38" t="inlineStr">
        <is>
          <t>ART_005_S09</t>
        </is>
      </c>
      <c r="C44" s="38" t="inlineStr">
        <is>
          <t>El Tiempo</t>
        </is>
      </c>
      <c r="D44" s="38" t="inlineStr">
        <is>
          <t>Transición de gobierno y relación con la oposición</t>
        </is>
      </c>
      <c r="E44" s="38" t="inlineStr">
        <is>
          <t>Noticia dura</t>
        </is>
      </c>
      <c r="F44" s="38" t="inlineStr">
        <is>
          <t>2026-09-04T16:36:43-05:00</t>
        </is>
      </c>
      <c r="G44" s="62" t="inlineStr">
        <is>
          <t>Algunos de los consultados aseguran que se impuso la independencia debido a que se quieren desligar del Pacto Histórico.</t>
        </is>
      </c>
      <c r="H44" s="62" t="inlineStr">
        <is>
          <t>Hay distintas versiones sobre lo que motivó a la mayoría de los Verdes a votar por la independencia.</t>
        </is>
      </c>
      <c r="I44" s="62" t="inlineStr">
        <is>
          <t>Señalan que la colectividad de izquierda los ha visto como un apéndice y necesitaban de alguna forma mostrar sus diferencias con ellos.</t>
        </is>
      </c>
      <c r="J44" s="38" t="n"/>
      <c r="K44" s="62" t="n"/>
      <c r="L44" s="38" t="n"/>
      <c r="M44" s="62" t="n"/>
      <c r="N44" s="38" t="n"/>
      <c r="O44" s="62" t="n"/>
      <c r="P44" s="38" t="n"/>
      <c r="Q44" s="62" t="n"/>
      <c r="R44" s="38" t="n"/>
      <c r="S44" s="62" t="n"/>
      <c r="T44" s="38" t="n"/>
      <c r="U44" s="62" t="n"/>
      <c r="V44" s="38" t="n"/>
      <c r="W44" s="62" t="n"/>
      <c r="X44" s="38" t="n"/>
      <c r="Y44" s="62" t="n"/>
      <c r="Z44" s="38" t="n"/>
      <c r="AA44" s="62" t="n"/>
      <c r="AB44" s="38" t="n"/>
      <c r="AC44" s="62" t="n"/>
      <c r="AD44" s="38" t="n"/>
      <c r="AE44" s="38" t="n"/>
      <c r="AF44" s="61">
        <f>IF(COUNTIF($B$5:B44,B44)=1,1,0)</f>
        <v/>
      </c>
      <c r="AG44" s="62" t="inlineStr">
        <is>
          <t>https://www.eltiempo.com/politica/partidos-politicos/las-movidas-detras-de-la-declaratoria-de-la-alianza-verde-como-partido-independiente-al-gobierno-de-abelardo-de-la-espriella-3583710</t>
        </is>
      </c>
    </row>
    <row r="45" ht="15" customHeight="1" s="31">
      <c r="A45" s="38" t="inlineStr">
        <is>
          <t>ART_005</t>
        </is>
      </c>
      <c r="B45" s="38" t="inlineStr">
        <is>
          <t>ART_005_S10</t>
        </is>
      </c>
      <c r="C45" s="38" t="inlineStr">
        <is>
          <t>El Tiempo</t>
        </is>
      </c>
      <c r="D45" s="38" t="inlineStr">
        <is>
          <t>Transición de gobierno y relación con la oposición</t>
        </is>
      </c>
      <c r="E45" s="38" t="inlineStr">
        <is>
          <t>Noticia dura</t>
        </is>
      </c>
      <c r="F45" s="38" t="inlineStr">
        <is>
          <t>2026-09-04T16:36:43-05:00</t>
        </is>
      </c>
      <c r="G45" s="62" t="inlineStr">
        <is>
          <t>Señalan que la colectividad de izquierda los ha visto como un apéndice y necesitaban de alguna forma mostrar sus diferencias con ellos.</t>
        </is>
      </c>
      <c r="H45" s="62" t="inlineStr">
        <is>
          <t>Algunos de los consultados aseguran que se impuso la independencia debido a que se quieren desligar del Pacto Histórico.</t>
        </is>
      </c>
      <c r="I45" s="62" t="inlineStr">
        <is>
          <t>Por eso, indican que evitaron irse a la oposición para intentar mostrarse como un partido distinto.</t>
        </is>
      </c>
      <c r="J45" s="38" t="n"/>
      <c r="K45" s="62" t="n"/>
      <c r="L45" s="38" t="n"/>
      <c r="M45" s="62" t="n"/>
      <c r="N45" s="38" t="n"/>
      <c r="O45" s="62" t="n"/>
      <c r="P45" s="38" t="n"/>
      <c r="Q45" s="62" t="n"/>
      <c r="R45" s="38" t="n"/>
      <c r="S45" s="62" t="n"/>
      <c r="T45" s="38" t="n"/>
      <c r="U45" s="62" t="n"/>
      <c r="V45" s="38" t="n"/>
      <c r="W45" s="62" t="n"/>
      <c r="X45" s="38" t="n"/>
      <c r="Y45" s="62" t="n"/>
      <c r="Z45" s="38" t="n"/>
      <c r="AA45" s="62" t="n"/>
      <c r="AB45" s="38" t="n"/>
      <c r="AC45" s="62" t="n"/>
      <c r="AD45" s="38" t="n"/>
      <c r="AE45" s="38" t="n"/>
      <c r="AF45" s="61">
        <f>IF(COUNTIF($B$5:B45,B45)=1,1,0)</f>
        <v/>
      </c>
      <c r="AG45" s="62" t="inlineStr">
        <is>
          <t>https://www.eltiempo.com/politica/partidos-politicos/las-movidas-detras-de-la-declaratoria-de-la-alianza-verde-como-partido-independiente-al-gobierno-de-abelardo-de-la-espriella-3583710</t>
        </is>
      </c>
    </row>
    <row r="46" ht="15" customHeight="1" s="31">
      <c r="A46" s="38" t="inlineStr">
        <is>
          <t>ART_005</t>
        </is>
      </c>
      <c r="B46" s="38" t="inlineStr">
        <is>
          <t>ART_005_S11</t>
        </is>
      </c>
      <c r="C46" s="38" t="inlineStr">
        <is>
          <t>El Tiempo</t>
        </is>
      </c>
      <c r="D46" s="38" t="inlineStr">
        <is>
          <t>Transición de gobierno y relación con la oposición</t>
        </is>
      </c>
      <c r="E46" s="38" t="inlineStr">
        <is>
          <t>Noticia dura</t>
        </is>
      </c>
      <c r="F46" s="38" t="inlineStr">
        <is>
          <t>2026-09-04T16:36:43-05:00</t>
        </is>
      </c>
      <c r="G46" s="62" t="inlineStr">
        <is>
          <t>Por eso, indican que evitaron irse a la oposición para intentar mostrarse como un partido distinto.</t>
        </is>
      </c>
      <c r="H46" s="62" t="inlineStr">
        <is>
          <t>Señalan que la colectividad de izquierda los ha visto como un apéndice y necesitaban de alguna forma mostrar sus diferencias con ellos.</t>
        </is>
      </c>
      <c r="I46" s="62" t="inlineStr">
        <is>
          <t>En ese sentido ilustran lo que está ocurriendo en el partido con  la situación que ocurrió en la elección del CNE, en la que no apoyaron a Guillermo Rivera debido a que supuestamente querían sentar una posición ante supuestos intentos del partido de izquierda de imponer sus criterios sin siquiera dar las debidas discusiones.</t>
        </is>
      </c>
      <c r="J46" s="38" t="n"/>
      <c r="K46" s="62" t="n"/>
      <c r="L46" s="38" t="n"/>
      <c r="M46" s="62" t="n"/>
      <c r="N46" s="38" t="n"/>
      <c r="O46" s="62" t="n"/>
      <c r="P46" s="38" t="n"/>
      <c r="Q46" s="62" t="n"/>
      <c r="R46" s="38" t="n"/>
      <c r="S46" s="62" t="n"/>
      <c r="T46" s="38" t="n"/>
      <c r="U46" s="62" t="n"/>
      <c r="V46" s="38" t="n"/>
      <c r="W46" s="62" t="n"/>
      <c r="X46" s="38" t="n"/>
      <c r="Y46" s="62" t="n"/>
      <c r="Z46" s="38" t="n"/>
      <c r="AA46" s="62" t="n"/>
      <c r="AB46" s="38" t="n"/>
      <c r="AC46" s="62" t="n"/>
      <c r="AD46" s="38" t="n"/>
      <c r="AE46" s="38" t="n"/>
      <c r="AF46" s="61">
        <f>IF(COUNTIF($B$5:B46,B46)=1,1,0)</f>
        <v/>
      </c>
      <c r="AG46" s="62" t="inlineStr">
        <is>
          <t>https://www.eltiempo.com/politica/partidos-politicos/las-movidas-detras-de-la-declaratoria-de-la-alianza-verde-como-partido-independiente-al-gobierno-de-abelardo-de-la-espriella-3583710</t>
        </is>
      </c>
    </row>
    <row r="47" ht="15" customHeight="1" s="31">
      <c r="A47" s="38" t="inlineStr">
        <is>
          <t>ART_005</t>
        </is>
      </c>
      <c r="B47" s="38" t="inlineStr">
        <is>
          <t>ART_005_S12</t>
        </is>
      </c>
      <c r="C47" s="38" t="inlineStr">
        <is>
          <t>El Tiempo</t>
        </is>
      </c>
      <c r="D47" s="38" t="inlineStr">
        <is>
          <t>Transición de gobierno y relación con la oposición</t>
        </is>
      </c>
      <c r="E47" s="38" t="inlineStr">
        <is>
          <t>Noticia dura</t>
        </is>
      </c>
      <c r="F47" s="38" t="inlineStr">
        <is>
          <t>2026-09-04T16:36:43-05:00</t>
        </is>
      </c>
      <c r="G47" s="62" t="inlineStr">
        <is>
          <t>En ese sentido ilustran lo que está ocurriendo en el partido con  la situación que ocurrió en la elección del CNE, en la que no apoyaron a Guillermo Rivera debido a que supuestamente querían sentar una posición ante supuestos intentos del partido de izquierda de imponer sus criterios sin siquiera dar las debidas discusiones.</t>
        </is>
      </c>
      <c r="H47" s="62" t="inlineStr">
        <is>
          <t>Por eso, indican que evitaron irse a la oposición para intentar mostrarse como un partido distinto.</t>
        </is>
      </c>
      <c r="I47" s="62" t="n"/>
      <c r="J47" s="38" t="n"/>
      <c r="K47" s="62" t="n"/>
      <c r="L47" s="38" t="n"/>
      <c r="M47" s="62" t="n"/>
      <c r="N47" s="38" t="n"/>
      <c r="O47" s="62" t="n"/>
      <c r="P47" s="38" t="n"/>
      <c r="Q47" s="62" t="n"/>
      <c r="R47" s="38" t="n"/>
      <c r="S47" s="62" t="n"/>
      <c r="T47" s="38" t="n"/>
      <c r="U47" s="62" t="n"/>
      <c r="V47" s="38" t="n"/>
      <c r="W47" s="62" t="n"/>
      <c r="X47" s="38" t="n"/>
      <c r="Y47" s="62" t="n"/>
      <c r="Z47" s="38" t="n"/>
      <c r="AA47" s="62" t="n"/>
      <c r="AB47" s="38" t="n"/>
      <c r="AC47" s="62" t="n"/>
      <c r="AD47" s="38" t="n"/>
      <c r="AE47" s="38" t="n"/>
      <c r="AF47" s="61">
        <f>IF(COUNTIF($B$5:B47,B47)=1,1,0)</f>
        <v/>
      </c>
      <c r="AG47" s="62" t="inlineStr">
        <is>
          <t>https://www.eltiempo.com/politica/partidos-politicos/las-movidas-detras-de-la-declaratoria-de-la-alianza-verde-como-partido-independiente-al-gobierno-de-abelardo-de-la-espriella-3583710</t>
        </is>
      </c>
    </row>
    <row r="48" ht="15" customHeight="1" s="31">
      <c r="A48" s="38" t="inlineStr">
        <is>
          <t>ART_006</t>
        </is>
      </c>
      <c r="B48" s="38" t="inlineStr">
        <is>
          <t>ART_006_S01</t>
        </is>
      </c>
      <c r="C48" s="38" t="inlineStr">
        <is>
          <t>El Tiempo</t>
        </is>
      </c>
      <c r="D48" s="38" t="inlineStr">
        <is>
          <t>Reformas sociales en disputa (pensional/tributaria)</t>
        </is>
      </c>
      <c r="E48" s="38" t="inlineStr">
        <is>
          <t>Noticia dura</t>
        </is>
      </c>
      <c r="F48" s="38" t="inlineStr">
        <is>
          <t>2026-09-04T15:12:57-05:00</t>
        </is>
      </c>
      <c r="G48" s="62" t="inlineStr">
        <is>
          <t>Cada semana se radican en la Cámara de Representantes y el Senado decenas de proyectos de ley que nunca verán la luz, frenados por obstáculos de trámite, de forma y de fondo.</t>
        </is>
      </c>
      <c r="H48" s="62" t="n"/>
      <c r="I48" s="62" t="inlineStr">
        <is>
          <t>Solo en el primer mes desde que se instaló el nuevo Congreso —del 20 de julio al 20 de agosto de 2026— se radicaron 228 proyectos en la Cámara y 206 en el Senado.</t>
        </is>
      </c>
      <c r="J48" s="38" t="n"/>
      <c r="K48" s="62" t="n"/>
      <c r="L48" s="38" t="n"/>
      <c r="M48" s="62" t="n"/>
      <c r="N48" s="38" t="n"/>
      <c r="O48" s="62" t="n"/>
      <c r="P48" s="38" t="n"/>
      <c r="Q48" s="62" t="n"/>
      <c r="R48" s="38" t="n"/>
      <c r="S48" s="62" t="n"/>
      <c r="T48" s="38" t="n"/>
      <c r="U48" s="62" t="n"/>
      <c r="V48" s="38" t="n"/>
      <c r="W48" s="62" t="n"/>
      <c r="X48" s="38" t="n"/>
      <c r="Y48" s="62" t="n"/>
      <c r="Z48" s="38" t="n"/>
      <c r="AA48" s="62" t="n"/>
      <c r="AB48" s="38" t="n"/>
      <c r="AC48" s="62" t="n"/>
      <c r="AD48" s="38" t="n"/>
      <c r="AE48" s="38" t="n"/>
      <c r="AF48" s="61">
        <f>IF(COUNTIF($B$5:B48,B48)=1,1,0)</f>
        <v/>
      </c>
      <c r="AG48" s="62" t="inlineStr">
        <is>
          <t>https://www.eltiempo.com/politica/congreso/en-los-ultimos-ocho-anos-solo-se-aprobo-uno-de-cada-siete-proyectos-de-ley-en-el-congreso-lo-que-revelan-las-cifras-3583664</t>
        </is>
      </c>
    </row>
    <row r="49" ht="15" customHeight="1" s="31">
      <c r="A49" s="38" t="inlineStr">
        <is>
          <t>ART_006</t>
        </is>
      </c>
      <c r="B49" s="38" t="inlineStr">
        <is>
          <t>ART_006_S02</t>
        </is>
      </c>
      <c r="C49" s="38" t="inlineStr">
        <is>
          <t>El Tiempo</t>
        </is>
      </c>
      <c r="D49" s="38" t="inlineStr">
        <is>
          <t>Reformas sociales en disputa (pensional/tributaria)</t>
        </is>
      </c>
      <c r="E49" s="38" t="inlineStr">
        <is>
          <t>Noticia dura</t>
        </is>
      </c>
      <c r="F49" s="38" t="inlineStr">
        <is>
          <t>2026-09-04T15:12:57-05:00</t>
        </is>
      </c>
      <c r="G49" s="62" t="inlineStr">
        <is>
          <t>Solo en el primer mes desde que se instaló el nuevo Congreso —del 20 de julio al 20 de agosto de 2026— se radicaron 228 proyectos en la Cámara y 206 en el Senado.</t>
        </is>
      </c>
      <c r="H49" s="62" t="inlineStr">
        <is>
          <t>Cada semana se radican en la Cámara de Representantes y el Senado decenas de proyectos de ley que nunca verán la luz, frenados por obstáculos de trámite, de forma y de fondo.</t>
        </is>
      </c>
      <c r="I49" s="62" t="inlineStr">
        <is>
          <t>Su destino más probable, si se repite el patrón de los últimos ocho años, no será un intenso debate en el Capitolio, ni un veto presidencial, ni una sentencia de la Corte Constitucional.</t>
        </is>
      </c>
      <c r="J49" s="38" t="n"/>
      <c r="K49" s="62" t="n"/>
      <c r="L49" s="38" t="n"/>
      <c r="M49" s="62" t="n"/>
      <c r="N49" s="38" t="n"/>
      <c r="O49" s="62" t="n"/>
      <c r="P49" s="38" t="n"/>
      <c r="Q49" s="62" t="n"/>
      <c r="R49" s="38" t="n"/>
      <c r="S49" s="62" t="n"/>
      <c r="T49" s="38" t="n"/>
      <c r="U49" s="62" t="n"/>
      <c r="V49" s="38" t="n"/>
      <c r="W49" s="62" t="n"/>
      <c r="X49" s="38" t="n"/>
      <c r="Y49" s="62" t="n"/>
      <c r="Z49" s="38" t="n"/>
      <c r="AA49" s="62" t="n"/>
      <c r="AB49" s="38" t="n"/>
      <c r="AC49" s="62" t="n"/>
      <c r="AD49" s="38" t="n"/>
      <c r="AE49" s="38" t="n"/>
      <c r="AF49" s="61">
        <f>IF(COUNTIF($B$5:B49,B49)=1,1,0)</f>
        <v/>
      </c>
      <c r="AG49" s="62" t="inlineStr">
        <is>
          <t>https://www.eltiempo.com/politica/congreso/en-los-ultimos-ocho-anos-solo-se-aprobo-uno-de-cada-siete-proyectos-de-ley-en-el-congreso-lo-que-revelan-las-cifras-3583664</t>
        </is>
      </c>
    </row>
    <row r="50" ht="15" customHeight="1" s="31">
      <c r="A50" s="38" t="inlineStr">
        <is>
          <t>ART_006</t>
        </is>
      </c>
      <c r="B50" s="38" t="inlineStr">
        <is>
          <t>ART_006_S03</t>
        </is>
      </c>
      <c r="C50" s="38" t="inlineStr">
        <is>
          <t>El Tiempo</t>
        </is>
      </c>
      <c r="D50" s="38" t="inlineStr">
        <is>
          <t>Reformas sociales en disputa (pensional/tributaria)</t>
        </is>
      </c>
      <c r="E50" s="38" t="inlineStr">
        <is>
          <t>Noticia dura</t>
        </is>
      </c>
      <c r="F50" s="38" t="inlineStr">
        <is>
          <t>2026-09-04T15:12:57-05:00</t>
        </is>
      </c>
      <c r="G50" s="62" t="inlineStr">
        <is>
          <t>Su destino más probable, si se repite el patrón de los últimos ocho años, no será un intenso debate en el Capitolio, ni un veto presidencial, ni una sentencia de la Corte Constitucional.</t>
        </is>
      </c>
      <c r="H50" s="62" t="inlineStr">
        <is>
          <t>Solo en el primer mes desde que se instaló el nuevo Congreso —del 20 de julio al 20 de agosto de 2026— se radicaron 228 proyectos en la Cámara y 206 en el Senado.</t>
        </is>
      </c>
      <c r="I50" s="62" t="inlineStr">
        <is>
          <t>Será morir en silencio, guardados en una comisión.</t>
        </is>
      </c>
      <c r="J50" s="38" t="n"/>
      <c r="K50" s="62" t="n"/>
      <c r="L50" s="38" t="n"/>
      <c r="M50" s="62" t="n"/>
      <c r="N50" s="38" t="n"/>
      <c r="O50" s="62" t="n"/>
      <c r="P50" s="38" t="n"/>
      <c r="Q50" s="62" t="n"/>
      <c r="R50" s="38" t="n"/>
      <c r="S50" s="62" t="n"/>
      <c r="T50" s="38" t="n"/>
      <c r="U50" s="62" t="n"/>
      <c r="V50" s="38" t="n"/>
      <c r="W50" s="62" t="n"/>
      <c r="X50" s="38" t="n"/>
      <c r="Y50" s="62" t="n"/>
      <c r="Z50" s="38" t="n"/>
      <c r="AA50" s="62" t="n"/>
      <c r="AB50" s="38" t="n"/>
      <c r="AC50" s="62" t="n"/>
      <c r="AD50" s="38" t="n"/>
      <c r="AE50" s="38" t="n"/>
      <c r="AF50" s="61">
        <f>IF(COUNTIF($B$5:B50,B50)=1,1,0)</f>
        <v/>
      </c>
      <c r="AG50" s="62" t="inlineStr">
        <is>
          <t>https://www.eltiempo.com/politica/congreso/en-los-ultimos-ocho-anos-solo-se-aprobo-uno-de-cada-siete-proyectos-de-ley-en-el-congreso-lo-que-revelan-las-cifras-3583664</t>
        </is>
      </c>
    </row>
    <row r="51" ht="15" customHeight="1" s="31">
      <c r="A51" s="38" t="inlineStr">
        <is>
          <t>ART_006</t>
        </is>
      </c>
      <c r="B51" s="38" t="inlineStr">
        <is>
          <t>ART_006_S04</t>
        </is>
      </c>
      <c r="C51" s="38" t="inlineStr">
        <is>
          <t>El Tiempo</t>
        </is>
      </c>
      <c r="D51" s="38" t="inlineStr">
        <is>
          <t>Reformas sociales en disputa (pensional/tributaria)</t>
        </is>
      </c>
      <c r="E51" s="38" t="inlineStr">
        <is>
          <t>Noticia dura</t>
        </is>
      </c>
      <c r="F51" s="38" t="inlineStr">
        <is>
          <t>2026-09-04T15:12:57-05:00</t>
        </is>
      </c>
      <c r="G51" s="62" t="inlineStr">
        <is>
          <t>Será morir en silencio, guardados en una comisión.</t>
        </is>
      </c>
      <c r="H51" s="62" t="inlineStr">
        <is>
          <t>Su destino más probable, si se repite el patrón de los últimos ocho años, no será un intenso debate en el Capitolio, ni un veto presidencial, ni una sentencia de la Corte Constitucional.</t>
        </is>
      </c>
      <c r="I51" s="62" t="inlineStr">
        <is>
          <t>Las cifras lo respaldan: de los 4.004 proyectos de ley radicados en el Congreso colombiano entre los cuatrienios completos de 2018-2022 y 2022-2026, apenas 1 de cada 7 (14,1 %) terminó convertido en ley con sanción presidencial.</t>
        </is>
      </c>
      <c r="J51" s="38" t="n"/>
      <c r="K51" s="62" t="n"/>
      <c r="L51" s="38" t="n"/>
      <c r="M51" s="62" t="n"/>
      <c r="N51" s="38" t="n"/>
      <c r="O51" s="62" t="n"/>
      <c r="P51" s="38" t="n"/>
      <c r="Q51" s="62" t="n"/>
      <c r="R51" s="38" t="n"/>
      <c r="S51" s="62" t="n"/>
      <c r="T51" s="38" t="n"/>
      <c r="U51" s="62" t="n"/>
      <c r="V51" s="38" t="n"/>
      <c r="W51" s="62" t="n"/>
      <c r="X51" s="38" t="n"/>
      <c r="Y51" s="62" t="n"/>
      <c r="Z51" s="38" t="n"/>
      <c r="AA51" s="62" t="n"/>
      <c r="AB51" s="38" t="n"/>
      <c r="AC51" s="62" t="n"/>
      <c r="AD51" s="38" t="n"/>
      <c r="AE51" s="38" t="n"/>
      <c r="AF51" s="61">
        <f>IF(COUNTIF($B$5:B51,B51)=1,1,0)</f>
        <v/>
      </c>
      <c r="AG51" s="62" t="inlineStr">
        <is>
          <t>https://www.eltiempo.com/politica/congreso/en-los-ultimos-ocho-anos-solo-se-aprobo-uno-de-cada-siete-proyectos-de-ley-en-el-congreso-lo-que-revelan-las-cifras-3583664</t>
        </is>
      </c>
    </row>
    <row r="52" ht="15" customHeight="1" s="31">
      <c r="A52" s="38" t="inlineStr">
        <is>
          <t>ART_006</t>
        </is>
      </c>
      <c r="B52" s="38" t="inlineStr">
        <is>
          <t>ART_006_S05</t>
        </is>
      </c>
      <c r="C52" s="38" t="inlineStr">
        <is>
          <t>El Tiempo</t>
        </is>
      </c>
      <c r="D52" s="38" t="inlineStr">
        <is>
          <t>Reformas sociales en disputa (pensional/tributaria)</t>
        </is>
      </c>
      <c r="E52" s="38" t="inlineStr">
        <is>
          <t>Noticia dura</t>
        </is>
      </c>
      <c r="F52" s="38" t="inlineStr">
        <is>
          <t>2026-09-04T15:12:57-05:00</t>
        </is>
      </c>
      <c r="G52" s="62" t="inlineStr">
        <is>
          <t>Las cifras lo respaldan: de los 4.004 proyectos de ley radicados en el Congreso colombiano entre los cuatrienios completos de 2018-2022 y 2022-2026, apenas 1 de cada 7 (14,1 %) terminó convertido en ley con sanción presidencial.</t>
        </is>
      </c>
      <c r="H52" s="62" t="inlineStr">
        <is>
          <t>Será morir en silencio, guardados en una comisión.</t>
        </is>
      </c>
      <c r="I52" s="62" t="inlineStr">
        <is>
          <t>El resto se repartió entre el archivo (2.435 proyectos, 61 %), el retiro por parte de sus propios autores (279) y un limbo de trámite sin resolver (724).</t>
        </is>
      </c>
      <c r="J52" s="38" t="n"/>
      <c r="K52" s="62" t="n"/>
      <c r="L52" s="38" t="n"/>
      <c r="M52" s="62" t="n"/>
      <c r="N52" s="38" t="n"/>
      <c r="O52" s="62" t="n"/>
      <c r="P52" s="38" t="n"/>
      <c r="Q52" s="62" t="n"/>
      <c r="R52" s="38" t="n"/>
      <c r="S52" s="62" t="n"/>
      <c r="T52" s="38" t="n"/>
      <c r="U52" s="62" t="n"/>
      <c r="V52" s="38" t="n"/>
      <c r="W52" s="62" t="n"/>
      <c r="X52" s="38" t="n"/>
      <c r="Y52" s="62" t="n"/>
      <c r="Z52" s="38" t="n"/>
      <c r="AA52" s="62" t="n"/>
      <c r="AB52" s="38" t="n"/>
      <c r="AC52" s="62" t="n"/>
      <c r="AD52" s="38" t="n"/>
      <c r="AE52" s="38" t="n"/>
      <c r="AF52" s="61">
        <f>IF(COUNTIF($B$5:B52,B52)=1,1,0)</f>
        <v/>
      </c>
      <c r="AG52" s="62" t="inlineStr">
        <is>
          <t>https://www.eltiempo.com/politica/congreso/en-los-ultimos-ocho-anos-solo-se-aprobo-uno-de-cada-siete-proyectos-de-ley-en-el-congreso-lo-que-revelan-las-cifras-3583664</t>
        </is>
      </c>
    </row>
    <row r="53" ht="15" customHeight="1" s="31">
      <c r="A53" s="38" t="inlineStr">
        <is>
          <t>ART_006</t>
        </is>
      </c>
      <c r="B53" s="38" t="inlineStr">
        <is>
          <t>ART_006_S06</t>
        </is>
      </c>
      <c r="C53" s="38" t="inlineStr">
        <is>
          <t>El Tiempo</t>
        </is>
      </c>
      <c r="D53" s="38" t="inlineStr">
        <is>
          <t>Reformas sociales en disputa (pensional/tributaria)</t>
        </is>
      </c>
      <c r="E53" s="38" t="inlineStr">
        <is>
          <t>Noticia dura</t>
        </is>
      </c>
      <c r="F53" s="38" t="inlineStr">
        <is>
          <t>2026-09-04T15:12:57-05:00</t>
        </is>
      </c>
      <c r="G53" s="62" t="inlineStr">
        <is>
          <t>El resto se repartió entre el archivo (2.435 proyectos, 61 %), el retiro por parte de sus propios autores (279) y un limbo de trámite sin resolver (724).</t>
        </is>
      </c>
      <c r="H53" s="62" t="inlineStr">
        <is>
          <t>Las cifras lo respaldan: de los 4.004 proyectos de ley radicados en el Congreso colombiano entre los cuatrienios completos de 2018-2022 y 2022-2026, apenas 1 de cada 7 (14,1 %) terminó convertido en ley con sanción presidencial.</t>
        </is>
      </c>
      <c r="I53" s="62" t="inlineStr">
        <is>
          <t>Ni siquiera las reformas de mayor peso político logran cerrar ese ciclo con rapidez.</t>
        </is>
      </c>
      <c r="J53" s="38" t="n"/>
      <c r="K53" s="62" t="n"/>
      <c r="L53" s="38" t="n"/>
      <c r="M53" s="62" t="n"/>
      <c r="N53" s="38" t="n"/>
      <c r="O53" s="62" t="n"/>
      <c r="P53" s="38" t="n"/>
      <c r="Q53" s="62" t="n"/>
      <c r="R53" s="38" t="n"/>
      <c r="S53" s="62" t="n"/>
      <c r="T53" s="38" t="n"/>
      <c r="U53" s="62" t="n"/>
      <c r="V53" s="38" t="n"/>
      <c r="W53" s="62" t="n"/>
      <c r="X53" s="38" t="n"/>
      <c r="Y53" s="62" t="n"/>
      <c r="Z53" s="38" t="n"/>
      <c r="AA53" s="62" t="n"/>
      <c r="AB53" s="38" t="n"/>
      <c r="AC53" s="62" t="n"/>
      <c r="AD53" s="38" t="n"/>
      <c r="AE53" s="38" t="n"/>
      <c r="AF53" s="61">
        <f>IF(COUNTIF($B$5:B53,B53)=1,1,0)</f>
        <v/>
      </c>
      <c r="AG53" s="62" t="inlineStr">
        <is>
          <t>https://www.eltiempo.com/politica/congreso/en-los-ultimos-ocho-anos-solo-se-aprobo-uno-de-cada-siete-proyectos-de-ley-en-el-congreso-lo-que-revelan-las-cifras-3583664</t>
        </is>
      </c>
    </row>
    <row r="54" ht="15" customHeight="1" s="31">
      <c r="A54" s="38" t="inlineStr">
        <is>
          <t>ART_006</t>
        </is>
      </c>
      <c r="B54" s="38" t="inlineStr">
        <is>
          <t>ART_006_S07</t>
        </is>
      </c>
      <c r="C54" s="38" t="inlineStr">
        <is>
          <t>El Tiempo</t>
        </is>
      </c>
      <c r="D54" s="38" t="inlineStr">
        <is>
          <t>Reformas sociales en disputa (pensional/tributaria)</t>
        </is>
      </c>
      <c r="E54" s="38" t="inlineStr">
        <is>
          <t>Noticia dura</t>
        </is>
      </c>
      <c r="F54" s="38" t="inlineStr">
        <is>
          <t>2026-09-04T15:12:57-05:00</t>
        </is>
      </c>
      <c r="G54" s="62" t="inlineStr">
        <is>
          <t>Ni siquiera las reformas de mayor peso político logran cerrar ese ciclo con rapidez.</t>
        </is>
      </c>
      <c r="H54" s="62" t="inlineStr">
        <is>
          <t>El resto se repartió entre el archivo (2.435 proyectos, 61 %), el retiro por parte de sus propios autores (279) y un limbo de trámite sin resolver (724).</t>
        </is>
      </c>
      <c r="I54" s="62" t="inlineStr">
        <is>
          <t>La reforma pensional del gobierno Petro, radicada hace tres años, todavía no tiene la última palabra: la Corte Constitucional devolvió nueve de sus artículos a la Cámara de Representantes para que se subsanen vicios de procedimiento.</t>
        </is>
      </c>
      <c r="J54" s="38" t="n"/>
      <c r="K54" s="62" t="n"/>
      <c r="L54" s="38" t="n"/>
      <c r="M54" s="62" t="n"/>
      <c r="N54" s="38" t="n"/>
      <c r="O54" s="62" t="n"/>
      <c r="P54" s="38" t="n"/>
      <c r="Q54" s="62" t="n"/>
      <c r="R54" s="38" t="n"/>
      <c r="S54" s="62" t="n"/>
      <c r="T54" s="38" t="n"/>
      <c r="U54" s="62" t="n"/>
      <c r="V54" s="38" t="n"/>
      <c r="W54" s="62" t="n"/>
      <c r="X54" s="38" t="n"/>
      <c r="Y54" s="62" t="n"/>
      <c r="Z54" s="38" t="n"/>
      <c r="AA54" s="62" t="n"/>
      <c r="AB54" s="38" t="n"/>
      <c r="AC54" s="62" t="n"/>
      <c r="AD54" s="38" t="n"/>
      <c r="AE54" s="38" t="n"/>
      <c r="AF54" s="61">
        <f>IF(COUNTIF($B$5:B54,B54)=1,1,0)</f>
        <v/>
      </c>
      <c r="AG54" s="62" t="inlineStr">
        <is>
          <t>https://www.eltiempo.com/politica/congreso/en-los-ultimos-ocho-anos-solo-se-aprobo-uno-de-cada-siete-proyectos-de-ley-en-el-congreso-lo-que-revelan-las-cifras-3583664</t>
        </is>
      </c>
    </row>
    <row r="55" ht="15" customHeight="1" s="31">
      <c r="A55" s="38" t="inlineStr">
        <is>
          <t>ART_006</t>
        </is>
      </c>
      <c r="B55" s="38" t="inlineStr">
        <is>
          <t>ART_006_S08</t>
        </is>
      </c>
      <c r="C55" s="38" t="inlineStr">
        <is>
          <t>El Tiempo</t>
        </is>
      </c>
      <c r="D55" s="38" t="inlineStr">
        <is>
          <t>Reformas sociales en disputa (pensional/tributaria)</t>
        </is>
      </c>
      <c r="E55" s="38" t="inlineStr">
        <is>
          <t>Noticia dura</t>
        </is>
      </c>
      <c r="F55" s="38" t="inlineStr">
        <is>
          <t>2026-09-04T15:12:57-05:00</t>
        </is>
      </c>
      <c r="G55" s="62" t="inlineStr">
        <is>
          <t>La reforma pensional del gobierno Petro, radicada hace tres años, todavía no tiene la última palabra: la Corte Constitucional devolvió nueve de sus artículos a la Cámara de Representantes para que se subsanen vicios de procedimiento.</t>
        </is>
      </c>
      <c r="H55" s="62" t="inlineStr">
        <is>
          <t>Ni siquiera las reformas de mayor peso político logran cerrar ese ciclo con rapidez.</t>
        </is>
      </c>
      <c r="I55" s="62" t="inlineStr">
        <is>
          <t>Ni aprobada del todo ni hundida, sigue en una zona gris que resulta más habitual de lo que parece.</t>
        </is>
      </c>
      <c r="J55" s="38" t="n"/>
      <c r="K55" s="62" t="n"/>
      <c r="L55" s="38" t="n"/>
      <c r="M55" s="62" t="n"/>
      <c r="N55" s="38" t="n"/>
      <c r="O55" s="62" t="n"/>
      <c r="P55" s="38" t="n"/>
      <c r="Q55" s="62" t="n"/>
      <c r="R55" s="38" t="n"/>
      <c r="S55" s="62" t="n"/>
      <c r="T55" s="38" t="n"/>
      <c r="U55" s="62" t="n"/>
      <c r="V55" s="38" t="n"/>
      <c r="W55" s="62" t="n"/>
      <c r="X55" s="38" t="n"/>
      <c r="Y55" s="62" t="n"/>
      <c r="Z55" s="38" t="n"/>
      <c r="AA55" s="62" t="n"/>
      <c r="AB55" s="38" t="n"/>
      <c r="AC55" s="62" t="n"/>
      <c r="AD55" s="38" t="n"/>
      <c r="AE55" s="38" t="n"/>
      <c r="AF55" s="61">
        <f>IF(COUNTIF($B$5:B55,B55)=1,1,0)</f>
        <v/>
      </c>
      <c r="AG55" s="62" t="inlineStr">
        <is>
          <t>https://www.eltiempo.com/politica/congreso/en-los-ultimos-ocho-anos-solo-se-aprobo-uno-de-cada-siete-proyectos-de-ley-en-el-congreso-lo-que-revelan-las-cifras-3583664</t>
        </is>
      </c>
    </row>
    <row r="56" ht="15" customHeight="1" s="31">
      <c r="A56" s="38" t="inlineStr">
        <is>
          <t>ART_006</t>
        </is>
      </c>
      <c r="B56" s="38" t="inlineStr">
        <is>
          <t>ART_006_S09</t>
        </is>
      </c>
      <c r="C56" s="38" t="inlineStr">
        <is>
          <t>El Tiempo</t>
        </is>
      </c>
      <c r="D56" s="38" t="inlineStr">
        <is>
          <t>Reformas sociales en disputa (pensional/tributaria)</t>
        </is>
      </c>
      <c r="E56" s="38" t="inlineStr">
        <is>
          <t>Noticia dura</t>
        </is>
      </c>
      <c r="F56" s="38" t="inlineStr">
        <is>
          <t>2026-09-04T15:12:57-05:00</t>
        </is>
      </c>
      <c r="G56" s="62" t="inlineStr">
        <is>
          <t>Ni aprobada del todo ni hundida, sigue en una zona gris que resulta más habitual de lo que parece.</t>
        </is>
      </c>
      <c r="H56" s="62" t="inlineStr">
        <is>
          <t>La reforma pensional del gobierno Petro, radicada hace tres años, todavía no tiene la última palabra: la Corte Constitucional devolvió nueve de sus artículos a la Cámara de Representantes para que se subsanen vicios de procedimiento.</t>
        </is>
      </c>
      <c r="I56" s="62" t="inlineStr">
        <is>
          <t>El Congreso 2018-2022, con una mayoría de centroderecha, cerró con una tasa de aprobación acumulada de 15,9 % (302 leyes de 1.900 proyectos).</t>
        </is>
      </c>
      <c r="J56" s="38" t="n"/>
      <c r="K56" s="62" t="n"/>
      <c r="L56" s="38" t="n"/>
      <c r="M56" s="62" t="n"/>
      <c r="N56" s="38" t="n"/>
      <c r="O56" s="62" t="n"/>
      <c r="P56" s="38" t="n"/>
      <c r="Q56" s="62" t="n"/>
      <c r="R56" s="38" t="n"/>
      <c r="S56" s="62" t="n"/>
      <c r="T56" s="38" t="n"/>
      <c r="U56" s="62" t="n"/>
      <c r="V56" s="38" t="n"/>
      <c r="W56" s="62" t="n"/>
      <c r="X56" s="38" t="n"/>
      <c r="Y56" s="62" t="n"/>
      <c r="Z56" s="38" t="n"/>
      <c r="AA56" s="62" t="n"/>
      <c r="AB56" s="38" t="n"/>
      <c r="AC56" s="62" t="n"/>
      <c r="AD56" s="38" t="n"/>
      <c r="AE56" s="38" t="n"/>
      <c r="AF56" s="61">
        <f>IF(COUNTIF($B$5:B56,B56)=1,1,0)</f>
        <v/>
      </c>
      <c r="AG56" s="62" t="inlineStr">
        <is>
          <t>https://www.eltiempo.com/politica/congreso/en-los-ultimos-ocho-anos-solo-se-aprobo-uno-de-cada-siete-proyectos-de-ley-en-el-congreso-lo-que-revelan-las-cifras-3583664</t>
        </is>
      </c>
    </row>
    <row r="57" ht="15" customHeight="1" s="31">
      <c r="A57" s="38" t="inlineStr">
        <is>
          <t>ART_006</t>
        </is>
      </c>
      <c r="B57" s="38" t="inlineStr">
        <is>
          <t>ART_006_S10</t>
        </is>
      </c>
      <c r="C57" s="38" t="inlineStr">
        <is>
          <t>El Tiempo</t>
        </is>
      </c>
      <c r="D57" s="38" t="inlineStr">
        <is>
          <t>Reformas sociales en disputa (pensional/tributaria)</t>
        </is>
      </c>
      <c r="E57" s="38" t="inlineStr">
        <is>
          <t>Noticia dura</t>
        </is>
      </c>
      <c r="F57" s="38" t="inlineStr">
        <is>
          <t>2026-09-04T15:12:57-05:00</t>
        </is>
      </c>
      <c r="G57" s="62" t="inlineStr">
        <is>
          <t>El Congreso 2018-2022, con una mayoría de centroderecha, cerró con una tasa de aprobación acumulada de 15,9 % (302 leyes de 1.900 proyectos).</t>
        </is>
      </c>
      <c r="H57" s="62" t="inlineStr">
        <is>
          <t>Ni aprobada del todo ni hundida, sigue en una zona gris que resulta más habitual de lo que parece.</t>
        </is>
      </c>
      <c r="I57" s="62" t="inlineStr">
        <is>
          <t>El Congreso 2022-2026, donde las fuerzas de izquierda tomaron mayor protagonismo, cerró en 12,5 % (264 de 2.104).</t>
        </is>
      </c>
      <c r="J57" s="38" t="n"/>
      <c r="K57" s="62" t="n"/>
      <c r="L57" s="38" t="n"/>
      <c r="M57" s="62" t="n"/>
      <c r="N57" s="38" t="n"/>
      <c r="O57" s="62" t="n"/>
      <c r="P57" s="38" t="n"/>
      <c r="Q57" s="62" t="n"/>
      <c r="R57" s="38" t="n"/>
      <c r="S57" s="62" t="n"/>
      <c r="T57" s="38" t="n"/>
      <c r="U57" s="62" t="n"/>
      <c r="V57" s="38" t="n"/>
      <c r="W57" s="62" t="n"/>
      <c r="X57" s="38" t="n"/>
      <c r="Y57" s="62" t="n"/>
      <c r="Z57" s="38" t="n"/>
      <c r="AA57" s="62" t="n"/>
      <c r="AB57" s="38" t="n"/>
      <c r="AC57" s="62" t="n"/>
      <c r="AD57" s="38" t="n"/>
      <c r="AE57" s="38" t="n"/>
      <c r="AF57" s="61">
        <f>IF(COUNTIF($B$5:B57,B57)=1,1,0)</f>
        <v/>
      </c>
      <c r="AG57" s="62" t="inlineStr">
        <is>
          <t>https://www.eltiempo.com/politica/congreso/en-los-ultimos-ocho-anos-solo-se-aprobo-uno-de-cada-siete-proyectos-de-ley-en-el-congreso-lo-que-revelan-las-cifras-3583664</t>
        </is>
      </c>
    </row>
    <row r="58" ht="15" customHeight="1" s="31">
      <c r="A58" s="38" t="inlineStr">
        <is>
          <t>ART_006</t>
        </is>
      </c>
      <c r="B58" s="38" t="inlineStr">
        <is>
          <t>ART_006_S11</t>
        </is>
      </c>
      <c r="C58" s="38" t="inlineStr">
        <is>
          <t>El Tiempo</t>
        </is>
      </c>
      <c r="D58" s="38" t="inlineStr">
        <is>
          <t>Reformas sociales en disputa (pensional/tributaria)</t>
        </is>
      </c>
      <c r="E58" s="38" t="inlineStr">
        <is>
          <t>Noticia dura</t>
        </is>
      </c>
      <c r="F58" s="38" t="inlineStr">
        <is>
          <t>2026-09-04T15:12:57-05:00</t>
        </is>
      </c>
      <c r="G58" s="62" t="inlineStr">
        <is>
          <t>El Congreso 2022-2026, donde las fuerzas de izquierda tomaron mayor protagonismo, cerró en 12,5 % (264 de 2.104).</t>
        </is>
      </c>
      <c r="H58" s="62" t="inlineStr">
        <is>
          <t>El Congreso 2018-2022, con una mayoría de centroderecha, cerró con una tasa de aprobación acumulada de 15,9 % (302 leyes de 1.900 proyectos).</t>
        </is>
      </c>
      <c r="I58" s="62" t="inlineStr">
        <is>
          <t>Pero el promedio esconde una trayectoria más interesante: entre 2018 y 2022 la tasa sube casi sin pausa, de 12,4 % en 2018-2019 a 18,5 % en 2020-2021, y cierra en 16,3 %.</t>
        </is>
      </c>
      <c r="J58" s="38" t="n"/>
      <c r="K58" s="62" t="n"/>
      <c r="L58" s="38" t="n"/>
      <c r="M58" s="62" t="n"/>
      <c r="N58" s="38" t="n"/>
      <c r="O58" s="62" t="n"/>
      <c r="P58" s="38" t="n"/>
      <c r="Q58" s="62" t="n"/>
      <c r="R58" s="38" t="n"/>
      <c r="S58" s="62" t="n"/>
      <c r="T58" s="38" t="n"/>
      <c r="U58" s="62" t="n"/>
      <c r="V58" s="38" t="n"/>
      <c r="W58" s="62" t="n"/>
      <c r="X58" s="38" t="n"/>
      <c r="Y58" s="62" t="n"/>
      <c r="Z58" s="38" t="n"/>
      <c r="AA58" s="62" t="n"/>
      <c r="AB58" s="38" t="n"/>
      <c r="AC58" s="62" t="n"/>
      <c r="AD58" s="38" t="n"/>
      <c r="AE58" s="38" t="n"/>
      <c r="AF58" s="61">
        <f>IF(COUNTIF($B$5:B58,B58)=1,1,0)</f>
        <v/>
      </c>
      <c r="AG58" s="62" t="inlineStr">
        <is>
          <t>https://www.eltiempo.com/politica/congreso/en-los-ultimos-ocho-anos-solo-se-aprobo-uno-de-cada-siete-proyectos-de-ley-en-el-congreso-lo-que-revelan-las-cifras-3583664</t>
        </is>
      </c>
    </row>
    <row r="59" ht="15" customHeight="1" s="31">
      <c r="A59" s="38" t="inlineStr">
        <is>
          <t>ART_006</t>
        </is>
      </c>
      <c r="B59" s="38" t="inlineStr">
        <is>
          <t>ART_006_S12</t>
        </is>
      </c>
      <c r="C59" s="38" t="inlineStr">
        <is>
          <t>El Tiempo</t>
        </is>
      </c>
      <c r="D59" s="38" t="inlineStr">
        <is>
          <t>Reformas sociales en disputa (pensional/tributaria)</t>
        </is>
      </c>
      <c r="E59" s="38" t="inlineStr">
        <is>
          <t>Noticia dura</t>
        </is>
      </c>
      <c r="F59" s="38" t="inlineStr">
        <is>
          <t>2026-09-04T15:12:57-05:00</t>
        </is>
      </c>
      <c r="G59" s="62" t="inlineStr">
        <is>
          <t>Pero el promedio esconde una trayectoria más interesante: entre 2018 y 2022 la tasa sube casi sin pausa, de 12,4 % en 2018-2019 a 18,5 % en 2020-2021, y cierra en 16,3 %.</t>
        </is>
      </c>
      <c r="H59" s="62" t="inlineStr">
        <is>
          <t>El Congreso 2022-2026, donde las fuerzas de izquierda tomaron mayor protagonismo, cerró en 12,5 % (264 de 2.104).</t>
        </is>
      </c>
      <c r="I59" s="62" t="n"/>
      <c r="J59" s="38" t="n"/>
      <c r="K59" s="62" t="n"/>
      <c r="L59" s="38" t="n"/>
      <c r="M59" s="62" t="n"/>
      <c r="N59" s="38" t="n"/>
      <c r="O59" s="62" t="n"/>
      <c r="P59" s="38" t="n"/>
      <c r="Q59" s="62" t="n"/>
      <c r="R59" s="38" t="n"/>
      <c r="S59" s="62" t="n"/>
      <c r="T59" s="38" t="n"/>
      <c r="U59" s="62" t="n"/>
      <c r="V59" s="38" t="n"/>
      <c r="W59" s="62" t="n"/>
      <c r="X59" s="38" t="n"/>
      <c r="Y59" s="62" t="n"/>
      <c r="Z59" s="38" t="n"/>
      <c r="AA59" s="62" t="n"/>
      <c r="AB59" s="38" t="n"/>
      <c r="AC59" s="62" t="n"/>
      <c r="AD59" s="38" t="n"/>
      <c r="AE59" s="38" t="n"/>
      <c r="AF59" s="61">
        <f>IF(COUNTIF($B$5:B59,B59)=1,1,0)</f>
        <v/>
      </c>
      <c r="AG59" s="62" t="inlineStr">
        <is>
          <t>https://www.eltiempo.com/politica/congreso/en-los-ultimos-ocho-anos-solo-se-aprobo-uno-de-cada-siete-proyectos-de-ley-en-el-congreso-lo-que-revelan-las-cifras-3583664</t>
        </is>
      </c>
    </row>
    <row r="60" ht="15" customHeight="1" s="31">
      <c r="A60" s="38" t="inlineStr">
        <is>
          <t>ART_007</t>
        </is>
      </c>
      <c r="B60" s="38" t="inlineStr">
        <is>
          <t>ART_007_S01</t>
        </is>
      </c>
      <c r="C60" s="38" t="inlineStr">
        <is>
          <t>El Tiempo</t>
        </is>
      </c>
      <c r="D60" s="38" t="inlineStr">
        <is>
          <t>Transición de gobierno y relación con la oposición</t>
        </is>
      </c>
      <c r="E60" s="38" t="inlineStr">
        <is>
          <t>Noticia dura</t>
        </is>
      </c>
      <c r="F60" s="38" t="inlineStr">
        <is>
          <t>2026-09-04T10:51:14-05:00</t>
        </is>
      </c>
      <c r="G60"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H60" s="62" t="n"/>
      <c r="I60" s="62" t="inlineStr">
        <is>
          <t>Según detalló el mandatario, junto al cabecilla de las Acsn también murieron su pareja, Rosa Angélica Tarazona, alias ‘La Bebecita’, y dos escoltas.</t>
        </is>
      </c>
      <c r="J60" s="38" t="n"/>
      <c r="K60" s="62" t="n"/>
      <c r="L60" s="38" t="n"/>
      <c r="M60" s="62" t="n"/>
      <c r="N60" s="38" t="n"/>
      <c r="O60" s="62" t="n"/>
      <c r="P60" s="38" t="n"/>
      <c r="Q60" s="62" t="n"/>
      <c r="R60" s="38" t="n"/>
      <c r="S60" s="62" t="n"/>
      <c r="T60" s="38" t="n"/>
      <c r="U60" s="62" t="n"/>
      <c r="V60" s="38" t="n"/>
      <c r="W60" s="62" t="n"/>
      <c r="X60" s="38" t="n"/>
      <c r="Y60" s="62" t="n"/>
      <c r="Z60" s="38" t="n"/>
      <c r="AA60" s="62" t="n"/>
      <c r="AB60" s="38" t="n"/>
      <c r="AC60" s="62" t="n"/>
      <c r="AD60" s="38" t="n"/>
      <c r="AE60" s="38" t="n"/>
      <c r="AF60" s="61">
        <f>IF(COUNTIF($B$5:B60,B60)=1,1,0)</f>
        <v/>
      </c>
      <c r="AG60" s="62" t="inlineStr">
        <is>
          <t>https://www.eltiempo.com/politica/abelardo-de-la-espriella/presidente-abelardo-de-la-espriella-y-su-contundente-frase-tras-la-muerte-de-bendito-menor-este-miserable-ahora-esta-a-buen-recaudo-del-infierno-3583557</t>
        </is>
      </c>
    </row>
    <row r="61" ht="15" customHeight="1" s="31">
      <c r="A61" s="38" t="inlineStr">
        <is>
          <t>ART_007</t>
        </is>
      </c>
      <c r="B61" s="38" t="inlineStr">
        <is>
          <t>ART_007_S02</t>
        </is>
      </c>
      <c r="C61" s="38" t="inlineStr">
        <is>
          <t>El Tiempo</t>
        </is>
      </c>
      <c r="D61" s="38" t="inlineStr">
        <is>
          <t>Transición de gobierno y relación con la oposición</t>
        </is>
      </c>
      <c r="E61" s="38" t="inlineStr">
        <is>
          <t>Noticia dura</t>
        </is>
      </c>
      <c r="F61" s="38" t="inlineStr">
        <is>
          <t>2026-09-04T10:51:14-05:00</t>
        </is>
      </c>
      <c r="G61" s="62" t="inlineStr">
        <is>
          <t>Según detalló el mandatario, junto al cabecilla de las Acsn también murieron su pareja, Rosa Angélica Tarazona, alias ‘La Bebecita’, y dos escoltas.</t>
        </is>
      </c>
      <c r="H61"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I61" s="62" t="n"/>
      <c r="J61" s="38" t="n"/>
      <c r="K61" s="62" t="n"/>
      <c r="L61" s="38" t="n"/>
      <c r="M61" s="62" t="n"/>
      <c r="N61" s="38" t="n"/>
      <c r="O61" s="62" t="n"/>
      <c r="P61" s="38" t="n"/>
      <c r="Q61" s="62" t="n"/>
      <c r="R61" s="38" t="n"/>
      <c r="S61" s="62" t="n"/>
      <c r="T61" s="38" t="n"/>
      <c r="U61" s="62" t="n"/>
      <c r="V61" s="38" t="n"/>
      <c r="W61" s="62" t="n"/>
      <c r="X61" s="38" t="n"/>
      <c r="Y61" s="62" t="n"/>
      <c r="Z61" s="38" t="n"/>
      <c r="AA61" s="62" t="n"/>
      <c r="AB61" s="38" t="n"/>
      <c r="AC61" s="62" t="n"/>
      <c r="AD61" s="38" t="n"/>
      <c r="AE61" s="38" t="n"/>
      <c r="AF61" s="61">
        <f>IF(COUNTIF($B$5:B61,B61)=1,1,0)</f>
        <v/>
      </c>
      <c r="AG61" s="62" t="inlineStr">
        <is>
          <t>https://www.eltiempo.com/politica/abelardo-de-la-espriella/presidente-abelardo-de-la-espriella-y-su-contundente-frase-tras-la-muerte-de-bendito-menor-este-miserable-ahora-esta-a-buen-recaudo-del-infierno-3583557</t>
        </is>
      </c>
    </row>
    <row r="62" ht="15" customHeight="1" s="31">
      <c r="A62" s="38" t="inlineStr">
        <is>
          <t>ART_008</t>
        </is>
      </c>
      <c r="B62" s="38" t="inlineStr">
        <is>
          <t>ART_008_S01</t>
        </is>
      </c>
      <c r="C62" s="38" t="inlineStr">
        <is>
          <t>El Tiempo</t>
        </is>
      </c>
      <c r="D62" s="38" t="inlineStr">
        <is>
          <t>Seguridad y orden público</t>
        </is>
      </c>
      <c r="E62" s="38" t="inlineStr">
        <is>
          <t>Noticia dura</t>
        </is>
      </c>
      <c r="F62" s="38" t="inlineStr">
        <is>
          <t>2026-09-04T07:42:18-05:00</t>
        </is>
      </c>
      <c r="G62" s="62" t="inlineStr">
        <is>
          <t>Camilo González Posso presenció por dentro y por fuera los tropiezos de la 'paz total'.</t>
        </is>
      </c>
      <c r="H62" s="62" t="n"/>
      <c r="I62"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J62" s="38" t="n"/>
      <c r="K62" s="62" t="n"/>
      <c r="L62" s="38" t="n"/>
      <c r="M62" s="62" t="n"/>
      <c r="N62" s="38" t="n"/>
      <c r="O62" s="62" t="n"/>
      <c r="P62" s="38" t="n"/>
      <c r="Q62" s="62" t="n"/>
      <c r="R62" s="38" t="n"/>
      <c r="S62" s="62" t="n"/>
      <c r="T62" s="38" t="n"/>
      <c r="U62" s="62" t="n"/>
      <c r="V62" s="38" t="n"/>
      <c r="W62" s="62" t="n"/>
      <c r="X62" s="38" t="n"/>
      <c r="Y62" s="62" t="n"/>
      <c r="Z62" s="38" t="n"/>
      <c r="AA62" s="62" t="n"/>
      <c r="AB62" s="38" t="n"/>
      <c r="AC62" s="62" t="n"/>
      <c r="AD62" s="38" t="n"/>
      <c r="AE62" s="38" t="n"/>
      <c r="AF62" s="61">
        <f>IF(COUNTIF($B$5:B62,B62)=1,1,0)</f>
        <v/>
      </c>
      <c r="AG62" s="62" t="inlineStr">
        <is>
          <t>https://www.eltiempo.com/politica/proceso-de-paz/calarca-priorizo-la-guerra-con-mordisco-a-cualquier-posibilidad-de-paz-tropezamos-con-nuestras-propias-ilusiones-camilo-gonzalez-posso-3583506</t>
        </is>
      </c>
    </row>
    <row r="63" ht="15" customHeight="1" s="31">
      <c r="A63" s="38" t="inlineStr">
        <is>
          <t>ART_008</t>
        </is>
      </c>
      <c r="B63" s="38" t="inlineStr">
        <is>
          <t>ART_008_S02</t>
        </is>
      </c>
      <c r="C63" s="38" t="inlineStr">
        <is>
          <t>El Tiempo</t>
        </is>
      </c>
      <c r="D63" s="38" t="inlineStr">
        <is>
          <t>Seguridad y orden público</t>
        </is>
      </c>
      <c r="E63" s="38" t="inlineStr">
        <is>
          <t>Noticia dura</t>
        </is>
      </c>
      <c r="F63" s="38" t="inlineStr">
        <is>
          <t>2026-09-04T07:42:18-05:00</t>
        </is>
      </c>
      <c r="G63"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H63" s="62" t="inlineStr">
        <is>
          <t>Camilo González Posso presenció por dentro y por fuera los tropiezos de la 'paz total'.</t>
        </is>
      </c>
      <c r="I63" s="62" t="inlineStr">
        <is>
          <t>Bajo su coordinación se lograron acuerdos como el cese bilateral del fuego -que se extendió por 18 meses-, la instalación formal de la mesa y una agenda enfocada en las transformaciones territoriales.</t>
        </is>
      </c>
      <c r="J63" s="38" t="n"/>
      <c r="K63" s="62" t="n"/>
      <c r="L63" s="38" t="n"/>
      <c r="M63" s="62" t="n"/>
      <c r="N63" s="38" t="n"/>
      <c r="O63" s="62" t="n"/>
      <c r="P63" s="38" t="n"/>
      <c r="Q63" s="62" t="n"/>
      <c r="R63" s="38" t="n"/>
      <c r="S63" s="62" t="n"/>
      <c r="T63" s="38" t="n"/>
      <c r="U63" s="62" t="n"/>
      <c r="V63" s="38" t="n"/>
      <c r="W63" s="62" t="n"/>
      <c r="X63" s="38" t="n"/>
      <c r="Y63" s="62" t="n"/>
      <c r="Z63" s="38" t="n"/>
      <c r="AA63" s="62" t="n"/>
      <c r="AB63" s="38" t="n"/>
      <c r="AC63" s="62" t="n"/>
      <c r="AD63" s="38" t="n"/>
      <c r="AE63" s="38" t="n"/>
      <c r="AF63" s="61">
        <f>IF(COUNTIF($B$5:B63,B63)=1,1,0)</f>
        <v/>
      </c>
      <c r="AG63" s="62" t="inlineStr">
        <is>
          <t>https://www.eltiempo.com/politica/proceso-de-paz/calarca-priorizo-la-guerra-con-mordisco-a-cualquier-posibilidad-de-paz-tropezamos-con-nuestras-propias-ilusiones-camilo-gonzalez-posso-3583506</t>
        </is>
      </c>
    </row>
    <row r="64" ht="15" customHeight="1" s="31">
      <c r="A64" s="38" t="inlineStr">
        <is>
          <t>ART_008</t>
        </is>
      </c>
      <c r="B64" s="38" t="inlineStr">
        <is>
          <t>ART_008_S03</t>
        </is>
      </c>
      <c r="C64" s="38" t="inlineStr">
        <is>
          <t>El Tiempo</t>
        </is>
      </c>
      <c r="D64" s="38" t="inlineStr">
        <is>
          <t>Seguridad y orden público</t>
        </is>
      </c>
      <c r="E64" s="38" t="inlineStr">
        <is>
          <t>Noticia dura</t>
        </is>
      </c>
      <c r="F64" s="38" t="inlineStr">
        <is>
          <t>2026-09-04T07:42:18-05:00</t>
        </is>
      </c>
      <c r="G64" s="62" t="inlineStr">
        <is>
          <t>Bajo su coordinación se lograron acuerdos como el cese bilateral del fuego -que se extendió por 18 meses-, la instalación formal de la mesa y una agenda enfocada en las transformaciones territoriales.</t>
        </is>
      </c>
      <c r="H64" s="62" t="inlineStr">
        <is>
          <t>A mediados de 2023, el entonces gobierno de Gustavo Petro lo nombró negociador ante las disidencias de las Farc que se encontraban agrupadas bajo el nombre del Estado Mayor Central y, posteriormente, cuando esta estructura se dividió, continuó al frente de las conversaciones con el Estado Mayor de Bloques y Frentes, bajo el mando de ‘Calarcá’, hasta que renunció en junio de 2025.</t>
        </is>
      </c>
      <c r="I64" s="62" t="inlineStr">
        <is>
          <t>También fue testigo de la fragmentación interna de las disidencias, ocurrida después de la ofensiva armada en la que fue asesinada la lideresa indígena Carmelita Yule Paví.</t>
        </is>
      </c>
      <c r="J64" s="38" t="n"/>
      <c r="K64" s="62" t="n"/>
      <c r="L64" s="38" t="n"/>
      <c r="M64" s="62" t="n"/>
      <c r="N64" s="38" t="n"/>
      <c r="O64" s="62" t="n"/>
      <c r="P64" s="38" t="n"/>
      <c r="Q64" s="62" t="n"/>
      <c r="R64" s="38" t="n"/>
      <c r="S64" s="62" t="n"/>
      <c r="T64" s="38" t="n"/>
      <c r="U64" s="62" t="n"/>
      <c r="V64" s="38" t="n"/>
      <c r="W64" s="62" t="n"/>
      <c r="X64" s="38" t="n"/>
      <c r="Y64" s="62" t="n"/>
      <c r="Z64" s="38" t="n"/>
      <c r="AA64" s="62" t="n"/>
      <c r="AB64" s="38" t="n"/>
      <c r="AC64" s="62" t="n"/>
      <c r="AD64" s="38" t="n"/>
      <c r="AE64" s="38" t="n"/>
      <c r="AF64" s="61">
        <f>IF(COUNTIF($B$5:B64,B64)=1,1,0)</f>
        <v/>
      </c>
      <c r="AG64" s="62" t="inlineStr">
        <is>
          <t>https://www.eltiempo.com/politica/proceso-de-paz/calarca-priorizo-la-guerra-con-mordisco-a-cualquier-posibilidad-de-paz-tropezamos-con-nuestras-propias-ilusiones-camilo-gonzalez-posso-3583506</t>
        </is>
      </c>
    </row>
    <row r="65" ht="15" customHeight="1" s="31">
      <c r="A65" s="38" t="inlineStr">
        <is>
          <t>ART_008</t>
        </is>
      </c>
      <c r="B65" s="38" t="inlineStr">
        <is>
          <t>ART_008_S04</t>
        </is>
      </c>
      <c r="C65" s="38" t="inlineStr">
        <is>
          <t>El Tiempo</t>
        </is>
      </c>
      <c r="D65" s="38" t="inlineStr">
        <is>
          <t>Seguridad y orden público</t>
        </is>
      </c>
      <c r="E65" s="38" t="inlineStr">
        <is>
          <t>Noticia dura</t>
        </is>
      </c>
      <c r="F65" s="38" t="inlineStr">
        <is>
          <t>2026-09-04T07:42:18-05:00</t>
        </is>
      </c>
      <c r="G65" s="62" t="inlineStr">
        <is>
          <t>También fue testigo de la fragmentación interna de las disidencias, ocurrida después de la ofensiva armada en la que fue asesinada la lideresa indígena Carmelita Yule Paví.</t>
        </is>
      </c>
      <c r="H65" s="62" t="inlineStr">
        <is>
          <t>Bajo su coordinación se lograron acuerdos como el cese bilateral del fuego -que se extendió por 18 meses-, la instalación formal de la mesa y una agenda enfocada en las transformaciones territoriales.</t>
        </is>
      </c>
      <c r="I65" s="62" t="inlineStr">
        <is>
          <t>Luego de renunciar, tras señalar que su salida obedeció a un cambio en las condiciones de la negociación, regresó a la dirección del Instituto de Estudios para el Desarrollo y la Paz (Indepaz).</t>
        </is>
      </c>
      <c r="J65" s="38" t="n"/>
      <c r="K65" s="62" t="n"/>
      <c r="L65" s="38" t="n"/>
      <c r="M65" s="62" t="n"/>
      <c r="N65" s="38" t="n"/>
      <c r="O65" s="62" t="n"/>
      <c r="P65" s="38" t="n"/>
      <c r="Q65" s="62" t="n"/>
      <c r="R65" s="38" t="n"/>
      <c r="S65" s="62" t="n"/>
      <c r="T65" s="38" t="n"/>
      <c r="U65" s="62" t="n"/>
      <c r="V65" s="38" t="n"/>
      <c r="W65" s="62" t="n"/>
      <c r="X65" s="38" t="n"/>
      <c r="Y65" s="62" t="n"/>
      <c r="Z65" s="38" t="n"/>
      <c r="AA65" s="62" t="n"/>
      <c r="AB65" s="38" t="n"/>
      <c r="AC65" s="62" t="n"/>
      <c r="AD65" s="38" t="n"/>
      <c r="AE65" s="38" t="n"/>
      <c r="AF65" s="61">
        <f>IF(COUNTIF($B$5:B65,B65)=1,1,0)</f>
        <v/>
      </c>
      <c r="AG65" s="62" t="inlineStr">
        <is>
          <t>https://www.eltiempo.com/politica/proceso-de-paz/calarca-priorizo-la-guerra-con-mordisco-a-cualquier-posibilidad-de-paz-tropezamos-con-nuestras-propias-ilusiones-camilo-gonzalez-posso-3583506</t>
        </is>
      </c>
    </row>
    <row r="66" ht="15" customHeight="1" s="31">
      <c r="A66" s="38" t="inlineStr">
        <is>
          <t>ART_008</t>
        </is>
      </c>
      <c r="B66" s="38" t="inlineStr">
        <is>
          <t>ART_008_S05</t>
        </is>
      </c>
      <c r="C66" s="38" t="inlineStr">
        <is>
          <t>El Tiempo</t>
        </is>
      </c>
      <c r="D66" s="38" t="inlineStr">
        <is>
          <t>Seguridad y orden público</t>
        </is>
      </c>
      <c r="E66" s="38" t="inlineStr">
        <is>
          <t>Noticia dura</t>
        </is>
      </c>
      <c r="F66" s="38" t="inlineStr">
        <is>
          <t>2026-09-04T07:42:18-05:00</t>
        </is>
      </c>
      <c r="G66" s="62" t="inlineStr">
        <is>
          <t>Luego de renunciar, tras señalar que su salida obedeció a un cambio en las condiciones de la negociación, regresó a la dirección del Instituto de Estudios para el Desarrollo y la Paz (Indepaz).</t>
        </is>
      </c>
      <c r="H66" s="62" t="inlineStr">
        <is>
          <t>También fue testigo de la fragmentación interna de las disidencias, ocurrida después de la ofensiva armada en la que fue asesinada la lideresa indígena Carmelita Yule Paví.</t>
        </is>
      </c>
      <c r="I66" s="62" t="inlineStr">
        <is>
          <t>En diálogo con EL TIEMPO, el exnegociador del Gobierno analizó los fallos de la política de paz de la anterior administración y el desmonte que de esta adelanta hoy el presidente Abelardo De La Espriella.</t>
        </is>
      </c>
      <c r="J66" s="38" t="n"/>
      <c r="K66" s="62" t="n"/>
      <c r="L66" s="38" t="n"/>
      <c r="M66" s="62" t="n"/>
      <c r="N66" s="38" t="n"/>
      <c r="O66" s="62" t="n"/>
      <c r="P66" s="38" t="n"/>
      <c r="Q66" s="62" t="n"/>
      <c r="R66" s="38" t="n"/>
      <c r="S66" s="62" t="n"/>
      <c r="T66" s="38" t="n"/>
      <c r="U66" s="62" t="n"/>
      <c r="V66" s="38" t="n"/>
      <c r="W66" s="62" t="n"/>
      <c r="X66" s="38" t="n"/>
      <c r="Y66" s="62" t="n"/>
      <c r="Z66" s="38" t="n"/>
      <c r="AA66" s="62" t="n"/>
      <c r="AB66" s="38" t="n"/>
      <c r="AC66" s="62" t="n"/>
      <c r="AD66" s="38" t="n"/>
      <c r="AE66" s="38" t="n"/>
      <c r="AF66" s="61">
        <f>IF(COUNTIF($B$5:B66,B66)=1,1,0)</f>
        <v/>
      </c>
      <c r="AG66" s="62" t="inlineStr">
        <is>
          <t>https://www.eltiempo.com/politica/proceso-de-paz/calarca-priorizo-la-guerra-con-mordisco-a-cualquier-posibilidad-de-paz-tropezamos-con-nuestras-propias-ilusiones-camilo-gonzalez-posso-3583506</t>
        </is>
      </c>
    </row>
    <row r="67" ht="15" customHeight="1" s="31">
      <c r="A67" s="38" t="inlineStr">
        <is>
          <t>ART_008</t>
        </is>
      </c>
      <c r="B67" s="38" t="inlineStr">
        <is>
          <t>ART_008_S06</t>
        </is>
      </c>
      <c r="C67" s="38" t="inlineStr">
        <is>
          <t>El Tiempo</t>
        </is>
      </c>
      <c r="D67" s="38" t="inlineStr">
        <is>
          <t>Seguridad y orden público</t>
        </is>
      </c>
      <c r="E67" s="38" t="inlineStr">
        <is>
          <t>Noticia dura</t>
        </is>
      </c>
      <c r="F67" s="38" t="inlineStr">
        <is>
          <t>2026-09-04T07:42:18-05:00</t>
        </is>
      </c>
      <c r="G67" s="62" t="inlineStr">
        <is>
          <t>En diálogo con EL TIEMPO, el exnegociador del Gobierno analizó los fallos de la política de paz de la anterior administración y el desmonte que de esta adelanta hoy el presidente Abelardo De La Espriella.</t>
        </is>
      </c>
      <c r="H67" s="62" t="inlineStr">
        <is>
          <t>Luego de renunciar, tras señalar que su salida obedeció a un cambio en las condiciones de la negociación, regresó a la dirección del Instituto de Estudios para el Desarrollo y la Paz (Indepaz).</t>
        </is>
      </c>
      <c r="I67" s="62" t="inlineStr">
        <is>
          <t>Hay logros y hay otras situaciones.</t>
        </is>
      </c>
      <c r="J67" s="38" t="n"/>
      <c r="K67" s="62" t="n"/>
      <c r="L67" s="38" t="n"/>
      <c r="M67" s="62" t="n"/>
      <c r="N67" s="38" t="n"/>
      <c r="O67" s="62" t="n"/>
      <c r="P67" s="38" t="n"/>
      <c r="Q67" s="62" t="n"/>
      <c r="R67" s="38" t="n"/>
      <c r="S67" s="62" t="n"/>
      <c r="T67" s="38" t="n"/>
      <c r="U67" s="62" t="n"/>
      <c r="V67" s="38" t="n"/>
      <c r="W67" s="62" t="n"/>
      <c r="X67" s="38" t="n"/>
      <c r="Y67" s="62" t="n"/>
      <c r="Z67" s="38" t="n"/>
      <c r="AA67" s="62" t="n"/>
      <c r="AB67" s="38" t="n"/>
      <c r="AC67" s="62" t="n"/>
      <c r="AD67" s="38" t="n"/>
      <c r="AE67" s="38" t="n"/>
      <c r="AF67" s="61">
        <f>IF(COUNTIF($B$5:B67,B67)=1,1,0)</f>
        <v/>
      </c>
      <c r="AG67" s="62" t="inlineStr">
        <is>
          <t>https://www.eltiempo.com/politica/proceso-de-paz/calarca-priorizo-la-guerra-con-mordisco-a-cualquier-posibilidad-de-paz-tropezamos-con-nuestras-propias-ilusiones-camilo-gonzalez-posso-3583506</t>
        </is>
      </c>
    </row>
    <row r="68" ht="15" customHeight="1" s="31">
      <c r="A68" s="38" t="inlineStr">
        <is>
          <t>ART_008</t>
        </is>
      </c>
      <c r="B68" s="38" t="inlineStr">
        <is>
          <t>ART_008_S07</t>
        </is>
      </c>
      <c r="C68" s="38" t="inlineStr">
        <is>
          <t>El Tiempo</t>
        </is>
      </c>
      <c r="D68" s="38" t="inlineStr">
        <is>
          <t>Seguridad y orden público</t>
        </is>
      </c>
      <c r="E68" s="38" t="inlineStr">
        <is>
          <t>Noticia dura</t>
        </is>
      </c>
      <c r="F68" s="38" t="inlineStr">
        <is>
          <t>2026-09-04T07:42:18-05:00</t>
        </is>
      </c>
      <c r="G68" s="62" t="inlineStr">
        <is>
          <t>Hay logros y hay otras situaciones.</t>
        </is>
      </c>
      <c r="H68" s="62" t="inlineStr">
        <is>
          <t>En diálogo con EL TIEMPO, el exnegociador del Gobierno analizó los fallos de la política de paz de la anterior administración y el desmonte que de esta adelanta hoy el presidente Abelardo De La Espriella.</t>
        </is>
      </c>
      <c r="I68" s="62" t="inlineStr">
        <is>
          <t>La mayor frustración es que no se logró culminar ningún proceso para la terminación de estos grupos armados, que era una meta visible.</t>
        </is>
      </c>
      <c r="J68" s="38" t="n"/>
      <c r="K68" s="62" t="n"/>
      <c r="L68" s="38" t="n"/>
      <c r="M68" s="62" t="n"/>
      <c r="N68" s="38" t="n"/>
      <c r="O68" s="62" t="n"/>
      <c r="P68" s="38" t="n"/>
      <c r="Q68" s="62" t="n"/>
      <c r="R68" s="38" t="n"/>
      <c r="S68" s="62" t="n"/>
      <c r="T68" s="38" t="n"/>
      <c r="U68" s="62" t="n"/>
      <c r="V68" s="38" t="n"/>
      <c r="W68" s="62" t="n"/>
      <c r="X68" s="38" t="n"/>
      <c r="Y68" s="62" t="n"/>
      <c r="Z68" s="38" t="n"/>
      <c r="AA68" s="62" t="n"/>
      <c r="AB68" s="38" t="n"/>
      <c r="AC68" s="62" t="n"/>
      <c r="AD68" s="38" t="n"/>
      <c r="AE68" s="38" t="n"/>
      <c r="AF68" s="61">
        <f>IF(COUNTIF($B$5:B68,B68)=1,1,0)</f>
        <v/>
      </c>
      <c r="AG68" s="62" t="inlineStr">
        <is>
          <t>https://www.eltiempo.com/politica/proceso-de-paz/calarca-priorizo-la-guerra-con-mordisco-a-cualquier-posibilidad-de-paz-tropezamos-con-nuestras-propias-ilusiones-camilo-gonzalez-posso-3583506</t>
        </is>
      </c>
    </row>
    <row r="69" ht="15" customHeight="1" s="31">
      <c r="A69" s="38" t="inlineStr">
        <is>
          <t>ART_008</t>
        </is>
      </c>
      <c r="B69" s="38" t="inlineStr">
        <is>
          <t>ART_008_S08</t>
        </is>
      </c>
      <c r="C69" s="38" t="inlineStr">
        <is>
          <t>El Tiempo</t>
        </is>
      </c>
      <c r="D69" s="38" t="inlineStr">
        <is>
          <t>Seguridad y orden público</t>
        </is>
      </c>
      <c r="E69" s="38" t="inlineStr">
        <is>
          <t>Noticia dura</t>
        </is>
      </c>
      <c r="F69" s="38" t="inlineStr">
        <is>
          <t>2026-09-04T07:42:18-05:00</t>
        </is>
      </c>
      <c r="G69" s="62" t="inlineStr">
        <is>
          <t>La mayor frustración es que no se logró culminar ningún proceso para la terminación de estos grupos armados, que era una meta visible.</t>
        </is>
      </c>
      <c r="H69" s="62" t="inlineStr">
        <is>
          <t>Hay logros y hay otras situaciones.</t>
        </is>
      </c>
      <c r="I69" s="62" t="inlineStr">
        <is>
          <t>Es el símbolo de que las cosas tuvieron un trayecto accidentado.</t>
        </is>
      </c>
      <c r="J69" s="38" t="n"/>
      <c r="K69" s="62" t="n"/>
      <c r="L69" s="38" t="n"/>
      <c r="M69" s="62" t="n"/>
      <c r="N69" s="38" t="n"/>
      <c r="O69" s="62" t="n"/>
      <c r="P69" s="38" t="n"/>
      <c r="Q69" s="62" t="n"/>
      <c r="R69" s="38" t="n"/>
      <c r="S69" s="62" t="n"/>
      <c r="T69" s="38" t="n"/>
      <c r="U69" s="62" t="n"/>
      <c r="V69" s="38" t="n"/>
      <c r="W69" s="62" t="n"/>
      <c r="X69" s="38" t="n"/>
      <c r="Y69" s="62" t="n"/>
      <c r="Z69" s="38" t="n"/>
      <c r="AA69" s="62" t="n"/>
      <c r="AB69" s="38" t="n"/>
      <c r="AC69" s="62" t="n"/>
      <c r="AD69" s="38" t="n"/>
      <c r="AE69" s="38" t="n"/>
      <c r="AF69" s="61">
        <f>IF(COUNTIF($B$5:B69,B69)=1,1,0)</f>
        <v/>
      </c>
      <c r="AG69" s="62" t="inlineStr">
        <is>
          <t>https://www.eltiempo.com/politica/proceso-de-paz/calarca-priorizo-la-guerra-con-mordisco-a-cualquier-posibilidad-de-paz-tropezamos-con-nuestras-propias-ilusiones-camilo-gonzalez-posso-3583506</t>
        </is>
      </c>
    </row>
    <row r="70" ht="15" customHeight="1" s="31">
      <c r="A70" s="38" t="inlineStr">
        <is>
          <t>ART_008</t>
        </is>
      </c>
      <c r="B70" s="38" t="inlineStr">
        <is>
          <t>ART_008_S09</t>
        </is>
      </c>
      <c r="C70" s="38" t="inlineStr">
        <is>
          <t>El Tiempo</t>
        </is>
      </c>
      <c r="D70" s="38" t="inlineStr">
        <is>
          <t>Seguridad y orden público</t>
        </is>
      </c>
      <c r="E70" s="38" t="inlineStr">
        <is>
          <t>Noticia dura</t>
        </is>
      </c>
      <c r="F70" s="38" t="inlineStr">
        <is>
          <t>2026-09-04T07:42:18-05:00</t>
        </is>
      </c>
      <c r="G70" s="62" t="inlineStr">
        <is>
          <t>Es el símbolo de que las cosas tuvieron un trayecto accidentado.</t>
        </is>
      </c>
      <c r="H70" s="62" t="inlineStr">
        <is>
          <t>La mayor frustración es que no se logró culminar ningún proceso para la terminación de estos grupos armados, que era una meta visible.</t>
        </is>
      </c>
      <c r="I70" s="62" t="inlineStr">
        <is>
          <t>Ahora, yo creo que el logro más importante tiene que ver con la relación entre la institucionalidad y las comunidades.</t>
        </is>
      </c>
      <c r="J70" s="38" t="n"/>
      <c r="K70" s="62" t="n"/>
      <c r="L70" s="38" t="n"/>
      <c r="M70" s="62" t="n"/>
      <c r="N70" s="38" t="n"/>
      <c r="O70" s="62" t="n"/>
      <c r="P70" s="38" t="n"/>
      <c r="Q70" s="62" t="n"/>
      <c r="R70" s="38" t="n"/>
      <c r="S70" s="62" t="n"/>
      <c r="T70" s="38" t="n"/>
      <c r="U70" s="62" t="n"/>
      <c r="V70" s="38" t="n"/>
      <c r="W70" s="62" t="n"/>
      <c r="X70" s="38" t="n"/>
      <c r="Y70" s="62" t="n"/>
      <c r="Z70" s="38" t="n"/>
      <c r="AA70" s="62" t="n"/>
      <c r="AB70" s="38" t="n"/>
      <c r="AC70" s="62" t="n"/>
      <c r="AD70" s="38" t="n"/>
      <c r="AE70" s="38" t="n"/>
      <c r="AF70" s="61">
        <f>IF(COUNTIF($B$5:B70,B70)=1,1,0)</f>
        <v/>
      </c>
      <c r="AG70" s="62" t="inlineStr">
        <is>
          <t>https://www.eltiempo.com/politica/proceso-de-paz/calarca-priorizo-la-guerra-con-mordisco-a-cualquier-posibilidad-de-paz-tropezamos-con-nuestras-propias-ilusiones-camilo-gonzalez-posso-3583506</t>
        </is>
      </c>
    </row>
    <row r="71" ht="15" customHeight="1" s="31">
      <c r="A71" s="38" t="inlineStr">
        <is>
          <t>ART_008</t>
        </is>
      </c>
      <c r="B71" s="38" t="inlineStr">
        <is>
          <t>ART_008_S10</t>
        </is>
      </c>
      <c r="C71" s="38" t="inlineStr">
        <is>
          <t>El Tiempo</t>
        </is>
      </c>
      <c r="D71" s="38" t="inlineStr">
        <is>
          <t>Seguridad y orden público</t>
        </is>
      </c>
      <c r="E71" s="38" t="inlineStr">
        <is>
          <t>Noticia dura</t>
        </is>
      </c>
      <c r="F71" s="38" t="inlineStr">
        <is>
          <t>2026-09-04T07:42:18-05:00</t>
        </is>
      </c>
      <c r="G71" s="62" t="inlineStr">
        <is>
          <t>Ahora, yo creo que el logro más importante tiene que ver con la relación entre la institucionalidad y las comunidades.</t>
        </is>
      </c>
      <c r="H71" s="62" t="inlineStr">
        <is>
          <t>Es el símbolo de que las cosas tuvieron un trayecto accidentado.</t>
        </is>
      </c>
      <c r="I71" s="62" t="inlineStr">
        <is>
          <t>Es decir, la relación entre el estado y la sociedad en esas zonas de conflictos tan crónicos.</t>
        </is>
      </c>
      <c r="J71" s="38" t="n"/>
      <c r="K71" s="62" t="n"/>
      <c r="L71" s="38" t="n"/>
      <c r="M71" s="62" t="n"/>
      <c r="N71" s="38" t="n"/>
      <c r="O71" s="62" t="n"/>
      <c r="P71" s="38" t="n"/>
      <c r="Q71" s="62" t="n"/>
      <c r="R71" s="38" t="n"/>
      <c r="S71" s="62" t="n"/>
      <c r="T71" s="38" t="n"/>
      <c r="U71" s="62" t="n"/>
      <c r="V71" s="38" t="n"/>
      <c r="W71" s="62" t="n"/>
      <c r="X71" s="38" t="n"/>
      <c r="Y71" s="62" t="n"/>
      <c r="Z71" s="38" t="n"/>
      <c r="AA71" s="62" t="n"/>
      <c r="AB71" s="38" t="n"/>
      <c r="AC71" s="62" t="n"/>
      <c r="AD71" s="38" t="n"/>
      <c r="AE71" s="38" t="n"/>
      <c r="AF71" s="61">
        <f>IF(COUNTIF($B$5:B71,B71)=1,1,0)</f>
        <v/>
      </c>
      <c r="AG71" s="62" t="inlineStr">
        <is>
          <t>https://www.eltiempo.com/politica/proceso-de-paz/calarca-priorizo-la-guerra-con-mordisco-a-cualquier-posibilidad-de-paz-tropezamos-con-nuestras-propias-ilusiones-camilo-gonzalez-posso-3583506</t>
        </is>
      </c>
    </row>
    <row r="72" ht="15" customHeight="1" s="31">
      <c r="A72" s="38" t="inlineStr">
        <is>
          <t>ART_008</t>
        </is>
      </c>
      <c r="B72" s="38" t="inlineStr">
        <is>
          <t>ART_008_S11</t>
        </is>
      </c>
      <c r="C72" s="38" t="inlineStr">
        <is>
          <t>El Tiempo</t>
        </is>
      </c>
      <c r="D72" s="38" t="inlineStr">
        <is>
          <t>Seguridad y orden público</t>
        </is>
      </c>
      <c r="E72" s="38" t="inlineStr">
        <is>
          <t>Noticia dura</t>
        </is>
      </c>
      <c r="F72" s="38" t="inlineStr">
        <is>
          <t>2026-09-04T07:42:18-05:00</t>
        </is>
      </c>
      <c r="G72" s="62" t="inlineStr">
        <is>
          <t>Es decir, la relación entre el estado y la sociedad en esas zonas de conflictos tan crónicos.</t>
        </is>
      </c>
      <c r="H72" s="62" t="inlineStr">
        <is>
          <t>Ahora, yo creo que el logro más importante tiene que ver con la relación entre la institucionalidad y las comunidades.</t>
        </is>
      </c>
      <c r="I72" s="62" t="inlineStr">
        <is>
          <t>Ahí lo que se mostró fue un avance extraordinario en la manifestación de las comunidades en rechazar la violencia e ir a hacia una superación de la presencia de violencias armadas.</t>
        </is>
      </c>
      <c r="J72" s="38" t="n"/>
      <c r="K72" s="62" t="n"/>
      <c r="L72" s="38" t="n"/>
      <c r="M72" s="62" t="n"/>
      <c r="N72" s="38" t="n"/>
      <c r="O72" s="62" t="n"/>
      <c r="P72" s="38" t="n"/>
      <c r="Q72" s="62" t="n"/>
      <c r="R72" s="38" t="n"/>
      <c r="S72" s="62" t="n"/>
      <c r="T72" s="38" t="n"/>
      <c r="U72" s="62" t="n"/>
      <c r="V72" s="38" t="n"/>
      <c r="W72" s="62" t="n"/>
      <c r="X72" s="38" t="n"/>
      <c r="Y72" s="62" t="n"/>
      <c r="Z72" s="38" t="n"/>
      <c r="AA72" s="62" t="n"/>
      <c r="AB72" s="38" t="n"/>
      <c r="AC72" s="62" t="n"/>
      <c r="AD72" s="38" t="n"/>
      <c r="AE72" s="38" t="n"/>
      <c r="AF72" s="61">
        <f>IF(COUNTIF($B$5:B72,B72)=1,1,0)</f>
        <v/>
      </c>
      <c r="AG72" s="62" t="inlineStr">
        <is>
          <t>https://www.eltiempo.com/politica/proceso-de-paz/calarca-priorizo-la-guerra-con-mordisco-a-cualquier-posibilidad-de-paz-tropezamos-con-nuestras-propias-ilusiones-camilo-gonzalez-posso-3583506</t>
        </is>
      </c>
    </row>
    <row r="73" ht="15" customHeight="1" s="31">
      <c r="A73" s="38" t="inlineStr">
        <is>
          <t>ART_008</t>
        </is>
      </c>
      <c r="B73" s="38" t="inlineStr">
        <is>
          <t>ART_008_S12</t>
        </is>
      </c>
      <c r="C73" s="38" t="inlineStr">
        <is>
          <t>El Tiempo</t>
        </is>
      </c>
      <c r="D73" s="38" t="inlineStr">
        <is>
          <t>Seguridad y orden público</t>
        </is>
      </c>
      <c r="E73" s="38" t="inlineStr">
        <is>
          <t>Noticia dura</t>
        </is>
      </c>
      <c r="F73" s="38" t="inlineStr">
        <is>
          <t>2026-09-04T07:42:18-05:00</t>
        </is>
      </c>
      <c r="G73" s="62" t="inlineStr">
        <is>
          <t>Ahí lo que se mostró fue un avance extraordinario en la manifestación de las comunidades en rechazar la violencia e ir a hacia una superación de la presencia de violencias armadas.</t>
        </is>
      </c>
      <c r="H73" s="62" t="inlineStr">
        <is>
          <t>Es decir, la relación entre el estado y la sociedad en esas zonas de conflictos tan crónicos.</t>
        </is>
      </c>
      <c r="I73" s="62" t="n"/>
      <c r="J73" s="38" t="n"/>
      <c r="K73" s="62" t="n"/>
      <c r="L73" s="38" t="n"/>
      <c r="M73" s="62" t="n"/>
      <c r="N73" s="38" t="n"/>
      <c r="O73" s="62" t="n"/>
      <c r="P73" s="38" t="n"/>
      <c r="Q73" s="62" t="n"/>
      <c r="R73" s="38" t="n"/>
      <c r="S73" s="62" t="n"/>
      <c r="T73" s="38" t="n"/>
      <c r="U73" s="62" t="n"/>
      <c r="V73" s="38" t="n"/>
      <c r="W73" s="62" t="n"/>
      <c r="X73" s="38" t="n"/>
      <c r="Y73" s="62" t="n"/>
      <c r="Z73" s="38" t="n"/>
      <c r="AA73" s="62" t="n"/>
      <c r="AB73" s="38" t="n"/>
      <c r="AC73" s="62" t="n"/>
      <c r="AD73" s="38" t="n"/>
      <c r="AE73" s="38" t="n"/>
      <c r="AF73" s="61">
        <f>IF(COUNTIF($B$5:B73,B73)=1,1,0)</f>
        <v/>
      </c>
      <c r="AG73" s="62" t="inlineStr">
        <is>
          <t>https://www.eltiempo.com/politica/proceso-de-paz/calarca-priorizo-la-guerra-con-mordisco-a-cualquier-posibilidad-de-paz-tropezamos-con-nuestras-propias-ilusiones-camilo-gonzalez-posso-3583506</t>
        </is>
      </c>
    </row>
    <row r="74" ht="15" customHeight="1" s="31">
      <c r="A74" s="38" t="inlineStr">
        <is>
          <t>ART_009</t>
        </is>
      </c>
      <c r="B74" s="38" t="inlineStr">
        <is>
          <t>ART_009_S01</t>
        </is>
      </c>
      <c r="C74" s="38" t="inlineStr">
        <is>
          <t>El Tiempo</t>
        </is>
      </c>
      <c r="D74" s="38" t="inlineStr">
        <is>
          <t>Relación con Estados Unidos</t>
        </is>
      </c>
      <c r="E74" s="38" t="inlineStr">
        <is>
          <t>Noticia dura</t>
        </is>
      </c>
      <c r="F74" s="38" t="inlineStr">
        <is>
          <t>2026-09-04T07:46:26-05:00</t>
        </is>
      </c>
      <c r="G74" s="62" t="inlineStr">
        <is>
          <t>Washington y Nueva York serán los dos escenarios que marcarán el ritmo de la política exterior del gobierno de Abelardo De La Espriella.</t>
        </is>
      </c>
      <c r="H74" s="62" t="n"/>
      <c r="I74"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J74" s="38" t="n"/>
      <c r="K74" s="62" t="n"/>
      <c r="L74" s="38" t="n"/>
      <c r="M74" s="62" t="n"/>
      <c r="N74" s="38" t="n"/>
      <c r="O74" s="62" t="n"/>
      <c r="P74" s="38" t="n"/>
      <c r="Q74" s="62" t="n"/>
      <c r="R74" s="38" t="n"/>
      <c r="S74" s="62" t="n"/>
      <c r="T74" s="38" t="n"/>
      <c r="U74" s="62" t="n"/>
      <c r="V74" s="38" t="n"/>
      <c r="W74" s="62" t="n"/>
      <c r="X74" s="38" t="n"/>
      <c r="Y74" s="62" t="n"/>
      <c r="Z74" s="38" t="n"/>
      <c r="AA74" s="62" t="n"/>
      <c r="AB74" s="38" t="n"/>
      <c r="AC74" s="62" t="n"/>
      <c r="AD74" s="38" t="n"/>
      <c r="AE74" s="38" t="n"/>
      <c r="AF74" s="61">
        <f>IF(COUNTIF($B$5:B74,B74)=1,1,0)</f>
        <v/>
      </c>
      <c r="AG74" s="62" t="inlineStr">
        <is>
          <t>https://www.eltiempo.com/politica/gobierno/embajadores-ante-ee-uu-y-naciones-unidas-se-preparan-para-asumir-los-destinos-clave-para-la-diplomacia-del-presidente-abelardo-de-la-espriella-3583494</t>
        </is>
      </c>
    </row>
    <row r="75" ht="15" customHeight="1" s="31">
      <c r="A75" s="38" t="inlineStr">
        <is>
          <t>ART_009</t>
        </is>
      </c>
      <c r="B75" s="38" t="inlineStr">
        <is>
          <t>ART_009_S02</t>
        </is>
      </c>
      <c r="C75" s="38" t="inlineStr">
        <is>
          <t>El Tiempo</t>
        </is>
      </c>
      <c r="D75" s="38" t="inlineStr">
        <is>
          <t>Relación con Estados Unidos</t>
        </is>
      </c>
      <c r="E75" s="38" t="inlineStr">
        <is>
          <t>Noticia dura</t>
        </is>
      </c>
      <c r="F75" s="38" t="inlineStr">
        <is>
          <t>2026-09-04T07:46:26-05:00</t>
        </is>
      </c>
      <c r="G75"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H75" s="62" t="inlineStr">
        <is>
          <t>Washington y Nueva York serán los dos escenarios que marcarán el ritmo de la política exterior del gobierno de Abelardo De La Espriella.</t>
        </is>
      </c>
      <c r="I75" s="62" t="inlineStr">
        <is>
          <t>Sobre la mesa están, además, dos eventos que marcarán el inicio de su gestión: la visita del secretario de Estado de Estados Unidos, Marco Rubio, y la Asamblea General de Naciones Unidas, prevista para finales de septiembre.</t>
        </is>
      </c>
      <c r="J75" s="38" t="n"/>
      <c r="K75" s="62" t="n"/>
      <c r="L75" s="38" t="n"/>
      <c r="M75" s="62" t="n"/>
      <c r="N75" s="38" t="n"/>
      <c r="O75" s="62" t="n"/>
      <c r="P75" s="38" t="n"/>
      <c r="Q75" s="62" t="n"/>
      <c r="R75" s="38" t="n"/>
      <c r="S75" s="62" t="n"/>
      <c r="T75" s="38" t="n"/>
      <c r="U75" s="62" t="n"/>
      <c r="V75" s="38" t="n"/>
      <c r="W75" s="62" t="n"/>
      <c r="X75" s="38" t="n"/>
      <c r="Y75" s="62" t="n"/>
      <c r="Z75" s="38" t="n"/>
      <c r="AA75" s="62" t="n"/>
      <c r="AB75" s="38" t="n"/>
      <c r="AC75" s="62" t="n"/>
      <c r="AD75" s="38" t="n"/>
      <c r="AE75" s="38" t="n"/>
      <c r="AF75" s="61">
        <f>IF(COUNTIF($B$5:B75,B75)=1,1,0)</f>
        <v/>
      </c>
      <c r="AG75" s="62" t="inlineStr">
        <is>
          <t>https://www.eltiempo.com/politica/gobierno/embajadores-ante-ee-uu-y-naciones-unidas-se-preparan-para-asumir-los-destinos-clave-para-la-diplomacia-del-presidente-abelardo-de-la-espriella-3583494</t>
        </is>
      </c>
    </row>
    <row r="76" ht="15" customHeight="1" s="31">
      <c r="A76" s="38" t="inlineStr">
        <is>
          <t>ART_009</t>
        </is>
      </c>
      <c r="B76" s="38" t="inlineStr">
        <is>
          <t>ART_009_S03</t>
        </is>
      </c>
      <c r="C76" s="38" t="inlineStr">
        <is>
          <t>El Tiempo</t>
        </is>
      </c>
      <c r="D76" s="38" t="inlineStr">
        <is>
          <t>Relación con Estados Unidos</t>
        </is>
      </c>
      <c r="E76" s="38" t="inlineStr">
        <is>
          <t>Noticia dura</t>
        </is>
      </c>
      <c r="F76" s="38" t="inlineStr">
        <is>
          <t>2026-09-04T07:46:26-05:00</t>
        </is>
      </c>
      <c r="G76" s="62" t="inlineStr">
        <is>
          <t>Sobre la mesa están, además, dos eventos que marcarán el inicio de su gestión: la visita del secretario de Estado de Estados Unidos, Marco Rubio, y la Asamblea General de Naciones Unidas, prevista para finales de septiembre.</t>
        </is>
      </c>
      <c r="H76" s="62" t="inlineStr">
        <is>
          <t>Por eso, los embajadores designados ante Estados Unidos y Naciones Unidas, María Consuelo Araújo y el jurista Mauricio Gaona, sostuvieron reuniones clave en el Palacio de San Carlos y la Casa de Nariño para afinar la hoja de ruta que seguirán al frente de sus misiones diplomáticas.</t>
        </is>
      </c>
      <c r="I76" s="62" t="inlineStr">
        <is>
          <t>El miércoles se llevó a cabo un cónclave en la sede de la Cancillería, al que asistieron los embajadores designados, el canciller Omar Bula Escobar y el vicepresidente José Manuel Restrepo.</t>
        </is>
      </c>
      <c r="J76" s="38" t="n"/>
      <c r="K76" s="62" t="n"/>
      <c r="L76" s="38" t="n"/>
      <c r="M76" s="62" t="n"/>
      <c r="N76" s="38" t="n"/>
      <c r="O76" s="62" t="n"/>
      <c r="P76" s="38" t="n"/>
      <c r="Q76" s="62" t="n"/>
      <c r="R76" s="38" t="n"/>
      <c r="S76" s="62" t="n"/>
      <c r="T76" s="38" t="n"/>
      <c r="U76" s="62" t="n"/>
      <c r="V76" s="38" t="n"/>
      <c r="W76" s="62" t="n"/>
      <c r="X76" s="38" t="n"/>
      <c r="Y76" s="62" t="n"/>
      <c r="Z76" s="38" t="n"/>
      <c r="AA76" s="62" t="n"/>
      <c r="AB76" s="38" t="n"/>
      <c r="AC76" s="62" t="n"/>
      <c r="AD76" s="38" t="n"/>
      <c r="AE76" s="38" t="n"/>
      <c r="AF76" s="61">
        <f>IF(COUNTIF($B$5:B76,B76)=1,1,0)</f>
        <v/>
      </c>
      <c r="AG76" s="62" t="inlineStr">
        <is>
          <t>https://www.eltiempo.com/politica/gobierno/embajadores-ante-ee-uu-y-naciones-unidas-se-preparan-para-asumir-los-destinos-clave-para-la-diplomacia-del-presidente-abelardo-de-la-espriella-3583494</t>
        </is>
      </c>
    </row>
    <row r="77" ht="15" customHeight="1" s="31">
      <c r="A77" s="38" t="inlineStr">
        <is>
          <t>ART_009</t>
        </is>
      </c>
      <c r="B77" s="38" t="inlineStr">
        <is>
          <t>ART_009_S04</t>
        </is>
      </c>
      <c r="C77" s="38" t="inlineStr">
        <is>
          <t>El Tiempo</t>
        </is>
      </c>
      <c r="D77" s="38" t="inlineStr">
        <is>
          <t>Relación con Estados Unidos</t>
        </is>
      </c>
      <c r="E77" s="38" t="inlineStr">
        <is>
          <t>Noticia dura</t>
        </is>
      </c>
      <c r="F77" s="38" t="inlineStr">
        <is>
          <t>2026-09-04T07:46:26-05:00</t>
        </is>
      </c>
      <c r="G77" s="62" t="inlineStr">
        <is>
          <t>El miércoles se llevó a cabo un cónclave en la sede de la Cancillería, al que asistieron los embajadores designados, el canciller Omar Bula Escobar y el vicepresidente José Manuel Restrepo.</t>
        </is>
      </c>
      <c r="H77" s="62" t="inlineStr">
        <is>
          <t>Sobre la mesa están, además, dos eventos que marcarán el inicio de su gestión: la visita del secretario de Estado de Estados Unidos, Marco Rubio, y la Asamblea General de Naciones Unidas, prevista para finales de septiembre.</t>
        </is>
      </c>
      <c r="I77"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J77" s="38" t="n"/>
      <c r="K77" s="62" t="n"/>
      <c r="L77" s="38" t="n"/>
      <c r="M77" s="62" t="n"/>
      <c r="N77" s="38" t="n"/>
      <c r="O77" s="62" t="n"/>
      <c r="P77" s="38" t="n"/>
      <c r="Q77" s="62" t="n"/>
      <c r="R77" s="38" t="n"/>
      <c r="S77" s="62" t="n"/>
      <c r="T77" s="38" t="n"/>
      <c r="U77" s="62" t="n"/>
      <c r="V77" s="38" t="n"/>
      <c r="W77" s="62" t="n"/>
      <c r="X77" s="38" t="n"/>
      <c r="Y77" s="62" t="n"/>
      <c r="Z77" s="38" t="n"/>
      <c r="AA77" s="62" t="n"/>
      <c r="AB77" s="38" t="n"/>
      <c r="AC77" s="62" t="n"/>
      <c r="AD77" s="38" t="n"/>
      <c r="AE77" s="38" t="n"/>
      <c r="AF77" s="61">
        <f>IF(COUNTIF($B$5:B77,B77)=1,1,0)</f>
        <v/>
      </c>
      <c r="AG77" s="62" t="inlineStr">
        <is>
          <t>https://www.eltiempo.com/politica/gobierno/embajadores-ante-ee-uu-y-naciones-unidas-se-preparan-para-asumir-los-destinos-clave-para-la-diplomacia-del-presidente-abelardo-de-la-espriella-3583494</t>
        </is>
      </c>
    </row>
    <row r="78" ht="15" customHeight="1" s="31">
      <c r="A78" s="38" t="inlineStr">
        <is>
          <t>ART_009</t>
        </is>
      </c>
      <c r="B78" s="38" t="inlineStr">
        <is>
          <t>ART_009_S05</t>
        </is>
      </c>
      <c r="C78" s="38" t="inlineStr">
        <is>
          <t>El Tiempo</t>
        </is>
      </c>
      <c r="D78" s="38" t="inlineStr">
        <is>
          <t>Relación con Estados Unidos</t>
        </is>
      </c>
      <c r="E78" s="38" t="inlineStr">
        <is>
          <t>Noticia dura</t>
        </is>
      </c>
      <c r="F78" s="38" t="inlineStr">
        <is>
          <t>2026-09-04T07:46:26-05:00</t>
        </is>
      </c>
      <c r="G78"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H78" s="62" t="inlineStr">
        <is>
          <t>El miércoles se llevó a cabo un cónclave en la sede de la Cancillería, al que asistieron los embajadores designados, el canciller Omar Bula Escobar y el vicepresidente José Manuel Restrepo.</t>
        </is>
      </c>
      <c r="I78" s="62" t="inlineStr">
        <is>
          <t>El objetivo de la cita fue afinar la visión internacional que esta administración busca proyectar frente a los grandes debates de la agenda global.</t>
        </is>
      </c>
      <c r="J78" s="38" t="n"/>
      <c r="K78" s="62" t="n"/>
      <c r="L78" s="38" t="n"/>
      <c r="M78" s="62" t="n"/>
      <c r="N78" s="38" t="n"/>
      <c r="O78" s="62" t="n"/>
      <c r="P78" s="38" t="n"/>
      <c r="Q78" s="62" t="n"/>
      <c r="R78" s="38" t="n"/>
      <c r="S78" s="62" t="n"/>
      <c r="T78" s="38" t="n"/>
      <c r="U78" s="62" t="n"/>
      <c r="V78" s="38" t="n"/>
      <c r="W78" s="62" t="n"/>
      <c r="X78" s="38" t="n"/>
      <c r="Y78" s="62" t="n"/>
      <c r="Z78" s="38" t="n"/>
      <c r="AA78" s="62" t="n"/>
      <c r="AB78" s="38" t="n"/>
      <c r="AC78" s="62" t="n"/>
      <c r="AD78" s="38" t="n"/>
      <c r="AE78" s="38" t="n"/>
      <c r="AF78" s="61">
        <f>IF(COUNTIF($B$5:B78,B78)=1,1,0)</f>
        <v/>
      </c>
      <c r="AG78" s="62" t="inlineStr">
        <is>
          <t>https://www.eltiempo.com/politica/gobierno/embajadores-ante-ee-uu-y-naciones-unidas-se-preparan-para-asumir-los-destinos-clave-para-la-diplomacia-del-presidente-abelardo-de-la-espriella-3583494</t>
        </is>
      </c>
    </row>
    <row r="79" ht="15" customHeight="1" s="31">
      <c r="A79" s="38" t="inlineStr">
        <is>
          <t>ART_009</t>
        </is>
      </c>
      <c r="B79" s="38" t="inlineStr">
        <is>
          <t>ART_009_S06</t>
        </is>
      </c>
      <c r="C79" s="38" t="inlineStr">
        <is>
          <t>El Tiempo</t>
        </is>
      </c>
      <c r="D79" s="38" t="inlineStr">
        <is>
          <t>Relación con Estados Unidos</t>
        </is>
      </c>
      <c r="E79" s="38" t="inlineStr">
        <is>
          <t>Noticia dura</t>
        </is>
      </c>
      <c r="F79" s="38" t="inlineStr">
        <is>
          <t>2026-09-04T07:46:26-05:00</t>
        </is>
      </c>
      <c r="G79" s="62" t="inlineStr">
        <is>
          <t>El objetivo de la cita fue afinar la visión internacional que esta administración busca proyectar frente a los grandes debates de la agenda global.</t>
        </is>
      </c>
      <c r="H79" s="62" t="inlineStr">
        <is>
          <t>Este último tendrá un papel protagónico en los asuntos internacionales, pues una de las apuestas del Ejecutivo es que el presidente De La Espriella priorice la agenda nacional y regional, mientras Restrepo asume la representación del Gobierno en varios eventos en el exterior.</t>
        </is>
      </c>
      <c r="I79" s="62" t="inlineStr">
        <is>
          <t>“Preparamos la participación del país en uno de los escenarios más importantes de la diplomacia internacional”, dijo Restrepo.</t>
        </is>
      </c>
      <c r="J79" s="38" t="n"/>
      <c r="K79" s="62" t="n"/>
      <c r="L79" s="38" t="n"/>
      <c r="M79" s="62" t="n"/>
      <c r="N79" s="38" t="n"/>
      <c r="O79" s="62" t="n"/>
      <c r="P79" s="38" t="n"/>
      <c r="Q79" s="62" t="n"/>
      <c r="R79" s="38" t="n"/>
      <c r="S79" s="62" t="n"/>
      <c r="T79" s="38" t="n"/>
      <c r="U79" s="62" t="n"/>
      <c r="V79" s="38" t="n"/>
      <c r="W79" s="62" t="n"/>
      <c r="X79" s="38" t="n"/>
      <c r="Y79" s="62" t="n"/>
      <c r="Z79" s="38" t="n"/>
      <c r="AA79" s="62" t="n"/>
      <c r="AB79" s="38" t="n"/>
      <c r="AC79" s="62" t="n"/>
      <c r="AD79" s="38" t="n"/>
      <c r="AE79" s="38" t="n"/>
      <c r="AF79" s="61">
        <f>IF(COUNTIF($B$5:B79,B79)=1,1,0)</f>
        <v/>
      </c>
      <c r="AG79" s="62" t="inlineStr">
        <is>
          <t>https://www.eltiempo.com/politica/gobierno/embajadores-ante-ee-uu-y-naciones-unidas-se-preparan-para-asumir-los-destinos-clave-para-la-diplomacia-del-presidente-abelardo-de-la-espriella-3583494</t>
        </is>
      </c>
    </row>
    <row r="80" ht="15" customHeight="1" s="31">
      <c r="A80" s="38" t="inlineStr">
        <is>
          <t>ART_009</t>
        </is>
      </c>
      <c r="B80" s="38" t="inlineStr">
        <is>
          <t>ART_009_S07</t>
        </is>
      </c>
      <c r="C80" s="38" t="inlineStr">
        <is>
          <t>El Tiempo</t>
        </is>
      </c>
      <c r="D80" s="38" t="inlineStr">
        <is>
          <t>Relación con Estados Unidos</t>
        </is>
      </c>
      <c r="E80" s="38" t="inlineStr">
        <is>
          <t>Noticia dura</t>
        </is>
      </c>
      <c r="F80" s="38" t="inlineStr">
        <is>
          <t>2026-09-04T07:46:26-05:00</t>
        </is>
      </c>
      <c r="G80" s="62" t="inlineStr">
        <is>
          <t>“Preparamos la participación del país en uno de los escenarios más importantes de la diplomacia internacional”, dijo Restrepo.</t>
        </is>
      </c>
      <c r="H80" s="62" t="inlineStr">
        <is>
          <t>El objetivo de la cita fue afinar la visión internacional que esta administración busca proyectar frente a los grandes debates de la agenda global.</t>
        </is>
      </c>
      <c r="I80" s="62" t="inlineStr">
        <is>
          <t>Gaona representará a Colombia ante el Consejo de Seguridad de Naciones Unidas, donde al país le queda un año como miembro no permanente.</t>
        </is>
      </c>
      <c r="J80" s="38" t="n"/>
      <c r="K80" s="62" t="n"/>
      <c r="L80" s="38" t="n"/>
      <c r="M80" s="62" t="n"/>
      <c r="N80" s="38" t="n"/>
      <c r="O80" s="62" t="n"/>
      <c r="P80" s="38" t="n"/>
      <c r="Q80" s="62" t="n"/>
      <c r="R80" s="38" t="n"/>
      <c r="S80" s="62" t="n"/>
      <c r="T80" s="38" t="n"/>
      <c r="U80" s="62" t="n"/>
      <c r="V80" s="38" t="n"/>
      <c r="W80" s="62" t="n"/>
      <c r="X80" s="38" t="n"/>
      <c r="Y80" s="62" t="n"/>
      <c r="Z80" s="38" t="n"/>
      <c r="AA80" s="62" t="n"/>
      <c r="AB80" s="38" t="n"/>
      <c r="AC80" s="62" t="n"/>
      <c r="AD80" s="38" t="n"/>
      <c r="AE80" s="38" t="n"/>
      <c r="AF80" s="61">
        <f>IF(COUNTIF($B$5:B80,B80)=1,1,0)</f>
        <v/>
      </c>
      <c r="AG80" s="62" t="inlineStr">
        <is>
          <t>https://www.eltiempo.com/politica/gobierno/embajadores-ante-ee-uu-y-naciones-unidas-se-preparan-para-asumir-los-destinos-clave-para-la-diplomacia-del-presidente-abelardo-de-la-espriella-3583494</t>
        </is>
      </c>
    </row>
    <row r="81" ht="15" customHeight="1" s="31">
      <c r="A81" s="38" t="inlineStr">
        <is>
          <t>ART_009</t>
        </is>
      </c>
      <c r="B81" s="38" t="inlineStr">
        <is>
          <t>ART_009_S08</t>
        </is>
      </c>
      <c r="C81" s="38" t="inlineStr">
        <is>
          <t>El Tiempo</t>
        </is>
      </c>
      <c r="D81" s="38" t="inlineStr">
        <is>
          <t>Relación con Estados Unidos</t>
        </is>
      </c>
      <c r="E81" s="38" t="inlineStr">
        <is>
          <t>Noticia dura</t>
        </is>
      </c>
      <c r="F81" s="38" t="inlineStr">
        <is>
          <t>2026-09-04T07:46:26-05:00</t>
        </is>
      </c>
      <c r="G81" s="62" t="inlineStr">
        <is>
          <t>Gaona representará a Colombia ante el Consejo de Seguridad de Naciones Unidas, donde al país le queda un año como miembro no permanente.</t>
        </is>
      </c>
      <c r="H81" s="62" t="inlineStr">
        <is>
          <t>“Preparamos la participación del país en uno de los escenarios más importantes de la diplomacia internacional”, dijo Restrepo.</t>
        </is>
      </c>
      <c r="I81" s="62" t="inlineStr">
        <is>
          <t>A esto se suma el 81.º período de sesiones de la Asamblea General de Naciones Unidas, que reunirá nuevamente a líderes mundiales entre el 18 y el 28 de septiembre.</t>
        </is>
      </c>
      <c r="J81" s="38" t="n"/>
      <c r="K81" s="62" t="n"/>
      <c r="L81" s="38" t="n"/>
      <c r="M81" s="62" t="n"/>
      <c r="N81" s="38" t="n"/>
      <c r="O81" s="62" t="n"/>
      <c r="P81" s="38" t="n"/>
      <c r="Q81" s="62" t="n"/>
      <c r="R81" s="38" t="n"/>
      <c r="S81" s="62" t="n"/>
      <c r="T81" s="38" t="n"/>
      <c r="U81" s="62" t="n"/>
      <c r="V81" s="38" t="n"/>
      <c r="W81" s="62" t="n"/>
      <c r="X81" s="38" t="n"/>
      <c r="Y81" s="62" t="n"/>
      <c r="Z81" s="38" t="n"/>
      <c r="AA81" s="62" t="n"/>
      <c r="AB81" s="38" t="n"/>
      <c r="AC81" s="62" t="n"/>
      <c r="AD81" s="38" t="n"/>
      <c r="AE81" s="38" t="n"/>
      <c r="AF81" s="61">
        <f>IF(COUNTIF($B$5:B81,B81)=1,1,0)</f>
        <v/>
      </c>
      <c r="AG81" s="62" t="inlineStr">
        <is>
          <t>https://www.eltiempo.com/politica/gobierno/embajadores-ante-ee-uu-y-naciones-unidas-se-preparan-para-asumir-los-destinos-clave-para-la-diplomacia-del-presidente-abelardo-de-la-espriella-3583494</t>
        </is>
      </c>
    </row>
    <row r="82" ht="15" customHeight="1" s="31">
      <c r="A82" s="38" t="inlineStr">
        <is>
          <t>ART_009</t>
        </is>
      </c>
      <c r="B82" s="38" t="inlineStr">
        <is>
          <t>ART_009_S09</t>
        </is>
      </c>
      <c r="C82" s="38" t="inlineStr">
        <is>
          <t>El Tiempo</t>
        </is>
      </c>
      <c r="D82" s="38" t="inlineStr">
        <is>
          <t>Relación con Estados Unidos</t>
        </is>
      </c>
      <c r="E82" s="38" t="inlineStr">
        <is>
          <t>Noticia dura</t>
        </is>
      </c>
      <c r="F82" s="38" t="inlineStr">
        <is>
          <t>2026-09-04T07:46:26-05:00</t>
        </is>
      </c>
      <c r="G82" s="62" t="inlineStr">
        <is>
          <t>A esto se suma el 81.º período de sesiones de la Asamblea General de Naciones Unidas, que reunirá nuevamente a líderes mundiales entre el 18 y el 28 de septiembre.</t>
        </is>
      </c>
      <c r="H82" s="62" t="inlineStr">
        <is>
          <t>Gaona representará a Colombia ante el Consejo de Seguridad de Naciones Unidas, donde al país le queda un año como miembro no permanente.</t>
        </is>
      </c>
      <c r="I82" s="62" t="inlineStr">
        <is>
          <t>Ambos escenarios serán relevantes para conocer el papel que el nuevo Gobierno busca darle al multilateralismo, particularmente después de que durante la campaña el presidente De La Espriella planteara un eventual distanciamiento de Colombia.</t>
        </is>
      </c>
      <c r="J82" s="38" t="n"/>
      <c r="K82" s="62" t="n"/>
      <c r="L82" s="38" t="n"/>
      <c r="M82" s="62" t="n"/>
      <c r="N82" s="38" t="n"/>
      <c r="O82" s="62" t="n"/>
      <c r="P82" s="38" t="n"/>
      <c r="Q82" s="62" t="n"/>
      <c r="R82" s="38" t="n"/>
      <c r="S82" s="62" t="n"/>
      <c r="T82" s="38" t="n"/>
      <c r="U82" s="62" t="n"/>
      <c r="V82" s="38" t="n"/>
      <c r="W82" s="62" t="n"/>
      <c r="X82" s="38" t="n"/>
      <c r="Y82" s="62" t="n"/>
      <c r="Z82" s="38" t="n"/>
      <c r="AA82" s="62" t="n"/>
      <c r="AB82" s="38" t="n"/>
      <c r="AC82" s="62" t="n"/>
      <c r="AD82" s="38" t="n"/>
      <c r="AE82" s="38" t="n"/>
      <c r="AF82" s="61">
        <f>IF(COUNTIF($B$5:B82,B82)=1,1,0)</f>
        <v/>
      </c>
      <c r="AG82" s="62" t="inlineStr">
        <is>
          <t>https://www.eltiempo.com/politica/gobierno/embajadores-ante-ee-uu-y-naciones-unidas-se-preparan-para-asumir-los-destinos-clave-para-la-diplomacia-del-presidente-abelardo-de-la-espriella-3583494</t>
        </is>
      </c>
    </row>
    <row r="83" ht="15" customHeight="1" s="31">
      <c r="A83" s="38" t="inlineStr">
        <is>
          <t>ART_009</t>
        </is>
      </c>
      <c r="B83" s="38" t="inlineStr">
        <is>
          <t>ART_009_S10</t>
        </is>
      </c>
      <c r="C83" s="38" t="inlineStr">
        <is>
          <t>El Tiempo</t>
        </is>
      </c>
      <c r="D83" s="38" t="inlineStr">
        <is>
          <t>Relación con Estados Unidos</t>
        </is>
      </c>
      <c r="E83" s="38" t="inlineStr">
        <is>
          <t>Noticia dura</t>
        </is>
      </c>
      <c r="F83" s="38" t="inlineStr">
        <is>
          <t>2026-09-04T07:46:26-05:00</t>
        </is>
      </c>
      <c r="G83" s="62" t="inlineStr">
        <is>
          <t>Ambos escenarios serán relevantes para conocer el papel que el nuevo Gobierno busca darle al multilateralismo, particularmente después de que durante la campaña el presidente De La Espriella planteara un eventual distanciamiento de Colombia.</t>
        </is>
      </c>
      <c r="H83" s="62" t="inlineStr">
        <is>
          <t>A esto se suma el 81.º período de sesiones de la Asamblea General de Naciones Unidas, que reunirá nuevamente a líderes mundiales entre el 18 y el 28 de septiembre.</t>
        </is>
      </c>
      <c r="I83" s="62" t="inlineStr">
        <is>
          <t>"Va a ser una agenda muy movida, muy dinámica.</t>
        </is>
      </c>
      <c r="J83" s="38" t="n"/>
      <c r="K83" s="62" t="n"/>
      <c r="L83" s="38" t="n"/>
      <c r="M83" s="62" t="n"/>
      <c r="N83" s="38" t="n"/>
      <c r="O83" s="62" t="n"/>
      <c r="P83" s="38" t="n"/>
      <c r="Q83" s="62" t="n"/>
      <c r="R83" s="38" t="n"/>
      <c r="S83" s="62" t="n"/>
      <c r="T83" s="38" t="n"/>
      <c r="U83" s="62" t="n"/>
      <c r="V83" s="38" t="n"/>
      <c r="W83" s="62" t="n"/>
      <c r="X83" s="38" t="n"/>
      <c r="Y83" s="62" t="n"/>
      <c r="Z83" s="38" t="n"/>
      <c r="AA83" s="62" t="n"/>
      <c r="AB83" s="38" t="n"/>
      <c r="AC83" s="62" t="n"/>
      <c r="AD83" s="38" t="n"/>
      <c r="AE83" s="38" t="n"/>
      <c r="AF83" s="61">
        <f>IF(COUNTIF($B$5:B83,B83)=1,1,0)</f>
        <v/>
      </c>
      <c r="AG83" s="62" t="inlineStr">
        <is>
          <t>https://www.eltiempo.com/politica/gobierno/embajadores-ante-ee-uu-y-naciones-unidas-se-preparan-para-asumir-los-destinos-clave-para-la-diplomacia-del-presidente-abelardo-de-la-espriella-3583494</t>
        </is>
      </c>
    </row>
    <row r="84" ht="15" customHeight="1" s="31">
      <c r="A84" s="38" t="inlineStr">
        <is>
          <t>ART_009</t>
        </is>
      </c>
      <c r="B84" s="38" t="inlineStr">
        <is>
          <t>ART_009_S11</t>
        </is>
      </c>
      <c r="C84" s="38" t="inlineStr">
        <is>
          <t>El Tiempo</t>
        </is>
      </c>
      <c r="D84" s="38" t="inlineStr">
        <is>
          <t>Relación con Estados Unidos</t>
        </is>
      </c>
      <c r="E84" s="38" t="inlineStr">
        <is>
          <t>Noticia dura</t>
        </is>
      </c>
      <c r="F84" s="38" t="inlineStr">
        <is>
          <t>2026-09-04T07:46:26-05:00</t>
        </is>
      </c>
      <c r="G84" s="62" t="inlineStr">
        <is>
          <t>"Va a ser una agenda muy movida, muy dinámica.</t>
        </is>
      </c>
      <c r="H84" s="62" t="inlineStr">
        <is>
          <t>Ambos escenarios serán relevantes para conocer el papel que el nuevo Gobierno busca darle al multilateralismo, particularmente después de que durante la campaña el presidente De La Espriella planteara un eventual distanciamiento de Colombia.</t>
        </is>
      </c>
      <c r="I84" s="62" t="inlineStr">
        <is>
          <t>Esperamos contar con la participación naturalmente del gobierno y del vicepresidente", expresó el embajador Gaona, quien fue posesionado ese mismo día.</t>
        </is>
      </c>
      <c r="J84" s="38" t="n"/>
      <c r="K84" s="62" t="n"/>
      <c r="L84" s="38" t="n"/>
      <c r="M84" s="62" t="n"/>
      <c r="N84" s="38" t="n"/>
      <c r="O84" s="62" t="n"/>
      <c r="P84" s="38" t="n"/>
      <c r="Q84" s="62" t="n"/>
      <c r="R84" s="38" t="n"/>
      <c r="S84" s="62" t="n"/>
      <c r="T84" s="38" t="n"/>
      <c r="U84" s="62" t="n"/>
      <c r="V84" s="38" t="n"/>
      <c r="W84" s="62" t="n"/>
      <c r="X84" s="38" t="n"/>
      <c r="Y84" s="62" t="n"/>
      <c r="Z84" s="38" t="n"/>
      <c r="AA84" s="62" t="n"/>
      <c r="AB84" s="38" t="n"/>
      <c r="AC84" s="62" t="n"/>
      <c r="AD84" s="38" t="n"/>
      <c r="AE84" s="38" t="n"/>
      <c r="AF84" s="61">
        <f>IF(COUNTIF($B$5:B84,B84)=1,1,0)</f>
        <v/>
      </c>
      <c r="AG84" s="62" t="inlineStr">
        <is>
          <t>https://www.eltiempo.com/politica/gobierno/embajadores-ante-ee-uu-y-naciones-unidas-se-preparan-para-asumir-los-destinos-clave-para-la-diplomacia-del-presidente-abelardo-de-la-espriella-3583494</t>
        </is>
      </c>
    </row>
    <row r="85" ht="15" customHeight="1" s="31">
      <c r="A85" s="38" t="inlineStr">
        <is>
          <t>ART_009</t>
        </is>
      </c>
      <c r="B85" s="38" t="inlineStr">
        <is>
          <t>ART_009_S12</t>
        </is>
      </c>
      <c r="C85" s="38" t="inlineStr">
        <is>
          <t>El Tiempo</t>
        </is>
      </c>
      <c r="D85" s="38" t="inlineStr">
        <is>
          <t>Relación con Estados Unidos</t>
        </is>
      </c>
      <c r="E85" s="38" t="inlineStr">
        <is>
          <t>Noticia dura</t>
        </is>
      </c>
      <c r="F85" s="38" t="inlineStr">
        <is>
          <t>2026-09-04T07:46:26-05:00</t>
        </is>
      </c>
      <c r="G85" s="62" t="inlineStr">
        <is>
          <t>Esperamos contar con la participación naturalmente del gobierno y del vicepresidente", expresó el embajador Gaona, quien fue posesionado ese mismo día.</t>
        </is>
      </c>
      <c r="H85" s="62" t="inlineStr">
        <is>
          <t>"Va a ser una agenda muy movida, muy dinámica.</t>
        </is>
      </c>
      <c r="I85" s="62" t="n"/>
      <c r="J85" s="38" t="n"/>
      <c r="K85" s="62" t="n"/>
      <c r="L85" s="38" t="n"/>
      <c r="M85" s="62" t="n"/>
      <c r="N85" s="38" t="n"/>
      <c r="O85" s="62" t="n"/>
      <c r="P85" s="38" t="n"/>
      <c r="Q85" s="62" t="n"/>
      <c r="R85" s="38" t="n"/>
      <c r="S85" s="62" t="n"/>
      <c r="T85" s="38" t="n"/>
      <c r="U85" s="62" t="n"/>
      <c r="V85" s="38" t="n"/>
      <c r="W85" s="62" t="n"/>
      <c r="X85" s="38" t="n"/>
      <c r="Y85" s="62" t="n"/>
      <c r="Z85" s="38" t="n"/>
      <c r="AA85" s="62" t="n"/>
      <c r="AB85" s="38" t="n"/>
      <c r="AC85" s="62" t="n"/>
      <c r="AD85" s="38" t="n"/>
      <c r="AE85" s="38" t="n"/>
      <c r="AF85" s="61">
        <f>IF(COUNTIF($B$5:B85,B85)=1,1,0)</f>
        <v/>
      </c>
      <c r="AG85" s="62" t="inlineStr">
        <is>
          <t>https://www.eltiempo.com/politica/gobierno/embajadores-ante-ee-uu-y-naciones-unidas-se-preparan-para-asumir-los-destinos-clave-para-la-diplomacia-del-presidente-abelardo-de-la-espriella-3583494</t>
        </is>
      </c>
    </row>
    <row r="86" ht="15" customHeight="1" s="31">
      <c r="A86" s="38" t="inlineStr">
        <is>
          <t>ART_010</t>
        </is>
      </c>
      <c r="B86" s="38" t="inlineStr">
        <is>
          <t>ART_010_S01</t>
        </is>
      </c>
      <c r="C86" s="38" t="inlineStr">
        <is>
          <t>El Espectador</t>
        </is>
      </c>
      <c r="D86" s="38" t="inlineStr">
        <is>
          <t>Respuesta a la emergencia del terremoto</t>
        </is>
      </c>
      <c r="E86" s="38" t="inlineStr">
        <is>
          <t>Opinión-análisis</t>
        </is>
      </c>
      <c r="F86" s="38" t="inlineStr">
        <is>
          <t>Fri, 04 Sep 2026 14:39:29 +0000</t>
        </is>
      </c>
      <c r="G86" s="62" t="inlineStr">
        <is>
          <t>En la madrugada del 27 de agosto, la oficina del primer ministro de Nepal, Balendra Shah, confirmó que el número de fallecidos ya superaba el centenar.</t>
        </is>
      </c>
      <c r="H86" s="62" t="n"/>
      <c r="I86" s="62" t="inlineStr">
        <is>
          <t>Hoy llegan a más de mil.</t>
        </is>
      </c>
      <c r="J86" s="38" t="n"/>
      <c r="K86" s="62" t="n"/>
      <c r="L86" s="38" t="n"/>
      <c r="M86" s="62" t="n"/>
      <c r="N86" s="38" t="n"/>
      <c r="O86" s="62" t="n"/>
      <c r="P86" s="38" t="n"/>
      <c r="Q86" s="62" t="n"/>
      <c r="R86" s="38" t="n"/>
      <c r="S86" s="62" t="n"/>
      <c r="T86" s="38" t="n"/>
      <c r="U86" s="62" t="n"/>
      <c r="V86" s="38" t="n"/>
      <c r="W86" s="62" t="n"/>
      <c r="X86" s="38" t="n"/>
      <c r="Y86" s="62" t="n"/>
      <c r="Z86" s="38" t="n"/>
      <c r="AA86" s="62" t="n"/>
      <c r="AB86" s="38" t="n"/>
      <c r="AC86" s="62" t="n"/>
      <c r="AD86" s="38" t="n"/>
      <c r="AE86" s="38" t="n"/>
      <c r="AF86" s="61">
        <f>IF(COUNTIF($B$5:B86,B86)=1,1,0)</f>
        <v/>
      </c>
      <c r="AG86" s="62" t="inlineStr">
        <is>
          <t>https://www.elespectador.com/opinion/columnistas/columnista-invitado/la-tierra-no-clama-venganza-juan-diego-soler/</t>
        </is>
      </c>
    </row>
    <row r="87" ht="15" customHeight="1" s="31">
      <c r="A87" s="38" t="inlineStr">
        <is>
          <t>ART_010</t>
        </is>
      </c>
      <c r="B87" s="38" t="inlineStr">
        <is>
          <t>ART_010_S02</t>
        </is>
      </c>
      <c r="C87" s="38" t="inlineStr">
        <is>
          <t>El Espectador</t>
        </is>
      </c>
      <c r="D87" s="38" t="inlineStr">
        <is>
          <t>Respuesta a la emergencia del terremoto</t>
        </is>
      </c>
      <c r="E87" s="38" t="inlineStr">
        <is>
          <t>Opinión-análisis</t>
        </is>
      </c>
      <c r="F87" s="38" t="inlineStr">
        <is>
          <t>Fri, 04 Sep 2026 14:39:29 +0000</t>
        </is>
      </c>
      <c r="G87" s="62" t="inlineStr">
        <is>
          <t>Hoy llegan a más de mil.</t>
        </is>
      </c>
      <c r="H87" s="62" t="inlineStr">
        <is>
          <t>En la madrugada del 27 de agosto, la oficina del primer ministro de Nepal, Balendra Shah, confirmó que el número de fallecidos ya superaba el centenar.</t>
        </is>
      </c>
      <c r="I87" s="62" t="inlineStr">
        <is>
          <t>Son terroríficas las escenas de inundaciones repentinas y deslizamientos de tierra en los distritos nepalíes de Rasuwa y Nuwakot, así como en el condado chino de Gyirong.</t>
        </is>
      </c>
      <c r="J87" s="38" t="n"/>
      <c r="K87" s="62" t="n"/>
      <c r="L87" s="38" t="n"/>
      <c r="M87" s="62" t="n"/>
      <c r="N87" s="38" t="n"/>
      <c r="O87" s="62" t="n"/>
      <c r="P87" s="38" t="n"/>
      <c r="Q87" s="62" t="n"/>
      <c r="R87" s="38" t="n"/>
      <c r="S87" s="62" t="n"/>
      <c r="T87" s="38" t="n"/>
      <c r="U87" s="62" t="n"/>
      <c r="V87" s="38" t="n"/>
      <c r="W87" s="62" t="n"/>
      <c r="X87" s="38" t="n"/>
      <c r="Y87" s="62" t="n"/>
      <c r="Z87" s="38" t="n"/>
      <c r="AA87" s="62" t="n"/>
      <c r="AB87" s="38" t="n"/>
      <c r="AC87" s="62" t="n"/>
      <c r="AD87" s="38" t="n"/>
      <c r="AE87" s="38" t="n"/>
      <c r="AF87" s="61">
        <f>IF(COUNTIF($B$5:B87,B87)=1,1,0)</f>
        <v/>
      </c>
      <c r="AG87" s="62" t="inlineStr">
        <is>
          <t>https://www.elespectador.com/opinion/columnistas/columnista-invitado/la-tierra-no-clama-venganza-juan-diego-soler/</t>
        </is>
      </c>
    </row>
    <row r="88" ht="15" customHeight="1" s="31">
      <c r="A88" s="38" t="inlineStr">
        <is>
          <t>ART_010</t>
        </is>
      </c>
      <c r="B88" s="38" t="inlineStr">
        <is>
          <t>ART_010_S03</t>
        </is>
      </c>
      <c r="C88" s="38" t="inlineStr">
        <is>
          <t>El Espectador</t>
        </is>
      </c>
      <c r="D88" s="38" t="inlineStr">
        <is>
          <t>Respuesta a la emergencia del terremoto</t>
        </is>
      </c>
      <c r="E88" s="38" t="inlineStr">
        <is>
          <t>Opinión-análisis</t>
        </is>
      </c>
      <c r="F88" s="38" t="inlineStr">
        <is>
          <t>Fri, 04 Sep 2026 14:39:29 +0000</t>
        </is>
      </c>
      <c r="G88" s="62" t="inlineStr">
        <is>
          <t>Son terroríficas las escenas de inundaciones repentinas y deslizamientos de tierra en los distritos nepalíes de Rasuwa y Nuwakot, así como en el condado chino de Gyirong.</t>
        </is>
      </c>
      <c r="H88" s="62" t="inlineStr">
        <is>
          <t>Hoy llegan a más de mil.</t>
        </is>
      </c>
      <c r="I88"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J88" s="38" t="n"/>
      <c r="K88" s="62" t="n"/>
      <c r="L88" s="38" t="n"/>
      <c r="M88" s="62" t="n"/>
      <c r="N88" s="38" t="n"/>
      <c r="O88" s="62" t="n"/>
      <c r="P88" s="38" t="n"/>
      <c r="Q88" s="62" t="n"/>
      <c r="R88" s="38" t="n"/>
      <c r="S88" s="62" t="n"/>
      <c r="T88" s="38" t="n"/>
      <c r="U88" s="62" t="n"/>
      <c r="V88" s="38" t="n"/>
      <c r="W88" s="62" t="n"/>
      <c r="X88" s="38" t="n"/>
      <c r="Y88" s="62" t="n"/>
      <c r="Z88" s="38" t="n"/>
      <c r="AA88" s="62" t="n"/>
      <c r="AB88" s="38" t="n"/>
      <c r="AC88" s="62" t="n"/>
      <c r="AD88" s="38" t="n"/>
      <c r="AE88" s="38" t="n"/>
      <c r="AF88" s="61">
        <f>IF(COUNTIF($B$5:B88,B88)=1,1,0)</f>
        <v/>
      </c>
      <c r="AG88" s="62" t="inlineStr">
        <is>
          <t>https://www.elespectador.com/opinion/columnistas/columnista-invitado/la-tierra-no-clama-venganza-juan-diego-soler/</t>
        </is>
      </c>
    </row>
    <row r="89" ht="15" customHeight="1" s="31">
      <c r="A89" s="38" t="inlineStr">
        <is>
          <t>ART_010</t>
        </is>
      </c>
      <c r="B89" s="38" t="inlineStr">
        <is>
          <t>ART_010_S04</t>
        </is>
      </c>
      <c r="C89" s="38" t="inlineStr">
        <is>
          <t>El Espectador</t>
        </is>
      </c>
      <c r="D89" s="38" t="inlineStr">
        <is>
          <t>Respuesta a la emergencia del terremoto</t>
        </is>
      </c>
      <c r="E89" s="38" t="inlineStr">
        <is>
          <t>Opinión-análisis</t>
        </is>
      </c>
      <c r="F89" s="38" t="inlineStr">
        <is>
          <t>Fri, 04 Sep 2026 14:39:29 +0000</t>
        </is>
      </c>
      <c r="G89"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H89" s="62" t="inlineStr">
        <is>
          <t>Son terroríficas las escenas de inundaciones repentinas y deslizamientos de tierra en los distritos nepalíes de Rasuwa y Nuwakot, así como en el condado chino de Gyirong.</t>
        </is>
      </c>
      <c r="I89" s="62" t="inlineStr">
        <is>
          <t>Con ella desaté la tormenta en mi vaso de agua.</t>
        </is>
      </c>
      <c r="J89" s="38" t="n"/>
      <c r="K89" s="62" t="n"/>
      <c r="L89" s="38" t="n"/>
      <c r="M89" s="62" t="n"/>
      <c r="N89" s="38" t="n"/>
      <c r="O89" s="62" t="n"/>
      <c r="P89" s="38" t="n"/>
      <c r="Q89" s="62" t="n"/>
      <c r="R89" s="38" t="n"/>
      <c r="S89" s="62" t="n"/>
      <c r="T89" s="38" t="n"/>
      <c r="U89" s="62" t="n"/>
      <c r="V89" s="38" t="n"/>
      <c r="W89" s="62" t="n"/>
      <c r="X89" s="38" t="n"/>
      <c r="Y89" s="62" t="n"/>
      <c r="Z89" s="38" t="n"/>
      <c r="AA89" s="62" t="n"/>
      <c r="AB89" s="38" t="n"/>
      <c r="AC89" s="62" t="n"/>
      <c r="AD89" s="38" t="n"/>
      <c r="AE89" s="38" t="n"/>
      <c r="AF89" s="61">
        <f>IF(COUNTIF($B$5:B89,B89)=1,1,0)</f>
        <v/>
      </c>
      <c r="AG89" s="62" t="inlineStr">
        <is>
          <t>https://www.elespectador.com/opinion/columnistas/columnista-invitado/la-tierra-no-clama-venganza-juan-diego-soler/</t>
        </is>
      </c>
    </row>
    <row r="90" ht="15" customHeight="1" s="31">
      <c r="A90" s="38" t="inlineStr">
        <is>
          <t>ART_010</t>
        </is>
      </c>
      <c r="B90" s="38" t="inlineStr">
        <is>
          <t>ART_010_S05</t>
        </is>
      </c>
      <c r="C90" s="38" t="inlineStr">
        <is>
          <t>El Espectador</t>
        </is>
      </c>
      <c r="D90" s="38" t="inlineStr">
        <is>
          <t>Respuesta a la emergencia del terremoto</t>
        </is>
      </c>
      <c r="E90" s="38" t="inlineStr">
        <is>
          <t>Opinión-análisis</t>
        </is>
      </c>
      <c r="F90" s="38" t="inlineStr">
        <is>
          <t>Fri, 04 Sep 2026 14:39:29 +0000</t>
        </is>
      </c>
      <c r="G90" s="62" t="inlineStr">
        <is>
          <t>Con ella desaté la tormenta en mi vaso de agua.</t>
        </is>
      </c>
      <c r="H90" s="62" t="inlineStr">
        <is>
          <t>Impresionado por una secuencia del muro de agua que arrasa todo a su paso en medio de un valle tranquilo y bajo un cielo despejado, la reproduje en la red social que antes se llamaba Twitter, junto al mensaje: “La Tierra no está gritando, simplemente es indiferente a nuestra existencia”, la última línea de mi más reciente columna.</t>
        </is>
      </c>
      <c r="I90" s="62" t="inlineStr">
        <is>
          <t>Era claramente una provocación.</t>
        </is>
      </c>
      <c r="J90" s="38" t="n"/>
      <c r="K90" s="62" t="n"/>
      <c r="L90" s="38" t="n"/>
      <c r="M90" s="62" t="n"/>
      <c r="N90" s="38" t="n"/>
      <c r="O90" s="62" t="n"/>
      <c r="P90" s="38" t="n"/>
      <c r="Q90" s="62" t="n"/>
      <c r="R90" s="38" t="n"/>
      <c r="S90" s="62" t="n"/>
      <c r="T90" s="38" t="n"/>
      <c r="U90" s="62" t="n"/>
      <c r="V90" s="38" t="n"/>
      <c r="W90" s="62" t="n"/>
      <c r="X90" s="38" t="n"/>
      <c r="Y90" s="62" t="n"/>
      <c r="Z90" s="38" t="n"/>
      <c r="AA90" s="62" t="n"/>
      <c r="AB90" s="38" t="n"/>
      <c r="AC90" s="62" t="n"/>
      <c r="AD90" s="38" t="n"/>
      <c r="AE90" s="38" t="n"/>
      <c r="AF90" s="61">
        <f>IF(COUNTIF($B$5:B90,B90)=1,1,0)</f>
        <v/>
      </c>
      <c r="AG90" s="62" t="inlineStr">
        <is>
          <t>https://www.elespectador.com/opinion/columnistas/columnista-invitado/la-tierra-no-clama-venganza-juan-diego-soler/</t>
        </is>
      </c>
    </row>
    <row r="91" ht="15" customHeight="1" s="31">
      <c r="A91" s="38" t="inlineStr">
        <is>
          <t>ART_010</t>
        </is>
      </c>
      <c r="B91" s="38" t="inlineStr">
        <is>
          <t>ART_010_S06</t>
        </is>
      </c>
      <c r="C91" s="38" t="inlineStr">
        <is>
          <t>El Espectador</t>
        </is>
      </c>
      <c r="D91" s="38" t="inlineStr">
        <is>
          <t>Respuesta a la emergencia del terremoto</t>
        </is>
      </c>
      <c r="E91" s="38" t="inlineStr">
        <is>
          <t>Opinión-análisis</t>
        </is>
      </c>
      <c r="F91" s="38" t="inlineStr">
        <is>
          <t>Fri, 04 Sep 2026 14:39:29 +0000</t>
        </is>
      </c>
      <c r="G91" s="62" t="inlineStr">
        <is>
          <t>Era claramente una provocación.</t>
        </is>
      </c>
      <c r="H91" s="62" t="inlineStr">
        <is>
          <t>Con ella desaté la tormenta en mi vaso de agua.</t>
        </is>
      </c>
      <c r="I91"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J91" s="38" t="n"/>
      <c r="K91" s="62" t="n"/>
      <c r="L91" s="38" t="n"/>
      <c r="M91" s="62" t="n"/>
      <c r="N91" s="38" t="n"/>
      <c r="O91" s="62" t="n"/>
      <c r="P91" s="38" t="n"/>
      <c r="Q91" s="62" t="n"/>
      <c r="R91" s="38" t="n"/>
      <c r="S91" s="62" t="n"/>
      <c r="T91" s="38" t="n"/>
      <c r="U91" s="62" t="n"/>
      <c r="V91" s="38" t="n"/>
      <c r="W91" s="62" t="n"/>
      <c r="X91" s="38" t="n"/>
      <c r="Y91" s="62" t="n"/>
      <c r="Z91" s="38" t="n"/>
      <c r="AA91" s="62" t="n"/>
      <c r="AB91" s="38" t="n"/>
      <c r="AC91" s="62" t="n"/>
      <c r="AD91" s="38" t="n"/>
      <c r="AE91" s="38" t="n"/>
      <c r="AF91" s="61">
        <f>IF(COUNTIF($B$5:B91,B91)=1,1,0)</f>
        <v/>
      </c>
      <c r="AG91" s="62" t="inlineStr">
        <is>
          <t>https://www.elespectador.com/opinion/columnistas/columnista-invitado/la-tierra-no-clama-venganza-juan-diego-soler/</t>
        </is>
      </c>
    </row>
    <row r="92" ht="15" customHeight="1" s="31">
      <c r="A92" s="38" t="inlineStr">
        <is>
          <t>ART_010</t>
        </is>
      </c>
      <c r="B92" s="38" t="inlineStr">
        <is>
          <t>ART_010_S07</t>
        </is>
      </c>
      <c r="C92" s="38" t="inlineStr">
        <is>
          <t>El Espectador</t>
        </is>
      </c>
      <c r="D92" s="38" t="inlineStr">
        <is>
          <t>Respuesta a la emergencia del terremoto</t>
        </is>
      </c>
      <c r="E92" s="38" t="inlineStr">
        <is>
          <t>Opinión-análisis</t>
        </is>
      </c>
      <c r="F92" s="38" t="inlineStr">
        <is>
          <t>Fri, 04 Sep 2026 14:39:29 +0000</t>
        </is>
      </c>
      <c r="G92"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H92" s="62" t="inlineStr">
        <is>
          <t>Era claramente una provocación.</t>
        </is>
      </c>
      <c r="I92" s="62" t="inlineStr">
        <is>
          <t>Sus airados defensores (y detractores) no tardaron en aparecer, arrastrando consigo cualquier mensaje coherente o posibilidad de conversación.</t>
        </is>
      </c>
      <c r="J92" s="38" t="n"/>
      <c r="K92" s="62" t="n"/>
      <c r="L92" s="38" t="n"/>
      <c r="M92" s="62" t="n"/>
      <c r="N92" s="38" t="n"/>
      <c r="O92" s="62" t="n"/>
      <c r="P92" s="38" t="n"/>
      <c r="Q92" s="62" t="n"/>
      <c r="R92" s="38" t="n"/>
      <c r="S92" s="62" t="n"/>
      <c r="T92" s="38" t="n"/>
      <c r="U92" s="62" t="n"/>
      <c r="V92" s="38" t="n"/>
      <c r="W92" s="62" t="n"/>
      <c r="X92" s="38" t="n"/>
      <c r="Y92" s="62" t="n"/>
      <c r="Z92" s="38" t="n"/>
      <c r="AA92" s="62" t="n"/>
      <c r="AB92" s="38" t="n"/>
      <c r="AC92" s="62" t="n"/>
      <c r="AD92" s="38" t="n"/>
      <c r="AE92" s="38" t="n"/>
      <c r="AF92" s="61">
        <f>IF(COUNTIF($B$5:B92,B92)=1,1,0)</f>
        <v/>
      </c>
      <c r="AG92" s="62" t="inlineStr">
        <is>
          <t>https://www.elespectador.com/opinion/columnistas/columnista-invitado/la-tierra-no-clama-venganza-juan-diego-soler/</t>
        </is>
      </c>
    </row>
    <row r="93" ht="15" customHeight="1" s="31">
      <c r="A93" s="38" t="inlineStr">
        <is>
          <t>ART_010</t>
        </is>
      </c>
      <c r="B93" s="38" t="inlineStr">
        <is>
          <t>ART_010_S08</t>
        </is>
      </c>
      <c r="C93" s="38" t="inlineStr">
        <is>
          <t>El Espectador</t>
        </is>
      </c>
      <c r="D93" s="38" t="inlineStr">
        <is>
          <t>Respuesta a la emergencia del terremoto</t>
        </is>
      </c>
      <c r="E93" s="38" t="inlineStr">
        <is>
          <t>Opinión-análisis</t>
        </is>
      </c>
      <c r="F93" s="38" t="inlineStr">
        <is>
          <t>Fri, 04 Sep 2026 14:39:29 +0000</t>
        </is>
      </c>
      <c r="G93" s="62" t="inlineStr">
        <is>
          <t>Sus airados defensores (y detractores) no tardaron en aparecer, arrastrando consigo cualquier mensaje coherente o posibilidad de conversación.</t>
        </is>
      </c>
      <c r="H93" s="62" t="inlineStr">
        <is>
          <t>Usaba la frase con la que Gustavo Petro había reaccionado al sismo que el pasado 10 de agosto azotó el territorio de nuestro país, dejando 331 personas muertas, más de 4500 heridas y extensos daños materiales en los departamentos de Chocó, Risaralda, Quindío, Caldas y Valle del Cauca.</t>
        </is>
      </c>
      <c r="I93" s="62" t="inlineStr">
        <is>
          <t>Es difícil aclarar en 280 caracteres que esa Tierra justiciera y vengativa no existe y que no aceptar una personificación moral del sistema planetario no implica desconocer los efectos del cambio climático ni su posible papel en esta tragedia.</t>
        </is>
      </c>
      <c r="J93" s="38" t="n"/>
      <c r="K93" s="62" t="n"/>
      <c r="L93" s="38" t="n"/>
      <c r="M93" s="62" t="n"/>
      <c r="N93" s="38" t="n"/>
      <c r="O93" s="62" t="n"/>
      <c r="P93" s="38" t="n"/>
      <c r="Q93" s="62" t="n"/>
      <c r="R93" s="38" t="n"/>
      <c r="S93" s="62" t="n"/>
      <c r="T93" s="38" t="n"/>
      <c r="U93" s="62" t="n"/>
      <c r="V93" s="38" t="n"/>
      <c r="W93" s="62" t="n"/>
      <c r="X93" s="38" t="n"/>
      <c r="Y93" s="62" t="n"/>
      <c r="Z93" s="38" t="n"/>
      <c r="AA93" s="62" t="n"/>
      <c r="AB93" s="38" t="n"/>
      <c r="AC93" s="62" t="n"/>
      <c r="AD93" s="38" t="n"/>
      <c r="AE93" s="38" t="n"/>
      <c r="AF93" s="61">
        <f>IF(COUNTIF($B$5:B93,B93)=1,1,0)</f>
        <v/>
      </c>
      <c r="AG93" s="62" t="inlineStr">
        <is>
          <t>https://www.elespectador.com/opinion/columnistas/columnista-invitado/la-tierra-no-clama-venganza-juan-diego-soler/</t>
        </is>
      </c>
    </row>
    <row r="94" ht="15" customHeight="1" s="31">
      <c r="A94" s="38" t="inlineStr">
        <is>
          <t>ART_010</t>
        </is>
      </c>
      <c r="B94" s="38" t="inlineStr">
        <is>
          <t>ART_010_S09</t>
        </is>
      </c>
      <c r="C94" s="38" t="inlineStr">
        <is>
          <t>El Espectador</t>
        </is>
      </c>
      <c r="D94" s="38" t="inlineStr">
        <is>
          <t>Respuesta a la emergencia del terremoto</t>
        </is>
      </c>
      <c r="E94" s="38" t="inlineStr">
        <is>
          <t>Opinión-análisis</t>
        </is>
      </c>
      <c r="F94" s="38" t="inlineStr">
        <is>
          <t>Fri, 04 Sep 2026 14:39:29 +0000</t>
        </is>
      </c>
      <c r="G94" s="62" t="inlineStr">
        <is>
          <t>Es difícil aclarar en 280 caracteres que esa Tierra justiciera y vengativa no existe y que no aceptar una personificación moral del sistema planetario no implica desconocer los efectos del cambio climático ni su posible papel en esta tragedia.</t>
        </is>
      </c>
      <c r="H94" s="62" t="inlineStr">
        <is>
          <t>Sus airados defensores (y detractores) no tardaron en aparecer, arrastrando consigo cualquier mensaje coherente o posibilidad de conversación.</t>
        </is>
      </c>
      <c r="I94" s="62" t="inlineStr">
        <is>
          <t>Aunque se entienda como una metáfora, presentar la catástrofe como una represalia del planeta oscurece más de lo que explica.</t>
        </is>
      </c>
      <c r="J94" s="38" t="n"/>
      <c r="K94" s="62" t="n"/>
      <c r="L94" s="38" t="n"/>
      <c r="M94" s="62" t="n"/>
      <c r="N94" s="38" t="n"/>
      <c r="O94" s="62" t="n"/>
      <c r="P94" s="38" t="n"/>
      <c r="Q94" s="62" t="n"/>
      <c r="R94" s="38" t="n"/>
      <c r="S94" s="62" t="n"/>
      <c r="T94" s="38" t="n"/>
      <c r="U94" s="62" t="n"/>
      <c r="V94" s="38" t="n"/>
      <c r="W94" s="62" t="n"/>
      <c r="X94" s="38" t="n"/>
      <c r="Y94" s="62" t="n"/>
      <c r="Z94" s="38" t="n"/>
      <c r="AA94" s="62" t="n"/>
      <c r="AB94" s="38" t="n"/>
      <c r="AC94" s="62" t="n"/>
      <c r="AD94" s="38" t="n"/>
      <c r="AE94" s="38" t="n"/>
      <c r="AF94" s="61">
        <f>IF(COUNTIF($B$5:B94,B94)=1,1,0)</f>
        <v/>
      </c>
      <c r="AG94" s="62" t="inlineStr">
        <is>
          <t>https://www.elespectador.com/opinion/columnistas/columnista-invitado/la-tierra-no-clama-venganza-juan-diego-soler/</t>
        </is>
      </c>
    </row>
    <row r="95" ht="15" customHeight="1" s="31">
      <c r="A95" s="38" t="inlineStr">
        <is>
          <t>ART_010</t>
        </is>
      </c>
      <c r="B95" s="38" t="inlineStr">
        <is>
          <t>ART_010_S10</t>
        </is>
      </c>
      <c r="C95" s="38" t="inlineStr">
        <is>
          <t>El Espectador</t>
        </is>
      </c>
      <c r="D95" s="38" t="inlineStr">
        <is>
          <t>Respuesta a la emergencia del terremoto</t>
        </is>
      </c>
      <c r="E95" s="38" t="inlineStr">
        <is>
          <t>Opinión-análisis</t>
        </is>
      </c>
      <c r="F95" s="38" t="inlineStr">
        <is>
          <t>Fri, 04 Sep 2026 14:39:29 +0000</t>
        </is>
      </c>
      <c r="G95" s="62" t="inlineStr">
        <is>
          <t>Aunque se entienda como una metáfora, presentar la catástrofe como una represalia del planeta oscurece más de lo que explica.</t>
        </is>
      </c>
      <c r="H95" s="62" t="inlineStr">
        <is>
          <t>Es difícil aclarar en 280 caracteres que esa Tierra justiciera y vengativa no existe y que no aceptar una personificación moral del sistema planetario no implica desconocer los efectos del cambio climático ni su posible papel en esta tragedia.</t>
        </is>
      </c>
      <c r="I95" s="62" t="inlineStr">
        <is>
          <t>La emisión de gases de efecto invernadero por el uso de combustibles fósiles no es el sacrificio de un ciervo sagrado.</t>
        </is>
      </c>
      <c r="J95" s="38" t="n"/>
      <c r="K95" s="62" t="n"/>
      <c r="L95" s="38" t="n"/>
      <c r="M95" s="62" t="n"/>
      <c r="N95" s="38" t="n"/>
      <c r="O95" s="62" t="n"/>
      <c r="P95" s="38" t="n"/>
      <c r="Q95" s="62" t="n"/>
      <c r="R95" s="38" t="n"/>
      <c r="S95" s="62" t="n"/>
      <c r="T95" s="38" t="n"/>
      <c r="U95" s="62" t="n"/>
      <c r="V95" s="38" t="n"/>
      <c r="W95" s="62" t="n"/>
      <c r="X95" s="38" t="n"/>
      <c r="Y95" s="62" t="n"/>
      <c r="Z95" s="38" t="n"/>
      <c r="AA95" s="62" t="n"/>
      <c r="AB95" s="38" t="n"/>
      <c r="AC95" s="62" t="n"/>
      <c r="AD95" s="38" t="n"/>
      <c r="AE95" s="38" t="n"/>
      <c r="AF95" s="61">
        <f>IF(COUNTIF($B$5:B95,B95)=1,1,0)</f>
        <v/>
      </c>
      <c r="AG95" s="62" t="inlineStr">
        <is>
          <t>https://www.elespectador.com/opinion/columnistas/columnista-invitado/la-tierra-no-clama-venganza-juan-diego-soler/</t>
        </is>
      </c>
    </row>
    <row r="96" ht="15" customHeight="1" s="31">
      <c r="A96" s="38" t="inlineStr">
        <is>
          <t>ART_010</t>
        </is>
      </c>
      <c r="B96" s="38" t="inlineStr">
        <is>
          <t>ART_010_S11</t>
        </is>
      </c>
      <c r="C96" s="38" t="inlineStr">
        <is>
          <t>El Espectador</t>
        </is>
      </c>
      <c r="D96" s="38" t="inlineStr">
        <is>
          <t>Respuesta a la emergencia del terremoto</t>
        </is>
      </c>
      <c r="E96" s="38" t="inlineStr">
        <is>
          <t>Opinión-análisis</t>
        </is>
      </c>
      <c r="F96" s="38" t="inlineStr">
        <is>
          <t>Fri, 04 Sep 2026 14:39:29 +0000</t>
        </is>
      </c>
      <c r="G96" s="62" t="inlineStr">
        <is>
          <t>La emisión de gases de efecto invernadero por el uso de combustibles fósiles no es el sacrificio de un ciervo sagrado.</t>
        </is>
      </c>
      <c r="H96" s="62" t="inlineStr">
        <is>
          <t>Aunque se entienda como una metáfora, presentar la catástrofe como una represalia del planeta oscurece más de lo que explica.</t>
        </is>
      </c>
      <c r="I96" s="62" t="inlineStr">
        <is>
          <t>Para bien o para mal, no existe una implacable justicia divina que persiga a los responsables directos.</t>
        </is>
      </c>
      <c r="J96" s="38" t="n"/>
      <c r="K96" s="62" t="n"/>
      <c r="L96" s="38" t="n"/>
      <c r="M96" s="62" t="n"/>
      <c r="N96" s="38" t="n"/>
      <c r="O96" s="62" t="n"/>
      <c r="P96" s="38" t="n"/>
      <c r="Q96" s="62" t="n"/>
      <c r="R96" s="38" t="n"/>
      <c r="S96" s="62" t="n"/>
      <c r="T96" s="38" t="n"/>
      <c r="U96" s="62" t="n"/>
      <c r="V96" s="38" t="n"/>
      <c r="W96" s="62" t="n"/>
      <c r="X96" s="38" t="n"/>
      <c r="Y96" s="62" t="n"/>
      <c r="Z96" s="38" t="n"/>
      <c r="AA96" s="62" t="n"/>
      <c r="AB96" s="38" t="n"/>
      <c r="AC96" s="62" t="n"/>
      <c r="AD96" s="38" t="n"/>
      <c r="AE96" s="38" t="n"/>
      <c r="AF96" s="61">
        <f>IF(COUNTIF($B$5:B96,B96)=1,1,0)</f>
        <v/>
      </c>
      <c r="AG96" s="62" t="inlineStr">
        <is>
          <t>https://www.elespectador.com/opinion/columnistas/columnista-invitado/la-tierra-no-clama-venganza-juan-diego-soler/</t>
        </is>
      </c>
    </row>
    <row r="97" ht="15" customHeight="1" s="31">
      <c r="A97" s="38" t="inlineStr">
        <is>
          <t>ART_010</t>
        </is>
      </c>
      <c r="B97" s="38" t="inlineStr">
        <is>
          <t>ART_010_S12</t>
        </is>
      </c>
      <c r="C97" s="38" t="inlineStr">
        <is>
          <t>El Espectador</t>
        </is>
      </c>
      <c r="D97" s="38" t="inlineStr">
        <is>
          <t>Respuesta a la emergencia del terremoto</t>
        </is>
      </c>
      <c r="E97" s="38" t="inlineStr">
        <is>
          <t>Opinión-análisis</t>
        </is>
      </c>
      <c r="F97" s="38" t="inlineStr">
        <is>
          <t>Fri, 04 Sep 2026 14:39:29 +0000</t>
        </is>
      </c>
      <c r="G97" s="62" t="inlineStr">
        <is>
          <t>Para bien o para mal, no existe una implacable justicia divina que persiga a los responsables directos.</t>
        </is>
      </c>
      <c r="H97" s="62" t="inlineStr">
        <is>
          <t>La emisión de gases de efecto invernadero por el uso de combustibles fósiles no es el sacrificio de un ciervo sagrado.</t>
        </is>
      </c>
      <c r="I97" s="62" t="inlineStr">
        <is>
          <t>¿Qué culpa tiene una familia campesina en las zonas afectadas de Nepal, uno de los países más pobres de Asia, donde tantos viven de la agricultura a pequeña escala o del dinero que les envían sus familiares que trabajan en otros países?</t>
        </is>
      </c>
      <c r="J97" s="38" t="n"/>
      <c r="K97" s="62" t="n"/>
      <c r="L97" s="38" t="n"/>
      <c r="M97" s="62" t="n"/>
      <c r="N97" s="38" t="n"/>
      <c r="O97" s="62" t="n"/>
      <c r="P97" s="38" t="n"/>
      <c r="Q97" s="62" t="n"/>
      <c r="R97" s="38" t="n"/>
      <c r="S97" s="62" t="n"/>
      <c r="T97" s="38" t="n"/>
      <c r="U97" s="62" t="n"/>
      <c r="V97" s="38" t="n"/>
      <c r="W97" s="62" t="n"/>
      <c r="X97" s="38" t="n"/>
      <c r="Y97" s="62" t="n"/>
      <c r="Z97" s="38" t="n"/>
      <c r="AA97" s="62" t="n"/>
      <c r="AB97" s="38" t="n"/>
      <c r="AC97" s="62" t="n"/>
      <c r="AD97" s="38" t="n"/>
      <c r="AE97" s="38" t="n"/>
      <c r="AF97" s="61">
        <f>IF(COUNTIF($B$5:B97,B97)=1,1,0)</f>
        <v/>
      </c>
      <c r="AG97" s="62" t="inlineStr">
        <is>
          <t>https://www.elespectador.com/opinion/columnistas/columnista-invitado/la-tierra-no-clama-venganza-juan-diego-soler/</t>
        </is>
      </c>
    </row>
    <row r="98" ht="15" customHeight="1" s="31">
      <c r="A98" s="38" t="inlineStr">
        <is>
          <t>ART_010</t>
        </is>
      </c>
      <c r="B98" s="38" t="inlineStr">
        <is>
          <t>ART_010_S13</t>
        </is>
      </c>
      <c r="C98" s="38" t="inlineStr">
        <is>
          <t>El Espectador</t>
        </is>
      </c>
      <c r="D98" s="38" t="inlineStr">
        <is>
          <t>Respuesta a la emergencia del terremoto</t>
        </is>
      </c>
      <c r="E98" s="38" t="inlineStr">
        <is>
          <t>Opinión-análisis</t>
        </is>
      </c>
      <c r="F98" s="38" t="inlineStr">
        <is>
          <t>Fri, 04 Sep 2026 14:39:29 +0000</t>
        </is>
      </c>
      <c r="G98" s="62" t="inlineStr">
        <is>
          <t>¿Qué culpa tiene una familia campesina en las zonas afectadas de Nepal, uno de los países más pobres de Asia, donde tantos viven de la agricultura a pequeña escala o del dinero que les envían sus familiares que trabajan en otros países?</t>
        </is>
      </c>
      <c r="H98" s="62" t="inlineStr">
        <is>
          <t>Para bien o para mal, no existe una implacable justicia divina que persiga a los responsables directos.</t>
        </is>
      </c>
      <c r="I98" s="62" t="inlineStr">
        <is>
          <t>¿Acaso estamos pagando por un pecado cometido desde hace décadas, cuando la mayoría de nosotros no habíamos llegado al mundo?</t>
        </is>
      </c>
      <c r="J98" s="38" t="n"/>
      <c r="K98" s="62" t="n"/>
      <c r="L98" s="38" t="n"/>
      <c r="M98" s="62" t="n"/>
      <c r="N98" s="38" t="n"/>
      <c r="O98" s="62" t="n"/>
      <c r="P98" s="38" t="n"/>
      <c r="Q98" s="62" t="n"/>
      <c r="R98" s="38" t="n"/>
      <c r="S98" s="62" t="n"/>
      <c r="T98" s="38" t="n"/>
      <c r="U98" s="62" t="n"/>
      <c r="V98" s="38" t="n"/>
      <c r="W98" s="62" t="n"/>
      <c r="X98" s="38" t="n"/>
      <c r="Y98" s="62" t="n"/>
      <c r="Z98" s="38" t="n"/>
      <c r="AA98" s="62" t="n"/>
      <c r="AB98" s="38" t="n"/>
      <c r="AC98" s="62" t="n"/>
      <c r="AD98" s="38" t="n"/>
      <c r="AE98" s="38" t="n"/>
      <c r="AF98" s="61">
        <f>IF(COUNTIF($B$5:B98,B98)=1,1,0)</f>
        <v/>
      </c>
      <c r="AG98" s="62" t="inlineStr">
        <is>
          <t>https://www.elespectador.com/opinion/columnistas/columnista-invitado/la-tierra-no-clama-venganza-juan-diego-soler/</t>
        </is>
      </c>
    </row>
    <row r="99" ht="15" customHeight="1" s="31">
      <c r="A99" s="38" t="inlineStr">
        <is>
          <t>ART_010</t>
        </is>
      </c>
      <c r="B99" s="38" t="inlineStr">
        <is>
          <t>ART_010_S14</t>
        </is>
      </c>
      <c r="C99" s="38" t="inlineStr">
        <is>
          <t>El Espectador</t>
        </is>
      </c>
      <c r="D99" s="38" t="inlineStr">
        <is>
          <t>Respuesta a la emergencia del terremoto</t>
        </is>
      </c>
      <c r="E99" s="38" t="inlineStr">
        <is>
          <t>Opinión-análisis</t>
        </is>
      </c>
      <c r="F99" s="38" t="inlineStr">
        <is>
          <t>Fri, 04 Sep 2026 14:39:29 +0000</t>
        </is>
      </c>
      <c r="G99" s="62" t="inlineStr">
        <is>
          <t>¿Acaso estamos pagando por un pecado cometido desde hace décadas, cuando la mayoría de nosotros no habíamos llegado al mundo?</t>
        </is>
      </c>
      <c r="H99" s="62" t="inlineStr">
        <is>
          <t>¿Qué culpa tiene una familia campesina en las zonas afectadas de Nepal, uno de los países más pobres de Asia, donde tantos viven de la agricultura a pequeña escala o del dinero que les envían sus familiares que trabajan en otros países?</t>
        </is>
      </c>
      <c r="I99" s="62" t="n"/>
      <c r="J99" s="38" t="n"/>
      <c r="K99" s="62" t="n"/>
      <c r="L99" s="38" t="n"/>
      <c r="M99" s="62" t="n"/>
      <c r="N99" s="38" t="n"/>
      <c r="O99" s="62" t="n"/>
      <c r="P99" s="38" t="n"/>
      <c r="Q99" s="62" t="n"/>
      <c r="R99" s="38" t="n"/>
      <c r="S99" s="62" t="n"/>
      <c r="T99" s="38" t="n"/>
      <c r="U99" s="62" t="n"/>
      <c r="V99" s="38" t="n"/>
      <c r="W99" s="62" t="n"/>
      <c r="X99" s="38" t="n"/>
      <c r="Y99" s="62" t="n"/>
      <c r="Z99" s="38" t="n"/>
      <c r="AA99" s="62" t="n"/>
      <c r="AB99" s="38" t="n"/>
      <c r="AC99" s="62" t="n"/>
      <c r="AD99" s="38" t="n"/>
      <c r="AE99" s="38" t="n"/>
      <c r="AF99" s="61">
        <f>IF(COUNTIF($B$5:B99,B99)=1,1,0)</f>
        <v/>
      </c>
      <c r="AG99" s="62" t="inlineStr">
        <is>
          <t>https://www.elespectador.com/opinion/columnistas/columnista-invitado/la-tierra-no-clama-venganza-juan-diego-soler/</t>
        </is>
      </c>
    </row>
    <row r="100" ht="15" customHeight="1" s="31">
      <c r="A100" s="38" t="inlineStr">
        <is>
          <t>ART_011</t>
        </is>
      </c>
      <c r="B100" s="38" t="inlineStr">
        <is>
          <t>ART_011_S01</t>
        </is>
      </c>
      <c r="C100" s="38" t="inlineStr">
        <is>
          <t>El Espectador</t>
        </is>
      </c>
      <c r="D100" s="38" t="inlineStr">
        <is>
          <t>Relación con Estados Unidos</t>
        </is>
      </c>
      <c r="E100" s="38" t="inlineStr">
        <is>
          <t>Opinión-análisis</t>
        </is>
      </c>
      <c r="F100" s="38" t="inlineStr">
        <is>
          <t>Fri, 04 Sep 2026 14:46:43 +0000</t>
        </is>
      </c>
      <c r="G100" s="62" t="inlineStr">
        <is>
          <t>Nada como la tragedia venezolana, que se desarrolla ante nuestros ojos, para recordarnos que el mundo cambió de maneras fundamentales, algo que buena parte de nuestros actores, en todos los lugares del espectro político, aún no ha podido asimilar.</t>
        </is>
      </c>
      <c r="H100" s="62" t="n"/>
      <c r="I100" s="62" t="inlineStr">
        <is>
          <t>Hace no más de un par de años, las cosas con respecto al hermano país parecían absolutamente claras.</t>
        </is>
      </c>
      <c r="J100" s="38" t="n"/>
      <c r="K100" s="62" t="n"/>
      <c r="L100" s="38" t="n"/>
      <c r="M100" s="62" t="n"/>
      <c r="N100" s="38" t="n"/>
      <c r="O100" s="62" t="n"/>
      <c r="P100" s="38" t="n"/>
      <c r="Q100" s="62" t="n"/>
      <c r="R100" s="38" t="n"/>
      <c r="S100" s="62" t="n"/>
      <c r="T100" s="38" t="n"/>
      <c r="U100" s="62" t="n"/>
      <c r="V100" s="38" t="n"/>
      <c r="W100" s="62" t="n"/>
      <c r="X100" s="38" t="n"/>
      <c r="Y100" s="62" t="n"/>
      <c r="Z100" s="38" t="n"/>
      <c r="AA100" s="62" t="n"/>
      <c r="AB100" s="38" t="n"/>
      <c r="AC100" s="62" t="n"/>
      <c r="AD100" s="38" t="n"/>
      <c r="AE100" s="38" t="n"/>
      <c r="AF100" s="61">
        <f>IF(COUNTIF($B$5:B100,B100)=1,1,0)</f>
        <v/>
      </c>
      <c r="AG100" s="62" t="inlineStr">
        <is>
          <t>https://www.elespectador.com/opinion/columnistas/francisco-gutierrez-sanin/la-metamorfosis/</t>
        </is>
      </c>
    </row>
    <row r="101" ht="15" customHeight="1" s="31">
      <c r="A101" s="38" t="inlineStr">
        <is>
          <t>ART_011</t>
        </is>
      </c>
      <c r="B101" s="38" t="inlineStr">
        <is>
          <t>ART_011_S02</t>
        </is>
      </c>
      <c r="C101" s="38" t="inlineStr">
        <is>
          <t>El Espectador</t>
        </is>
      </c>
      <c r="D101" s="38" t="inlineStr">
        <is>
          <t>Relación con Estados Unidos</t>
        </is>
      </c>
      <c r="E101" s="38" t="inlineStr">
        <is>
          <t>Opinión-análisis</t>
        </is>
      </c>
      <c r="F101" s="38" t="inlineStr">
        <is>
          <t>Fri, 04 Sep 2026 14:46:43 +0000</t>
        </is>
      </c>
      <c r="G101" s="62" t="inlineStr">
        <is>
          <t>Hace no más de un par de años, las cosas con respecto al hermano país parecían absolutamente claras.</t>
        </is>
      </c>
      <c r="H101" s="62" t="inlineStr">
        <is>
          <t>Nada como la tragedia venezolana, que se desarrolla ante nuestros ojos, para recordarnos que el mundo cambió de maneras fundamentales, algo que buena parte de nuestros actores, en todos los lugares del espectro político, aún no ha podido asimilar.</t>
        </is>
      </c>
      <c r="I101" s="62" t="inlineStr">
        <is>
          <t>Para unos, se trataba del gran proyecto transformador latinoamericano.</t>
        </is>
      </c>
      <c r="J101" s="38" t="n"/>
      <c r="K101" s="62" t="n"/>
      <c r="L101" s="38" t="n"/>
      <c r="M101" s="62" t="n"/>
      <c r="N101" s="38" t="n"/>
      <c r="O101" s="62" t="n"/>
      <c r="P101" s="38" t="n"/>
      <c r="Q101" s="62" t="n"/>
      <c r="R101" s="38" t="n"/>
      <c r="S101" s="62" t="n"/>
      <c r="T101" s="38" t="n"/>
      <c r="U101" s="62" t="n"/>
      <c r="V101" s="38" t="n"/>
      <c r="W101" s="62" t="n"/>
      <c r="X101" s="38" t="n"/>
      <c r="Y101" s="62" t="n"/>
      <c r="Z101" s="38" t="n"/>
      <c r="AA101" s="62" t="n"/>
      <c r="AB101" s="38" t="n"/>
      <c r="AC101" s="62" t="n"/>
      <c r="AD101" s="38" t="n"/>
      <c r="AE101" s="38" t="n"/>
      <c r="AF101" s="61">
        <f>IF(COUNTIF($B$5:B101,B101)=1,1,0)</f>
        <v/>
      </c>
      <c r="AG101" s="62" t="inlineStr">
        <is>
          <t>https://www.elespectador.com/opinion/columnistas/francisco-gutierrez-sanin/la-metamorfosis/</t>
        </is>
      </c>
    </row>
    <row r="102" ht="15" customHeight="1" s="31">
      <c r="A102" s="38" t="inlineStr">
        <is>
          <t>ART_011</t>
        </is>
      </c>
      <c r="B102" s="38" t="inlineStr">
        <is>
          <t>ART_011_S03</t>
        </is>
      </c>
      <c r="C102" s="38" t="inlineStr">
        <is>
          <t>El Espectador</t>
        </is>
      </c>
      <c r="D102" s="38" t="inlineStr">
        <is>
          <t>Relación con Estados Unidos</t>
        </is>
      </c>
      <c r="E102" s="38" t="inlineStr">
        <is>
          <t>Opinión-análisis</t>
        </is>
      </c>
      <c r="F102" s="38" t="inlineStr">
        <is>
          <t>Fri, 04 Sep 2026 14:46:43 +0000</t>
        </is>
      </c>
      <c r="G102" s="62" t="inlineStr">
        <is>
          <t>Para unos, se trataba del gran proyecto transformador latinoamericano.</t>
        </is>
      </c>
      <c r="H102" s="62" t="inlineStr">
        <is>
          <t>Hace no más de un par de años, las cosas con respecto al hermano país parecían absolutamente claras.</t>
        </is>
      </c>
      <c r="I102" s="62" t="inlineStr">
        <is>
          <t>Para otros, que constituían en Colombia la corriente principal, era una dictadura monstruosa e inédita a la que necesitábamos echar por tierra.</t>
        </is>
      </c>
      <c r="J102" s="38" t="n"/>
      <c r="K102" s="62" t="n"/>
      <c r="L102" s="38" t="n"/>
      <c r="M102" s="62" t="n"/>
      <c r="N102" s="38" t="n"/>
      <c r="O102" s="62" t="n"/>
      <c r="P102" s="38" t="n"/>
      <c r="Q102" s="62" t="n"/>
      <c r="R102" s="38" t="n"/>
      <c r="S102" s="62" t="n"/>
      <c r="T102" s="38" t="n"/>
      <c r="U102" s="62" t="n"/>
      <c r="V102" s="38" t="n"/>
      <c r="W102" s="62" t="n"/>
      <c r="X102" s="38" t="n"/>
      <c r="Y102" s="62" t="n"/>
      <c r="Z102" s="38" t="n"/>
      <c r="AA102" s="62" t="n"/>
      <c r="AB102" s="38" t="n"/>
      <c r="AC102" s="62" t="n"/>
      <c r="AD102" s="38" t="n"/>
      <c r="AE102" s="38" t="n"/>
      <c r="AF102" s="61">
        <f>IF(COUNTIF($B$5:B102,B102)=1,1,0)</f>
        <v/>
      </c>
      <c r="AG102" s="62" t="inlineStr">
        <is>
          <t>https://www.elespectador.com/opinion/columnistas/francisco-gutierrez-sanin/la-metamorfosis/</t>
        </is>
      </c>
    </row>
    <row r="103" ht="15" customHeight="1" s="31">
      <c r="A103" s="38" t="inlineStr">
        <is>
          <t>ART_011</t>
        </is>
      </c>
      <c r="B103" s="38" t="inlineStr">
        <is>
          <t>ART_011_S04</t>
        </is>
      </c>
      <c r="C103" s="38" t="inlineStr">
        <is>
          <t>El Espectador</t>
        </is>
      </c>
      <c r="D103" s="38" t="inlineStr">
        <is>
          <t>Relación con Estados Unidos</t>
        </is>
      </c>
      <c r="E103" s="38" t="inlineStr">
        <is>
          <t>Opinión-análisis</t>
        </is>
      </c>
      <c r="F103" s="38" t="inlineStr">
        <is>
          <t>Fri, 04 Sep 2026 14:46:43 +0000</t>
        </is>
      </c>
      <c r="G103" s="62" t="inlineStr">
        <is>
          <t>Para otros, que constituían en Colombia la corriente principal, era una dictadura monstruosa e inédita a la que necesitábamos echar por tierra.</t>
        </is>
      </c>
      <c r="H103" s="62" t="inlineStr">
        <is>
          <t>Para unos, se trataba del gran proyecto transformador latinoamericano.</t>
        </is>
      </c>
      <c r="I103" s="62" t="inlineStr">
        <is>
          <t>Iván Duque, de hecho, intentó hacerlo con conciertos de música para planchar en nuestra larga frontera (una de las poquísimas cosas de su gobierno que recuerdo con regocijo).</t>
        </is>
      </c>
      <c r="J103" s="38" t="n"/>
      <c r="K103" s="62" t="n"/>
      <c r="L103" s="38" t="n"/>
      <c r="M103" s="62" t="n"/>
      <c r="N103" s="38" t="n"/>
      <c r="O103" s="62" t="n"/>
      <c r="P103" s="38" t="n"/>
      <c r="Q103" s="62" t="n"/>
      <c r="R103" s="38" t="n"/>
      <c r="S103" s="62" t="n"/>
      <c r="T103" s="38" t="n"/>
      <c r="U103" s="62" t="n"/>
      <c r="V103" s="38" t="n"/>
      <c r="W103" s="62" t="n"/>
      <c r="X103" s="38" t="n"/>
      <c r="Y103" s="62" t="n"/>
      <c r="Z103" s="38" t="n"/>
      <c r="AA103" s="62" t="n"/>
      <c r="AB103" s="38" t="n"/>
      <c r="AC103" s="62" t="n"/>
      <c r="AD103" s="38" t="n"/>
      <c r="AE103" s="38" t="n"/>
      <c r="AF103" s="61">
        <f>IF(COUNTIF($B$5:B103,B103)=1,1,0)</f>
        <v/>
      </c>
      <c r="AG103" s="62" t="inlineStr">
        <is>
          <t>https://www.elespectador.com/opinion/columnistas/francisco-gutierrez-sanin/la-metamorfosis/</t>
        </is>
      </c>
    </row>
    <row r="104" ht="15" customHeight="1" s="31">
      <c r="A104" s="38" t="inlineStr">
        <is>
          <t>ART_011</t>
        </is>
      </c>
      <c r="B104" s="38" t="inlineStr">
        <is>
          <t>ART_011_S05</t>
        </is>
      </c>
      <c r="C104" s="38" t="inlineStr">
        <is>
          <t>El Espectador</t>
        </is>
      </c>
      <c r="D104" s="38" t="inlineStr">
        <is>
          <t>Relación con Estados Unidos</t>
        </is>
      </c>
      <c r="E104" s="38" t="inlineStr">
        <is>
          <t>Opinión-análisis</t>
        </is>
      </c>
      <c r="F104" s="38" t="inlineStr">
        <is>
          <t>Fri, 04 Sep 2026 14:46:43 +0000</t>
        </is>
      </c>
      <c r="G104" s="62" t="inlineStr">
        <is>
          <t>Iván Duque, de hecho, intentó hacerlo con conciertos de música para planchar en nuestra larga frontera (una de las poquísimas cosas de su gobierno que recuerdo con regocijo).</t>
        </is>
      </c>
      <c r="H104" s="62" t="inlineStr">
        <is>
          <t>Para otros, que constituían en Colombia la corriente principal, era una dictadura monstruosa e inédita a la que necesitábamos echar por tierra.</t>
        </is>
      </c>
      <c r="I104" s="62" t="inlineStr">
        <is>
          <t>Y, mientras eso sucedía, al menos, afirmaban importantes voceros de opinión de distintas tendencias, tocaba romper relaciones diplomáticas con ella.</t>
        </is>
      </c>
      <c r="J104" s="38" t="n"/>
      <c r="K104" s="62" t="n"/>
      <c r="L104" s="38" t="n"/>
      <c r="M104" s="62" t="n"/>
      <c r="N104" s="38" t="n"/>
      <c r="O104" s="62" t="n"/>
      <c r="P104" s="38" t="n"/>
      <c r="Q104" s="62" t="n"/>
      <c r="R104" s="38" t="n"/>
      <c r="S104" s="62" t="n"/>
      <c r="T104" s="38" t="n"/>
      <c r="U104" s="62" t="n"/>
      <c r="V104" s="38" t="n"/>
      <c r="W104" s="62" t="n"/>
      <c r="X104" s="38" t="n"/>
      <c r="Y104" s="62" t="n"/>
      <c r="Z104" s="38" t="n"/>
      <c r="AA104" s="62" t="n"/>
      <c r="AB104" s="38" t="n"/>
      <c r="AC104" s="62" t="n"/>
      <c r="AD104" s="38" t="n"/>
      <c r="AE104" s="38" t="n"/>
      <c r="AF104" s="61">
        <f>IF(COUNTIF($B$5:B104,B104)=1,1,0)</f>
        <v/>
      </c>
      <c r="AG104" s="62" t="inlineStr">
        <is>
          <t>https://www.elespectador.com/opinion/columnistas/francisco-gutierrez-sanin/la-metamorfosis/</t>
        </is>
      </c>
    </row>
    <row r="105" ht="15" customHeight="1" s="31">
      <c r="A105" s="38" t="inlineStr">
        <is>
          <t>ART_011</t>
        </is>
      </c>
      <c r="B105" s="38" t="inlineStr">
        <is>
          <t>ART_011_S06</t>
        </is>
      </c>
      <c r="C105" s="38" t="inlineStr">
        <is>
          <t>El Espectador</t>
        </is>
      </c>
      <c r="D105" s="38" t="inlineStr">
        <is>
          <t>Relación con Estados Unidos</t>
        </is>
      </c>
      <c r="E105" s="38" t="inlineStr">
        <is>
          <t>Opinión-análisis</t>
        </is>
      </c>
      <c r="F105" s="38" t="inlineStr">
        <is>
          <t>Fri, 04 Sep 2026 14:46:43 +0000</t>
        </is>
      </c>
      <c r="G105" s="62" t="inlineStr">
        <is>
          <t>Y, mientras eso sucedía, al menos, afirmaban importantes voceros de opinión de distintas tendencias, tocaba romper relaciones diplomáticas con ella.</t>
        </is>
      </c>
      <c r="H105" s="62" t="inlineStr">
        <is>
          <t>Iván Duque, de hecho, intentó hacerlo con conciertos de música para planchar en nuestra larga frontera (una de las poquísimas cosas de su gobierno que recuerdo con regocijo).</t>
        </is>
      </c>
      <c r="I105" s="62" t="inlineStr">
        <is>
          <t>Hoy, mientras el dueto Trump-Rubio acaba de firmar con la delfín del “castrochavismo”, Delcy Rodríguez, un acuerdo neocolonial para succionar el petróleo venezolano, el silencio analítico sobre lo que está pasando es abrumador.</t>
        </is>
      </c>
      <c r="J105" s="38" t="n"/>
      <c r="K105" s="62" t="n"/>
      <c r="L105" s="38" t="n"/>
      <c r="M105" s="62" t="n"/>
      <c r="N105" s="38" t="n"/>
      <c r="O105" s="62" t="n"/>
      <c r="P105" s="38" t="n"/>
      <c r="Q105" s="62" t="n"/>
      <c r="R105" s="38" t="n"/>
      <c r="S105" s="62" t="n"/>
      <c r="T105" s="38" t="n"/>
      <c r="U105" s="62" t="n"/>
      <c r="V105" s="38" t="n"/>
      <c r="W105" s="62" t="n"/>
      <c r="X105" s="38" t="n"/>
      <c r="Y105" s="62" t="n"/>
      <c r="Z105" s="38" t="n"/>
      <c r="AA105" s="62" t="n"/>
      <c r="AB105" s="38" t="n"/>
      <c r="AC105" s="62" t="n"/>
      <c r="AD105" s="38" t="n"/>
      <c r="AE105" s="38" t="n"/>
      <c r="AF105" s="61">
        <f>IF(COUNTIF($B$5:B105,B105)=1,1,0)</f>
        <v/>
      </c>
      <c r="AG105" s="62" t="inlineStr">
        <is>
          <t>https://www.elespectador.com/opinion/columnistas/francisco-gutierrez-sanin/la-metamorfosis/</t>
        </is>
      </c>
    </row>
    <row r="106" ht="15" customHeight="1" s="31">
      <c r="A106" s="38" t="inlineStr">
        <is>
          <t>ART_011</t>
        </is>
      </c>
      <c r="B106" s="38" t="inlineStr">
        <is>
          <t>ART_011_S07</t>
        </is>
      </c>
      <c r="C106" s="38" t="inlineStr">
        <is>
          <t>El Espectador</t>
        </is>
      </c>
      <c r="D106" s="38" t="inlineStr">
        <is>
          <t>Relación con Estados Unidos</t>
        </is>
      </c>
      <c r="E106" s="38" t="inlineStr">
        <is>
          <t>Opinión-análisis</t>
        </is>
      </c>
      <c r="F106" s="38" t="inlineStr">
        <is>
          <t>Fri, 04 Sep 2026 14:46:43 +0000</t>
        </is>
      </c>
      <c r="G106" s="62" t="inlineStr">
        <is>
          <t>Hoy, mientras el dueto Trump-Rubio acaba de firmar con la delfín del “castrochavismo”, Delcy Rodríguez, un acuerdo neocolonial para succionar el petróleo venezolano, el silencio analítico sobre lo que está pasando es abrumador.</t>
        </is>
      </c>
      <c r="H106" s="62" t="inlineStr">
        <is>
          <t>Y, mientras eso sucedía, al menos, afirmaban importantes voceros de opinión de distintas tendencias, tocaba romper relaciones diplomáticas con ella.</t>
        </is>
      </c>
      <c r="I106" s="62" t="inlineStr">
        <is>
          <t>Podría deleitarme con el sinfín de preguntas sin contestar y de contabilidades por partida doble que ha generado entre nosotros el episodio.</t>
        </is>
      </c>
      <c r="J106" s="38" t="n"/>
      <c r="K106" s="62" t="n"/>
      <c r="L106" s="38" t="n"/>
      <c r="M106" s="62" t="n"/>
      <c r="N106" s="38" t="n"/>
      <c r="O106" s="62" t="n"/>
      <c r="P106" s="38" t="n"/>
      <c r="Q106" s="62" t="n"/>
      <c r="R106" s="38" t="n"/>
      <c r="S106" s="62" t="n"/>
      <c r="T106" s="38" t="n"/>
      <c r="U106" s="62" t="n"/>
      <c r="V106" s="38" t="n"/>
      <c r="W106" s="62" t="n"/>
      <c r="X106" s="38" t="n"/>
      <c r="Y106" s="62" t="n"/>
      <c r="Z106" s="38" t="n"/>
      <c r="AA106" s="62" t="n"/>
      <c r="AB106" s="38" t="n"/>
      <c r="AC106" s="62" t="n"/>
      <c r="AD106" s="38" t="n"/>
      <c r="AE106" s="38" t="n"/>
      <c r="AF106" s="61">
        <f>IF(COUNTIF($B$5:B106,B106)=1,1,0)</f>
        <v/>
      </c>
      <c r="AG106" s="62" t="inlineStr">
        <is>
          <t>https://www.elespectador.com/opinion/columnistas/francisco-gutierrez-sanin/la-metamorfosis/</t>
        </is>
      </c>
    </row>
    <row r="107" ht="15" customHeight="1" s="31">
      <c r="A107" s="38" t="inlineStr">
        <is>
          <t>ART_011</t>
        </is>
      </c>
      <c r="B107" s="38" t="inlineStr">
        <is>
          <t>ART_011_S08</t>
        </is>
      </c>
      <c r="C107" s="38" t="inlineStr">
        <is>
          <t>El Espectador</t>
        </is>
      </c>
      <c r="D107" s="38" t="inlineStr">
        <is>
          <t>Relación con Estados Unidos</t>
        </is>
      </c>
      <c r="E107" s="38" t="inlineStr">
        <is>
          <t>Opinión-análisis</t>
        </is>
      </c>
      <c r="F107" s="38" t="inlineStr">
        <is>
          <t>Fri, 04 Sep 2026 14:46:43 +0000</t>
        </is>
      </c>
      <c r="G107" s="62" t="inlineStr">
        <is>
          <t>Podría deleitarme con el sinfín de preguntas sin contestar y de contabilidades por partida doble que ha generado entre nosotros el episodio.</t>
        </is>
      </c>
      <c r="H107" s="62" t="inlineStr">
        <is>
          <t>Hoy, mientras el dueto Trump-Rubio acaba de firmar con la delfín del “castrochavismo”, Delcy Rodríguez, un acuerdo neocolonial para succionar el petróleo venezolano, el silencio analítico sobre lo que está pasando es abrumador.</t>
        </is>
      </c>
      <c r="I107" s="62" t="inlineStr">
        <is>
          <t>¿Cómo explicar que el gran proyecto terminó como administrador del control neocolonial estadounidense?</t>
        </is>
      </c>
      <c r="J107" s="38" t="n"/>
      <c r="K107" s="62" t="n"/>
      <c r="L107" s="38" t="n"/>
      <c r="M107" s="62" t="n"/>
      <c r="N107" s="38" t="n"/>
      <c r="O107" s="62" t="n"/>
      <c r="P107" s="38" t="n"/>
      <c r="Q107" s="62" t="n"/>
      <c r="R107" s="38" t="n"/>
      <c r="S107" s="62" t="n"/>
      <c r="T107" s="38" t="n"/>
      <c r="U107" s="62" t="n"/>
      <c r="V107" s="38" t="n"/>
      <c r="W107" s="62" t="n"/>
      <c r="X107" s="38" t="n"/>
      <c r="Y107" s="62" t="n"/>
      <c r="Z107" s="38" t="n"/>
      <c r="AA107" s="62" t="n"/>
      <c r="AB107" s="38" t="n"/>
      <c r="AC107" s="62" t="n"/>
      <c r="AD107" s="38" t="n"/>
      <c r="AE107" s="38" t="n"/>
      <c r="AF107" s="61">
        <f>IF(COUNTIF($B$5:B107,B107)=1,1,0)</f>
        <v/>
      </c>
      <c r="AG107" s="62" t="inlineStr">
        <is>
          <t>https://www.elespectador.com/opinion/columnistas/francisco-gutierrez-sanin/la-metamorfosis/</t>
        </is>
      </c>
    </row>
    <row r="108" ht="15" customHeight="1" s="31">
      <c r="A108" s="38" t="inlineStr">
        <is>
          <t>ART_011</t>
        </is>
      </c>
      <c r="B108" s="38" t="inlineStr">
        <is>
          <t>ART_011_S09</t>
        </is>
      </c>
      <c r="C108" s="38" t="inlineStr">
        <is>
          <t>El Espectador</t>
        </is>
      </c>
      <c r="D108" s="38" t="inlineStr">
        <is>
          <t>Relación con Estados Unidos</t>
        </is>
      </c>
      <c r="E108" s="38" t="inlineStr">
        <is>
          <t>Opinión-análisis</t>
        </is>
      </c>
      <c r="F108" s="38" t="inlineStr">
        <is>
          <t>Fri, 04 Sep 2026 14:46:43 +0000</t>
        </is>
      </c>
      <c r="G108" s="62" t="inlineStr">
        <is>
          <t>¿Cómo explicar que el gran proyecto terminó como administrador del control neocolonial estadounidense?</t>
        </is>
      </c>
      <c r="H108" s="62" t="inlineStr">
        <is>
          <t>Podría deleitarme con el sinfín de preguntas sin contestar y de contabilidades por partida doble que ha generado entre nosotros el episodio.</t>
        </is>
      </c>
      <c r="I108" s="62" t="inlineStr">
        <is>
          <t>¿Por qué la lucha por la democracia y los llamados patéticos a romper con la intolerable dictadura llegaron repentinamente a su fin una vez que ella se volvió aliada de la potencia del norte?</t>
        </is>
      </c>
      <c r="J108" s="38" t="n"/>
      <c r="K108" s="62" t="n"/>
      <c r="L108" s="38" t="n"/>
      <c r="M108" s="62" t="n"/>
      <c r="N108" s="38" t="n"/>
      <c r="O108" s="62" t="n"/>
      <c r="P108" s="38" t="n"/>
      <c r="Q108" s="62" t="n"/>
      <c r="R108" s="38" t="n"/>
      <c r="S108" s="62" t="n"/>
      <c r="T108" s="38" t="n"/>
      <c r="U108" s="62" t="n"/>
      <c r="V108" s="38" t="n"/>
      <c r="W108" s="62" t="n"/>
      <c r="X108" s="38" t="n"/>
      <c r="Y108" s="62" t="n"/>
      <c r="Z108" s="38" t="n"/>
      <c r="AA108" s="62" t="n"/>
      <c r="AB108" s="38" t="n"/>
      <c r="AC108" s="62" t="n"/>
      <c r="AD108" s="38" t="n"/>
      <c r="AE108" s="38" t="n"/>
      <c r="AF108" s="61">
        <f>IF(COUNTIF($B$5:B108,B108)=1,1,0)</f>
        <v/>
      </c>
      <c r="AG108" s="62" t="inlineStr">
        <is>
          <t>https://www.elespectador.com/opinion/columnistas/francisco-gutierrez-sanin/la-metamorfosis/</t>
        </is>
      </c>
    </row>
    <row r="109" ht="15" customHeight="1" s="31">
      <c r="A109" s="38" t="inlineStr">
        <is>
          <t>ART_011</t>
        </is>
      </c>
      <c r="B109" s="38" t="inlineStr">
        <is>
          <t>ART_011_S10</t>
        </is>
      </c>
      <c r="C109" s="38" t="inlineStr">
        <is>
          <t>El Espectador</t>
        </is>
      </c>
      <c r="D109" s="38" t="inlineStr">
        <is>
          <t>Relación con Estados Unidos</t>
        </is>
      </c>
      <c r="E109" s="38" t="inlineStr">
        <is>
          <t>Opinión-análisis</t>
        </is>
      </c>
      <c r="F109" s="38" t="inlineStr">
        <is>
          <t>Fri, 04 Sep 2026 14:46:43 +0000</t>
        </is>
      </c>
      <c r="G109" s="62" t="inlineStr">
        <is>
          <t>¿Por qué la lucha por la democracia y los llamados patéticos a romper con la intolerable dictadura llegaron repentinamente a su fin una vez que ella se volvió aliada de la potencia del norte?</t>
        </is>
      </c>
      <c r="H109" s="62" t="inlineStr">
        <is>
          <t>¿Cómo explicar que el gran proyecto terminó como administrador del control neocolonial estadounidense?</t>
        </is>
      </c>
      <c r="I109" s="62" t="inlineStr">
        <is>
          <t>¿Dónde quedaron las exigencias urgentes de ruptura diplomática?</t>
        </is>
      </c>
      <c r="J109" s="38" t="n"/>
      <c r="K109" s="62" t="n"/>
      <c r="L109" s="38" t="n"/>
      <c r="M109" s="62" t="n"/>
      <c r="N109" s="38" t="n"/>
      <c r="O109" s="62" t="n"/>
      <c r="P109" s="38" t="n"/>
      <c r="Q109" s="62" t="n"/>
      <c r="R109" s="38" t="n"/>
      <c r="S109" s="62" t="n"/>
      <c r="T109" s="38" t="n"/>
      <c r="U109" s="62" t="n"/>
      <c r="V109" s="38" t="n"/>
      <c r="W109" s="62" t="n"/>
      <c r="X109" s="38" t="n"/>
      <c r="Y109" s="62" t="n"/>
      <c r="Z109" s="38" t="n"/>
      <c r="AA109" s="62" t="n"/>
      <c r="AB109" s="38" t="n"/>
      <c r="AC109" s="62" t="n"/>
      <c r="AD109" s="38" t="n"/>
      <c r="AE109" s="38" t="n"/>
      <c r="AF109" s="61">
        <f>IF(COUNTIF($B$5:B109,B109)=1,1,0)</f>
        <v/>
      </c>
      <c r="AG109" s="62" t="inlineStr">
        <is>
          <t>https://www.elespectador.com/opinion/columnistas/francisco-gutierrez-sanin/la-metamorfosis/</t>
        </is>
      </c>
    </row>
    <row r="110" ht="15" customHeight="1" s="31">
      <c r="A110" s="38" t="inlineStr">
        <is>
          <t>ART_011</t>
        </is>
      </c>
      <c r="B110" s="38" t="inlineStr">
        <is>
          <t>ART_011_S11</t>
        </is>
      </c>
      <c r="C110" s="38" t="inlineStr">
        <is>
          <t>El Espectador</t>
        </is>
      </c>
      <c r="D110" s="38" t="inlineStr">
        <is>
          <t>Relación con Estados Unidos</t>
        </is>
      </c>
      <c r="E110" s="38" t="inlineStr">
        <is>
          <t>Opinión-análisis</t>
        </is>
      </c>
      <c r="F110" s="38" t="inlineStr">
        <is>
          <t>Fri, 04 Sep 2026 14:46:43 +0000</t>
        </is>
      </c>
      <c r="G110" s="62" t="inlineStr">
        <is>
          <t>¿Dónde quedaron las exigencias urgentes de ruptura diplomática?</t>
        </is>
      </c>
      <c r="H110" s="62" t="inlineStr">
        <is>
          <t>¿Por qué la lucha por la democracia y los llamados patéticos a romper con la intolerable dictadura llegaron repentinamente a su fin una vez que ella se volvió aliada de la potencia del norte?</t>
        </is>
      </c>
      <c r="I110" s="62" t="inlineStr">
        <is>
          <t>Pero la situación es demasiado seria –y demasiado interesante– como para darle mucho tiempo y gusto a la tentación de trollear (uno de los buenos neologismos de nuestro tiempo).</t>
        </is>
      </c>
      <c r="J110" s="38" t="n"/>
      <c r="K110" s="62" t="n"/>
      <c r="L110" s="38" t="n"/>
      <c r="M110" s="62" t="n"/>
      <c r="N110" s="38" t="n"/>
      <c r="O110" s="62" t="n"/>
      <c r="P110" s="38" t="n"/>
      <c r="Q110" s="62" t="n"/>
      <c r="R110" s="38" t="n"/>
      <c r="S110" s="62" t="n"/>
      <c r="T110" s="38" t="n"/>
      <c r="U110" s="62" t="n"/>
      <c r="V110" s="38" t="n"/>
      <c r="W110" s="62" t="n"/>
      <c r="X110" s="38" t="n"/>
      <c r="Y110" s="62" t="n"/>
      <c r="Z110" s="38" t="n"/>
      <c r="AA110" s="62" t="n"/>
      <c r="AB110" s="38" t="n"/>
      <c r="AC110" s="62" t="n"/>
      <c r="AD110" s="38" t="n"/>
      <c r="AE110" s="38" t="n"/>
      <c r="AF110" s="61">
        <f>IF(COUNTIF($B$5:B110,B110)=1,1,0)</f>
        <v/>
      </c>
      <c r="AG110" s="62" t="inlineStr">
        <is>
          <t>https://www.elespectador.com/opinion/columnistas/francisco-gutierrez-sanin/la-metamorfosis/</t>
        </is>
      </c>
    </row>
    <row r="111" ht="15" customHeight="1" s="31">
      <c r="A111" s="38" t="inlineStr">
        <is>
          <t>ART_011</t>
        </is>
      </c>
      <c r="B111" s="38" t="inlineStr">
        <is>
          <t>ART_011_S12</t>
        </is>
      </c>
      <c r="C111" s="38" t="inlineStr">
        <is>
          <t>El Espectador</t>
        </is>
      </c>
      <c r="D111" s="38" t="inlineStr">
        <is>
          <t>Relación con Estados Unidos</t>
        </is>
      </c>
      <c r="E111" s="38" t="inlineStr">
        <is>
          <t>Opinión-análisis</t>
        </is>
      </c>
      <c r="F111" s="38" t="inlineStr">
        <is>
          <t>Fri, 04 Sep 2026 14:46:43 +0000</t>
        </is>
      </c>
      <c r="G111" s="62" t="inlineStr">
        <is>
          <t>Pero la situación es demasiado seria –y demasiado interesante– como para darle mucho tiempo y gusto a la tentación de trollear (uno de los buenos neologismos de nuestro tiempo).</t>
        </is>
      </c>
      <c r="H111" s="62" t="inlineStr">
        <is>
          <t>¿Dónde quedaron las exigencias urgentes de ruptura diplomática?</t>
        </is>
      </c>
      <c r="I111" s="62" t="inlineStr">
        <is>
          <t>Sería fundamental tratar de entender por qué estamos frente a este episodio, inimaginable hasta hace tan poco.</t>
        </is>
      </c>
      <c r="J111" s="38" t="n"/>
      <c r="K111" s="62" t="n"/>
      <c r="L111" s="38" t="n"/>
      <c r="M111" s="62" t="n"/>
      <c r="N111" s="38" t="n"/>
      <c r="O111" s="62" t="n"/>
      <c r="P111" s="38" t="n"/>
      <c r="Q111" s="62" t="n"/>
      <c r="R111" s="38" t="n"/>
      <c r="S111" s="62" t="n"/>
      <c r="T111" s="38" t="n"/>
      <c r="U111" s="62" t="n"/>
      <c r="V111" s="38" t="n"/>
      <c r="W111" s="62" t="n"/>
      <c r="X111" s="38" t="n"/>
      <c r="Y111" s="62" t="n"/>
      <c r="Z111" s="38" t="n"/>
      <c r="AA111" s="62" t="n"/>
      <c r="AB111" s="38" t="n"/>
      <c r="AC111" s="62" t="n"/>
      <c r="AD111" s="38" t="n"/>
      <c r="AE111" s="38" t="n"/>
      <c r="AF111" s="61">
        <f>IF(COUNTIF($B$5:B111,B111)=1,1,0)</f>
        <v/>
      </c>
      <c r="AG111" s="62" t="inlineStr">
        <is>
          <t>https://www.elespectador.com/opinion/columnistas/francisco-gutierrez-sanin/la-metamorfosis/</t>
        </is>
      </c>
    </row>
    <row r="112" ht="15" customHeight="1" s="31">
      <c r="A112" s="38" t="inlineStr">
        <is>
          <t>ART_011</t>
        </is>
      </c>
      <c r="B112" s="38" t="inlineStr">
        <is>
          <t>ART_011_S13</t>
        </is>
      </c>
      <c r="C112" s="38" t="inlineStr">
        <is>
          <t>El Espectador</t>
        </is>
      </c>
      <c r="D112" s="38" t="inlineStr">
        <is>
          <t>Relación con Estados Unidos</t>
        </is>
      </c>
      <c r="E112" s="38" t="inlineStr">
        <is>
          <t>Opinión-análisis</t>
        </is>
      </c>
      <c r="F112" s="38" t="inlineStr">
        <is>
          <t>Fri, 04 Sep 2026 14:46:43 +0000</t>
        </is>
      </c>
      <c r="G112" s="62" t="inlineStr">
        <is>
          <t>Sería fundamental tratar de entender por qué estamos frente a este episodio, inimaginable hasta hace tan poco.</t>
        </is>
      </c>
      <c r="H112" s="62" t="inlineStr">
        <is>
          <t>Pero la situación es demasiado seria –y demasiado interesante– como para darle mucho tiempo y gusto a la tentación de trollear (uno de los buenos neologismos de nuestro tiempo).</t>
        </is>
      </c>
      <c r="I112" s="62" t="inlineStr">
        <is>
          <t>La explicación de los incentivos inmediatos de los actores principales de este drama es relativamente rectilínea.</t>
        </is>
      </c>
      <c r="J112" s="38" t="n"/>
      <c r="K112" s="62" t="n"/>
      <c r="L112" s="38" t="n"/>
      <c r="M112" s="62" t="n"/>
      <c r="N112" s="38" t="n"/>
      <c r="O112" s="62" t="n"/>
      <c r="P112" s="38" t="n"/>
      <c r="Q112" s="62" t="n"/>
      <c r="R112" s="38" t="n"/>
      <c r="S112" s="62" t="n"/>
      <c r="T112" s="38" t="n"/>
      <c r="U112" s="62" t="n"/>
      <c r="V112" s="38" t="n"/>
      <c r="W112" s="62" t="n"/>
      <c r="X112" s="38" t="n"/>
      <c r="Y112" s="62" t="n"/>
      <c r="Z112" s="38" t="n"/>
      <c r="AA112" s="62" t="n"/>
      <c r="AB112" s="38" t="n"/>
      <c r="AC112" s="62" t="n"/>
      <c r="AD112" s="38" t="n"/>
      <c r="AE112" s="38" t="n"/>
      <c r="AF112" s="61">
        <f>IF(COUNTIF($B$5:B112,B112)=1,1,0)</f>
        <v/>
      </c>
      <c r="AG112" s="62" t="inlineStr">
        <is>
          <t>https://www.elespectador.com/opinion/columnistas/francisco-gutierrez-sanin/la-metamorfosis/</t>
        </is>
      </c>
    </row>
    <row r="113" ht="15" customHeight="1" s="31">
      <c r="A113" s="38" t="inlineStr">
        <is>
          <t>ART_011</t>
        </is>
      </c>
      <c r="B113" s="38" t="inlineStr">
        <is>
          <t>ART_011_S14</t>
        </is>
      </c>
      <c r="C113" s="38" t="inlineStr">
        <is>
          <t>El Espectador</t>
        </is>
      </c>
      <c r="D113" s="38" t="inlineStr">
        <is>
          <t>Relación con Estados Unidos</t>
        </is>
      </c>
      <c r="E113" s="38" t="inlineStr">
        <is>
          <t>Opinión-análisis</t>
        </is>
      </c>
      <c r="F113" s="38" t="inlineStr">
        <is>
          <t>Fri, 04 Sep 2026 14:46:43 +0000</t>
        </is>
      </c>
      <c r="G113" s="62" t="inlineStr">
        <is>
          <t>La explicación de los incentivos inmediatos de los actores principales de este drama es relativamente rectilínea.</t>
        </is>
      </c>
      <c r="H113" s="62" t="inlineStr">
        <is>
          <t>Sería fundamental tratar de entender por qué estamos frente a este episodio, inimaginable hasta hace tan poco.</t>
        </is>
      </c>
      <c r="I113" s="62" t="n"/>
      <c r="J113" s="38" t="n"/>
      <c r="K113" s="62" t="n"/>
      <c r="L113" s="38" t="n"/>
      <c r="M113" s="62" t="n"/>
      <c r="N113" s="38" t="n"/>
      <c r="O113" s="62" t="n"/>
      <c r="P113" s="38" t="n"/>
      <c r="Q113" s="62" t="n"/>
      <c r="R113" s="38" t="n"/>
      <c r="S113" s="62" t="n"/>
      <c r="T113" s="38" t="n"/>
      <c r="U113" s="62" t="n"/>
      <c r="V113" s="38" t="n"/>
      <c r="W113" s="62" t="n"/>
      <c r="X113" s="38" t="n"/>
      <c r="Y113" s="62" t="n"/>
      <c r="Z113" s="38" t="n"/>
      <c r="AA113" s="62" t="n"/>
      <c r="AB113" s="38" t="n"/>
      <c r="AC113" s="62" t="n"/>
      <c r="AD113" s="38" t="n"/>
      <c r="AE113" s="38" t="n"/>
      <c r="AF113" s="61">
        <f>IF(COUNTIF($B$5:B113,B113)=1,1,0)</f>
        <v/>
      </c>
      <c r="AG113" s="62" t="inlineStr">
        <is>
          <t>https://www.elespectador.com/opinion/columnistas/francisco-gutierrez-sanin/la-metamorfosis/</t>
        </is>
      </c>
    </row>
    <row r="114" ht="15" customHeight="1" s="31">
      <c r="A114" s="38" t="inlineStr">
        <is>
          <t>ART_012</t>
        </is>
      </c>
      <c r="B114" s="38" t="inlineStr">
        <is>
          <t>ART_012_S01</t>
        </is>
      </c>
      <c r="C114" s="38" t="inlineStr">
        <is>
          <t>La Silla Vacía</t>
        </is>
      </c>
      <c r="D114" s="38" t="inlineStr">
        <is>
          <t>Transición de gobierno y relación con la oposición</t>
        </is>
      </c>
      <c r="E114" s="38" t="inlineStr">
        <is>
          <t>Noticia dura</t>
        </is>
      </c>
      <c r="F114" s="38" t="inlineStr">
        <is>
          <t>Fri, 04 Sep 2026 20:47:35 +0000</t>
        </is>
      </c>
      <c r="G114" s="62" t="inlineStr">
        <is>
          <t>Las Autodefensas Conquistadoras de la Sierra Nevada (Acsn) aseguraron que “no habrá retaliaciones” tras la muerte de uno de sus cabecillas, Naín Andrés Pérez, alias “Naín” o “Bendito Menor”.</t>
        </is>
      </c>
      <c r="H114" s="62" t="n"/>
      <c r="I114" s="62" t="inlineStr">
        <is>
          <t>Fue abatido en las últimas horas como resultado de un operativo conjunto entre el Ejército y la Policía en Riohacha (La Guajira) .</t>
        </is>
      </c>
      <c r="J114" s="38" t="n"/>
      <c r="K114" s="62" t="n"/>
      <c r="L114" s="38" t="n"/>
      <c r="M114" s="62" t="n"/>
      <c r="N114" s="38" t="n"/>
      <c r="O114" s="62" t="n"/>
      <c r="P114" s="38" t="n"/>
      <c r="Q114" s="62" t="n"/>
      <c r="R114" s="38" t="n"/>
      <c r="S114" s="62" t="n"/>
      <c r="T114" s="38" t="n"/>
      <c r="U114" s="62" t="n"/>
      <c r="V114" s="38" t="n"/>
      <c r="W114" s="62" t="n"/>
      <c r="X114" s="38" t="n"/>
      <c r="Y114" s="62" t="n"/>
      <c r="Z114" s="38" t="n"/>
      <c r="AA114" s="62" t="n"/>
      <c r="AB114" s="38" t="n"/>
      <c r="AC114" s="62" t="n"/>
      <c r="AD114" s="38" t="n"/>
      <c r="AE114" s="38" t="n"/>
      <c r="AF114" s="61">
        <f>IF(COUNTIF($B$5:B114,B114)=1,1,0)</f>
        <v/>
      </c>
      <c r="AG114" s="62" t="inlineStr">
        <is>
          <t>https://www.lasillavacia.com/en-vivo/no-habra-retaliaciones-acsn-tras-muerte-de-bendito-menor-en-operativo/</t>
        </is>
      </c>
    </row>
    <row r="115" ht="15" customHeight="1" s="31">
      <c r="A115" s="38" t="inlineStr">
        <is>
          <t>ART_012</t>
        </is>
      </c>
      <c r="B115" s="38" t="inlineStr">
        <is>
          <t>ART_012_S02</t>
        </is>
      </c>
      <c r="C115" s="38" t="inlineStr">
        <is>
          <t>La Silla Vacía</t>
        </is>
      </c>
      <c r="D115" s="38" t="inlineStr">
        <is>
          <t>Transición de gobierno y relación con la oposición</t>
        </is>
      </c>
      <c r="E115" s="38" t="inlineStr">
        <is>
          <t>Noticia dura</t>
        </is>
      </c>
      <c r="F115" s="38" t="inlineStr">
        <is>
          <t>Fri, 04 Sep 2026 20:47:35 +0000</t>
        </is>
      </c>
      <c r="G115" s="62" t="inlineStr">
        <is>
          <t>Fue abatido en las últimas horas como resultado de un operativo conjunto entre el Ejército y la Policía en Riohacha (La Guajira) .</t>
        </is>
      </c>
      <c r="H115" s="62" t="inlineStr">
        <is>
          <t>Las Autodefensas Conquistadoras de la Sierra Nevada (Acsn) aseguraron que “no habrá retaliaciones” tras la muerte de uno de sus cabecillas, Naín Andrés Pérez, alias “Naín” o “Bendito Menor”.</t>
        </is>
      </c>
      <c r="I115" s="62" t="inlineStr">
        <is>
          <t>“Hacemos un llamado a la población civil de la Sierra Nevada de Santa Marta y de los departamentos del Magdalena, La Guajira y Cesar a mantener la calma”, añadió en un comunicado el Estado Mayor de las Acsn.</t>
        </is>
      </c>
      <c r="J115" s="38" t="n"/>
      <c r="K115" s="62" t="n"/>
      <c r="L115" s="38" t="n"/>
      <c r="M115" s="62" t="n"/>
      <c r="N115" s="38" t="n"/>
      <c r="O115" s="62" t="n"/>
      <c r="P115" s="38" t="n"/>
      <c r="Q115" s="62" t="n"/>
      <c r="R115" s="38" t="n"/>
      <c r="S115" s="62" t="n"/>
      <c r="T115" s="38" t="n"/>
      <c r="U115" s="62" t="n"/>
      <c r="V115" s="38" t="n"/>
      <c r="W115" s="62" t="n"/>
      <c r="X115" s="38" t="n"/>
      <c r="Y115" s="62" t="n"/>
      <c r="Z115" s="38" t="n"/>
      <c r="AA115" s="62" t="n"/>
      <c r="AB115" s="38" t="n"/>
      <c r="AC115" s="62" t="n"/>
      <c r="AD115" s="38" t="n"/>
      <c r="AE115" s="38" t="n"/>
      <c r="AF115" s="61">
        <f>IF(COUNTIF($B$5:B115,B115)=1,1,0)</f>
        <v/>
      </c>
      <c r="AG115" s="62" t="inlineStr">
        <is>
          <t>https://www.lasillavacia.com/en-vivo/no-habra-retaliaciones-acsn-tras-muerte-de-bendito-menor-en-operativo/</t>
        </is>
      </c>
    </row>
    <row r="116" ht="15" customHeight="1" s="31">
      <c r="A116" s="38" t="inlineStr">
        <is>
          <t>ART_012</t>
        </is>
      </c>
      <c r="B116" s="38" t="inlineStr">
        <is>
          <t>ART_012_S03</t>
        </is>
      </c>
      <c r="C116" s="38" t="inlineStr">
        <is>
          <t>La Silla Vacía</t>
        </is>
      </c>
      <c r="D116" s="38" t="inlineStr">
        <is>
          <t>Transición de gobierno y relación con la oposición</t>
        </is>
      </c>
      <c r="E116" s="38" t="inlineStr">
        <is>
          <t>Noticia dura</t>
        </is>
      </c>
      <c r="F116" s="38" t="inlineStr">
        <is>
          <t>Fri, 04 Sep 2026 20:47:35 +0000</t>
        </is>
      </c>
      <c r="G116" s="62" t="inlineStr">
        <is>
          <t>“Hacemos un llamado a la población civil de la Sierra Nevada de Santa Marta y de los departamentos del Magdalena, La Guajira y Cesar a mantener la calma”, añadió en un comunicado el Estado Mayor de las Acsn.</t>
        </is>
      </c>
      <c r="H116" s="62" t="inlineStr">
        <is>
          <t>Fue abatido en las últimas horas como resultado de un operativo conjunto entre el Ejército y la Policía en Riohacha (La Guajira) .</t>
        </is>
      </c>
      <c r="I116" s="62" t="inlineStr">
        <is>
          <t>Sostuvo que el operativo supuso un “golpe a nuestra organización”, pero que no habrá respuesta.</t>
        </is>
      </c>
      <c r="J116" s="38" t="n"/>
      <c r="K116" s="62" t="n"/>
      <c r="L116" s="38" t="n"/>
      <c r="M116" s="62" t="n"/>
      <c r="N116" s="38" t="n"/>
      <c r="O116" s="62" t="n"/>
      <c r="P116" s="38" t="n"/>
      <c r="Q116" s="62" t="n"/>
      <c r="R116" s="38" t="n"/>
      <c r="S116" s="62" t="n"/>
      <c r="T116" s="38" t="n"/>
      <c r="U116" s="62" t="n"/>
      <c r="V116" s="38" t="n"/>
      <c r="W116" s="62" t="n"/>
      <c r="X116" s="38" t="n"/>
      <c r="Y116" s="62" t="n"/>
      <c r="Z116" s="38" t="n"/>
      <c r="AA116" s="62" t="n"/>
      <c r="AB116" s="38" t="n"/>
      <c r="AC116" s="62" t="n"/>
      <c r="AD116" s="38" t="n"/>
      <c r="AE116" s="38" t="n"/>
      <c r="AF116" s="61">
        <f>IF(COUNTIF($B$5:B116,B116)=1,1,0)</f>
        <v/>
      </c>
      <c r="AG116" s="62" t="inlineStr">
        <is>
          <t>https://www.lasillavacia.com/en-vivo/no-habra-retaliaciones-acsn-tras-muerte-de-bendito-menor-en-operativo/</t>
        </is>
      </c>
    </row>
    <row r="117" ht="15" customHeight="1" s="31">
      <c r="A117" s="38" t="inlineStr">
        <is>
          <t>ART_012</t>
        </is>
      </c>
      <c r="B117" s="38" t="inlineStr">
        <is>
          <t>ART_012_S04</t>
        </is>
      </c>
      <c r="C117" s="38" t="inlineStr">
        <is>
          <t>La Silla Vacía</t>
        </is>
      </c>
      <c r="D117" s="38" t="inlineStr">
        <is>
          <t>Transición de gobierno y relación con la oposición</t>
        </is>
      </c>
      <c r="E117" s="38" t="inlineStr">
        <is>
          <t>Noticia dura</t>
        </is>
      </c>
      <c r="F117" s="38" t="inlineStr">
        <is>
          <t>Fri, 04 Sep 2026 20:47:35 +0000</t>
        </is>
      </c>
      <c r="G117" s="62" t="inlineStr">
        <is>
          <t>Sostuvo que el operativo supuso un “golpe a nuestra organización”, pero que no habrá respuesta.</t>
        </is>
      </c>
      <c r="H117" s="62" t="inlineStr">
        <is>
          <t>“Hacemos un llamado a la población civil de la Sierra Nevada de Santa Marta y de los departamentos del Magdalena, La Guajira y Cesar a mantener la calma”, añadió en un comunicado el Estado Mayor de las Acsn.</t>
        </is>
      </c>
      <c r="I117" s="62" t="inlineStr">
        <is>
          <t>Comunicado a la opinión pública en general… pic.twitter.com/QQKq7X58mv</t>
        </is>
      </c>
      <c r="J117" s="38" t="n"/>
      <c r="K117" s="62" t="n"/>
      <c r="L117" s="38" t="n"/>
      <c r="M117" s="62" t="n"/>
      <c r="N117" s="38" t="n"/>
      <c r="O117" s="62" t="n"/>
      <c r="P117" s="38" t="n"/>
      <c r="Q117" s="62" t="n"/>
      <c r="R117" s="38" t="n"/>
      <c r="S117" s="62" t="n"/>
      <c r="T117" s="38" t="n"/>
      <c r="U117" s="62" t="n"/>
      <c r="V117" s="38" t="n"/>
      <c r="W117" s="62" t="n"/>
      <c r="X117" s="38" t="n"/>
      <c r="Y117" s="62" t="n"/>
      <c r="Z117" s="38" t="n"/>
      <c r="AA117" s="62" t="n"/>
      <c r="AB117" s="38" t="n"/>
      <c r="AC117" s="62" t="n"/>
      <c r="AD117" s="38" t="n"/>
      <c r="AE117" s="38" t="n"/>
      <c r="AF117" s="61">
        <f>IF(COUNTIF($B$5:B117,B117)=1,1,0)</f>
        <v/>
      </c>
      <c r="AG117" s="62" t="inlineStr">
        <is>
          <t>https://www.lasillavacia.com/en-vivo/no-habra-retaliaciones-acsn-tras-muerte-de-bendito-menor-en-operativo/</t>
        </is>
      </c>
    </row>
    <row r="118" ht="15" customHeight="1" s="31">
      <c r="A118" s="38" t="inlineStr">
        <is>
          <t>ART_012</t>
        </is>
      </c>
      <c r="B118" s="38" t="inlineStr">
        <is>
          <t>ART_012_S05</t>
        </is>
      </c>
      <c r="C118" s="38" t="inlineStr">
        <is>
          <t>La Silla Vacía</t>
        </is>
      </c>
      <c r="D118" s="38" t="inlineStr">
        <is>
          <t>Transición de gobierno y relación con la oposición</t>
        </is>
      </c>
      <c r="E118" s="38" t="inlineStr">
        <is>
          <t>Noticia dura</t>
        </is>
      </c>
      <c r="F118" s="38" t="inlineStr">
        <is>
          <t>Fri, 04 Sep 2026 20:47:35 +0000</t>
        </is>
      </c>
      <c r="G118" s="62" t="inlineStr">
        <is>
          <t>Comunicado a la opinión pública en general… pic.twitter.com/QQKq7X58mv</t>
        </is>
      </c>
      <c r="H118" s="62" t="inlineStr">
        <is>
          <t>Sostuvo que el operativo supuso un “golpe a nuestra organización”, pero que no habrá respuesta.</t>
        </is>
      </c>
      <c r="I118" s="62" t="inlineStr">
        <is>
          <t>¿Quién era alias Bendito Menor?</t>
        </is>
      </c>
      <c r="J118" s="38" t="n"/>
      <c r="K118" s="62" t="n"/>
      <c r="L118" s="38" t="n"/>
      <c r="M118" s="62" t="n"/>
      <c r="N118" s="38" t="n"/>
      <c r="O118" s="62" t="n"/>
      <c r="P118" s="38" t="n"/>
      <c r="Q118" s="62" t="n"/>
      <c r="R118" s="38" t="n"/>
      <c r="S118" s="62" t="n"/>
      <c r="T118" s="38" t="n"/>
      <c r="U118" s="62" t="n"/>
      <c r="V118" s="38" t="n"/>
      <c r="W118" s="62" t="n"/>
      <c r="X118" s="38" t="n"/>
      <c r="Y118" s="62" t="n"/>
      <c r="Z118" s="38" t="n"/>
      <c r="AA118" s="62" t="n"/>
      <c r="AB118" s="38" t="n"/>
      <c r="AC118" s="62" t="n"/>
      <c r="AD118" s="38" t="n"/>
      <c r="AE118" s="38" t="n"/>
      <c r="AF118" s="61">
        <f>IF(COUNTIF($B$5:B118,B118)=1,1,0)</f>
        <v/>
      </c>
      <c r="AG118" s="62" t="inlineStr">
        <is>
          <t>https://www.lasillavacia.com/en-vivo/no-habra-retaliaciones-acsn-tras-muerte-de-bendito-menor-en-operativo/</t>
        </is>
      </c>
    </row>
    <row r="119" ht="15" customHeight="1" s="31">
      <c r="A119" s="38" t="inlineStr">
        <is>
          <t>ART_012</t>
        </is>
      </c>
      <c r="B119" s="38" t="inlineStr">
        <is>
          <t>ART_012_S06</t>
        </is>
      </c>
      <c r="C119" s="38" t="inlineStr">
        <is>
          <t>La Silla Vacía</t>
        </is>
      </c>
      <c r="D119" s="38" t="inlineStr">
        <is>
          <t>Transición de gobierno y relación con la oposición</t>
        </is>
      </c>
      <c r="E119" s="38" t="inlineStr">
        <is>
          <t>Noticia dura</t>
        </is>
      </c>
      <c r="F119" s="38" t="inlineStr">
        <is>
          <t>Fri, 04 Sep 2026 20:47:35 +0000</t>
        </is>
      </c>
      <c r="G119" s="62" t="inlineStr">
        <is>
          <t>¿Quién era alias Bendito Menor?</t>
        </is>
      </c>
      <c r="H119" s="62" t="inlineStr">
        <is>
          <t>Comunicado a la opinión pública en general… pic.twitter.com/QQKq7X58mv</t>
        </is>
      </c>
      <c r="I119" s="62" t="inlineStr">
        <is>
          <t>Naín Pérez Toncel tenía 26 años y las autoridades lo relacionaban con desplazamientos, paros armados y varios delitos.</t>
        </is>
      </c>
      <c r="J119" s="38" t="n"/>
      <c r="K119" s="62" t="n"/>
      <c r="L119" s="38" t="n"/>
      <c r="M119" s="62" t="n"/>
      <c r="N119" s="38" t="n"/>
      <c r="O119" s="62" t="n"/>
      <c r="P119" s="38" t="n"/>
      <c r="Q119" s="62" t="n"/>
      <c r="R119" s="38" t="n"/>
      <c r="S119" s="62" t="n"/>
      <c r="T119" s="38" t="n"/>
      <c r="U119" s="62" t="n"/>
      <c r="V119" s="38" t="n"/>
      <c r="W119" s="62" t="n"/>
      <c r="X119" s="38" t="n"/>
      <c r="Y119" s="62" t="n"/>
      <c r="Z119" s="38" t="n"/>
      <c r="AA119" s="62" t="n"/>
      <c r="AB119" s="38" t="n"/>
      <c r="AC119" s="62" t="n"/>
      <c r="AD119" s="38" t="n"/>
      <c r="AE119" s="38" t="n"/>
      <c r="AF119" s="61">
        <f>IF(COUNTIF($B$5:B119,B119)=1,1,0)</f>
        <v/>
      </c>
      <c r="AG119" s="62" t="inlineStr">
        <is>
          <t>https://www.lasillavacia.com/en-vivo/no-habra-retaliaciones-acsn-tras-muerte-de-bendito-menor-en-operativo/</t>
        </is>
      </c>
    </row>
    <row r="120" ht="15" customHeight="1" s="31">
      <c r="A120" s="38" t="inlineStr">
        <is>
          <t>ART_012</t>
        </is>
      </c>
      <c r="B120" s="38" t="inlineStr">
        <is>
          <t>ART_012_S07</t>
        </is>
      </c>
      <c r="C120" s="38" t="inlineStr">
        <is>
          <t>La Silla Vacía</t>
        </is>
      </c>
      <c r="D120" s="38" t="inlineStr">
        <is>
          <t>Transición de gobierno y relación con la oposición</t>
        </is>
      </c>
      <c r="E120" s="38" t="inlineStr">
        <is>
          <t>Noticia dura</t>
        </is>
      </c>
      <c r="F120" s="38" t="inlineStr">
        <is>
          <t>Fri, 04 Sep 2026 20:47:35 +0000</t>
        </is>
      </c>
      <c r="G120" s="62" t="inlineStr">
        <is>
          <t>Naín Pérez Toncel tenía 26 años y las autoridades lo relacionaban con desplazamientos, paros armados y varios delitos.</t>
        </is>
      </c>
      <c r="H120" s="62" t="inlineStr">
        <is>
          <t>¿Quién era alias Bendito Menor?</t>
        </is>
      </c>
      <c r="I120" s="62" t="inlineStr">
        <is>
          <t>Uno de los casos más graves fue la masacre de Maicao, a comienzos de 2025, en la que cinco personas fueron asesinadas.</t>
        </is>
      </c>
      <c r="J120" s="38" t="n"/>
      <c r="K120" s="62" t="n"/>
      <c r="L120" s="38" t="n"/>
      <c r="M120" s="62" t="n"/>
      <c r="N120" s="38" t="n"/>
      <c r="O120" s="62" t="n"/>
      <c r="P120" s="38" t="n"/>
      <c r="Q120" s="62" t="n"/>
      <c r="R120" s="38" t="n"/>
      <c r="S120" s="62" t="n"/>
      <c r="T120" s="38" t="n"/>
      <c r="U120" s="62" t="n"/>
      <c r="V120" s="38" t="n"/>
      <c r="W120" s="62" t="n"/>
      <c r="X120" s="38" t="n"/>
      <c r="Y120" s="62" t="n"/>
      <c r="Z120" s="38" t="n"/>
      <c r="AA120" s="62" t="n"/>
      <c r="AB120" s="38" t="n"/>
      <c r="AC120" s="62" t="n"/>
      <c r="AD120" s="38" t="n"/>
      <c r="AE120" s="38" t="n"/>
      <c r="AF120" s="61">
        <f>IF(COUNTIF($B$5:B120,B120)=1,1,0)</f>
        <v/>
      </c>
      <c r="AG120" s="62" t="inlineStr">
        <is>
          <t>https://www.lasillavacia.com/en-vivo/no-habra-retaliaciones-acsn-tras-muerte-de-bendito-menor-en-operativo/</t>
        </is>
      </c>
    </row>
    <row r="121" ht="15" customHeight="1" s="31">
      <c r="A121" s="38" t="inlineStr">
        <is>
          <t>ART_012</t>
        </is>
      </c>
      <c r="B121" s="38" t="inlineStr">
        <is>
          <t>ART_012_S08</t>
        </is>
      </c>
      <c r="C121" s="38" t="inlineStr">
        <is>
          <t>La Silla Vacía</t>
        </is>
      </c>
      <c r="D121" s="38" t="inlineStr">
        <is>
          <t>Transición de gobierno y relación con la oposición</t>
        </is>
      </c>
      <c r="E121" s="38" t="inlineStr">
        <is>
          <t>Noticia dura</t>
        </is>
      </c>
      <c r="F121" s="38" t="inlineStr">
        <is>
          <t>Fri, 04 Sep 2026 20:47:35 +0000</t>
        </is>
      </c>
      <c r="G121" s="62" t="inlineStr">
        <is>
          <t>Uno de los casos más graves fue la masacre de Maicao, a comienzos de 2025, en la que cinco personas fueron asesinadas.</t>
        </is>
      </c>
      <c r="H121" s="62" t="inlineStr">
        <is>
          <t>Naín Pérez Toncel tenía 26 años y las autoridades lo relacionaban con desplazamientos, paros armados y varios delitos.</t>
        </is>
      </c>
      <c r="I121" s="62" t="n"/>
      <c r="J121" s="38" t="n"/>
      <c r="K121" s="62" t="n"/>
      <c r="L121" s="38" t="n"/>
      <c r="M121" s="62" t="n"/>
      <c r="N121" s="38" t="n"/>
      <c r="O121" s="62" t="n"/>
      <c r="P121" s="38" t="n"/>
      <c r="Q121" s="62" t="n"/>
      <c r="R121" s="38" t="n"/>
      <c r="S121" s="62" t="n"/>
      <c r="T121" s="38" t="n"/>
      <c r="U121" s="62" t="n"/>
      <c r="V121" s="38" t="n"/>
      <c r="W121" s="62" t="n"/>
      <c r="X121" s="38" t="n"/>
      <c r="Y121" s="62" t="n"/>
      <c r="Z121" s="38" t="n"/>
      <c r="AA121" s="62" t="n"/>
      <c r="AB121" s="38" t="n"/>
      <c r="AC121" s="62" t="n"/>
      <c r="AD121" s="38" t="n"/>
      <c r="AE121" s="38" t="n"/>
      <c r="AF121" s="61">
        <f>IF(COUNTIF($B$5:B121,B121)=1,1,0)</f>
        <v/>
      </c>
      <c r="AG121" s="62" t="inlineStr">
        <is>
          <t>https://www.lasillavacia.com/en-vivo/no-habra-retaliaciones-acsn-tras-muerte-de-bendito-menor-en-operativo/</t>
        </is>
      </c>
    </row>
    <row r="122" ht="15" customHeight="1" s="31">
      <c r="A122" s="38" t="inlineStr">
        <is>
          <t>ART_013</t>
        </is>
      </c>
      <c r="B122" s="38" t="inlineStr">
        <is>
          <t>ART_013_S02</t>
        </is>
      </c>
      <c r="C122" s="38" t="inlineStr">
        <is>
          <t>La Silla Vacía</t>
        </is>
      </c>
      <c r="D122" s="38" t="inlineStr">
        <is>
          <t>Transición de gobierno y relación con la oposición</t>
        </is>
      </c>
      <c r="E122" s="38" t="inlineStr">
        <is>
          <t>Opinión-análisis</t>
        </is>
      </c>
      <c r="F122" s="38" t="inlineStr">
        <is>
          <t>Fri, 04 Sep 2026 19:00:00 +0000</t>
        </is>
      </c>
      <c r="G122" s="62" t="inlineStr">
        <is>
          <t>Yannai Kadamani, exministra de las Culturas, las Artes y los Saberes, escribió en X apenas se conoció el proyecto de presupuesto para 2027, que al Ministerio “le quitan la mitad del presupuesto” y que “hay batallas que se pierden antes de empezar”, en respuesta a la promesa que Abelardo de la Espriella había hecho en su posesión, en el Batallón Pichincha de Cali, cuando dijo que “el renacer de la patria milagro también deberá ser cultural”.</t>
        </is>
      </c>
      <c r="H122" s="62" t="inlineStr">
        <is>
          <t>Este es un espacio de debate que no compromete la opinión de La Silla Vacía ni de sus aliados.</t>
        </is>
      </c>
      <c r="I122"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J122" s="38" t="n"/>
      <c r="K122" s="62" t="n"/>
      <c r="L122" s="38" t="n"/>
      <c r="M122" s="62" t="n"/>
      <c r="N122" s="38" t="n"/>
      <c r="O122" s="62" t="n"/>
      <c r="P122" s="38" t="n"/>
      <c r="Q122" s="62" t="n"/>
      <c r="R122" s="38" t="n"/>
      <c r="S122" s="62" t="n"/>
      <c r="T122" s="38" t="n"/>
      <c r="U122" s="62" t="n"/>
      <c r="V122" s="38" t="n"/>
      <c r="W122" s="62" t="n"/>
      <c r="X122" s="38" t="n"/>
      <c r="Y122" s="62" t="n"/>
      <c r="Z122" s="38" t="n"/>
      <c r="AA122" s="62" t="n"/>
      <c r="AB122" s="38" t="n"/>
      <c r="AC122" s="62" t="n"/>
      <c r="AD122" s="38" t="n"/>
      <c r="AE122" s="38" t="n"/>
      <c r="AF122" s="61">
        <f>IF(COUNTIF($B$5:B122,B122)=1,1,0)</f>
        <v/>
      </c>
      <c r="AG122" s="62" t="inlineStr">
        <is>
          <t>https://www.lasillavacia.com/red-de-expertos/red-social/el-presupuesto-de-cultura-bajo-pero-no-por-la-cifra-que-dicen/</t>
        </is>
      </c>
    </row>
    <row r="123" ht="15" customHeight="1" s="31">
      <c r="A123" s="38" t="inlineStr">
        <is>
          <t>ART_013</t>
        </is>
      </c>
      <c r="B123" s="38" t="inlineStr">
        <is>
          <t>ART_013_S03</t>
        </is>
      </c>
      <c r="C123" s="38" t="inlineStr">
        <is>
          <t>La Silla Vacía</t>
        </is>
      </c>
      <c r="D123" s="38" t="inlineStr">
        <is>
          <t>Transición de gobierno y relación con la oposición</t>
        </is>
      </c>
      <c r="E123" s="38" t="inlineStr">
        <is>
          <t>Opinión-análisis</t>
        </is>
      </c>
      <c r="F123" s="38" t="inlineStr">
        <is>
          <t>Fri, 04 Sep 2026 19:00:00 +0000</t>
        </is>
      </c>
      <c r="G123"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H123" s="62" t="inlineStr">
        <is>
          <t>Yannai Kadamani, exministra de las Culturas, las Artes y los Saberes, escribió en X apenas se conoció el proyecto de presupuesto para 2027, que al Ministerio “le quitan la mitad del presupuesto” y que “hay batallas que se pierden antes de empezar”, en respuesta a la promesa que Abelardo de la Espriella había hecho en su posesión, en el Batallón Pichincha de Cali, cuando dijo que “el renacer de la patria milagro también deberá ser cultural”.</t>
        </is>
      </c>
      <c r="I123" s="62" t="inlineStr">
        <is>
          <t>La crítica a este gobierno, si quiere sostenerse, necesita otro número: la comparación que sí corresponde es evaluar la propuesta frente al proyecto de ley que venía del gobierno anterior.</t>
        </is>
      </c>
      <c r="J123" s="38" t="n"/>
      <c r="K123" s="62" t="n"/>
      <c r="L123" s="38" t="n"/>
      <c r="M123" s="62" t="n"/>
      <c r="N123" s="38" t="n"/>
      <c r="O123" s="62" t="n"/>
      <c r="P123" s="38" t="n"/>
      <c r="Q123" s="62" t="n"/>
      <c r="R123" s="38" t="n"/>
      <c r="S123" s="62" t="n"/>
      <c r="T123" s="38" t="n"/>
      <c r="U123" s="62" t="n"/>
      <c r="V123" s="38" t="n"/>
      <c r="W123" s="62" t="n"/>
      <c r="X123" s="38" t="n"/>
      <c r="Y123" s="62" t="n"/>
      <c r="Z123" s="38" t="n"/>
      <c r="AA123" s="62" t="n"/>
      <c r="AB123" s="38" t="n"/>
      <c r="AC123" s="62" t="n"/>
      <c r="AD123" s="38" t="n"/>
      <c r="AE123" s="38" t="n"/>
      <c r="AF123" s="61">
        <f>IF(COUNTIF($B$5:B123,B123)=1,1,0)</f>
        <v/>
      </c>
      <c r="AG123" s="62" t="inlineStr">
        <is>
          <t>https://www.lasillavacia.com/red-de-expertos/red-social/el-presupuesto-de-cultura-bajo-pero-no-por-la-cifra-que-dicen/</t>
        </is>
      </c>
    </row>
    <row r="124" ht="15" customHeight="1" s="31">
      <c r="A124" s="38" t="inlineStr">
        <is>
          <t>ART_013</t>
        </is>
      </c>
      <c r="B124" s="38" t="inlineStr">
        <is>
          <t>ART_013_S04</t>
        </is>
      </c>
      <c r="C124" s="38" t="inlineStr">
        <is>
          <t>La Silla Vacía</t>
        </is>
      </c>
      <c r="D124" s="38" t="inlineStr">
        <is>
          <t>Transición de gobierno y relación con la oposición</t>
        </is>
      </c>
      <c r="E124" s="38" t="inlineStr">
        <is>
          <t>Opinión-análisis</t>
        </is>
      </c>
      <c r="F124" s="38" t="inlineStr">
        <is>
          <t>Fri, 04 Sep 2026 19:00:00 +0000</t>
        </is>
      </c>
      <c r="G124" s="62" t="inlineStr">
        <is>
          <t>La crítica a este gobierno, si quiere sostenerse, necesita otro número: la comparación que sí corresponde es evaluar la propuesta frente al proyecto de ley que venía del gobierno anterior.</t>
        </is>
      </c>
      <c r="H124" s="62" t="inlineStr">
        <is>
          <t>El dato que circuló después en medios de comunicación y redes sociales, un recorte de 29,5%, parecía confirmar la tesis de que la «batalla cultural» era desmentida por el presupuesto; el problema acá es que esa cifra sale de restar dos cosas que no se pueden restar entre sí.</t>
        </is>
      </c>
      <c r="I124"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J124" s="38" t="n"/>
      <c r="K124" s="62" t="n"/>
      <c r="L124" s="38" t="n"/>
      <c r="M124" s="62" t="n"/>
      <c r="N124" s="38" t="n"/>
      <c r="O124" s="62" t="n"/>
      <c r="P124" s="38" t="n"/>
      <c r="Q124" s="62" t="n"/>
      <c r="R124" s="38" t="n"/>
      <c r="S124" s="62" t="n"/>
      <c r="T124" s="38" t="n"/>
      <c r="U124" s="62" t="n"/>
      <c r="V124" s="38" t="n"/>
      <c r="W124" s="62" t="n"/>
      <c r="X124" s="38" t="n"/>
      <c r="Y124" s="62" t="n"/>
      <c r="Z124" s="38" t="n"/>
      <c r="AA124" s="62" t="n"/>
      <c r="AB124" s="38" t="n"/>
      <c r="AC124" s="62" t="n"/>
      <c r="AD124" s="38" t="n"/>
      <c r="AE124" s="38" t="n"/>
      <c r="AF124" s="61">
        <f>IF(COUNTIF($B$5:B124,B124)=1,1,0)</f>
        <v/>
      </c>
      <c r="AG124" s="62" t="inlineStr">
        <is>
          <t>https://www.lasillavacia.com/red-de-expertos/red-social/el-presupuesto-de-cultura-bajo-pero-no-por-la-cifra-que-dicen/</t>
        </is>
      </c>
    </row>
    <row r="125" ht="15" customHeight="1" s="31">
      <c r="A125" s="38" t="inlineStr">
        <is>
          <t>ART_013</t>
        </is>
      </c>
      <c r="B125" s="38" t="inlineStr">
        <is>
          <t>ART_013_S05</t>
        </is>
      </c>
      <c r="C125" s="38" t="inlineStr">
        <is>
          <t>La Silla Vacía</t>
        </is>
      </c>
      <c r="D125" s="38" t="inlineStr">
        <is>
          <t>Transición de gobierno y relación con la oposición</t>
        </is>
      </c>
      <c r="E125" s="38" t="inlineStr">
        <is>
          <t>Opinión-análisis</t>
        </is>
      </c>
      <c r="F125" s="38" t="inlineStr">
        <is>
          <t>Fri, 04 Sep 2026 19:00:00 +0000</t>
        </is>
      </c>
      <c r="G125"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H125" s="62" t="inlineStr">
        <is>
          <t>La crítica a este gobierno, si quiere sostenerse, necesita otro número: la comparación que sí corresponde es evaluar la propuesta frente al proyecto de ley que venía del gobierno anterior.</t>
        </is>
      </c>
      <c r="I125" s="62" t="inlineStr">
        <is>
          <t>Restar la una de la otra no mide un recorte, mide la distancia entre lo ejecutable y una intención; mi abuela lo resumía mejor: no se pueden comparar peras con manzanas.</t>
        </is>
      </c>
      <c r="J125" s="38" t="n"/>
      <c r="K125" s="62" t="n"/>
      <c r="L125" s="38" t="n"/>
      <c r="M125" s="62" t="n"/>
      <c r="N125" s="38" t="n"/>
      <c r="O125" s="62" t="n"/>
      <c r="P125" s="38" t="n"/>
      <c r="Q125" s="62" t="n"/>
      <c r="R125" s="38" t="n"/>
      <c r="S125" s="62" t="n"/>
      <c r="T125" s="38" t="n"/>
      <c r="U125" s="62" t="n"/>
      <c r="V125" s="38" t="n"/>
      <c r="W125" s="62" t="n"/>
      <c r="X125" s="38" t="n"/>
      <c r="Y125" s="62" t="n"/>
      <c r="Z125" s="38" t="n"/>
      <c r="AA125" s="62" t="n"/>
      <c r="AB125" s="38" t="n"/>
      <c r="AC125" s="62" t="n"/>
      <c r="AD125" s="38" t="n"/>
      <c r="AE125" s="38" t="n"/>
      <c r="AF125" s="61">
        <f>IF(COUNTIF($B$5:B125,B125)=1,1,0)</f>
        <v/>
      </c>
      <c r="AG125" s="62" t="inlineStr">
        <is>
          <t>https://www.lasillavacia.com/red-de-expertos/red-social/el-presupuesto-de-cultura-bajo-pero-no-por-la-cifra-que-dicen/</t>
        </is>
      </c>
    </row>
    <row r="126" ht="15" customHeight="1" s="31">
      <c r="A126" s="38" t="inlineStr">
        <is>
          <t>ART_013</t>
        </is>
      </c>
      <c r="B126" s="38" t="inlineStr">
        <is>
          <t>ART_013_S06</t>
        </is>
      </c>
      <c r="C126" s="38" t="inlineStr">
        <is>
          <t>La Silla Vacía</t>
        </is>
      </c>
      <c r="D126" s="38" t="inlineStr">
        <is>
          <t>Transición de gobierno y relación con la oposición</t>
        </is>
      </c>
      <c r="E126" s="38" t="inlineStr">
        <is>
          <t>Opinión-análisis</t>
        </is>
      </c>
      <c r="F126" s="38" t="inlineStr">
        <is>
          <t>Fri, 04 Sep 2026 19:00:00 +0000</t>
        </is>
      </c>
      <c r="G126" s="62" t="inlineStr">
        <is>
          <t>Restar la una de la otra no mide un recorte, mide la distancia entre lo ejecutable y una intención; mi abuela lo resumía mejor: no se pueden comparar peras con manzanas.</t>
        </is>
      </c>
      <c r="H126" s="62" t="inlineStr">
        <is>
          <t>El porcentaje de 29,5% surge de comparar el presupuesto aprobado para 2026 —1.001.388 millones de pesos— contra la propuesta que De la Espriella radicó para 2027 —706.196 millones—, dos cifras que no pertenecen a la misma categoría: un presupuesto aprobado es plata que el Congreso ya autorizó gastar, mientras que un proyecto de Ley apenas empieza su trámite y todavía puede cambiar en debates y ponencias antes de convertirse en gasto real.</t>
        </is>
      </c>
      <c r="I126"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J126" s="38" t="n"/>
      <c r="K126" s="62" t="n"/>
      <c r="L126" s="38" t="n"/>
      <c r="M126" s="62" t="n"/>
      <c r="N126" s="38" t="n"/>
      <c r="O126" s="62" t="n"/>
      <c r="P126" s="38" t="n"/>
      <c r="Q126" s="62" t="n"/>
      <c r="R126" s="38" t="n"/>
      <c r="S126" s="62" t="n"/>
      <c r="T126" s="38" t="n"/>
      <c r="U126" s="62" t="n"/>
      <c r="V126" s="38" t="n"/>
      <c r="W126" s="62" t="n"/>
      <c r="X126" s="38" t="n"/>
      <c r="Y126" s="62" t="n"/>
      <c r="Z126" s="38" t="n"/>
      <c r="AA126" s="62" t="n"/>
      <c r="AB126" s="38" t="n"/>
      <c r="AC126" s="62" t="n"/>
      <c r="AD126" s="38" t="n"/>
      <c r="AE126" s="38" t="n"/>
      <c r="AF126" s="61">
        <f>IF(COUNTIF($B$5:B126,B126)=1,1,0)</f>
        <v/>
      </c>
      <c r="AG126" s="62" t="inlineStr">
        <is>
          <t>https://www.lasillavacia.com/red-de-expertos/red-social/el-presupuesto-de-cultura-bajo-pero-no-por-la-cifra-que-dicen/</t>
        </is>
      </c>
    </row>
    <row r="127" ht="15" customHeight="1" s="31">
      <c r="A127" s="38" t="inlineStr">
        <is>
          <t>ART_013</t>
        </is>
      </c>
      <c r="B127" s="38" t="inlineStr">
        <is>
          <t>ART_013_S07</t>
        </is>
      </c>
      <c r="C127" s="38" t="inlineStr">
        <is>
          <t>La Silla Vacía</t>
        </is>
      </c>
      <c r="D127" s="38" t="inlineStr">
        <is>
          <t>Transición de gobierno y relación con la oposición</t>
        </is>
      </c>
      <c r="E127" s="38" t="inlineStr">
        <is>
          <t>Opinión-análisis</t>
        </is>
      </c>
      <c r="F127" s="38" t="inlineStr">
        <is>
          <t>Fri, 04 Sep 2026 19:00:00 +0000</t>
        </is>
      </c>
      <c r="G127"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H127" s="62" t="inlineStr">
        <is>
          <t>Restar la una de la otra no mide un recorte, mide la distancia entre lo ejecutable y una intención; mi abuela lo resumía mejor: no se pueden comparar peras con manzanas.</t>
        </is>
      </c>
      <c r="I127"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J127" s="38" t="n"/>
      <c r="K127" s="62" t="n"/>
      <c r="L127" s="38" t="n"/>
      <c r="M127" s="62" t="n"/>
      <c r="N127" s="38" t="n"/>
      <c r="O127" s="62" t="n"/>
      <c r="P127" s="38" t="n"/>
      <c r="Q127" s="62" t="n"/>
      <c r="R127" s="38" t="n"/>
      <c r="S127" s="62" t="n"/>
      <c r="T127" s="38" t="n"/>
      <c r="U127" s="62" t="n"/>
      <c r="V127" s="38" t="n"/>
      <c r="W127" s="62" t="n"/>
      <c r="X127" s="38" t="n"/>
      <c r="Y127" s="62" t="n"/>
      <c r="Z127" s="38" t="n"/>
      <c r="AA127" s="62" t="n"/>
      <c r="AB127" s="38" t="n"/>
      <c r="AC127" s="62" t="n"/>
      <c r="AD127" s="38" t="n"/>
      <c r="AE127" s="38" t="n"/>
      <c r="AF127" s="61">
        <f>IF(COUNTIF($B$5:B127,B127)=1,1,0)</f>
        <v/>
      </c>
      <c r="AG127" s="62" t="inlineStr">
        <is>
          <t>https://www.lasillavacia.com/red-de-expertos/red-social/el-presupuesto-de-cultura-bajo-pero-no-por-la-cifra-que-dicen/</t>
        </is>
      </c>
    </row>
    <row r="128" ht="15" customHeight="1" s="31">
      <c r="A128" s="38" t="inlineStr">
        <is>
          <t>ART_013</t>
        </is>
      </c>
      <c r="B128" s="38" t="inlineStr">
        <is>
          <t>ART_013_S08</t>
        </is>
      </c>
      <c r="C128" s="38" t="inlineStr">
        <is>
          <t>La Silla Vacía</t>
        </is>
      </c>
      <c r="D128" s="38" t="inlineStr">
        <is>
          <t>Transición de gobierno y relación con la oposición</t>
        </is>
      </c>
      <c r="E128" s="38" t="inlineStr">
        <is>
          <t>Opinión-análisis</t>
        </is>
      </c>
      <c r="F128" s="38" t="inlineStr">
        <is>
          <t>Fri, 04 Sep 2026 19:00:00 +0000</t>
        </is>
      </c>
      <c r="G128"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H128" s="62" t="inlineStr">
        <is>
          <t>Antes de que De la Espriella presentara su proyecto de presupuesto para 2027, el gobierno de Petro ya había radicado el suyo mediante el proyecto de Ley 152/2026C del 29 de julio, asignando 746.556 millones para el Ministerio, un 25,4% menos que en 2026; ese es el punto de partida real.</t>
        </is>
      </c>
      <c r="I128" s="62" t="inlineStr">
        <is>
          <t>Esta disminución sí es de este gobierno y ninguna corrección aritmética lo borra.</t>
        </is>
      </c>
      <c r="J128" s="38" t="n"/>
      <c r="K128" s="62" t="n"/>
      <c r="L128" s="38" t="n"/>
      <c r="M128" s="62" t="n"/>
      <c r="N128" s="38" t="n"/>
      <c r="O128" s="62" t="n"/>
      <c r="P128" s="38" t="n"/>
      <c r="Q128" s="62" t="n"/>
      <c r="R128" s="38" t="n"/>
      <c r="S128" s="62" t="n"/>
      <c r="T128" s="38" t="n"/>
      <c r="U128" s="62" t="n"/>
      <c r="V128" s="38" t="n"/>
      <c r="W128" s="62" t="n"/>
      <c r="X128" s="38" t="n"/>
      <c r="Y128" s="62" t="n"/>
      <c r="Z128" s="38" t="n"/>
      <c r="AA128" s="62" t="n"/>
      <c r="AB128" s="38" t="n"/>
      <c r="AC128" s="62" t="n"/>
      <c r="AD128" s="38" t="n"/>
      <c r="AE128" s="38" t="n"/>
      <c r="AF128" s="61">
        <f>IF(COUNTIF($B$5:B128,B128)=1,1,0)</f>
        <v/>
      </c>
      <c r="AG128" s="62" t="inlineStr">
        <is>
          <t>https://www.lasillavacia.com/red-de-expertos/red-social/el-presupuesto-de-cultura-bajo-pero-no-por-la-cifra-que-dicen/</t>
        </is>
      </c>
    </row>
    <row r="129" ht="15" customHeight="1" s="31">
      <c r="A129" s="38" t="inlineStr">
        <is>
          <t>ART_013</t>
        </is>
      </c>
      <c r="B129" s="38" t="inlineStr">
        <is>
          <t>ART_013_S09</t>
        </is>
      </c>
      <c r="C129" s="38" t="inlineStr">
        <is>
          <t>La Silla Vacía</t>
        </is>
      </c>
      <c r="D129" s="38" t="inlineStr">
        <is>
          <t>Transición de gobierno y relación con la oposición</t>
        </is>
      </c>
      <c r="E129" s="38" t="inlineStr">
        <is>
          <t>Opinión-análisis</t>
        </is>
      </c>
      <c r="F129" s="38" t="inlineStr">
        <is>
          <t>Fri, 04 Sep 2026 19:00:00 +0000</t>
        </is>
      </c>
      <c r="G129" s="62" t="inlineStr">
        <is>
          <t>Esta disminución sí es de este gobierno y ninguna corrección aritmética lo borra.</t>
        </is>
      </c>
      <c r="H129" s="62" t="inlineStr">
        <is>
          <t>Frente a este panorama, el ajuste que introdujo De la Espriella es de 40.360 millones, un 5,4% de toda la sección del Ministerio, y una parte de ese ajuste corresponde a un recorte concreto en el rubro de promoción y acceso efectivo a procesos culturales y artísticos, que financia festivales y programas de formación y acceso, el cual cayó de 305.585 a 265.585 millones, un 13,1% menos, el más grande en pesos de todo el sector.</t>
        </is>
      </c>
      <c r="I129"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J129" s="38" t="n"/>
      <c r="K129" s="62" t="n"/>
      <c r="L129" s="38" t="n"/>
      <c r="M129" s="62" t="n"/>
      <c r="N129" s="38" t="n"/>
      <c r="O129" s="62" t="n"/>
      <c r="P129" s="38" t="n"/>
      <c r="Q129" s="62" t="n"/>
      <c r="R129" s="38" t="n"/>
      <c r="S129" s="62" t="n"/>
      <c r="T129" s="38" t="n"/>
      <c r="U129" s="62" t="n"/>
      <c r="V129" s="38" t="n"/>
      <c r="W129" s="62" t="n"/>
      <c r="X129" s="38" t="n"/>
      <c r="Y129" s="62" t="n"/>
      <c r="Z129" s="38" t="n"/>
      <c r="AA129" s="62" t="n"/>
      <c r="AB129" s="38" t="n"/>
      <c r="AC129" s="62" t="n"/>
      <c r="AD129" s="38" t="n"/>
      <c r="AE129" s="38" t="n"/>
      <c r="AF129" s="61">
        <f>IF(COUNTIF($B$5:B129,B129)=1,1,0)</f>
        <v/>
      </c>
      <c r="AG129" s="62" t="inlineStr">
        <is>
          <t>https://www.lasillavacia.com/red-de-expertos/red-social/el-presupuesto-de-cultura-bajo-pero-no-por-la-cifra-que-dicen/</t>
        </is>
      </c>
    </row>
    <row r="130" ht="15" customHeight="1" s="31">
      <c r="A130" s="38" t="inlineStr">
        <is>
          <t>ART_013</t>
        </is>
      </c>
      <c r="B130" s="38" t="inlineStr">
        <is>
          <t>ART_013_S10</t>
        </is>
      </c>
      <c r="C130" s="38" t="inlineStr">
        <is>
          <t>La Silla Vacía</t>
        </is>
      </c>
      <c r="D130" s="38" t="inlineStr">
        <is>
          <t>Transición de gobierno y relación con la oposición</t>
        </is>
      </c>
      <c r="E130" s="38" t="inlineStr">
        <is>
          <t>Opinión-análisis</t>
        </is>
      </c>
      <c r="F130" s="38" t="inlineStr">
        <is>
          <t>Fri, 04 Sep 2026 19:00:00 +0000</t>
        </is>
      </c>
      <c r="G130"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H130" s="62" t="inlineStr">
        <is>
          <t>Esta disminución sí es de este gobierno y ninguna corrección aritmética lo borra.</t>
        </is>
      </c>
      <c r="I130" s="62" t="inlineStr">
        <is>
          <t>Atribuirle a este gobierno la caída del 29,5% le borra al anterior una tendencia que él mismo trazó, y le regala al actual una defensa que no debería necesitar.</t>
        </is>
      </c>
      <c r="J130" s="38" t="n"/>
      <c r="K130" s="62" t="n"/>
      <c r="L130" s="38" t="n"/>
      <c r="M130" s="62" t="n"/>
      <c r="N130" s="38" t="n"/>
      <c r="O130" s="62" t="n"/>
      <c r="P130" s="38" t="n"/>
      <c r="Q130" s="62" t="n"/>
      <c r="R130" s="38" t="n"/>
      <c r="S130" s="62" t="n"/>
      <c r="T130" s="38" t="n"/>
      <c r="U130" s="62" t="n"/>
      <c r="V130" s="38" t="n"/>
      <c r="W130" s="62" t="n"/>
      <c r="X130" s="38" t="n"/>
      <c r="Y130" s="62" t="n"/>
      <c r="Z130" s="38" t="n"/>
      <c r="AA130" s="62" t="n"/>
      <c r="AB130" s="38" t="n"/>
      <c r="AC130" s="62" t="n"/>
      <c r="AD130" s="38" t="n"/>
      <c r="AE130" s="38" t="n"/>
      <c r="AF130" s="61">
        <f>IF(COUNTIF($B$5:B130,B130)=1,1,0)</f>
        <v/>
      </c>
      <c r="AG130" s="62" t="inlineStr">
        <is>
          <t>https://www.lasillavacia.com/red-de-expertos/red-social/el-presupuesto-de-cultura-bajo-pero-no-por-la-cifra-que-dicen/</t>
        </is>
      </c>
    </row>
    <row r="131" ht="15" customHeight="1" s="31">
      <c r="A131" s="38" t="inlineStr">
        <is>
          <t>ART_013</t>
        </is>
      </c>
      <c r="B131" s="38" t="inlineStr">
        <is>
          <t>ART_013_S11</t>
        </is>
      </c>
      <c r="C131" s="38" t="inlineStr">
        <is>
          <t>La Silla Vacía</t>
        </is>
      </c>
      <c r="D131" s="38" t="inlineStr">
        <is>
          <t>Transición de gobierno y relación con la oposición</t>
        </is>
      </c>
      <c r="E131" s="38" t="inlineStr">
        <is>
          <t>Opinión-análisis</t>
        </is>
      </c>
      <c r="F131" s="38" t="inlineStr">
        <is>
          <t>Fri, 04 Sep 2026 19:00:00 +0000</t>
        </is>
      </c>
      <c r="G131" s="62" t="inlineStr">
        <is>
          <t>Atribuirle a este gobierno la caída del 29,5% le borra al anterior una tendencia que él mismo trazó, y le regala al actual una defensa que no debería necesitar.</t>
        </is>
      </c>
      <c r="H131" s="62" t="inlineStr">
        <is>
          <t>Pero la caída empezó antes, y la firmó el mismo gobierno que hoy la denuncia: Petro había propuesto inicialmente 1.140.000 millones para 2026 y el Congreso aprobó 1.001.388 millones; cuando presentó su proyecto para 2027 la cifra ya venía en 746.556 millones, tres momentos consecutivos de reducción dentro de la misma administración, antes de que Abelardo de la Espriella tocara una sola línea del presupuesto.</t>
        </is>
      </c>
      <c r="I131" s="62" t="inlineStr">
        <is>
          <t>El resto del ajuste repite el mismo patrón en las otras tres entidades del sector: en el Archivo General de la Nación el presupuesto total pasó de 48.675 a 44.036 millones, una caída del 9,5% concentrada casi por completo en el rubro de fortalecimiento institucional, que bajó de 15.513 a 9.757 millones; en el Instituto Colombiano de Antropología e Historia la caída total fue de apenas el 2,8%, de 49.535 a 48.160 millones, con el mismo recorte a la mitad en ese rubro institucional, de 5.696 a 2.848 millones; y en el Instituto Caro y Cuervo, el más pequeño de los cuatro, la pérdida fue solo del 1,1%, de 31.315 a 30.960 millones.</t>
        </is>
      </c>
      <c r="J131" s="38" t="n"/>
      <c r="K131" s="62" t="n"/>
      <c r="L131" s="38" t="n"/>
      <c r="M131" s="62" t="n"/>
      <c r="N131" s="38" t="n"/>
      <c r="O131" s="62" t="n"/>
      <c r="P131" s="38" t="n"/>
      <c r="Q131" s="62" t="n"/>
      <c r="R131" s="38" t="n"/>
      <c r="S131" s="62" t="n"/>
      <c r="T131" s="38" t="n"/>
      <c r="U131" s="62" t="n"/>
      <c r="V131" s="38" t="n"/>
      <c r="W131" s="62" t="n"/>
      <c r="X131" s="38" t="n"/>
      <c r="Y131" s="62" t="n"/>
      <c r="Z131" s="38" t="n"/>
      <c r="AA131" s="62" t="n"/>
      <c r="AB131" s="38" t="n"/>
      <c r="AC131" s="62" t="n"/>
      <c r="AD131" s="38" t="n"/>
      <c r="AE131" s="38" t="n"/>
      <c r="AF131" s="61">
        <f>IF(COUNTIF($B$5:B131,B131)=1,1,0)</f>
        <v/>
      </c>
      <c r="AG131" s="62" t="inlineStr">
        <is>
          <t>https://www.lasillavacia.com/red-de-expertos/red-social/el-presupuesto-de-cultura-bajo-pero-no-por-la-cifra-que-dicen/</t>
        </is>
      </c>
    </row>
    <row r="132" ht="15" customHeight="1" s="31">
      <c r="A132" s="38" t="inlineStr">
        <is>
          <t>ART_013</t>
        </is>
      </c>
      <c r="B132" s="38" t="inlineStr">
        <is>
          <t>ART_013_S12</t>
        </is>
      </c>
      <c r="C132" s="38" t="inlineStr">
        <is>
          <t>La Silla Vacía</t>
        </is>
      </c>
      <c r="D132" s="38" t="inlineStr">
        <is>
          <t>Transición de gobierno y relación con la oposición</t>
        </is>
      </c>
      <c r="E132" s="38" t="inlineStr">
        <is>
          <t>Opinión-análisis</t>
        </is>
      </c>
      <c r="F132" s="38" t="inlineStr">
        <is>
          <t>Fri, 04 Sep 2026 19:00:00 +0000</t>
        </is>
      </c>
      <c r="G132" s="62" t="inlineStr">
        <is>
          <t>El resto del ajuste repite el mismo patrón en las otras tres entidades del sector: en el Archivo General de la Nación el presupuesto total pasó de 48.675 a 44.036 millones, una caída del 9,5% concentrada casi por completo en el rubro de fortalecimiento institucional, que bajó de 15.513 a 9.757 millones; en el Instituto Colombiano de Antropología e Historia la caída total fue de apenas el 2,8%, de 49.535 a 48.160 millones, con el mismo recorte a la mitad en ese rubro institucional, de 5.696 a 2.848 millones; y en el Instituto Caro y Cuervo, el más pequeño de los cuatro, la pérdida fue solo del 1,1%, de 31.315 a 30.960 millones.</t>
        </is>
      </c>
      <c r="H132" s="62" t="inlineStr">
        <is>
          <t>Atribuirle a este gobierno la caída del 29,5% le borra al anterior una tendencia que él mismo trazó, y le regala al actual una defensa que no debería necesitar.</t>
        </is>
      </c>
      <c r="I132" s="62" t="n"/>
      <c r="J132" s="38" t="n"/>
      <c r="K132" s="62" t="n"/>
      <c r="L132" s="38" t="n"/>
      <c r="M132" s="62" t="n"/>
      <c r="N132" s="38" t="n"/>
      <c r="O132" s="62" t="n"/>
      <c r="P132" s="38" t="n"/>
      <c r="Q132" s="62" t="n"/>
      <c r="R132" s="38" t="n"/>
      <c r="S132" s="62" t="n"/>
      <c r="T132" s="38" t="n"/>
      <c r="U132" s="62" t="n"/>
      <c r="V132" s="38" t="n"/>
      <c r="W132" s="62" t="n"/>
      <c r="X132" s="38" t="n"/>
      <c r="Y132" s="62" t="n"/>
      <c r="Z132" s="38" t="n"/>
      <c r="AA132" s="62" t="n"/>
      <c r="AB132" s="38" t="n"/>
      <c r="AC132" s="62" t="n"/>
      <c r="AD132" s="38" t="n"/>
      <c r="AE132" s="38" t="n"/>
      <c r="AF132" s="61">
        <f>IF(COUNTIF($B$5:B132,B132)=1,1,0)</f>
        <v/>
      </c>
      <c r="AG132" s="62" t="inlineStr">
        <is>
          <t>https://www.lasillavacia.com/red-de-expertos/red-social/el-presupuesto-de-cultura-bajo-pero-no-por-la-cifra-que-dicen/</t>
        </is>
      </c>
    </row>
    <row r="133" ht="15" customHeight="1" s="31">
      <c r="A133" s="38" t="inlineStr">
        <is>
          <t>ART_014</t>
        </is>
      </c>
      <c r="B133" s="38" t="inlineStr">
        <is>
          <t>ART_014_S01</t>
        </is>
      </c>
      <c r="C133" s="38" t="inlineStr">
        <is>
          <t>Semana</t>
        </is>
      </c>
      <c r="D133" s="38" t="inlineStr">
        <is>
          <t>Transición de gobierno y relación con la oposición</t>
        </is>
      </c>
      <c r="E133" s="38" t="inlineStr">
        <is>
          <t>Noticia dura</t>
        </is>
      </c>
      <c r="F133" s="38" t="inlineStr">
        <is>
          <t>Fri, 04 Sep 2026 20:38:57 +0000</t>
        </is>
      </c>
      <c r="G133" s="62" t="inlineStr">
        <is>
          <t>Por medio de su cuenta de Instagram, el presidente Abelardo De La Espriella publicó una historia que no pasó desapercibida y que llamó la atención de los usuarios de las redes sociales.</t>
        </is>
      </c>
      <c r="H133" s="62" t="n"/>
      <c r="I133"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J133" s="38" t="n"/>
      <c r="K133" s="62" t="n"/>
      <c r="L133" s="38" t="n"/>
      <c r="M133" s="62" t="n"/>
      <c r="N133" s="38" t="n"/>
      <c r="O133" s="62" t="n"/>
      <c r="P133" s="38" t="n"/>
      <c r="Q133" s="62" t="n"/>
      <c r="R133" s="38" t="n"/>
      <c r="S133" s="62" t="n"/>
      <c r="T133" s="38" t="n"/>
      <c r="U133" s="62" t="n"/>
      <c r="V133" s="38" t="n"/>
      <c r="W133" s="62" t="n"/>
      <c r="X133" s="38" t="n"/>
      <c r="Y133" s="62" t="n"/>
      <c r="Z133" s="38" t="n"/>
      <c r="AA133" s="62" t="n"/>
      <c r="AB133" s="38" t="n"/>
      <c r="AC133" s="62" t="n"/>
      <c r="AD133" s="38" t="n"/>
      <c r="AE133" s="38" t="n"/>
      <c r="AF133" s="61">
        <f>IF(COUNTIF($B$5:B133,B133)=1,1,0)</f>
        <v/>
      </c>
      <c r="AG133" s="62" t="inlineStr">
        <is>
          <t>https://www.semana.com/politica/articulo/la-publicacion-de-abelardo-de-la-espriella-que-vaticinaba-la-suerte-que-iba-a-tener-alias-bendito-menor-que-impacto-las-redes/202657/</t>
        </is>
      </c>
    </row>
    <row r="134" ht="15" customHeight="1" s="31">
      <c r="A134" s="38" t="inlineStr">
        <is>
          <t>ART_014</t>
        </is>
      </c>
      <c r="B134" s="38" t="inlineStr">
        <is>
          <t>ART_014_S02</t>
        </is>
      </c>
      <c r="C134" s="38" t="inlineStr">
        <is>
          <t>Semana</t>
        </is>
      </c>
      <c r="D134" s="38" t="inlineStr">
        <is>
          <t>Transición de gobierno y relación con la oposición</t>
        </is>
      </c>
      <c r="E134" s="38" t="inlineStr">
        <is>
          <t>Noticia dura</t>
        </is>
      </c>
      <c r="F134" s="38" t="inlineStr">
        <is>
          <t>Fri, 04 Sep 2026 20:38:57 +0000</t>
        </is>
      </c>
      <c r="G134"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H134" s="62" t="inlineStr">
        <is>
          <t>Por medio de su cuenta de Instagram, el presidente Abelardo De La Espriella publicó una historia que no pasó desapercibida y que llamó la atención de los usuarios de las redes sociales.</t>
        </is>
      </c>
      <c r="I134" s="62" t="inlineStr">
        <is>
          <t>“Quien decida continuar atacando a Colombia, encontrará enfrente toda la capacidad legítima del Estado”, expresó la publicación en la cuenta de Instagram del mandatario.</t>
        </is>
      </c>
      <c r="J134" s="38" t="n"/>
      <c r="K134" s="62" t="n"/>
      <c r="L134" s="38" t="n"/>
      <c r="M134" s="62" t="n"/>
      <c r="N134" s="38" t="n"/>
      <c r="O134" s="62" t="n"/>
      <c r="P134" s="38" t="n"/>
      <c r="Q134" s="62" t="n"/>
      <c r="R134" s="38" t="n"/>
      <c r="S134" s="62" t="n"/>
      <c r="T134" s="38" t="n"/>
      <c r="U134" s="62" t="n"/>
      <c r="V134" s="38" t="n"/>
      <c r="W134" s="62" t="n"/>
      <c r="X134" s="38" t="n"/>
      <c r="Y134" s="62" t="n"/>
      <c r="Z134" s="38" t="n"/>
      <c r="AA134" s="62" t="n"/>
      <c r="AB134" s="38" t="n"/>
      <c r="AC134" s="62" t="n"/>
      <c r="AD134" s="38" t="n"/>
      <c r="AE134" s="38" t="n"/>
      <c r="AF134" s="61">
        <f>IF(COUNTIF($B$5:B134,B134)=1,1,0)</f>
        <v/>
      </c>
      <c r="AG134" s="62" t="inlineStr">
        <is>
          <t>https://www.semana.com/politica/articulo/la-publicacion-de-abelardo-de-la-espriella-que-vaticinaba-la-suerte-que-iba-a-tener-alias-bendito-menor-que-impacto-las-redes/202657/</t>
        </is>
      </c>
    </row>
    <row r="135" ht="15" customHeight="1" s="31">
      <c r="A135" s="38" t="inlineStr">
        <is>
          <t>ART_014</t>
        </is>
      </c>
      <c r="B135" s="38" t="inlineStr">
        <is>
          <t>ART_014_S03</t>
        </is>
      </c>
      <c r="C135" s="38" t="inlineStr">
        <is>
          <t>Semana</t>
        </is>
      </c>
      <c r="D135" s="38" t="inlineStr">
        <is>
          <t>Transición de gobierno y relación con la oposición</t>
        </is>
      </c>
      <c r="E135" s="38" t="inlineStr">
        <is>
          <t>Noticia dura</t>
        </is>
      </c>
      <c r="F135" s="38" t="inlineStr">
        <is>
          <t>Fri, 04 Sep 2026 20:38:57 +0000</t>
        </is>
      </c>
      <c r="G135" s="62" t="inlineStr">
        <is>
          <t>“Quien decida continuar atacando a Colombia, encontrará enfrente toda la capacidad legítima del Estado”, expresó la publicación en la cuenta de Instagram del mandatario.</t>
        </is>
      </c>
      <c r="H135"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I135" s="62" t="inlineStr">
        <is>
          <t>Frente al caso de alias Bendito Menor, ese peligroso cabecilla fue dado de baja por una acción articulada que desplegó la Policía Nacional en el departamento de La Guajira.</t>
        </is>
      </c>
      <c r="J135" s="38" t="n"/>
      <c r="K135" s="62" t="n"/>
      <c r="L135" s="38" t="n"/>
      <c r="M135" s="62" t="n"/>
      <c r="N135" s="38" t="n"/>
      <c r="O135" s="62" t="n"/>
      <c r="P135" s="38" t="n"/>
      <c r="Q135" s="62" t="n"/>
      <c r="R135" s="38" t="n"/>
      <c r="S135" s="62" t="n"/>
      <c r="T135" s="38" t="n"/>
      <c r="U135" s="62" t="n"/>
      <c r="V135" s="38" t="n"/>
      <c r="W135" s="62" t="n"/>
      <c r="X135" s="38" t="n"/>
      <c r="Y135" s="62" t="n"/>
      <c r="Z135" s="38" t="n"/>
      <c r="AA135" s="62" t="n"/>
      <c r="AB135" s="38" t="n"/>
      <c r="AC135" s="62" t="n"/>
      <c r="AD135" s="38" t="n"/>
      <c r="AE135" s="38" t="n"/>
      <c r="AF135" s="61">
        <f>IF(COUNTIF($B$5:B135,B135)=1,1,0)</f>
        <v/>
      </c>
      <c r="AG135" s="62" t="inlineStr">
        <is>
          <t>https://www.semana.com/politica/articulo/la-publicacion-de-abelardo-de-la-espriella-que-vaticinaba-la-suerte-que-iba-a-tener-alias-bendito-menor-que-impacto-las-redes/202657/</t>
        </is>
      </c>
    </row>
    <row r="136" ht="15" customHeight="1" s="31">
      <c r="A136" s="38" t="inlineStr">
        <is>
          <t>ART_014</t>
        </is>
      </c>
      <c r="B136" s="38" t="inlineStr">
        <is>
          <t>ART_014_S04</t>
        </is>
      </c>
      <c r="C136" s="38" t="inlineStr">
        <is>
          <t>Semana</t>
        </is>
      </c>
      <c r="D136" s="38" t="inlineStr">
        <is>
          <t>Transición de gobierno y relación con la oposición</t>
        </is>
      </c>
      <c r="E136" s="38" t="inlineStr">
        <is>
          <t>Noticia dura</t>
        </is>
      </c>
      <c r="F136" s="38" t="inlineStr">
        <is>
          <t>Fri, 04 Sep 2026 20:38:57 +0000</t>
        </is>
      </c>
      <c r="G136" s="62" t="inlineStr">
        <is>
          <t>Frente al caso de alias Bendito Menor, ese peligroso cabecilla fue dado de baja por una acción articulada que desplegó la Policía Nacional en el departamento de La Guajira.</t>
        </is>
      </c>
      <c r="H136" s="62" t="inlineStr">
        <is>
          <t>“Quien decida continuar atacando a Colombia, encontrará enfrente toda la capacidad legítima del Estado”, expresó la publicación en la cuenta de Instagram del mandatario.</t>
        </is>
      </c>
      <c r="I136" s="62" t="inlineStr">
        <is>
          <t>El presidente De La Espriella, este viernes, 4 de septiembre, reveló detalles de la operación: “Hoy es un gran día para Colombia.</t>
        </is>
      </c>
      <c r="J136" s="38" t="n"/>
      <c r="K136" s="62" t="n"/>
      <c r="L136" s="38" t="n"/>
      <c r="M136" s="62" t="n"/>
      <c r="N136" s="38" t="n"/>
      <c r="O136" s="62" t="n"/>
      <c r="P136" s="38" t="n"/>
      <c r="Q136" s="62" t="n"/>
      <c r="R136" s="38" t="n"/>
      <c r="S136" s="62" t="n"/>
      <c r="T136" s="38" t="n"/>
      <c r="U136" s="62" t="n"/>
      <c r="V136" s="38" t="n"/>
      <c r="W136" s="62" t="n"/>
      <c r="X136" s="38" t="n"/>
      <c r="Y136" s="62" t="n"/>
      <c r="Z136" s="38" t="n"/>
      <c r="AA136" s="62" t="n"/>
      <c r="AB136" s="38" t="n"/>
      <c r="AC136" s="62" t="n"/>
      <c r="AD136" s="38" t="n"/>
      <c r="AE136" s="38" t="n"/>
      <c r="AF136" s="61">
        <f>IF(COUNTIF($B$5:B136,B136)=1,1,0)</f>
        <v/>
      </c>
      <c r="AG136" s="62" t="inlineStr">
        <is>
          <t>https://www.semana.com/politica/articulo/la-publicacion-de-abelardo-de-la-espriella-que-vaticinaba-la-suerte-que-iba-a-tener-alias-bendito-menor-que-impacto-las-redes/202657/</t>
        </is>
      </c>
    </row>
    <row r="137" ht="15" customHeight="1" s="31">
      <c r="A137" s="38" t="inlineStr">
        <is>
          <t>ART_014</t>
        </is>
      </c>
      <c r="B137" s="38" t="inlineStr">
        <is>
          <t>ART_014_S05</t>
        </is>
      </c>
      <c r="C137" s="38" t="inlineStr">
        <is>
          <t>Semana</t>
        </is>
      </c>
      <c r="D137" s="38" t="inlineStr">
        <is>
          <t>Transición de gobierno y relación con la oposición</t>
        </is>
      </c>
      <c r="E137" s="38" t="inlineStr">
        <is>
          <t>Noticia dura</t>
        </is>
      </c>
      <c r="F137" s="38" t="inlineStr">
        <is>
          <t>Fri, 04 Sep 2026 20:38:57 +0000</t>
        </is>
      </c>
      <c r="G137" s="62" t="inlineStr">
        <is>
          <t>El presidente De La Espriella, este viernes, 4 de septiembre, reveló detalles de la operación: “Hoy es un gran día para Colombia.</t>
        </is>
      </c>
      <c r="H137" s="62" t="inlineStr">
        <is>
          <t>Frente al caso de alias Bendito Menor, ese peligroso cabecilla fue dado de baja por una acción articulada que desplegó la Policía Nacional en el departamento de La Guajira.</t>
        </is>
      </c>
      <c r="I137" s="62" t="inlineStr">
        <is>
          <t>Gracias a una operación impecable realizada por nuestra Policía Nacional por un comando especial de la Dijín, se dio de baja a uno de los más peligrosos delincuentes de nuestro país, alias Naín o Bendito Menor”.</t>
        </is>
      </c>
      <c r="J137" s="38" t="n"/>
      <c r="K137" s="62" t="n"/>
      <c r="L137" s="38" t="n"/>
      <c r="M137" s="62" t="n"/>
      <c r="N137" s="38" t="n"/>
      <c r="O137" s="62" t="n"/>
      <c r="P137" s="38" t="n"/>
      <c r="Q137" s="62" t="n"/>
      <c r="R137" s="38" t="n"/>
      <c r="S137" s="62" t="n"/>
      <c r="T137" s="38" t="n"/>
      <c r="U137" s="62" t="n"/>
      <c r="V137" s="38" t="n"/>
      <c r="W137" s="62" t="n"/>
      <c r="X137" s="38" t="n"/>
      <c r="Y137" s="62" t="n"/>
      <c r="Z137" s="38" t="n"/>
      <c r="AA137" s="62" t="n"/>
      <c r="AB137" s="38" t="n"/>
      <c r="AC137" s="62" t="n"/>
      <c r="AD137" s="38" t="n"/>
      <c r="AE137" s="38" t="n"/>
      <c r="AF137" s="61">
        <f>IF(COUNTIF($B$5:B137,B137)=1,1,0)</f>
        <v/>
      </c>
      <c r="AG137" s="62" t="inlineStr">
        <is>
          <t>https://www.semana.com/politica/articulo/la-publicacion-de-abelardo-de-la-espriella-que-vaticinaba-la-suerte-que-iba-a-tener-alias-bendito-menor-que-impacto-las-redes/202657/</t>
        </is>
      </c>
    </row>
    <row r="138" ht="15" customHeight="1" s="31">
      <c r="A138" s="38" t="inlineStr">
        <is>
          <t>ART_014</t>
        </is>
      </c>
      <c r="B138" s="38" t="inlineStr">
        <is>
          <t>ART_014_S06</t>
        </is>
      </c>
      <c r="C138" s="38" t="inlineStr">
        <is>
          <t>Semana</t>
        </is>
      </c>
      <c r="D138" s="38" t="inlineStr">
        <is>
          <t>Transición de gobierno y relación con la oposición</t>
        </is>
      </c>
      <c r="E138" s="38" t="inlineStr">
        <is>
          <t>Noticia dura</t>
        </is>
      </c>
      <c r="F138" s="38" t="inlineStr">
        <is>
          <t>Fri, 04 Sep 2026 20:38:57 +0000</t>
        </is>
      </c>
      <c r="G138" s="62" t="inlineStr">
        <is>
          <t>Gracias a una operación impecable realizada por nuestra Policía Nacional por un comando especial de la Dijín, se dio de baja a uno de los más peligrosos delincuentes de nuestro país, alias Naín o Bendito Menor”.</t>
        </is>
      </c>
      <c r="H138" s="62" t="inlineStr">
        <is>
          <t>El presidente De La Espriella, este viernes, 4 de septiembre, reveló detalles de la operación: “Hoy es un gran día para Colombia.</t>
        </is>
      </c>
      <c r="I138" s="62" t="inlineStr">
        <is>
          <t>“Hoy ha llegado el fin de las actividades criminales de este narcoterrorista que tenía azotada a La Guajira y al Caribe colombiano mediante el narcotráfico, la extorsión y la presión a la población.</t>
        </is>
      </c>
      <c r="J138" s="38" t="n"/>
      <c r="K138" s="62" t="n"/>
      <c r="L138" s="38" t="n"/>
      <c r="M138" s="62" t="n"/>
      <c r="N138" s="38" t="n"/>
      <c r="O138" s="62" t="n"/>
      <c r="P138" s="38" t="n"/>
      <c r="Q138" s="62" t="n"/>
      <c r="R138" s="38" t="n"/>
      <c r="S138" s="62" t="n"/>
      <c r="T138" s="38" t="n"/>
      <c r="U138" s="62" t="n"/>
      <c r="V138" s="38" t="n"/>
      <c r="W138" s="62" t="n"/>
      <c r="X138" s="38" t="n"/>
      <c r="Y138" s="62" t="n"/>
      <c r="Z138" s="38" t="n"/>
      <c r="AA138" s="62" t="n"/>
      <c r="AB138" s="38" t="n"/>
      <c r="AC138" s="62" t="n"/>
      <c r="AD138" s="38" t="n"/>
      <c r="AE138" s="38" t="n"/>
      <c r="AF138" s="61">
        <f>IF(COUNTIF($B$5:B138,B138)=1,1,0)</f>
        <v/>
      </c>
      <c r="AG138" s="62" t="inlineStr">
        <is>
          <t>https://www.semana.com/politica/articulo/la-publicacion-de-abelardo-de-la-espriella-que-vaticinaba-la-suerte-que-iba-a-tener-alias-bendito-menor-que-impacto-las-redes/202657/</t>
        </is>
      </c>
    </row>
    <row r="139" ht="15" customHeight="1" s="31">
      <c r="A139" s="38" t="inlineStr">
        <is>
          <t>ART_014</t>
        </is>
      </c>
      <c r="B139" s="38" t="inlineStr">
        <is>
          <t>ART_014_S07</t>
        </is>
      </c>
      <c r="C139" s="38" t="inlineStr">
        <is>
          <t>Semana</t>
        </is>
      </c>
      <c r="D139" s="38" t="inlineStr">
        <is>
          <t>Transición de gobierno y relación con la oposición</t>
        </is>
      </c>
      <c r="E139" s="38" t="inlineStr">
        <is>
          <t>Noticia dura</t>
        </is>
      </c>
      <c r="F139" s="38" t="inlineStr">
        <is>
          <t>Fri, 04 Sep 2026 20:38:57 +0000</t>
        </is>
      </c>
      <c r="G139" s="62" t="inlineStr">
        <is>
          <t>“Hoy ha llegado el fin de las actividades criminales de este narcoterrorista que tenía azotada a La Guajira y al Caribe colombiano mediante el narcotráfico, la extorsión y la presión a la población.</t>
        </is>
      </c>
      <c r="H139" s="62" t="inlineStr">
        <is>
          <t>Gracias a una operación impecable realizada por nuestra Policía Nacional por un comando especial de la Dijín, se dio de baja a uno de los más peligrosos delincuentes de nuestro país, alias Naín o Bendito Menor”.</t>
        </is>
      </c>
      <c r="I139" s="62" t="inlineStr">
        <is>
          <t>Este delincuente, que no seguirá delinquiendo porque le cayó la mano de hierro del Estado, tenía arrodillada a la población, llena de miedo”, afirmó el mandatario colombiano en una declaración que dio desde La Guajira.</t>
        </is>
      </c>
      <c r="J139" s="38" t="n"/>
      <c r="K139" s="62" t="n"/>
      <c r="L139" s="38" t="n"/>
      <c r="M139" s="62" t="n"/>
      <c r="N139" s="38" t="n"/>
      <c r="O139" s="62" t="n"/>
      <c r="P139" s="38" t="n"/>
      <c r="Q139" s="62" t="n"/>
      <c r="R139" s="38" t="n"/>
      <c r="S139" s="62" t="n"/>
      <c r="T139" s="38" t="n"/>
      <c r="U139" s="62" t="n"/>
      <c r="V139" s="38" t="n"/>
      <c r="W139" s="62" t="n"/>
      <c r="X139" s="38" t="n"/>
      <c r="Y139" s="62" t="n"/>
      <c r="Z139" s="38" t="n"/>
      <c r="AA139" s="62" t="n"/>
      <c r="AB139" s="38" t="n"/>
      <c r="AC139" s="62" t="n"/>
      <c r="AD139" s="38" t="n"/>
      <c r="AE139" s="38" t="n"/>
      <c r="AF139" s="61">
        <f>IF(COUNTIF($B$5:B139,B139)=1,1,0)</f>
        <v/>
      </c>
      <c r="AG139" s="62" t="inlineStr">
        <is>
          <t>https://www.semana.com/politica/articulo/la-publicacion-de-abelardo-de-la-espriella-que-vaticinaba-la-suerte-que-iba-a-tener-alias-bendito-menor-que-impacto-las-redes/202657/</t>
        </is>
      </c>
    </row>
    <row r="140" ht="15" customHeight="1" s="31">
      <c r="A140" s="38" t="inlineStr">
        <is>
          <t>ART_014</t>
        </is>
      </c>
      <c r="B140" s="38" t="inlineStr">
        <is>
          <t>ART_014_S08</t>
        </is>
      </c>
      <c r="C140" s="38" t="inlineStr">
        <is>
          <t>Semana</t>
        </is>
      </c>
      <c r="D140" s="38" t="inlineStr">
        <is>
          <t>Transición de gobierno y relación con la oposición</t>
        </is>
      </c>
      <c r="E140" s="38" t="inlineStr">
        <is>
          <t>Noticia dura</t>
        </is>
      </c>
      <c r="F140" s="38" t="inlineStr">
        <is>
          <t>Fri, 04 Sep 2026 20:38:57 +0000</t>
        </is>
      </c>
      <c r="G140" s="62" t="inlineStr">
        <is>
          <t>Este delincuente, que no seguirá delinquiendo porque le cayó la mano de hierro del Estado, tenía arrodillada a la población, llena de miedo”, afirmó el mandatario colombiano en una declaración que dio desde La Guajira.</t>
        </is>
      </c>
      <c r="H140" s="62" t="inlineStr">
        <is>
          <t>“Hoy ha llegado el fin de las actividades criminales de este narcoterrorista que tenía azotada a La Guajira y al Caribe colombiano mediante el narcotráfico, la extorsión y la presión a la población.</t>
        </is>
      </c>
      <c r="I140" s="62" t="inlineStr">
        <is>
          <t>También expresó: “En el Gobierno del Tigre la gente de bien no volverá a sentir miedo.</t>
        </is>
      </c>
      <c r="J140" s="38" t="n"/>
      <c r="K140" s="62" t="n"/>
      <c r="L140" s="38" t="n"/>
      <c r="M140" s="62" t="n"/>
      <c r="N140" s="38" t="n"/>
      <c r="O140" s="62" t="n"/>
      <c r="P140" s="38" t="n"/>
      <c r="Q140" s="62" t="n"/>
      <c r="R140" s="38" t="n"/>
      <c r="S140" s="62" t="n"/>
      <c r="T140" s="38" t="n"/>
      <c r="U140" s="62" t="n"/>
      <c r="V140" s="38" t="n"/>
      <c r="W140" s="62" t="n"/>
      <c r="X140" s="38" t="n"/>
      <c r="Y140" s="62" t="n"/>
      <c r="Z140" s="38" t="n"/>
      <c r="AA140" s="62" t="n"/>
      <c r="AB140" s="38" t="n"/>
      <c r="AC140" s="62" t="n"/>
      <c r="AD140" s="38" t="n"/>
      <c r="AE140" s="38" t="n"/>
      <c r="AF140" s="61">
        <f>IF(COUNTIF($B$5:B140,B140)=1,1,0)</f>
        <v/>
      </c>
      <c r="AG140" s="62" t="inlineStr">
        <is>
          <t>https://www.semana.com/politica/articulo/la-publicacion-de-abelardo-de-la-espriella-que-vaticinaba-la-suerte-que-iba-a-tener-alias-bendito-menor-que-impacto-las-redes/202657/</t>
        </is>
      </c>
    </row>
    <row r="141" ht="15" customHeight="1" s="31">
      <c r="A141" s="38" t="inlineStr">
        <is>
          <t>ART_014</t>
        </is>
      </c>
      <c r="B141" s="38" t="inlineStr">
        <is>
          <t>ART_014_S09</t>
        </is>
      </c>
      <c r="C141" s="38" t="inlineStr">
        <is>
          <t>Semana</t>
        </is>
      </c>
      <c r="D141" s="38" t="inlineStr">
        <is>
          <t>Transición de gobierno y relación con la oposición</t>
        </is>
      </c>
      <c r="E141" s="38" t="inlineStr">
        <is>
          <t>Noticia dura</t>
        </is>
      </c>
      <c r="F141" s="38" t="inlineStr">
        <is>
          <t>Fri, 04 Sep 2026 20:38:57 +0000</t>
        </is>
      </c>
      <c r="G141" s="62" t="inlineStr">
        <is>
          <t>También expresó: “En el Gobierno del Tigre la gente de bien no volverá a sentir miedo.</t>
        </is>
      </c>
      <c r="H141" s="62" t="inlineStr">
        <is>
          <t>Este delincuente, que no seguirá delinquiendo porque le cayó la mano de hierro del Estado, tenía arrodillada a la población, llena de miedo”, afirmó el mandatario colombiano en una declaración que dio desde La Guajira.</t>
        </is>
      </c>
      <c r="I141" s="62" t="inlineStr">
        <is>
          <t>Los que tienen que sentir pánico y terror son los delincuentes, porque aquellos que no se sometan terminarán de esta forma.</t>
        </is>
      </c>
      <c r="J141" s="38" t="n"/>
      <c r="K141" s="62" t="n"/>
      <c r="L141" s="38" t="n"/>
      <c r="M141" s="62" t="n"/>
      <c r="N141" s="38" t="n"/>
      <c r="O141" s="62" t="n"/>
      <c r="P141" s="38" t="n"/>
      <c r="Q141" s="62" t="n"/>
      <c r="R141" s="38" t="n"/>
      <c r="S141" s="62" t="n"/>
      <c r="T141" s="38" t="n"/>
      <c r="U141" s="62" t="n"/>
      <c r="V141" s="38" t="n"/>
      <c r="W141" s="62" t="n"/>
      <c r="X141" s="38" t="n"/>
      <c r="Y141" s="62" t="n"/>
      <c r="Z141" s="38" t="n"/>
      <c r="AA141" s="62" t="n"/>
      <c r="AB141" s="38" t="n"/>
      <c r="AC141" s="62" t="n"/>
      <c r="AD141" s="38" t="n"/>
      <c r="AE141" s="38" t="n"/>
      <c r="AF141" s="61">
        <f>IF(COUNTIF($B$5:B141,B141)=1,1,0)</f>
        <v/>
      </c>
      <c r="AG141" s="62" t="inlineStr">
        <is>
          <t>https://www.semana.com/politica/articulo/la-publicacion-de-abelardo-de-la-espriella-que-vaticinaba-la-suerte-que-iba-a-tener-alias-bendito-menor-que-impacto-las-redes/202657/</t>
        </is>
      </c>
    </row>
    <row r="142" ht="15" customHeight="1" s="31">
      <c r="A142" s="38" t="inlineStr">
        <is>
          <t>ART_014</t>
        </is>
      </c>
      <c r="B142" s="38" t="inlineStr">
        <is>
          <t>ART_014_S10</t>
        </is>
      </c>
      <c r="C142" s="38" t="inlineStr">
        <is>
          <t>Semana</t>
        </is>
      </c>
      <c r="D142" s="38" t="inlineStr">
        <is>
          <t>Transición de gobierno y relación con la oposición</t>
        </is>
      </c>
      <c r="E142" s="38" t="inlineStr">
        <is>
          <t>Noticia dura</t>
        </is>
      </c>
      <c r="F142" s="38" t="inlineStr">
        <is>
          <t>Fri, 04 Sep 2026 20:38:57 +0000</t>
        </is>
      </c>
      <c r="G142" s="62" t="inlineStr">
        <is>
          <t>Los que tienen que sentir pánico y terror son los delincuentes, porque aquellos que no se sometan terminarán de esta forma.</t>
        </is>
      </c>
      <c r="H142" s="62" t="inlineStr">
        <is>
          <t>También expresó: “En el Gobierno del Tigre la gente de bien no volverá a sentir miedo.</t>
        </is>
      </c>
      <c r="I142" s="62" t="n"/>
      <c r="J142" s="38" t="n"/>
      <c r="K142" s="62" t="n"/>
      <c r="L142" s="38" t="n"/>
      <c r="M142" s="62" t="n"/>
      <c r="N142" s="38" t="n"/>
      <c r="O142" s="62" t="n"/>
      <c r="P142" s="38" t="n"/>
      <c r="Q142" s="62" t="n"/>
      <c r="R142" s="38" t="n"/>
      <c r="S142" s="62" t="n"/>
      <c r="T142" s="38" t="n"/>
      <c r="U142" s="62" t="n"/>
      <c r="V142" s="38" t="n"/>
      <c r="W142" s="62" t="n"/>
      <c r="X142" s="38" t="n"/>
      <c r="Y142" s="62" t="n"/>
      <c r="Z142" s="38" t="n"/>
      <c r="AA142" s="62" t="n"/>
      <c r="AB142" s="38" t="n"/>
      <c r="AC142" s="62" t="n"/>
      <c r="AD142" s="38" t="n"/>
      <c r="AE142" s="38" t="n"/>
      <c r="AF142" s="61">
        <f>IF(COUNTIF($B$5:B142,B142)=1,1,0)</f>
        <v/>
      </c>
      <c r="AG142" s="62" t="inlineStr">
        <is>
          <t>https://www.semana.com/politica/articulo/la-publicacion-de-abelardo-de-la-espriella-que-vaticinaba-la-suerte-que-iba-a-tener-alias-bendito-menor-que-impacto-las-redes/202657/</t>
        </is>
      </c>
    </row>
    <row r="143" ht="15" customHeight="1" s="31">
      <c r="A143" s="38" t="inlineStr">
        <is>
          <t>ART_015</t>
        </is>
      </c>
      <c r="B143" s="38" t="inlineStr">
        <is>
          <t>ART_015_S01</t>
        </is>
      </c>
      <c r="C143" s="38" t="inlineStr">
        <is>
          <t>El Tiempo</t>
        </is>
      </c>
      <c r="D143" s="38" t="inlineStr">
        <is>
          <t>Relación con Estados Unidos</t>
        </is>
      </c>
      <c r="E143" s="38" t="inlineStr">
        <is>
          <t>Noticia dura</t>
        </is>
      </c>
      <c r="F143" s="38" t="inlineStr">
        <is>
          <t>2026-09-04T16:28:46-05:00</t>
        </is>
      </c>
      <c r="G143"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H143" s="62" t="n"/>
      <c r="I143" s="62" t="inlineStr">
        <is>
          <t>Trump hizo estas declaraciones en el Despacho Oval al ser consultado por periodistas sobre su amenaza de suspender el comercio con países que mantienen un superávit comercial frente a Estados Unidos.</t>
        </is>
      </c>
      <c r="J143" s="38" t="n"/>
      <c r="K143" s="62" t="n"/>
      <c r="L143" s="38" t="n"/>
      <c r="M143" s="62" t="n"/>
      <c r="N143" s="38" t="n"/>
      <c r="O143" s="62" t="n"/>
      <c r="P143" s="38" t="n"/>
      <c r="Q143" s="62" t="n"/>
      <c r="R143" s="38" t="n"/>
      <c r="S143" s="62" t="n"/>
      <c r="T143" s="38" t="n"/>
      <c r="U143" s="62" t="n"/>
      <c r="V143" s="38" t="n"/>
      <c r="W143" s="62" t="n"/>
      <c r="X143" s="38" t="n"/>
      <c r="Y143" s="62" t="n"/>
      <c r="Z143" s="38" t="n"/>
      <c r="AA143" s="62" t="n"/>
      <c r="AB143" s="38" t="n"/>
      <c r="AC143" s="62" t="n"/>
      <c r="AD143" s="38" t="n"/>
      <c r="AE143" s="38" t="n"/>
      <c r="AF143" s="61">
        <f>IF(COUNTIF($B$5:B143,B143)=1,1,0)</f>
        <v/>
      </c>
      <c r="AG143" s="62" t="inlineStr">
        <is>
          <t>https://www.eltiempo.com/mundo/eeuu-y-canada/tamales-picantes-y-tomates-estas-fueron-las-polemicas-declaraciones-de-trump-sobre-la-relacion-comercial-entre-mexico-y-estados-unidos-3583705</t>
        </is>
      </c>
    </row>
    <row r="144" ht="15" customHeight="1" s="31">
      <c r="A144" s="38" t="inlineStr">
        <is>
          <t>ART_015</t>
        </is>
      </c>
      <c r="B144" s="38" t="inlineStr">
        <is>
          <t>ART_015_S02</t>
        </is>
      </c>
      <c r="C144" s="38" t="inlineStr">
        <is>
          <t>El Tiempo</t>
        </is>
      </c>
      <c r="D144" s="38" t="inlineStr">
        <is>
          <t>Relación con Estados Unidos</t>
        </is>
      </c>
      <c r="E144" s="38" t="inlineStr">
        <is>
          <t>Noticia dura</t>
        </is>
      </c>
      <c r="F144" s="38" t="inlineStr">
        <is>
          <t>2026-09-04T16:28:46-05:00</t>
        </is>
      </c>
      <c r="G144" s="62" t="inlineStr">
        <is>
          <t>Trump hizo estas declaraciones en el Despacho Oval al ser consultado por periodistas sobre su amenaza de suspender el comercio con países que mantienen un superávit comercial frente a Estados Unidos.</t>
        </is>
      </c>
      <c r="H144"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I144" s="62" t="n"/>
      <c r="J144" s="38" t="n"/>
      <c r="K144" s="62" t="n"/>
      <c r="L144" s="38" t="n"/>
      <c r="M144" s="62" t="n"/>
      <c r="N144" s="38" t="n"/>
      <c r="O144" s="62" t="n"/>
      <c r="P144" s="38" t="n"/>
      <c r="Q144" s="62" t="n"/>
      <c r="R144" s="38" t="n"/>
      <c r="S144" s="62" t="n"/>
      <c r="T144" s="38" t="n"/>
      <c r="U144" s="62" t="n"/>
      <c r="V144" s="38" t="n"/>
      <c r="W144" s="62" t="n"/>
      <c r="X144" s="38" t="n"/>
      <c r="Y144" s="62" t="n"/>
      <c r="Z144" s="38" t="n"/>
      <c r="AA144" s="62" t="n"/>
      <c r="AB144" s="38" t="n"/>
      <c r="AC144" s="62" t="n"/>
      <c r="AD144" s="38" t="n"/>
      <c r="AE144" s="38" t="n"/>
      <c r="AF144" s="61">
        <f>IF(COUNTIF($B$5:B144,B144)=1,1,0)</f>
        <v/>
      </c>
      <c r="AG144" s="62" t="inlineStr">
        <is>
          <t>https://www.eltiempo.com/mundo/eeuu-y-canada/tamales-picantes-y-tomates-estas-fueron-las-polemicas-declaraciones-de-trump-sobre-la-relacion-comercial-entre-mexico-y-estados-unidos-3583705</t>
        </is>
      </c>
    </row>
    <row r="145" ht="15" customHeight="1" s="31">
      <c r="A145" s="38" t="inlineStr">
        <is>
          <t>ART_016</t>
        </is>
      </c>
      <c r="B145" s="38" t="inlineStr">
        <is>
          <t>ART_016_S01</t>
        </is>
      </c>
      <c r="C145" s="38" t="inlineStr">
        <is>
          <t>El Tiempo</t>
        </is>
      </c>
      <c r="D145" s="38" t="inlineStr">
        <is>
          <t>Seguridad y orden público</t>
        </is>
      </c>
      <c r="E145" s="38" t="inlineStr">
        <is>
          <t>Noticia dura</t>
        </is>
      </c>
      <c r="F145" s="38" t="inlineStr">
        <is>
          <t>2026-09-04T16:23:07-05:00</t>
        </is>
      </c>
      <c r="G145" s="62" t="inlineStr">
        <is>
          <t>Después de estar al frente de la Décima Primera Brigada, el brigadier general Óscar del Cristo Díaz Montiel asumió una nueva responsabilidad dentro de la estructura del Ejército.</t>
        </is>
      </c>
      <c r="H145" s="62" t="n"/>
      <c r="I145" s="62" t="inlineStr">
        <is>
          <t>El oficial fue designado comandante del Comando de Educación y Doctrina (Cedoc), desde donde tendrá a cargo los lineamientos para la formación, instrucción y entrenamiento de los integrantes de la Fuerza.</t>
        </is>
      </c>
      <c r="J145" s="38" t="n"/>
      <c r="K145" s="62" t="n"/>
      <c r="L145" s="38" t="n"/>
      <c r="M145" s="62" t="n"/>
      <c r="N145" s="38" t="n"/>
      <c r="O145" s="62" t="n"/>
      <c r="P145" s="38" t="n"/>
      <c r="Q145" s="62" t="n"/>
      <c r="R145" s="38" t="n"/>
      <c r="S145" s="62" t="n"/>
      <c r="T145" s="38" t="n"/>
      <c r="U145" s="62" t="n"/>
      <c r="V145" s="38" t="n"/>
      <c r="W145" s="62" t="n"/>
      <c r="X145" s="38" t="n"/>
      <c r="Y145" s="62" t="n"/>
      <c r="Z145" s="38" t="n"/>
      <c r="AA145" s="62" t="n"/>
      <c r="AB145" s="38" t="n"/>
      <c r="AC145" s="62" t="n"/>
      <c r="AD145" s="38" t="n"/>
      <c r="AE145" s="38" t="n"/>
      <c r="AF145" s="61">
        <f>IF(COUNTIF($B$5:B145,B145)=1,1,0)</f>
        <v/>
      </c>
      <c r="AG145" s="62" t="inlineStr">
        <is>
          <t>https://www.eltiempo.com/justicia/conflicto-y-narcotrafico/general-oscar-diaz-montiel-asume-el-comando-de-educacion-y-doctrina-del-ejercito-3583704</t>
        </is>
      </c>
    </row>
    <row r="146" ht="15" customHeight="1" s="31">
      <c r="A146" s="38" t="inlineStr">
        <is>
          <t>ART_016</t>
        </is>
      </c>
      <c r="B146" s="38" t="inlineStr">
        <is>
          <t>ART_016_S02</t>
        </is>
      </c>
      <c r="C146" s="38" t="inlineStr">
        <is>
          <t>El Tiempo</t>
        </is>
      </c>
      <c r="D146" s="38" t="inlineStr">
        <is>
          <t>Seguridad y orden público</t>
        </is>
      </c>
      <c r="E146" s="38" t="inlineStr">
        <is>
          <t>Noticia dura</t>
        </is>
      </c>
      <c r="F146" s="38" t="inlineStr">
        <is>
          <t>2026-09-04T16:23:07-05:00</t>
        </is>
      </c>
      <c r="G146" s="62" t="inlineStr">
        <is>
          <t>El oficial fue designado comandante del Comando de Educación y Doctrina (Cedoc), desde donde tendrá a cargo los lineamientos para la formación, instrucción y entrenamiento de los integrantes de la Fuerza.</t>
        </is>
      </c>
      <c r="H146" s="62" t="inlineStr">
        <is>
          <t>Después de estar al frente de la Décima Primera Brigada, el brigadier general Óscar del Cristo Díaz Montiel asumió una nueva responsabilidad dentro de la estructura del Ejército.</t>
        </is>
      </c>
      <c r="I146" s="62" t="n"/>
      <c r="J146" s="38" t="n"/>
      <c r="K146" s="62" t="n"/>
      <c r="L146" s="38" t="n"/>
      <c r="M146" s="62" t="n"/>
      <c r="N146" s="38" t="n"/>
      <c r="O146" s="62" t="n"/>
      <c r="P146" s="38" t="n"/>
      <c r="Q146" s="62" t="n"/>
      <c r="R146" s="38" t="n"/>
      <c r="S146" s="62" t="n"/>
      <c r="T146" s="38" t="n"/>
      <c r="U146" s="62" t="n"/>
      <c r="V146" s="38" t="n"/>
      <c r="W146" s="62" t="n"/>
      <c r="X146" s="38" t="n"/>
      <c r="Y146" s="62" t="n"/>
      <c r="Z146" s="38" t="n"/>
      <c r="AA146" s="62" t="n"/>
      <c r="AB146" s="38" t="n"/>
      <c r="AC146" s="62" t="n"/>
      <c r="AD146" s="38" t="n"/>
      <c r="AE146" s="38" t="n"/>
      <c r="AF146" s="61">
        <f>IF(COUNTIF($B$5:B146,B146)=1,1,0)</f>
        <v/>
      </c>
      <c r="AG146" s="62" t="inlineStr">
        <is>
          <t>https://www.eltiempo.com/justicia/conflicto-y-narcotrafico/general-oscar-diaz-montiel-asume-el-comando-de-educacion-y-doctrina-del-ejercito-3583704</t>
        </is>
      </c>
    </row>
    <row r="147" ht="15" customHeight="1" s="31">
      <c r="A147" s="38" t="inlineStr">
        <is>
          <t>ART_017</t>
        </is>
      </c>
      <c r="B147" s="38" t="inlineStr">
        <is>
          <t>ART_017_S01</t>
        </is>
      </c>
      <c r="C147" s="38" t="inlineStr">
        <is>
          <t>El Tiempo</t>
        </is>
      </c>
      <c r="D147" s="38" t="inlineStr">
        <is>
          <t>Respuesta a la emergencia del terremoto</t>
        </is>
      </c>
      <c r="E147" s="38" t="inlineStr">
        <is>
          <t>Noticia dura</t>
        </is>
      </c>
      <c r="F147" s="38" t="inlineStr">
        <is>
          <t>2026-09-04T12:35:46-05:00</t>
        </is>
      </c>
      <c r="G147" s="62" t="inlineStr">
        <is>
          <t>Ante la situación fiscal "crítica y sin precedentes" que enfrenta Colombia, el presidente del Comité Autónomo de Regla Fiscal (Carf), Juan Carlos Ramírez, detalló los principios que debe consultar el plan de ajuste fiscal del gobierno de Abelardo De La Espriella.</t>
        </is>
      </c>
      <c r="H147" s="62" t="n"/>
      <c r="I147" s="62" t="inlineStr">
        <is>
          <t>La postura del organismo se da luego de que el viceministro general de Hacienda, Andrés Quevedo, reiterara que inicialmente se tiene previsto realizar un recorte del gasto de 21,9 billones de pesos para empezar a estabilizar las cuentas fiscales y priorizar recursos para atender la emergencia por el terremoto.</t>
        </is>
      </c>
      <c r="J147" s="38" t="n"/>
      <c r="K147" s="62" t="n"/>
      <c r="L147" s="38" t="n"/>
      <c r="M147" s="62" t="n"/>
      <c r="N147" s="38" t="n"/>
      <c r="O147" s="62" t="n"/>
      <c r="P147" s="38" t="n"/>
      <c r="Q147" s="62" t="n"/>
      <c r="R147" s="38" t="n"/>
      <c r="S147" s="62" t="n"/>
      <c r="T147" s="38" t="n"/>
      <c r="U147" s="62" t="n"/>
      <c r="V147" s="38" t="n"/>
      <c r="W147" s="62" t="n"/>
      <c r="X147" s="38" t="n"/>
      <c r="Y147" s="62" t="n"/>
      <c r="Z147" s="38" t="n"/>
      <c r="AA147" s="62" t="n"/>
      <c r="AB147" s="38" t="n"/>
      <c r="AC147" s="62" t="n"/>
      <c r="AD147" s="38" t="n"/>
      <c r="AE147" s="38" t="n"/>
      <c r="AF147" s="61">
        <f>IF(COUNTIF($B$5:B147,B147)=1,1,0)</f>
        <v/>
      </c>
      <c r="AG147" s="62" t="inlineStr">
        <is>
          <t>https://www.eltiempo.com/economia/sectores/mas-impuestos-al-petroleo-y-la-construccion-asi-tendria-que-ser-el-ajuste-del-gobierno-de-la-espriella-para-sacar-a-colombia-de-la-crisis-fiscal-3583622</t>
        </is>
      </c>
    </row>
    <row r="148" ht="15" customHeight="1" s="31">
      <c r="A148" s="38" t="inlineStr">
        <is>
          <t>ART_017</t>
        </is>
      </c>
      <c r="B148" s="38" t="inlineStr">
        <is>
          <t>ART_017_S02</t>
        </is>
      </c>
      <c r="C148" s="38" t="inlineStr">
        <is>
          <t>El Tiempo</t>
        </is>
      </c>
      <c r="D148" s="38" t="inlineStr">
        <is>
          <t>Respuesta a la emergencia del terremoto</t>
        </is>
      </c>
      <c r="E148" s="38" t="inlineStr">
        <is>
          <t>Noticia dura</t>
        </is>
      </c>
      <c r="F148" s="38" t="inlineStr">
        <is>
          <t>2026-09-04T12:35:46-05:00</t>
        </is>
      </c>
      <c r="G148" s="62" t="inlineStr">
        <is>
          <t>La postura del organismo se da luego de que el viceministro general de Hacienda, Andrés Quevedo, reiterara que inicialmente se tiene previsto realizar un recorte del gasto de 21,9 billones de pesos para empezar a estabilizar las cuentas fiscales y priorizar recursos para atender la emergencia por el terremoto.</t>
        </is>
      </c>
      <c r="H148" s="62" t="inlineStr">
        <is>
          <t>Ante la situación fiscal "crítica y sin precedentes" que enfrenta Colombia, el presidente del Comité Autónomo de Regla Fiscal (Carf), Juan Carlos Ramírez, detalló los principios que debe consultar el plan de ajuste fiscal del gobierno de Abelardo De La Espriella.</t>
        </is>
      </c>
      <c r="I148" s="62" t="n"/>
      <c r="J148" s="38" t="n"/>
      <c r="K148" s="62" t="n"/>
      <c r="L148" s="38" t="n"/>
      <c r="M148" s="62" t="n"/>
      <c r="N148" s="38" t="n"/>
      <c r="O148" s="62" t="n"/>
      <c r="P148" s="38" t="n"/>
      <c r="Q148" s="62" t="n"/>
      <c r="R148" s="38" t="n"/>
      <c r="S148" s="62" t="n"/>
      <c r="T148" s="38" t="n"/>
      <c r="U148" s="62" t="n"/>
      <c r="V148" s="38" t="n"/>
      <c r="W148" s="62" t="n"/>
      <c r="X148" s="38" t="n"/>
      <c r="Y148" s="62" t="n"/>
      <c r="Z148" s="38" t="n"/>
      <c r="AA148" s="62" t="n"/>
      <c r="AB148" s="38" t="n"/>
      <c r="AC148" s="62" t="n"/>
      <c r="AD148" s="38" t="n"/>
      <c r="AE148" s="38" t="n"/>
      <c r="AF148" s="61">
        <f>IF(COUNTIF($B$5:B148,B148)=1,1,0)</f>
        <v/>
      </c>
      <c r="AG148" s="62" t="inlineStr">
        <is>
          <t>https://www.eltiempo.com/economia/sectores/mas-impuestos-al-petroleo-y-la-construccion-asi-tendria-que-ser-el-ajuste-del-gobierno-de-la-espriella-para-sacar-a-colombia-de-la-crisis-fiscal-3583622</t>
        </is>
      </c>
    </row>
    <row r="149" ht="15" customHeight="1" s="31">
      <c r="A149" s="38" t="inlineStr">
        <is>
          <t>ART_018</t>
        </is>
      </c>
      <c r="B149" s="38" t="inlineStr">
        <is>
          <t>ART_018_S02</t>
        </is>
      </c>
      <c r="C149" s="38" t="inlineStr">
        <is>
          <t>La Silla Vacía</t>
        </is>
      </c>
      <c r="D149" s="38" t="inlineStr">
        <is>
          <t>Respuesta a la emergencia del terremoto</t>
        </is>
      </c>
      <c r="E149" s="38" t="inlineStr">
        <is>
          <t>Opinión-análisis</t>
        </is>
      </c>
      <c r="F149" s="38" t="inlineStr">
        <is>
          <t>Fri, 04 Sep 2026 13:00:00 +0000</t>
        </is>
      </c>
      <c r="G149" s="62" t="inlineStr">
        <is>
          <t>El reciente terremoto que golpeó con mayor fuerza al Eje Cafetero, Valle del Cauca y Chocó, tiene un gran olvidado, el sector rural.</t>
        </is>
      </c>
      <c r="H149" s="62" t="inlineStr">
        <is>
          <t>Este es un espacio de debate que no compromete la opinión de La Silla Vacía ni de sus aliados.</t>
        </is>
      </c>
      <c r="I149" s="62" t="inlineStr">
        <is>
          <t>La reconstrucción del campo no puede reducirse a reparar lo que se ve, sino a recuperar la capacidad de las familias campesinas para volver a producir.</t>
        </is>
      </c>
      <c r="J149" s="38" t="n"/>
      <c r="K149" s="62" t="n"/>
      <c r="L149" s="38" t="n"/>
      <c r="M149" s="62" t="n"/>
      <c r="N149" s="38" t="n"/>
      <c r="O149" s="62" t="n"/>
      <c r="P149" s="38" t="n"/>
      <c r="Q149" s="62" t="n"/>
      <c r="R149" s="38" t="n"/>
      <c r="S149" s="62" t="n"/>
      <c r="T149" s="38" t="n"/>
      <c r="U149" s="62" t="n"/>
      <c r="V149" s="38" t="n"/>
      <c r="W149" s="62" t="n"/>
      <c r="X149" s="38" t="n"/>
      <c r="Y149" s="62" t="n"/>
      <c r="Z149" s="38" t="n"/>
      <c r="AA149" s="62" t="n"/>
      <c r="AB149" s="38" t="n"/>
      <c r="AC149" s="62" t="n"/>
      <c r="AD149" s="38" t="n"/>
      <c r="AE149" s="38" t="n"/>
      <c r="AF149" s="61">
        <f>IF(COUNTIF($B$5:B149,B149)=1,1,0)</f>
        <v/>
      </c>
      <c r="AG149" s="62" t="inlineStr">
        <is>
          <t>https://www.lasillavacia.com/red-de-expertos/red-rural/terremoto-en-el-corazon-del-cafe-al-caido-caerle/</t>
        </is>
      </c>
    </row>
    <row r="150" ht="15" customHeight="1" s="31">
      <c r="A150" s="38" t="inlineStr">
        <is>
          <t>ART_018</t>
        </is>
      </c>
      <c r="B150" s="38" t="inlineStr">
        <is>
          <t>ART_018_S03</t>
        </is>
      </c>
      <c r="C150" s="38" t="inlineStr">
        <is>
          <t>La Silla Vacía</t>
        </is>
      </c>
      <c r="D150" s="38" t="inlineStr">
        <is>
          <t>Respuesta a la emergencia del terremoto</t>
        </is>
      </c>
      <c r="E150" s="38" t="inlineStr">
        <is>
          <t>Opinión-análisis</t>
        </is>
      </c>
      <c r="F150" s="38" t="inlineStr">
        <is>
          <t>Fri, 04 Sep 2026 13:00:00 +0000</t>
        </is>
      </c>
      <c r="G150" s="62" t="inlineStr">
        <is>
          <t>La reconstrucción del campo no puede reducirse a reparar lo que se ve, sino a recuperar la capacidad de las familias campesinas para volver a producir.</t>
        </is>
      </c>
      <c r="H150" s="62" t="inlineStr">
        <is>
          <t>El reciente terremoto que golpeó con mayor fuerza al Eje Cafetero, Valle del Cauca y Chocó, tiene un gran olvidado, el sector rural.</t>
        </is>
      </c>
      <c r="I150" s="62" t="inlineStr">
        <is>
          <t>A la fecha, no existe un consolidado oficial que permita saber la magnitud de los daños y pérdidas y, en consecuencia, cuantificar con precisión el costo de la reconstrucción.</t>
        </is>
      </c>
      <c r="J150" s="38" t="n"/>
      <c r="K150" s="62" t="n"/>
      <c r="L150" s="38" t="n"/>
      <c r="M150" s="62" t="n"/>
      <c r="N150" s="38" t="n"/>
      <c r="O150" s="62" t="n"/>
      <c r="P150" s="38" t="n"/>
      <c r="Q150" s="62" t="n"/>
      <c r="R150" s="38" t="n"/>
      <c r="S150" s="62" t="n"/>
      <c r="T150" s="38" t="n"/>
      <c r="U150" s="62" t="n"/>
      <c r="V150" s="38" t="n"/>
      <c r="W150" s="62" t="n"/>
      <c r="X150" s="38" t="n"/>
      <c r="Y150" s="62" t="n"/>
      <c r="Z150" s="38" t="n"/>
      <c r="AA150" s="62" t="n"/>
      <c r="AB150" s="38" t="n"/>
      <c r="AC150" s="62" t="n"/>
      <c r="AD150" s="38" t="n"/>
      <c r="AE150" s="38" t="n"/>
      <c r="AF150" s="61">
        <f>IF(COUNTIF($B$5:B150,B150)=1,1,0)</f>
        <v/>
      </c>
      <c r="AG150" s="62" t="inlineStr">
        <is>
          <t>https://www.lasillavacia.com/red-de-expertos/red-rural/terremoto-en-el-corazon-del-cafe-al-caido-caerle/</t>
        </is>
      </c>
    </row>
    <row r="151" ht="15" customHeight="1" s="31">
      <c r="A151" s="38" t="inlineStr">
        <is>
          <t>ART_018</t>
        </is>
      </c>
      <c r="B151" s="38" t="inlineStr">
        <is>
          <t>ART_018_S04</t>
        </is>
      </c>
      <c r="C151" s="38" t="inlineStr">
        <is>
          <t>La Silla Vacía</t>
        </is>
      </c>
      <c r="D151" s="38" t="inlineStr">
        <is>
          <t>Respuesta a la emergencia del terremoto</t>
        </is>
      </c>
      <c r="E151" s="38" t="inlineStr">
        <is>
          <t>Opinión-análisis</t>
        </is>
      </c>
      <c r="F151" s="38" t="inlineStr">
        <is>
          <t>Fri, 04 Sep 2026 13:00:00 +0000</t>
        </is>
      </c>
      <c r="G151" s="62" t="inlineStr">
        <is>
          <t>A la fecha, no existe un consolidado oficial que permita saber la magnitud de los daños y pérdidas y, en consecuencia, cuantificar con precisión el costo de la reconstrucción.</t>
        </is>
      </c>
      <c r="H151" s="62" t="inlineStr">
        <is>
          <t>La reconstrucción del campo no puede reducirse a reparar lo que se ve, sino a recuperar la capacidad de las familias campesinas para volver a producir.</t>
        </is>
      </c>
      <c r="I151" s="62" t="inlineStr">
        <is>
          <t>Lo que se tiene por ahora son los datos de los cafeteros merced de la capacidad de respuesta de la Federación Nacional de Cafeteros y el esfuerzo en campo de su cuerpo de extensionistas.</t>
        </is>
      </c>
      <c r="J151" s="38" t="n"/>
      <c r="K151" s="62" t="n"/>
      <c r="L151" s="38" t="n"/>
      <c r="M151" s="62" t="n"/>
      <c r="N151" s="38" t="n"/>
      <c r="O151" s="62" t="n"/>
      <c r="P151" s="38" t="n"/>
      <c r="Q151" s="62" t="n"/>
      <c r="R151" s="38" t="n"/>
      <c r="S151" s="62" t="n"/>
      <c r="T151" s="38" t="n"/>
      <c r="U151" s="62" t="n"/>
      <c r="V151" s="38" t="n"/>
      <c r="W151" s="62" t="n"/>
      <c r="X151" s="38" t="n"/>
      <c r="Y151" s="62" t="n"/>
      <c r="Z151" s="38" t="n"/>
      <c r="AA151" s="62" t="n"/>
      <c r="AB151" s="38" t="n"/>
      <c r="AC151" s="62" t="n"/>
      <c r="AD151" s="38" t="n"/>
      <c r="AE151" s="38" t="n"/>
      <c r="AF151" s="61">
        <f>IF(COUNTIF($B$5:B151,B151)=1,1,0)</f>
        <v/>
      </c>
      <c r="AG151" s="62" t="inlineStr">
        <is>
          <t>https://www.lasillavacia.com/red-de-expertos/red-rural/terremoto-en-el-corazon-del-cafe-al-caido-caerle/</t>
        </is>
      </c>
    </row>
    <row r="152" ht="15" customHeight="1" s="31">
      <c r="A152" s="38" t="inlineStr">
        <is>
          <t>ART_018</t>
        </is>
      </c>
      <c r="B152" s="38" t="inlineStr">
        <is>
          <t>ART_018_S05</t>
        </is>
      </c>
      <c r="C152" s="38" t="inlineStr">
        <is>
          <t>La Silla Vacía</t>
        </is>
      </c>
      <c r="D152" s="38" t="inlineStr">
        <is>
          <t>Respuesta a la emergencia del terremoto</t>
        </is>
      </c>
      <c r="E152" s="38" t="inlineStr">
        <is>
          <t>Opinión-análisis</t>
        </is>
      </c>
      <c r="F152" s="38" t="inlineStr">
        <is>
          <t>Fri, 04 Sep 2026 13:00:00 +0000</t>
        </is>
      </c>
      <c r="G152" s="62" t="inlineStr">
        <is>
          <t>Lo que se tiene por ahora son los datos de los cafeteros merced de la capacidad de respuesta de la Federación Nacional de Cafeteros y el esfuerzo en campo de su cuerpo de extensionistas.</t>
        </is>
      </c>
      <c r="H152" s="62" t="inlineStr">
        <is>
          <t>A la fecha, no existe un consolidado oficial que permita saber la magnitud de los daños y pérdidas y, en consecuencia, cuantificar con precisión el costo de la reconstrucción.</t>
        </is>
      </c>
      <c r="I152" s="62" t="inlineStr">
        <is>
          <t>Con corte a la primera quincena de agosto, el gremio comunicó que contactó 10.460 caficultores en seis departamentos —Valle del Cauca, Risaralda, Caldas, Quindío, Antioquia y Chocó—, de los cuales 8.070 reportaron daños en sus viviendas.</t>
        </is>
      </c>
      <c r="J152" s="38" t="n"/>
      <c r="K152" s="62" t="n"/>
      <c r="L152" s="38" t="n"/>
      <c r="M152" s="62" t="n"/>
      <c r="N152" s="38" t="n"/>
      <c r="O152" s="62" t="n"/>
      <c r="P152" s="38" t="n"/>
      <c r="Q152" s="62" t="n"/>
      <c r="R152" s="38" t="n"/>
      <c r="S152" s="62" t="n"/>
      <c r="T152" s="38" t="n"/>
      <c r="U152" s="62" t="n"/>
      <c r="V152" s="38" t="n"/>
      <c r="W152" s="62" t="n"/>
      <c r="X152" s="38" t="n"/>
      <c r="Y152" s="62" t="n"/>
      <c r="Z152" s="38" t="n"/>
      <c r="AA152" s="62" t="n"/>
      <c r="AB152" s="38" t="n"/>
      <c r="AC152" s="62" t="n"/>
      <c r="AD152" s="38" t="n"/>
      <c r="AE152" s="38" t="n"/>
      <c r="AF152" s="61">
        <f>IF(COUNTIF($B$5:B152,B152)=1,1,0)</f>
        <v/>
      </c>
      <c r="AG152" s="62" t="inlineStr">
        <is>
          <t>https://www.lasillavacia.com/red-de-expertos/red-rural/terremoto-en-el-corazon-del-cafe-al-caido-caerle/</t>
        </is>
      </c>
    </row>
    <row r="153" ht="15" customHeight="1" s="31">
      <c r="A153" s="38" t="inlineStr">
        <is>
          <t>ART_018</t>
        </is>
      </c>
      <c r="B153" s="38" t="inlineStr">
        <is>
          <t>ART_018_S06</t>
        </is>
      </c>
      <c r="C153" s="38" t="inlineStr">
        <is>
          <t>La Silla Vacía</t>
        </is>
      </c>
      <c r="D153" s="38" t="inlineStr">
        <is>
          <t>Respuesta a la emergencia del terremoto</t>
        </is>
      </c>
      <c r="E153" s="38" t="inlineStr">
        <is>
          <t>Opinión-análisis</t>
        </is>
      </c>
      <c r="F153" s="38" t="inlineStr">
        <is>
          <t>Fri, 04 Sep 2026 13:00:00 +0000</t>
        </is>
      </c>
      <c r="G153" s="62" t="inlineStr">
        <is>
          <t>Con corte a la primera quincena de agosto, el gremio comunicó que contactó 10.460 caficultores en seis departamentos —Valle del Cauca, Risaralda, Caldas, Quindío, Antioquia y Chocó—, de los cuales 8.070 reportaron daños en sus viviendas.</t>
        </is>
      </c>
      <c r="H153" s="62" t="inlineStr">
        <is>
          <t>Lo que se tiene por ahora son los datos de los cafeteros merced de la capacidad de respuesta de la Federación Nacional de Cafeteros y el esfuerzo en campo de su cuerpo de extensionistas.</t>
        </is>
      </c>
      <c r="I153" s="62" t="inlineStr">
        <is>
          <t>En Caldas, la Federación informó de 1.700 cafeteros afectados , además de daños en la plaza de mercado de Riosucio y en los acueductos de Bonafont.</t>
        </is>
      </c>
      <c r="J153" s="38" t="n"/>
      <c r="K153" s="62" t="n"/>
      <c r="L153" s="38" t="n"/>
      <c r="M153" s="62" t="n"/>
      <c r="N153" s="38" t="n"/>
      <c r="O153" s="62" t="n"/>
      <c r="P153" s="38" t="n"/>
      <c r="Q153" s="62" t="n"/>
      <c r="R153" s="38" t="n"/>
      <c r="S153" s="62" t="n"/>
      <c r="T153" s="38" t="n"/>
      <c r="U153" s="62" t="n"/>
      <c r="V153" s="38" t="n"/>
      <c r="W153" s="62" t="n"/>
      <c r="X153" s="38" t="n"/>
      <c r="Y153" s="62" t="n"/>
      <c r="Z153" s="38" t="n"/>
      <c r="AA153" s="62" t="n"/>
      <c r="AB153" s="38" t="n"/>
      <c r="AC153" s="62" t="n"/>
      <c r="AD153" s="38" t="n"/>
      <c r="AE153" s="38" t="n"/>
      <c r="AF153" s="61">
        <f>IF(COUNTIF($B$5:B153,B153)=1,1,0)</f>
        <v/>
      </c>
      <c r="AG153" s="62" t="inlineStr">
        <is>
          <t>https://www.lasillavacia.com/red-de-expertos/red-rural/terremoto-en-el-corazon-del-cafe-al-caido-caerle/</t>
        </is>
      </c>
    </row>
    <row r="154" ht="15" customHeight="1" s="31">
      <c r="A154" s="38" t="inlineStr">
        <is>
          <t>ART_018</t>
        </is>
      </c>
      <c r="B154" s="38" t="inlineStr">
        <is>
          <t>ART_018_S07</t>
        </is>
      </c>
      <c r="C154" s="38" t="inlineStr">
        <is>
          <t>La Silla Vacía</t>
        </is>
      </c>
      <c r="D154" s="38" t="inlineStr">
        <is>
          <t>Respuesta a la emergencia del terremoto</t>
        </is>
      </c>
      <c r="E154" s="38" t="inlineStr">
        <is>
          <t>Opinión-análisis</t>
        </is>
      </c>
      <c r="F154" s="38" t="inlineStr">
        <is>
          <t>Fri, 04 Sep 2026 13:00:00 +0000</t>
        </is>
      </c>
      <c r="G154" s="62" t="inlineStr">
        <is>
          <t>En Caldas, la Federación informó de 1.700 cafeteros afectados , además de daños en la plaza de mercado de Riosucio y en los acueductos de Bonafont.</t>
        </is>
      </c>
      <c r="H154" s="62" t="inlineStr">
        <is>
          <t>Con corte a la primera quincena de agosto, el gremio comunicó que contactó 10.460 caficultores en seis departamentos —Valle del Cauca, Risaralda, Caldas, Quindío, Antioquia y Chocó—, de los cuales 8.070 reportaron daños en sus viviendas.</t>
        </is>
      </c>
      <c r="I154"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J154" s="38" t="n"/>
      <c r="K154" s="62" t="n"/>
      <c r="L154" s="38" t="n"/>
      <c r="M154" s="62" t="n"/>
      <c r="N154" s="38" t="n"/>
      <c r="O154" s="62" t="n"/>
      <c r="P154" s="38" t="n"/>
      <c r="Q154" s="62" t="n"/>
      <c r="R154" s="38" t="n"/>
      <c r="S154" s="62" t="n"/>
      <c r="T154" s="38" t="n"/>
      <c r="U154" s="62" t="n"/>
      <c r="V154" s="38" t="n"/>
      <c r="W154" s="62" t="n"/>
      <c r="X154" s="38" t="n"/>
      <c r="Y154" s="62" t="n"/>
      <c r="Z154" s="38" t="n"/>
      <c r="AA154" s="62" t="n"/>
      <c r="AB154" s="38" t="n"/>
      <c r="AC154" s="62" t="n"/>
      <c r="AD154" s="38" t="n"/>
      <c r="AE154" s="38" t="n"/>
      <c r="AF154" s="61">
        <f>IF(COUNTIF($B$5:B154,B154)=1,1,0)</f>
        <v/>
      </c>
      <c r="AG154" s="62" t="inlineStr">
        <is>
          <t>https://www.lasillavacia.com/red-de-expertos/red-rural/terremoto-en-el-corazon-del-cafe-al-caido-caerle/</t>
        </is>
      </c>
    </row>
    <row r="155" ht="15" customHeight="1" s="31">
      <c r="A155" s="38" t="inlineStr">
        <is>
          <t>ART_018</t>
        </is>
      </c>
      <c r="B155" s="38" t="inlineStr">
        <is>
          <t>ART_018_S08</t>
        </is>
      </c>
      <c r="C155" s="38" t="inlineStr">
        <is>
          <t>La Silla Vacía</t>
        </is>
      </c>
      <c r="D155" s="38" t="inlineStr">
        <is>
          <t>Respuesta a la emergencia del terremoto</t>
        </is>
      </c>
      <c r="E155" s="38" t="inlineStr">
        <is>
          <t>Opinión-análisis</t>
        </is>
      </c>
      <c r="F155" s="38" t="inlineStr">
        <is>
          <t>Fri, 04 Sep 2026 13:00:00 +0000</t>
        </is>
      </c>
      <c r="G155"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H155" s="62" t="inlineStr">
        <is>
          <t>En Caldas, la Federación informó de 1.700 cafeteros afectados , además de daños en la plaza de mercado de Riosucio y en los acueductos de Bonafont.</t>
        </is>
      </c>
      <c r="I155" s="62" t="inlineStr">
        <is>
          <t>Para Risaralda, el gremio reportó más de 1.300 familias cafeteras afectadas.</t>
        </is>
      </c>
      <c r="J155" s="38" t="n"/>
      <c r="K155" s="62" t="n"/>
      <c r="L155" s="38" t="n"/>
      <c r="M155" s="62" t="n"/>
      <c r="N155" s="38" t="n"/>
      <c r="O155" s="62" t="n"/>
      <c r="P155" s="38" t="n"/>
      <c r="Q155" s="62" t="n"/>
      <c r="R155" s="38" t="n"/>
      <c r="S155" s="62" t="n"/>
      <c r="T155" s="38" t="n"/>
      <c r="U155" s="62" t="n"/>
      <c r="V155" s="38" t="n"/>
      <c r="W155" s="62" t="n"/>
      <c r="X155" s="38" t="n"/>
      <c r="Y155" s="62" t="n"/>
      <c r="Z155" s="38" t="n"/>
      <c r="AA155" s="62" t="n"/>
      <c r="AB155" s="38" t="n"/>
      <c r="AC155" s="62" t="n"/>
      <c r="AD155" s="38" t="n"/>
      <c r="AE155" s="38" t="n"/>
      <c r="AF155" s="61">
        <f>IF(COUNTIF($B$5:B155,B155)=1,1,0)</f>
        <v/>
      </c>
      <c r="AG155" s="62" t="inlineStr">
        <is>
          <t>https://www.lasillavacia.com/red-de-expertos/red-rural/terremoto-en-el-corazon-del-cafe-al-caido-caerle/</t>
        </is>
      </c>
    </row>
    <row r="156" ht="15" customHeight="1" s="31">
      <c r="A156" s="38" t="inlineStr">
        <is>
          <t>ART_018</t>
        </is>
      </c>
      <c r="B156" s="38" t="inlineStr">
        <is>
          <t>ART_018_S09</t>
        </is>
      </c>
      <c r="C156" s="38" t="inlineStr">
        <is>
          <t>La Silla Vacía</t>
        </is>
      </c>
      <c r="D156" s="38" t="inlineStr">
        <is>
          <t>Respuesta a la emergencia del terremoto</t>
        </is>
      </c>
      <c r="E156" s="38" t="inlineStr">
        <is>
          <t>Opinión-análisis</t>
        </is>
      </c>
      <c r="F156" s="38" t="inlineStr">
        <is>
          <t>Fri, 04 Sep 2026 13:00:00 +0000</t>
        </is>
      </c>
      <c r="G156" s="62" t="inlineStr">
        <is>
          <t>Para Risaralda, el gremio reportó más de 1.300 familias cafeteras afectadas.</t>
        </is>
      </c>
      <c r="H156" s="62" t="inlineStr">
        <is>
          <t>En el Quindío, la Gobernación reportó 2.121 viviendas rurales afectadas; en el Valle, de 54 mil viviendas impactadas sin consolidado rural, municipios como el Águila, Roldanillo y Riofrío reportan daños superiores al 50%; y en Chocó, comunidades como Loma de Chupey (Sipí) y Pangalita (San José del Palmar) perdieron casi la totalidad de sus casas o quedaron en riesgo de derrumbe, mientras la Defensoría advierte que los problemas de acceso dejarán predios fuera del censo.</t>
        </is>
      </c>
      <c r="I156" s="62" t="inlineStr">
        <is>
          <t>Y a partir de datos preliminares recogidos en los municipios para esta columna, es posible hablar de destrozos superiores al 50%; con picos altos en casos como Belén de Umbría y Balboa.</t>
        </is>
      </c>
      <c r="J156" s="38" t="n"/>
      <c r="K156" s="62" t="n"/>
      <c r="L156" s="38" t="n"/>
      <c r="M156" s="62" t="n"/>
      <c r="N156" s="38" t="n"/>
      <c r="O156" s="62" t="n"/>
      <c r="P156" s="38" t="n"/>
      <c r="Q156" s="62" t="n"/>
      <c r="R156" s="38" t="n"/>
      <c r="S156" s="62" t="n"/>
      <c r="T156" s="38" t="n"/>
      <c r="U156" s="62" t="n"/>
      <c r="V156" s="38" t="n"/>
      <c r="W156" s="62" t="n"/>
      <c r="X156" s="38" t="n"/>
      <c r="Y156" s="62" t="n"/>
      <c r="Z156" s="38" t="n"/>
      <c r="AA156" s="62" t="n"/>
      <c r="AB156" s="38" t="n"/>
      <c r="AC156" s="62" t="n"/>
      <c r="AD156" s="38" t="n"/>
      <c r="AE156" s="38" t="n"/>
      <c r="AF156" s="61">
        <f>IF(COUNTIF($B$5:B156,B156)=1,1,0)</f>
        <v/>
      </c>
      <c r="AG156" s="62" t="inlineStr">
        <is>
          <t>https://www.lasillavacia.com/red-de-expertos/red-rural/terremoto-en-el-corazon-del-cafe-al-caido-caerle/</t>
        </is>
      </c>
    </row>
    <row r="157" ht="15" customHeight="1" s="31">
      <c r="A157" s="38" t="inlineStr">
        <is>
          <t>ART_018</t>
        </is>
      </c>
      <c r="B157" s="38" t="inlineStr">
        <is>
          <t>ART_018_S10</t>
        </is>
      </c>
      <c r="C157" s="38" t="inlineStr">
        <is>
          <t>La Silla Vacía</t>
        </is>
      </c>
      <c r="D157" s="38" t="inlineStr">
        <is>
          <t>Respuesta a la emergencia del terremoto</t>
        </is>
      </c>
      <c r="E157" s="38" t="inlineStr">
        <is>
          <t>Opinión-análisis</t>
        </is>
      </c>
      <c r="F157" s="38" t="inlineStr">
        <is>
          <t>Fri, 04 Sep 2026 13:00:00 +0000</t>
        </is>
      </c>
      <c r="G157" s="62" t="inlineStr">
        <is>
          <t>Y a partir de datos preliminares recogidos en los municipios para esta columna, es posible hablar de destrozos superiores al 50%; con picos altos en casos como Belén de Umbría y Balboa.</t>
        </is>
      </c>
      <c r="H157" s="62" t="inlineStr">
        <is>
          <t>Para Risaralda, el gremio reportó más de 1.300 familias cafeteras afectadas.</t>
        </is>
      </c>
      <c r="I157" s="62" t="inlineStr">
        <is>
          <t>Incluyen afectaciones de varios tipos en las viviendas, beneficiaderos de café, áreas de producción pecuarias y redes comunitarias de agua potable.</t>
        </is>
      </c>
      <c r="J157" s="38" t="n"/>
      <c r="K157" s="62" t="n"/>
      <c r="L157" s="38" t="n"/>
      <c r="M157" s="62" t="n"/>
      <c r="N157" s="38" t="n"/>
      <c r="O157" s="62" t="n"/>
      <c r="P157" s="38" t="n"/>
      <c r="Q157" s="62" t="n"/>
      <c r="R157" s="38" t="n"/>
      <c r="S157" s="62" t="n"/>
      <c r="T157" s="38" t="n"/>
      <c r="U157" s="62" t="n"/>
      <c r="V157" s="38" t="n"/>
      <c r="W157" s="62" t="n"/>
      <c r="X157" s="38" t="n"/>
      <c r="Y157" s="62" t="n"/>
      <c r="Z157" s="38" t="n"/>
      <c r="AA157" s="62" t="n"/>
      <c r="AB157" s="38" t="n"/>
      <c r="AC157" s="62" t="n"/>
      <c r="AD157" s="38" t="n"/>
      <c r="AE157" s="38" t="n"/>
      <c r="AF157" s="61">
        <f>IF(COUNTIF($B$5:B157,B157)=1,1,0)</f>
        <v/>
      </c>
      <c r="AG157" s="62" t="inlineStr">
        <is>
          <t>https://www.lasillavacia.com/red-de-expertos/red-rural/terremoto-en-el-corazon-del-cafe-al-caido-caerle/</t>
        </is>
      </c>
    </row>
    <row r="158" ht="15" customHeight="1" s="31">
      <c r="A158" s="38" t="inlineStr">
        <is>
          <t>ART_018</t>
        </is>
      </c>
      <c r="B158" s="38" t="inlineStr">
        <is>
          <t>ART_018_S11</t>
        </is>
      </c>
      <c r="C158" s="38" t="inlineStr">
        <is>
          <t>La Silla Vacía</t>
        </is>
      </c>
      <c r="D158" s="38" t="inlineStr">
        <is>
          <t>Respuesta a la emergencia del terremoto</t>
        </is>
      </c>
      <c r="E158" s="38" t="inlineStr">
        <is>
          <t>Opinión-análisis</t>
        </is>
      </c>
      <c r="F158" s="38" t="inlineStr">
        <is>
          <t>Fri, 04 Sep 2026 13:00:00 +0000</t>
        </is>
      </c>
      <c r="G158" s="62" t="inlineStr">
        <is>
          <t>Incluyen afectaciones de varios tipos en las viviendas, beneficiaderos de café, áreas de producción pecuarias y redes comunitarias de agua potable.</t>
        </is>
      </c>
      <c r="H158" s="62" t="inlineStr">
        <is>
          <t>Y a partir de datos preliminares recogidos en los municipios para esta columna, es posible hablar de destrozos superiores al 50%; con picos altos en casos como Belén de Umbría y Balboa.</t>
        </is>
      </c>
      <c r="I158" s="62" t="inlineStr">
        <is>
          <t>El sector venía de padecer una caída superior al 20% en el precio internacional del café arábica entre junio de 2025 y junio de 2026.</t>
        </is>
      </c>
      <c r="J158" s="38" t="n"/>
      <c r="K158" s="62" t="n"/>
      <c r="L158" s="38" t="n"/>
      <c r="M158" s="62" t="n"/>
      <c r="N158" s="38" t="n"/>
      <c r="O158" s="62" t="n"/>
      <c r="P158" s="38" t="n"/>
      <c r="Q158" s="62" t="n"/>
      <c r="R158" s="38" t="n"/>
      <c r="S158" s="62" t="n"/>
      <c r="T158" s="38" t="n"/>
      <c r="U158" s="62" t="n"/>
      <c r="V158" s="38" t="n"/>
      <c r="W158" s="62" t="n"/>
      <c r="X158" s="38" t="n"/>
      <c r="Y158" s="62" t="n"/>
      <c r="Z158" s="38" t="n"/>
      <c r="AA158" s="62" t="n"/>
      <c r="AB158" s="38" t="n"/>
      <c r="AC158" s="62" t="n"/>
      <c r="AD158" s="38" t="n"/>
      <c r="AE158" s="38" t="n"/>
      <c r="AF158" s="61">
        <f>IF(COUNTIF($B$5:B158,B158)=1,1,0)</f>
        <v/>
      </c>
      <c r="AG158" s="62" t="inlineStr">
        <is>
          <t>https://www.lasillavacia.com/red-de-expertos/red-rural/terremoto-en-el-corazon-del-cafe-al-caido-caerle/</t>
        </is>
      </c>
    </row>
    <row r="159" ht="15" customHeight="1" s="31">
      <c r="A159" s="38" t="inlineStr">
        <is>
          <t>ART_018</t>
        </is>
      </c>
      <c r="B159" s="38" t="inlineStr">
        <is>
          <t>ART_018_S12</t>
        </is>
      </c>
      <c r="C159" s="38" t="inlineStr">
        <is>
          <t>La Silla Vacía</t>
        </is>
      </c>
      <c r="D159" s="38" t="inlineStr">
        <is>
          <t>Respuesta a la emergencia del terremoto</t>
        </is>
      </c>
      <c r="E159" s="38" t="inlineStr">
        <is>
          <t>Opinión-análisis</t>
        </is>
      </c>
      <c r="F159" s="38" t="inlineStr">
        <is>
          <t>Fri, 04 Sep 2026 13:00:00 +0000</t>
        </is>
      </c>
      <c r="G159" s="62" t="inlineStr">
        <is>
          <t>El sector venía de padecer una caída superior al 20% en el precio internacional del café arábica entre junio de 2025 y junio de 2026.</t>
        </is>
      </c>
      <c r="H159" s="62" t="inlineStr">
        <is>
          <t>Incluyen afectaciones de varios tipos en las viviendas, beneficiaderos de café, áreas de producción pecuarias y redes comunitarias de agua potable.</t>
        </is>
      </c>
      <c r="I159" s="62" t="n"/>
      <c r="J159" s="38" t="n"/>
      <c r="K159" s="62" t="n"/>
      <c r="L159" s="38" t="n"/>
      <c r="M159" s="62" t="n"/>
      <c r="N159" s="38" t="n"/>
      <c r="O159" s="62" t="n"/>
      <c r="P159" s="38" t="n"/>
      <c r="Q159" s="62" t="n"/>
      <c r="R159" s="38" t="n"/>
      <c r="S159" s="62" t="n"/>
      <c r="T159" s="38" t="n"/>
      <c r="U159" s="62" t="n"/>
      <c r="V159" s="38" t="n"/>
      <c r="W159" s="62" t="n"/>
      <c r="X159" s="38" t="n"/>
      <c r="Y159" s="62" t="n"/>
      <c r="Z159" s="38" t="n"/>
      <c r="AA159" s="62" t="n"/>
      <c r="AB159" s="38" t="n"/>
      <c r="AC159" s="62" t="n"/>
      <c r="AD159" s="38" t="n"/>
      <c r="AE159" s="38" t="n"/>
      <c r="AF159" s="61">
        <f>IF(COUNTIF($B$5:B159,B159)=1,1,0)</f>
        <v/>
      </c>
      <c r="AG159" s="62" t="inlineStr">
        <is>
          <t>https://www.lasillavacia.com/red-de-expertos/red-rural/terremoto-en-el-corazon-del-cafe-al-caido-caerle/</t>
        </is>
      </c>
    </row>
    <row r="160" ht="15" customHeight="1" s="31">
      <c r="A160" s="38" t="inlineStr">
        <is>
          <t>ART_019</t>
        </is>
      </c>
      <c r="B160" s="38" t="inlineStr">
        <is>
          <t>ART_019_S01</t>
        </is>
      </c>
      <c r="C160" s="38" t="inlineStr">
        <is>
          <t>La Silla Vacía</t>
        </is>
      </c>
      <c r="D160" s="38" t="inlineStr">
        <is>
          <t>Respuesta a la emergencia del terremoto</t>
        </is>
      </c>
      <c r="E160" s="38" t="inlineStr">
        <is>
          <t>Noticia dura</t>
        </is>
      </c>
      <c r="F160" s="38" t="inlineStr">
        <is>
          <t>Fri, 28 Aug 2026 20:38:50 +0000</t>
        </is>
      </c>
      <c r="G160" s="62" t="inlineStr">
        <is>
          <t>Desde Cali, el presidente Abelardo de la Espriella anunció un subsidio de vivienda de $1.050.000 mensuales para las familias cuya vivienda quedó destruida o inhabitable por el terremoto.</t>
        </is>
      </c>
      <c r="H160" s="62" t="n"/>
      <c r="I160" s="62" t="inlineStr">
        <is>
          <t>El primer desembolso comienza este 31 de agosto y será por tres meses.</t>
        </is>
      </c>
      <c r="J160" s="38" t="n"/>
      <c r="K160" s="62" t="n"/>
      <c r="L160" s="38" t="n"/>
      <c r="M160" s="62" t="n"/>
      <c r="N160" s="38" t="n"/>
      <c r="O160" s="62" t="n"/>
      <c r="P160" s="38" t="n"/>
      <c r="Q160" s="62" t="n"/>
      <c r="R160" s="38" t="n"/>
      <c r="S160" s="62" t="n"/>
      <c r="T160" s="38" t="n"/>
      <c r="U160" s="62" t="n"/>
      <c r="V160" s="38" t="n"/>
      <c r="W160" s="62" t="n"/>
      <c r="X160" s="38" t="n"/>
      <c r="Y160" s="62" t="n"/>
      <c r="Z160" s="38" t="n"/>
      <c r="AA160" s="62" t="n"/>
      <c r="AB160" s="38" t="n"/>
      <c r="AC160" s="62" t="n"/>
      <c r="AD160" s="38" t="n"/>
      <c r="AE160" s="38" t="n"/>
      <c r="AF160" s="61">
        <f>IF(COUNTIF($B$5:B160,B160)=1,1,0)</f>
        <v/>
      </c>
      <c r="AG160" s="62" t="inlineStr">
        <is>
          <t>https://www.lasillavacia.com/en-vivo/cali-abelardo-anuncia-subsidios-de-1-050-000-por-tres-meses/</t>
        </is>
      </c>
    </row>
    <row r="161" ht="15" customHeight="1" s="31">
      <c r="A161" s="38" t="inlineStr">
        <is>
          <t>ART_019</t>
        </is>
      </c>
      <c r="B161" s="38" t="inlineStr">
        <is>
          <t>ART_019_S02</t>
        </is>
      </c>
      <c r="C161" s="38" t="inlineStr">
        <is>
          <t>La Silla Vacía</t>
        </is>
      </c>
      <c r="D161" s="38" t="inlineStr">
        <is>
          <t>Respuesta a la emergencia del terremoto</t>
        </is>
      </c>
      <c r="E161" s="38" t="inlineStr">
        <is>
          <t>Noticia dura</t>
        </is>
      </c>
      <c r="F161" s="38" t="inlineStr">
        <is>
          <t>Fri, 28 Aug 2026 20:38:50 +0000</t>
        </is>
      </c>
      <c r="G161" s="62" t="inlineStr">
        <is>
          <t>El primer desembolso comienza este 31 de agosto y será por tres meses.</t>
        </is>
      </c>
      <c r="H161" s="62" t="inlineStr">
        <is>
          <t>Desde Cali, el presidente Abelardo de la Espriella anunció un subsidio de vivienda de $1.050.000 mensuales para las familias cuya vivienda quedó destruida o inhabitable por el terremoto.</t>
        </is>
      </c>
      <c r="I161" s="62" t="inlineStr">
        <is>
          <t>La cifra es la misma que anunció este lunes para Buenaventura , hoy para Pereira y se acerca a la de Chocó.</t>
        </is>
      </c>
      <c r="J161" s="38" t="n"/>
      <c r="K161" s="62" t="n"/>
      <c r="L161" s="38" t="n"/>
      <c r="M161" s="62" t="n"/>
      <c r="N161" s="38" t="n"/>
      <c r="O161" s="62" t="n"/>
      <c r="P161" s="38" t="n"/>
      <c r="Q161" s="62" t="n"/>
      <c r="R161" s="38" t="n"/>
      <c r="S161" s="62" t="n"/>
      <c r="T161" s="38" t="n"/>
      <c r="U161" s="62" t="n"/>
      <c r="V161" s="38" t="n"/>
      <c r="W161" s="62" t="n"/>
      <c r="X161" s="38" t="n"/>
      <c r="Y161" s="62" t="n"/>
      <c r="Z161" s="38" t="n"/>
      <c r="AA161" s="62" t="n"/>
      <c r="AB161" s="38" t="n"/>
      <c r="AC161" s="62" t="n"/>
      <c r="AD161" s="38" t="n"/>
      <c r="AE161" s="38" t="n"/>
      <c r="AF161" s="61">
        <f>IF(COUNTIF($B$5:B161,B161)=1,1,0)</f>
        <v/>
      </c>
      <c r="AG161" s="62" t="inlineStr">
        <is>
          <t>https://www.lasillavacia.com/en-vivo/cali-abelardo-anuncia-subsidios-de-1-050-000-por-tres-meses/</t>
        </is>
      </c>
    </row>
    <row r="162" ht="15" customHeight="1" s="31">
      <c r="A162" s="38" t="inlineStr">
        <is>
          <t>ART_019</t>
        </is>
      </c>
      <c r="B162" s="38" t="inlineStr">
        <is>
          <t>ART_019_S03</t>
        </is>
      </c>
      <c r="C162" s="38" t="inlineStr">
        <is>
          <t>La Silla Vacía</t>
        </is>
      </c>
      <c r="D162" s="38" t="inlineStr">
        <is>
          <t>Respuesta a la emergencia del terremoto</t>
        </is>
      </c>
      <c r="E162" s="38" t="inlineStr">
        <is>
          <t>Noticia dura</t>
        </is>
      </c>
      <c r="F162" s="38" t="inlineStr">
        <is>
          <t>Fri, 28 Aug 2026 20:38:50 +0000</t>
        </is>
      </c>
      <c r="G162" s="62" t="inlineStr">
        <is>
          <t>La cifra es la misma que anunció este lunes para Buenaventura , hoy para Pereira y se acerca a la de Chocó.</t>
        </is>
      </c>
      <c r="H162" s="62" t="inlineStr">
        <is>
          <t>El primer desembolso comienza este 31 de agosto y será por tres meses.</t>
        </is>
      </c>
      <c r="I162" s="62" t="inlineStr">
        <is>
          <t>Es decir, cada hogar recibirá un total inicial de $3.150.000.</t>
        </is>
      </c>
      <c r="J162" s="38" t="n"/>
      <c r="K162" s="62" t="n"/>
      <c r="L162" s="38" t="n"/>
      <c r="M162" s="62" t="n"/>
      <c r="N162" s="38" t="n"/>
      <c r="O162" s="62" t="n"/>
      <c r="P162" s="38" t="n"/>
      <c r="Q162" s="62" t="n"/>
      <c r="R162" s="38" t="n"/>
      <c r="S162" s="62" t="n"/>
      <c r="T162" s="38" t="n"/>
      <c r="U162" s="62" t="n"/>
      <c r="V162" s="38" t="n"/>
      <c r="W162" s="62" t="n"/>
      <c r="X162" s="38" t="n"/>
      <c r="Y162" s="62" t="n"/>
      <c r="Z162" s="38" t="n"/>
      <c r="AA162" s="62" t="n"/>
      <c r="AB162" s="38" t="n"/>
      <c r="AC162" s="62" t="n"/>
      <c r="AD162" s="38" t="n"/>
      <c r="AE162" s="38" t="n"/>
      <c r="AF162" s="61">
        <f>IF(COUNTIF($B$5:B162,B162)=1,1,0)</f>
        <v/>
      </c>
      <c r="AG162" s="62" t="inlineStr">
        <is>
          <t>https://www.lasillavacia.com/en-vivo/cali-abelardo-anuncia-subsidios-de-1-050-000-por-tres-meses/</t>
        </is>
      </c>
    </row>
    <row r="163" ht="15" customHeight="1" s="31">
      <c r="A163" s="38" t="inlineStr">
        <is>
          <t>ART_019</t>
        </is>
      </c>
      <c r="B163" s="38" t="inlineStr">
        <is>
          <t>ART_019_S04</t>
        </is>
      </c>
      <c r="C163" s="38" t="inlineStr">
        <is>
          <t>La Silla Vacía</t>
        </is>
      </c>
      <c r="D163" s="38" t="inlineStr">
        <is>
          <t>Respuesta a la emergencia del terremoto</t>
        </is>
      </c>
      <c r="E163" s="38" t="inlineStr">
        <is>
          <t>Noticia dura</t>
        </is>
      </c>
      <c r="F163" s="38" t="inlineStr">
        <is>
          <t>Fri, 28 Aug 2026 20:38:50 +0000</t>
        </is>
      </c>
      <c r="G163" s="62" t="inlineStr">
        <is>
          <t>Es decir, cada hogar recibirá un total inicial de $3.150.000.</t>
        </is>
      </c>
      <c r="H163" s="62" t="inlineStr">
        <is>
          <t>La cifra es la misma que anunció este lunes para Buenaventura , hoy para Pereira y se acerca a la de Chocó.</t>
        </is>
      </c>
      <c r="I163" s="62" t="inlineStr">
        <is>
          <t>#Cali | Las familias afectadas en Cali recibirán directamente el dinero de los subsidios económicos anunciados por el presidente Abelardo de la Espriella.</t>
        </is>
      </c>
      <c r="J163" s="38" t="n"/>
      <c r="K163" s="62" t="n"/>
      <c r="L163" s="38" t="n"/>
      <c r="M163" s="62" t="n"/>
      <c r="N163" s="38" t="n"/>
      <c r="O163" s="62" t="n"/>
      <c r="P163" s="38" t="n"/>
      <c r="Q163" s="62" t="n"/>
      <c r="R163" s="38" t="n"/>
      <c r="S163" s="62" t="n"/>
      <c r="T163" s="38" t="n"/>
      <c r="U163" s="62" t="n"/>
      <c r="V163" s="38" t="n"/>
      <c r="W163" s="62" t="n"/>
      <c r="X163" s="38" t="n"/>
      <c r="Y163" s="62" t="n"/>
      <c r="Z163" s="38" t="n"/>
      <c r="AA163" s="62" t="n"/>
      <c r="AB163" s="38" t="n"/>
      <c r="AC163" s="62" t="n"/>
      <c r="AD163" s="38" t="n"/>
      <c r="AE163" s="38" t="n"/>
      <c r="AF163" s="61">
        <f>IF(COUNTIF($B$5:B163,B163)=1,1,0)</f>
        <v/>
      </c>
      <c r="AG163" s="62" t="inlineStr">
        <is>
          <t>https://www.lasillavacia.com/en-vivo/cali-abelardo-anuncia-subsidios-de-1-050-000-por-tres-meses/</t>
        </is>
      </c>
    </row>
    <row r="164" ht="15" customHeight="1" s="31">
      <c r="A164" s="38" t="inlineStr">
        <is>
          <t>ART_019</t>
        </is>
      </c>
      <c r="B164" s="38" t="inlineStr">
        <is>
          <t>ART_019_S05</t>
        </is>
      </c>
      <c r="C164" s="38" t="inlineStr">
        <is>
          <t>La Silla Vacía</t>
        </is>
      </c>
      <c r="D164" s="38" t="inlineStr">
        <is>
          <t>Respuesta a la emergencia del terremoto</t>
        </is>
      </c>
      <c r="E164" s="38" t="inlineStr">
        <is>
          <t>Noticia dura</t>
        </is>
      </c>
      <c r="F164" s="38" t="inlineStr">
        <is>
          <t>Fri, 28 Aug 2026 20:38:50 +0000</t>
        </is>
      </c>
      <c r="G164" s="62" t="inlineStr">
        <is>
          <t>#Cali | Las familias afectadas en Cali recibirán directamente el dinero de los subsidios económicos anunciados por el presidente Abelardo de la Espriella.</t>
        </is>
      </c>
      <c r="H164" s="62" t="inlineStr">
        <is>
          <t>Es decir, cada hogar recibirá un total inicial de $3.150.000.</t>
        </is>
      </c>
      <c r="I164" s="62" t="inlineStr">
        <is>
          <t>Serán $3.150.000 durante tres meses, a razón de $1.050.000 mensuales y sin intermediarios. pic.twitter.com/qhx9vNyDTO</t>
        </is>
      </c>
      <c r="J164" s="38" t="n"/>
      <c r="K164" s="62" t="n"/>
      <c r="L164" s="38" t="n"/>
      <c r="M164" s="62" t="n"/>
      <c r="N164" s="38" t="n"/>
      <c r="O164" s="62" t="n"/>
      <c r="P164" s="38" t="n"/>
      <c r="Q164" s="62" t="n"/>
      <c r="R164" s="38" t="n"/>
      <c r="S164" s="62" t="n"/>
      <c r="T164" s="38" t="n"/>
      <c r="U164" s="62" t="n"/>
      <c r="V164" s="38" t="n"/>
      <c r="W164" s="62" t="n"/>
      <c r="X164" s="38" t="n"/>
      <c r="Y164" s="62" t="n"/>
      <c r="Z164" s="38" t="n"/>
      <c r="AA164" s="62" t="n"/>
      <c r="AB164" s="38" t="n"/>
      <c r="AC164" s="62" t="n"/>
      <c r="AD164" s="38" t="n"/>
      <c r="AE164" s="38" t="n"/>
      <c r="AF164" s="61">
        <f>IF(COUNTIF($B$5:B164,B164)=1,1,0)</f>
        <v/>
      </c>
      <c r="AG164" s="62" t="inlineStr">
        <is>
          <t>https://www.lasillavacia.com/en-vivo/cali-abelardo-anuncia-subsidios-de-1-050-000-por-tres-meses/</t>
        </is>
      </c>
    </row>
    <row r="165" ht="15" customHeight="1" s="31">
      <c r="A165" s="38" t="inlineStr">
        <is>
          <t>ART_019</t>
        </is>
      </c>
      <c r="B165" s="38" t="inlineStr">
        <is>
          <t>ART_019_S06</t>
        </is>
      </c>
      <c r="C165" s="38" t="inlineStr">
        <is>
          <t>La Silla Vacía</t>
        </is>
      </c>
      <c r="D165" s="38" t="inlineStr">
        <is>
          <t>Respuesta a la emergencia del terremoto</t>
        </is>
      </c>
      <c r="E165" s="38" t="inlineStr">
        <is>
          <t>Noticia dura</t>
        </is>
      </c>
      <c r="F165" s="38" t="inlineStr">
        <is>
          <t>Fri, 28 Aug 2026 20:38:50 +0000</t>
        </is>
      </c>
      <c r="G165" s="62" t="inlineStr">
        <is>
          <t>Serán $3.150.000 durante tres meses, a razón de $1.050.000 mensuales y sin intermediarios. pic.twitter.com/qhx9vNyDTO</t>
        </is>
      </c>
      <c r="H165" s="62" t="inlineStr">
        <is>
          <t>#Cali | Las familias afectadas en Cali recibirán directamente el dinero de los subsidios económicos anunciados por el presidente Abelardo de la Espriella.</t>
        </is>
      </c>
      <c r="I165"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J165" s="38" t="n"/>
      <c r="K165" s="62" t="n"/>
      <c r="L165" s="38" t="n"/>
      <c r="M165" s="62" t="n"/>
      <c r="N165" s="38" t="n"/>
      <c r="O165" s="62" t="n"/>
      <c r="P165" s="38" t="n"/>
      <c r="Q165" s="62" t="n"/>
      <c r="R165" s="38" t="n"/>
      <c r="S165" s="62" t="n"/>
      <c r="T165" s="38" t="n"/>
      <c r="U165" s="62" t="n"/>
      <c r="V165" s="38" t="n"/>
      <c r="W165" s="62" t="n"/>
      <c r="X165" s="38" t="n"/>
      <c r="Y165" s="62" t="n"/>
      <c r="Z165" s="38" t="n"/>
      <c r="AA165" s="62" t="n"/>
      <c r="AB165" s="38" t="n"/>
      <c r="AC165" s="62" t="n"/>
      <c r="AD165" s="38" t="n"/>
      <c r="AE165" s="38" t="n"/>
      <c r="AF165" s="61">
        <f>IF(COUNTIF($B$5:B165,B165)=1,1,0)</f>
        <v/>
      </c>
      <c r="AG165" s="62" t="inlineStr">
        <is>
          <t>https://www.lasillavacia.com/en-vivo/cali-abelardo-anuncia-subsidios-de-1-050-000-por-tres-meses/</t>
        </is>
      </c>
    </row>
    <row r="166" ht="15" customHeight="1" s="31">
      <c r="A166" s="38" t="inlineStr">
        <is>
          <t>ART_019</t>
        </is>
      </c>
      <c r="B166" s="38" t="inlineStr">
        <is>
          <t>ART_019_S07</t>
        </is>
      </c>
      <c r="C166" s="38" t="inlineStr">
        <is>
          <t>La Silla Vacía</t>
        </is>
      </c>
      <c r="D166" s="38" t="inlineStr">
        <is>
          <t>Respuesta a la emergencia del terremoto</t>
        </is>
      </c>
      <c r="E166" s="38" t="inlineStr">
        <is>
          <t>Noticia dura</t>
        </is>
      </c>
      <c r="F166" s="38" t="inlineStr">
        <is>
          <t>Fri, 28 Aug 2026 20:38:50 +0000</t>
        </is>
      </c>
      <c r="G166"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H166" s="62" t="inlineStr">
        <is>
          <t>Serán $3.150.000 durante tres meses, a razón de $1.050.000 mensuales y sin intermediarios. pic.twitter.com/qhx9vNyDTO</t>
        </is>
      </c>
      <c r="I166" s="62" t="inlineStr">
        <is>
          <t>Entregó 120 toneladas de materiales para iniciar la reconstrucción.</t>
        </is>
      </c>
      <c r="J166" s="38" t="n"/>
      <c r="K166" s="62" t="n"/>
      <c r="L166" s="38" t="n"/>
      <c r="M166" s="62" t="n"/>
      <c r="N166" s="38" t="n"/>
      <c r="O166" s="62" t="n"/>
      <c r="P166" s="38" t="n"/>
      <c r="Q166" s="62" t="n"/>
      <c r="R166" s="38" t="n"/>
      <c r="S166" s="62" t="n"/>
      <c r="T166" s="38" t="n"/>
      <c r="U166" s="62" t="n"/>
      <c r="V166" s="38" t="n"/>
      <c r="W166" s="62" t="n"/>
      <c r="X166" s="38" t="n"/>
      <c r="Y166" s="62" t="n"/>
      <c r="Z166" s="38" t="n"/>
      <c r="AA166" s="62" t="n"/>
      <c r="AB166" s="38" t="n"/>
      <c r="AC166" s="62" t="n"/>
      <c r="AD166" s="38" t="n"/>
      <c r="AE166" s="38" t="n"/>
      <c r="AF166" s="61">
        <f>IF(COUNTIF($B$5:B166,B166)=1,1,0)</f>
        <v/>
      </c>
      <c r="AG166" s="62" t="inlineStr">
        <is>
          <t>https://www.lasillavacia.com/en-vivo/cali-abelardo-anuncia-subsidios-de-1-050-000-por-tres-meses/</t>
        </is>
      </c>
    </row>
    <row r="167" ht="15" customHeight="1" s="31">
      <c r="A167" s="38" t="inlineStr">
        <is>
          <t>ART_019</t>
        </is>
      </c>
      <c r="B167" s="38" t="inlineStr">
        <is>
          <t>ART_019_S08</t>
        </is>
      </c>
      <c r="C167" s="38" t="inlineStr">
        <is>
          <t>La Silla Vacía</t>
        </is>
      </c>
      <c r="D167" s="38" t="inlineStr">
        <is>
          <t>Respuesta a la emergencia del terremoto</t>
        </is>
      </c>
      <c r="E167" s="38" t="inlineStr">
        <is>
          <t>Noticia dura</t>
        </is>
      </c>
      <c r="F167" s="38" t="inlineStr">
        <is>
          <t>Fri, 28 Aug 2026 20:38:50 +0000</t>
        </is>
      </c>
      <c r="G167" s="62" t="inlineStr">
        <is>
          <t>Entregó 120 toneladas de materiales para iniciar la reconstrucción.</t>
        </is>
      </c>
      <c r="H167" s="62" t="inlineStr">
        <is>
          <t>En el evento estuvieron la gobernadora del Valle, Dilian Francisca Toro; el alcalde Alejandro Eder y el ministro de Vivienda, Jaime Andrés Beltrán, cuyo nombre volvió a sonar hoy tras los detalles que entregó su cartera sobre su viaje a Santa Marta en plena tragedia.</t>
        </is>
      </c>
      <c r="I167" s="62" t="n"/>
      <c r="J167" s="38" t="n"/>
      <c r="K167" s="62" t="n"/>
      <c r="L167" s="38" t="n"/>
      <c r="M167" s="62" t="n"/>
      <c r="N167" s="38" t="n"/>
      <c r="O167" s="62" t="n"/>
      <c r="P167" s="38" t="n"/>
      <c r="Q167" s="62" t="n"/>
      <c r="R167" s="38" t="n"/>
      <c r="S167" s="62" t="n"/>
      <c r="T167" s="38" t="n"/>
      <c r="U167" s="62" t="n"/>
      <c r="V167" s="38" t="n"/>
      <c r="W167" s="62" t="n"/>
      <c r="X167" s="38" t="n"/>
      <c r="Y167" s="62" t="n"/>
      <c r="Z167" s="38" t="n"/>
      <c r="AA167" s="62" t="n"/>
      <c r="AB167" s="38" t="n"/>
      <c r="AC167" s="62" t="n"/>
      <c r="AD167" s="38" t="n"/>
      <c r="AE167" s="38" t="n"/>
      <c r="AF167" s="61">
        <f>IF(COUNTIF($B$5:B167,B167)=1,1,0)</f>
        <v/>
      </c>
      <c r="AG167" s="62" t="inlineStr">
        <is>
          <t>https://www.lasillavacia.com/en-vivo/cali-abelardo-anuncia-subsidios-de-1-050-000-por-tres-meses/</t>
        </is>
      </c>
    </row>
    <row r="168" ht="15" customHeight="1" s="31">
      <c r="A168" s="38" t="inlineStr">
        <is>
          <t>ART_020</t>
        </is>
      </c>
      <c r="B168" s="38" t="inlineStr">
        <is>
          <t>ART_020_S03</t>
        </is>
      </c>
      <c r="C168" s="38" t="inlineStr">
        <is>
          <t>La Silla Vacía</t>
        </is>
      </c>
      <c r="D168" s="38" t="inlineStr">
        <is>
          <t>Reformas sociales en disputa (pensional/tributaria)</t>
        </is>
      </c>
      <c r="E168" s="38" t="inlineStr">
        <is>
          <t>Opinión-análisis</t>
        </is>
      </c>
      <c r="F168" s="38" t="inlineStr">
        <is>
          <t>Tue, 01 Sep 2026 12:00:00 +0000</t>
        </is>
      </c>
      <c r="G168" s="62" t="inlineStr">
        <is>
          <t>La reforma pensional beneficia a las mujeres.</t>
        </is>
      </c>
      <c r="H168" s="62" t="inlineStr">
        <is>
          <t>Esta columna fue escrita por la columnista invitada Laura Porras.</t>
        </is>
      </c>
      <c r="I168" s="62" t="inlineStr">
        <is>
          <t>Y esa precisión importa.</t>
        </is>
      </c>
      <c r="J168" s="38" t="n"/>
      <c r="K168" s="62" t="n"/>
      <c r="L168" s="38" t="n"/>
      <c r="M168" s="62" t="n"/>
      <c r="N168" s="38" t="n"/>
      <c r="O168" s="62" t="n"/>
      <c r="P168" s="38" t="n"/>
      <c r="Q168" s="62" t="n"/>
      <c r="R168" s="38" t="n"/>
      <c r="S168" s="62" t="n"/>
      <c r="T168" s="38" t="n"/>
      <c r="U168" s="62" t="n"/>
      <c r="V168" s="38" t="n"/>
      <c r="W168" s="62" t="n"/>
      <c r="X168" s="38" t="n"/>
      <c r="Y168" s="62" t="n"/>
      <c r="Z168" s="38" t="n"/>
      <c r="AA168" s="62" t="n"/>
      <c r="AB168" s="38" t="n"/>
      <c r="AC168" s="62" t="n"/>
      <c r="AD168" s="38" t="n"/>
      <c r="AE168" s="38" t="n"/>
      <c r="AF168" s="61">
        <f>IF(COUNTIF($B$5:B168,B168)=1,1,0)</f>
        <v/>
      </c>
      <c r="AG168" s="62" t="inlineStr">
        <is>
          <t>https://www.lasillavacia.com/red-de-expertos/red-de-las-mujeres/la-reforma-pensional-beneficia-a-las-mujeres/</t>
        </is>
      </c>
    </row>
    <row r="169" ht="15" customHeight="1" s="31">
      <c r="A169" s="38" t="inlineStr">
        <is>
          <t>ART_020</t>
        </is>
      </c>
      <c r="B169" s="38" t="inlineStr">
        <is>
          <t>ART_020_S04</t>
        </is>
      </c>
      <c r="C169" s="38" t="inlineStr">
        <is>
          <t>La Silla Vacía</t>
        </is>
      </c>
      <c r="D169" s="38" t="inlineStr">
        <is>
          <t>Reformas sociales en disputa (pensional/tributaria)</t>
        </is>
      </c>
      <c r="E169" s="38" t="inlineStr">
        <is>
          <t>Opinión-análisis</t>
        </is>
      </c>
      <c r="F169" s="38" t="inlineStr">
        <is>
          <t>Tue, 01 Sep 2026 12:00:00 +0000</t>
        </is>
      </c>
      <c r="G169" s="62" t="inlineStr">
        <is>
          <t>Y esa precisión importa.</t>
        </is>
      </c>
      <c r="H169" s="62" t="inlineStr">
        <is>
          <t>La reforma pensional beneficia a las mujeres.</t>
        </is>
      </c>
      <c r="I169" s="62" t="inlineStr">
        <is>
          <t>Algunas mujeres privilegiadas perderán subsidios.</t>
        </is>
      </c>
      <c r="J169" s="38" t="n"/>
      <c r="K169" s="62" t="n"/>
      <c r="L169" s="38" t="n"/>
      <c r="M169" s="62" t="n"/>
      <c r="N169" s="38" t="n"/>
      <c r="O169" s="62" t="n"/>
      <c r="P169" s="38" t="n"/>
      <c r="Q169" s="62" t="n"/>
      <c r="R169" s="38" t="n"/>
      <c r="S169" s="62" t="n"/>
      <c r="T169" s="38" t="n"/>
      <c r="U169" s="62" t="n"/>
      <c r="V169" s="38" t="n"/>
      <c r="W169" s="62" t="n"/>
      <c r="X169" s="38" t="n"/>
      <c r="Y169" s="62" t="n"/>
      <c r="Z169" s="38" t="n"/>
      <c r="AA169" s="62" t="n"/>
      <c r="AB169" s="38" t="n"/>
      <c r="AC169" s="62" t="n"/>
      <c r="AD169" s="38" t="n"/>
      <c r="AE169" s="38" t="n"/>
      <c r="AF169" s="61">
        <f>IF(COUNTIF($B$5:B169,B169)=1,1,0)</f>
        <v/>
      </c>
      <c r="AG169" s="62" t="inlineStr">
        <is>
          <t>https://www.lasillavacia.com/red-de-expertos/red-de-las-mujeres/la-reforma-pensional-beneficia-a-las-mujeres/</t>
        </is>
      </c>
    </row>
    <row r="170" ht="15" customHeight="1" s="31">
      <c r="A170" s="38" t="inlineStr">
        <is>
          <t>ART_020</t>
        </is>
      </c>
      <c r="B170" s="38" t="inlineStr">
        <is>
          <t>ART_020_S05</t>
        </is>
      </c>
      <c r="C170" s="38" t="inlineStr">
        <is>
          <t>La Silla Vacía</t>
        </is>
      </c>
      <c r="D170" s="38" t="inlineStr">
        <is>
          <t>Reformas sociales en disputa (pensional/tributaria)</t>
        </is>
      </c>
      <c r="E170" s="38" t="inlineStr">
        <is>
          <t>Opinión-análisis</t>
        </is>
      </c>
      <c r="F170" s="38" t="inlineStr">
        <is>
          <t>Tue, 01 Sep 2026 12:00:00 +0000</t>
        </is>
      </c>
      <c r="G170" s="62" t="inlineStr">
        <is>
          <t>Algunas mujeres privilegiadas perderán subsidios.</t>
        </is>
      </c>
      <c r="H170" s="62" t="inlineStr">
        <is>
          <t>Y esa precisión importa.</t>
        </is>
      </c>
      <c r="I170" s="62" t="inlineStr">
        <is>
          <t>Otras, que están cerca de completar las semanas necesarias para pensionarse, recibirán un empujón importante.</t>
        </is>
      </c>
      <c r="J170" s="38" t="n"/>
      <c r="K170" s="62" t="n"/>
      <c r="L170" s="38" t="n"/>
      <c r="M170" s="62" t="n"/>
      <c r="N170" s="38" t="n"/>
      <c r="O170" s="62" t="n"/>
      <c r="P170" s="38" t="n"/>
      <c r="Q170" s="62" t="n"/>
      <c r="R170" s="38" t="n"/>
      <c r="S170" s="62" t="n"/>
      <c r="T170" s="38" t="n"/>
      <c r="U170" s="62" t="n"/>
      <c r="V170" s="38" t="n"/>
      <c r="W170" s="62" t="n"/>
      <c r="X170" s="38" t="n"/>
      <c r="Y170" s="62" t="n"/>
      <c r="Z170" s="38" t="n"/>
      <c r="AA170" s="62" t="n"/>
      <c r="AB170" s="38" t="n"/>
      <c r="AC170" s="62" t="n"/>
      <c r="AD170" s="38" t="n"/>
      <c r="AE170" s="38" t="n"/>
      <c r="AF170" s="61">
        <f>IF(COUNTIF($B$5:B170,B170)=1,1,0)</f>
        <v/>
      </c>
      <c r="AG170" s="62" t="inlineStr">
        <is>
          <t>https://www.lasillavacia.com/red-de-expertos/red-de-las-mujeres/la-reforma-pensional-beneficia-a-las-mujeres/</t>
        </is>
      </c>
    </row>
    <row r="171" ht="15" customHeight="1" s="31">
      <c r="A171" s="38" t="inlineStr">
        <is>
          <t>ART_020</t>
        </is>
      </c>
      <c r="B171" s="38" t="inlineStr">
        <is>
          <t>ART_020_S06</t>
        </is>
      </c>
      <c r="C171" s="38" t="inlineStr">
        <is>
          <t>La Silla Vacía</t>
        </is>
      </c>
      <c r="D171" s="38" t="inlineStr">
        <is>
          <t>Reformas sociales en disputa (pensional/tributaria)</t>
        </is>
      </c>
      <c r="E171" s="38" t="inlineStr">
        <is>
          <t>Opinión-análisis</t>
        </is>
      </c>
      <c r="F171" s="38" t="inlineStr">
        <is>
          <t>Tue, 01 Sep 2026 12:00:00 +0000</t>
        </is>
      </c>
      <c r="G171" s="62" t="inlineStr">
        <is>
          <t>Otras, que están cerca de completar las semanas necesarias para pensionarse, recibirán un empujón importante.</t>
        </is>
      </c>
      <c r="H171" s="62" t="inlineStr">
        <is>
          <t>Algunas mujeres privilegiadas perderán subsidios.</t>
        </is>
      </c>
      <c r="I171" s="62" t="inlineStr">
        <is>
          <t>Y muchas de las más pobres, que nunca tuvieron una posibilidad real de obtener una pensión, recibirán una protección económica mucho mayor en la vejez.</t>
        </is>
      </c>
      <c r="J171" s="38" t="n"/>
      <c r="K171" s="62" t="n"/>
      <c r="L171" s="38" t="n"/>
      <c r="M171" s="62" t="n"/>
      <c r="N171" s="38" t="n"/>
      <c r="O171" s="62" t="n"/>
      <c r="P171" s="38" t="n"/>
      <c r="Q171" s="62" t="n"/>
      <c r="R171" s="38" t="n"/>
      <c r="S171" s="62" t="n"/>
      <c r="T171" s="38" t="n"/>
      <c r="U171" s="62" t="n"/>
      <c r="V171" s="38" t="n"/>
      <c r="W171" s="62" t="n"/>
      <c r="X171" s="38" t="n"/>
      <c r="Y171" s="62" t="n"/>
      <c r="Z171" s="38" t="n"/>
      <c r="AA171" s="62" t="n"/>
      <c r="AB171" s="38" t="n"/>
      <c r="AC171" s="62" t="n"/>
      <c r="AD171" s="38" t="n"/>
      <c r="AE171" s="38" t="n"/>
      <c r="AF171" s="61">
        <f>IF(COUNTIF($B$5:B171,B171)=1,1,0)</f>
        <v/>
      </c>
      <c r="AG171" s="62" t="inlineStr">
        <is>
          <t>https://www.lasillavacia.com/red-de-expertos/red-de-las-mujeres/la-reforma-pensional-beneficia-a-las-mujeres/</t>
        </is>
      </c>
    </row>
    <row r="172" ht="15" customHeight="1" s="31">
      <c r="A172" s="38" t="inlineStr">
        <is>
          <t>ART_020</t>
        </is>
      </c>
      <c r="B172" s="38" t="inlineStr">
        <is>
          <t>ART_020_S07</t>
        </is>
      </c>
      <c r="C172" s="38" t="inlineStr">
        <is>
          <t>La Silla Vacía</t>
        </is>
      </c>
      <c r="D172" s="38" t="inlineStr">
        <is>
          <t>Reformas sociales en disputa (pensional/tributaria)</t>
        </is>
      </c>
      <c r="E172" s="38" t="inlineStr">
        <is>
          <t>Opinión-análisis</t>
        </is>
      </c>
      <c r="F172" s="38" t="inlineStr">
        <is>
          <t>Tue, 01 Sep 2026 12:00:00 +0000</t>
        </is>
      </c>
      <c r="G172" s="62" t="inlineStr">
        <is>
          <t>Y muchas de las más pobres, que nunca tuvieron una posibilidad real de obtener una pensión, recibirán una protección económica mucho mayor en la vejez.</t>
        </is>
      </c>
      <c r="H172" s="62" t="inlineStr">
        <is>
          <t>Otras, que están cerca de completar las semanas necesarias para pensionarse, recibirán un empujón importante.</t>
        </is>
      </c>
      <c r="I172" s="62" t="inlineStr">
        <is>
          <t>No todas ganamos.</t>
        </is>
      </c>
      <c r="J172" s="38" t="n"/>
      <c r="K172" s="62" t="n"/>
      <c r="L172" s="38" t="n"/>
      <c r="M172" s="62" t="n"/>
      <c r="N172" s="38" t="n"/>
      <c r="O172" s="62" t="n"/>
      <c r="P172" s="38" t="n"/>
      <c r="Q172" s="62" t="n"/>
      <c r="R172" s="38" t="n"/>
      <c r="S172" s="62" t="n"/>
      <c r="T172" s="38" t="n"/>
      <c r="U172" s="62" t="n"/>
      <c r="V172" s="38" t="n"/>
      <c r="W172" s="62" t="n"/>
      <c r="X172" s="38" t="n"/>
      <c r="Y172" s="62" t="n"/>
      <c r="Z172" s="38" t="n"/>
      <c r="AA172" s="62" t="n"/>
      <c r="AB172" s="38" t="n"/>
      <c r="AC172" s="62" t="n"/>
      <c r="AD172" s="38" t="n"/>
      <c r="AE172" s="38" t="n"/>
      <c r="AF172" s="61">
        <f>IF(COUNTIF($B$5:B172,B172)=1,1,0)</f>
        <v/>
      </c>
      <c r="AG172" s="62" t="inlineStr">
        <is>
          <t>https://www.lasillavacia.com/red-de-expertos/red-de-las-mujeres/la-reforma-pensional-beneficia-a-las-mujeres/</t>
        </is>
      </c>
    </row>
    <row r="173" ht="15" customHeight="1" s="31">
      <c r="A173" s="38" t="inlineStr">
        <is>
          <t>ART_020</t>
        </is>
      </c>
      <c r="B173" s="38" t="inlineStr">
        <is>
          <t>ART_020_S08</t>
        </is>
      </c>
      <c r="C173" s="38" t="inlineStr">
        <is>
          <t>La Silla Vacía</t>
        </is>
      </c>
      <c r="D173" s="38" t="inlineStr">
        <is>
          <t>Reformas sociales en disputa (pensional/tributaria)</t>
        </is>
      </c>
      <c r="E173" s="38" t="inlineStr">
        <is>
          <t>Opinión-análisis</t>
        </is>
      </c>
      <c r="F173" s="38" t="inlineStr">
        <is>
          <t>Tue, 01 Sep 2026 12:00:00 +0000</t>
        </is>
      </c>
      <c r="G173" s="62" t="inlineStr">
        <is>
          <t>No todas ganamos.</t>
        </is>
      </c>
      <c r="H173" s="62" t="inlineStr">
        <is>
          <t>Y muchas de las más pobres, que nunca tuvieron una posibilidad real de obtener una pensión, recibirán una protección económica mucho mayor en la vejez.</t>
        </is>
      </c>
      <c r="I173" s="62" t="inlineStr">
        <is>
          <t>Pero quienes más necesitan ganar, ganan más.</t>
        </is>
      </c>
      <c r="J173" s="38" t="n"/>
      <c r="K173" s="62" t="n"/>
      <c r="L173" s="38" t="n"/>
      <c r="M173" s="62" t="n"/>
      <c r="N173" s="38" t="n"/>
      <c r="O173" s="62" t="n"/>
      <c r="P173" s="38" t="n"/>
      <c r="Q173" s="62" t="n"/>
      <c r="R173" s="38" t="n"/>
      <c r="S173" s="62" t="n"/>
      <c r="T173" s="38" t="n"/>
      <c r="U173" s="62" t="n"/>
      <c r="V173" s="38" t="n"/>
      <c r="W173" s="62" t="n"/>
      <c r="X173" s="38" t="n"/>
      <c r="Y173" s="62" t="n"/>
      <c r="Z173" s="38" t="n"/>
      <c r="AA173" s="62" t="n"/>
      <c r="AB173" s="38" t="n"/>
      <c r="AC173" s="62" t="n"/>
      <c r="AD173" s="38" t="n"/>
      <c r="AE173" s="38" t="n"/>
      <c r="AF173" s="61">
        <f>IF(COUNTIF($B$5:B173,B173)=1,1,0)</f>
        <v/>
      </c>
      <c r="AG173" s="62" t="inlineStr">
        <is>
          <t>https://www.lasillavacia.com/red-de-expertos/red-de-las-mujeres/la-reforma-pensional-beneficia-a-las-mujeres/</t>
        </is>
      </c>
    </row>
    <row r="174" ht="15" customHeight="1" s="31">
      <c r="A174" s="38" t="inlineStr">
        <is>
          <t>ART_020</t>
        </is>
      </c>
      <c r="B174" s="38" t="inlineStr">
        <is>
          <t>ART_020_S09</t>
        </is>
      </c>
      <c r="C174" s="38" t="inlineStr">
        <is>
          <t>La Silla Vacía</t>
        </is>
      </c>
      <c r="D174" s="38" t="inlineStr">
        <is>
          <t>Reformas sociales en disputa (pensional/tributaria)</t>
        </is>
      </c>
      <c r="E174" s="38" t="inlineStr">
        <is>
          <t>Opinión-análisis</t>
        </is>
      </c>
      <c r="F174" s="38" t="inlineStr">
        <is>
          <t>Tue, 01 Sep 2026 12:00:00 +0000</t>
        </is>
      </c>
      <c r="G174" s="62" t="inlineStr">
        <is>
          <t>Pero quienes más necesitan ganar, ganan más.</t>
        </is>
      </c>
      <c r="H174" s="62" t="inlineStr">
        <is>
          <t>No todas ganamos.</t>
        </is>
      </c>
      <c r="I174" s="62" t="inlineStr">
        <is>
          <t>De eso se trata redistribuir.</t>
        </is>
      </c>
      <c r="J174" s="38" t="n"/>
      <c r="K174" s="62" t="n"/>
      <c r="L174" s="38" t="n"/>
      <c r="M174" s="62" t="n"/>
      <c r="N174" s="38" t="n"/>
      <c r="O174" s="62" t="n"/>
      <c r="P174" s="38" t="n"/>
      <c r="Q174" s="62" t="n"/>
      <c r="R174" s="38" t="n"/>
      <c r="S174" s="62" t="n"/>
      <c r="T174" s="38" t="n"/>
      <c r="U174" s="62" t="n"/>
      <c r="V174" s="38" t="n"/>
      <c r="W174" s="62" t="n"/>
      <c r="X174" s="38" t="n"/>
      <c r="Y174" s="62" t="n"/>
      <c r="Z174" s="38" t="n"/>
      <c r="AA174" s="62" t="n"/>
      <c r="AB174" s="38" t="n"/>
      <c r="AC174" s="62" t="n"/>
      <c r="AD174" s="38" t="n"/>
      <c r="AE174" s="38" t="n"/>
      <c r="AF174" s="61">
        <f>IF(COUNTIF($B$5:B174,B174)=1,1,0)</f>
        <v/>
      </c>
      <c r="AG174" s="62" t="inlineStr">
        <is>
          <t>https://www.lasillavacia.com/red-de-expertos/red-de-las-mujeres/la-reforma-pensional-beneficia-a-las-mujeres/</t>
        </is>
      </c>
    </row>
    <row r="175" ht="15" customHeight="1" s="31">
      <c r="A175" s="38" t="inlineStr">
        <is>
          <t>ART_020</t>
        </is>
      </c>
      <c r="B175" s="38" t="inlineStr">
        <is>
          <t>ART_020_S10</t>
        </is>
      </c>
      <c r="C175" s="38" t="inlineStr">
        <is>
          <t>La Silla Vacía</t>
        </is>
      </c>
      <c r="D175" s="38" t="inlineStr">
        <is>
          <t>Reformas sociales en disputa (pensional/tributaria)</t>
        </is>
      </c>
      <c r="E175" s="38" t="inlineStr">
        <is>
          <t>Opinión-análisis</t>
        </is>
      </c>
      <c r="F175" s="38" t="inlineStr">
        <is>
          <t>Tue, 01 Sep 2026 12:00:00 +0000</t>
        </is>
      </c>
      <c r="G175" s="62" t="inlineStr">
        <is>
          <t>De eso se trata redistribuir.</t>
        </is>
      </c>
      <c r="H175" s="62" t="inlineStr">
        <is>
          <t>Pero quienes más necesitan ganar, ganan más.</t>
        </is>
      </c>
      <c r="I175" s="62" t="inlineStr">
        <is>
          <t>Pensemos en una pensión como pensamos en una casa propia.</t>
        </is>
      </c>
      <c r="J175" s="38" t="n"/>
      <c r="K175" s="62" t="n"/>
      <c r="L175" s="38" t="n"/>
      <c r="M175" s="62" t="n"/>
      <c r="N175" s="38" t="n"/>
      <c r="O175" s="62" t="n"/>
      <c r="P175" s="38" t="n"/>
      <c r="Q175" s="62" t="n"/>
      <c r="R175" s="38" t="n"/>
      <c r="S175" s="62" t="n"/>
      <c r="T175" s="38" t="n"/>
      <c r="U175" s="62" t="n"/>
      <c r="V175" s="38" t="n"/>
      <c r="W175" s="62" t="n"/>
      <c r="X175" s="38" t="n"/>
      <c r="Y175" s="62" t="n"/>
      <c r="Z175" s="38" t="n"/>
      <c r="AA175" s="62" t="n"/>
      <c r="AB175" s="38" t="n"/>
      <c r="AC175" s="62" t="n"/>
      <c r="AD175" s="38" t="n"/>
      <c r="AE175" s="38" t="n"/>
      <c r="AF175" s="61">
        <f>IF(COUNTIF($B$5:B175,B175)=1,1,0)</f>
        <v/>
      </c>
      <c r="AG175" s="62" t="inlineStr">
        <is>
          <t>https://www.lasillavacia.com/red-de-expertos/red-de-las-mujeres/la-reforma-pensional-beneficia-a-las-mujeres/</t>
        </is>
      </c>
    </row>
    <row r="176" ht="15" customHeight="1" s="31">
      <c r="A176" s="38" t="inlineStr">
        <is>
          <t>ART_020</t>
        </is>
      </c>
      <c r="B176" s="38" t="inlineStr">
        <is>
          <t>ART_020_S11</t>
        </is>
      </c>
      <c r="C176" s="38" t="inlineStr">
        <is>
          <t>La Silla Vacía</t>
        </is>
      </c>
      <c r="D176" s="38" t="inlineStr">
        <is>
          <t>Reformas sociales en disputa (pensional/tributaria)</t>
        </is>
      </c>
      <c r="E176" s="38" t="inlineStr">
        <is>
          <t>Opinión-análisis</t>
        </is>
      </c>
      <c r="F176" s="38" t="inlineStr">
        <is>
          <t>Tue, 01 Sep 2026 12:00:00 +0000</t>
        </is>
      </c>
      <c r="G176" s="62" t="inlineStr">
        <is>
          <t>Pensemos en una pensión como pensamos en una casa propia.</t>
        </is>
      </c>
      <c r="H176" s="62" t="inlineStr">
        <is>
          <t>De eso se trata redistribuir.</t>
        </is>
      </c>
      <c r="I176" s="62" t="inlineStr">
        <is>
          <t>Muy pocas mujeres pudieron comprarla.</t>
        </is>
      </c>
      <c r="J176" s="38" t="n"/>
      <c r="K176" s="62" t="n"/>
      <c r="L176" s="38" t="n"/>
      <c r="M176" s="62" t="n"/>
      <c r="N176" s="38" t="n"/>
      <c r="O176" s="62" t="n"/>
      <c r="P176" s="38" t="n"/>
      <c r="Q176" s="62" t="n"/>
      <c r="R176" s="38" t="n"/>
      <c r="S176" s="62" t="n"/>
      <c r="T176" s="38" t="n"/>
      <c r="U176" s="62" t="n"/>
      <c r="V176" s="38" t="n"/>
      <c r="W176" s="62" t="n"/>
      <c r="X176" s="38" t="n"/>
      <c r="Y176" s="62" t="n"/>
      <c r="Z176" s="38" t="n"/>
      <c r="AA176" s="62" t="n"/>
      <c r="AB176" s="38" t="n"/>
      <c r="AC176" s="62" t="n"/>
      <c r="AD176" s="38" t="n"/>
      <c r="AE176" s="38" t="n"/>
      <c r="AF176" s="61">
        <f>IF(COUNTIF($B$5:B176,B176)=1,1,0)</f>
        <v/>
      </c>
      <c r="AG176" s="62" t="inlineStr">
        <is>
          <t>https://www.lasillavacia.com/red-de-expertos/red-de-las-mujeres/la-reforma-pensional-beneficia-a-las-mujeres/</t>
        </is>
      </c>
    </row>
    <row r="177" ht="15" customHeight="1" s="31">
      <c r="A177" s="38" t="inlineStr">
        <is>
          <t>ART_020</t>
        </is>
      </c>
      <c r="B177" s="38" t="inlineStr">
        <is>
          <t>ART_020_S12</t>
        </is>
      </c>
      <c r="C177" s="38" t="inlineStr">
        <is>
          <t>La Silla Vacía</t>
        </is>
      </c>
      <c r="D177" s="38" t="inlineStr">
        <is>
          <t>Reformas sociales en disputa (pensional/tributaria)</t>
        </is>
      </c>
      <c r="E177" s="38" t="inlineStr">
        <is>
          <t>Opinión-análisis</t>
        </is>
      </c>
      <c r="F177" s="38" t="inlineStr">
        <is>
          <t>Tue, 01 Sep 2026 12:00:00 +0000</t>
        </is>
      </c>
      <c r="G177" s="62" t="inlineStr">
        <is>
          <t>Muy pocas mujeres pudieron comprarla.</t>
        </is>
      </c>
      <c r="H177" s="62" t="inlineStr">
        <is>
          <t>Pensemos en una pensión como pensamos en una casa propia.</t>
        </is>
      </c>
      <c r="I177" s="62" t="n"/>
      <c r="J177" s="38" t="n"/>
      <c r="K177" s="62" t="n"/>
      <c r="L177" s="38" t="n"/>
      <c r="M177" s="62" t="n"/>
      <c r="N177" s="38" t="n"/>
      <c r="O177" s="62" t="n"/>
      <c r="P177" s="38" t="n"/>
      <c r="Q177" s="62" t="n"/>
      <c r="R177" s="38" t="n"/>
      <c r="S177" s="62" t="n"/>
      <c r="T177" s="38" t="n"/>
      <c r="U177" s="62" t="n"/>
      <c r="V177" s="38" t="n"/>
      <c r="W177" s="62" t="n"/>
      <c r="X177" s="38" t="n"/>
      <c r="Y177" s="62" t="n"/>
      <c r="Z177" s="38" t="n"/>
      <c r="AA177" s="62" t="n"/>
      <c r="AB177" s="38" t="n"/>
      <c r="AC177" s="62" t="n"/>
      <c r="AD177" s="38" t="n"/>
      <c r="AE177" s="38" t="n"/>
      <c r="AF177" s="61">
        <f>IF(COUNTIF($B$5:B177,B177)=1,1,0)</f>
        <v/>
      </c>
      <c r="AG177" s="62" t="inlineStr">
        <is>
          <t>https://www.lasillavacia.com/red-de-expertos/red-de-las-mujeres/la-reforma-pensional-beneficia-a-las-mujeres/</t>
        </is>
      </c>
    </row>
    <row r="178" ht="15" customHeight="1" s="31">
      <c r="A178" s="38" t="inlineStr">
        <is>
          <t>ART_021</t>
        </is>
      </c>
      <c r="B178" s="38" t="inlineStr">
        <is>
          <t>ART_021_S01</t>
        </is>
      </c>
      <c r="C178" s="38" t="inlineStr">
        <is>
          <t>La Silla Vacía</t>
        </is>
      </c>
      <c r="D178" s="38" t="inlineStr">
        <is>
          <t>Reformas sociales en disputa (pensional/tributaria)</t>
        </is>
      </c>
      <c r="E178" s="38" t="inlineStr">
        <is>
          <t>Noticia dura</t>
        </is>
      </c>
      <c r="F178" s="38" t="inlineStr">
        <is>
          <t>Wed, 26 Aug 2026 00:50:09 +0000</t>
        </is>
      </c>
      <c r="G178" s="62" t="inlineStr">
        <is>
          <t>Con una votación de 7 a 1, la Corte Constitucional avaló la mayoría del articulado de la reforma pensional del gobierno de Gustavo Petro, pero le pidió a la Cámara discutir —en un plazo de 30 días— nueve proposiciones puntuales y un artículo nuevo.</t>
        </is>
      </c>
      <c r="H178" s="62" t="n"/>
      <c r="I178" s="62" t="inlineStr">
        <is>
          <t>El expediente tenía como ponente a la magistrada Paola Meneses.</t>
        </is>
      </c>
      <c r="J178" s="38" t="n"/>
      <c r="K178" s="62" t="n"/>
      <c r="L178" s="38" t="n"/>
      <c r="M178" s="62" t="n"/>
      <c r="N178" s="38" t="n"/>
      <c r="O178" s="62" t="n"/>
      <c r="P178" s="38" t="n"/>
      <c r="Q178" s="62" t="n"/>
      <c r="R178" s="38" t="n"/>
      <c r="S178" s="62" t="n"/>
      <c r="T178" s="38" t="n"/>
      <c r="U178" s="62" t="n"/>
      <c r="V178" s="38" t="n"/>
      <c r="W178" s="62" t="n"/>
      <c r="X178" s="38" t="n"/>
      <c r="Y178" s="62" t="n"/>
      <c r="Z178" s="38" t="n"/>
      <c r="AA178" s="62" t="n"/>
      <c r="AB178" s="38" t="n"/>
      <c r="AC178" s="62" t="n"/>
      <c r="AD178" s="38" t="n"/>
      <c r="AE178" s="38" t="n"/>
      <c r="AF178" s="61">
        <f>IF(COUNTIF($B$5:B178,B178)=1,1,0)</f>
        <v/>
      </c>
      <c r="AG178" s="62" t="inlineStr">
        <is>
          <t>https://www.lasillavacia.com/en-vivo/reforma-pensional-corte-avala-90-articulos-y-devuelve-9-a-la-camara/</t>
        </is>
      </c>
    </row>
    <row r="179" ht="15" customHeight="1" s="31">
      <c r="A179" s="38" t="inlineStr">
        <is>
          <t>ART_021</t>
        </is>
      </c>
      <c r="B179" s="38" t="inlineStr">
        <is>
          <t>ART_021_S02</t>
        </is>
      </c>
      <c r="C179" s="38" t="inlineStr">
        <is>
          <t>La Silla Vacía</t>
        </is>
      </c>
      <c r="D179" s="38" t="inlineStr">
        <is>
          <t>Reformas sociales en disputa (pensional/tributaria)</t>
        </is>
      </c>
      <c r="E179" s="38" t="inlineStr">
        <is>
          <t>Noticia dura</t>
        </is>
      </c>
      <c r="F179" s="38" t="inlineStr">
        <is>
          <t>Wed, 26 Aug 2026 00:50:09 +0000</t>
        </is>
      </c>
      <c r="G179" s="62" t="inlineStr">
        <is>
          <t>El expediente tenía como ponente a la magistrada Paola Meneses.</t>
        </is>
      </c>
      <c r="H179" s="62" t="inlineStr">
        <is>
          <t>Con una votación de 7 a 1, la Corte Constitucional avaló la mayoría del articulado de la reforma pensional del gobierno de Gustavo Petro, pero le pidió a la Cámara discutir —en un plazo de 30 días— nueve proposiciones puntuales y un artículo nuevo.</t>
        </is>
      </c>
      <c r="I179" s="62" t="inlineStr">
        <is>
          <t>El conjuez Carlos Pablo Márquez salvó el voto.</t>
        </is>
      </c>
      <c r="J179" s="38" t="n"/>
      <c r="K179" s="62" t="n"/>
      <c r="L179" s="38" t="n"/>
      <c r="M179" s="62" t="n"/>
      <c r="N179" s="38" t="n"/>
      <c r="O179" s="62" t="n"/>
      <c r="P179" s="38" t="n"/>
      <c r="Q179" s="62" t="n"/>
      <c r="R179" s="38" t="n"/>
      <c r="S179" s="62" t="n"/>
      <c r="T179" s="38" t="n"/>
      <c r="U179" s="62" t="n"/>
      <c r="V179" s="38" t="n"/>
      <c r="W179" s="62" t="n"/>
      <c r="X179" s="38" t="n"/>
      <c r="Y179" s="62" t="n"/>
      <c r="Z179" s="38" t="n"/>
      <c r="AA179" s="62" t="n"/>
      <c r="AB179" s="38" t="n"/>
      <c r="AC179" s="62" t="n"/>
      <c r="AD179" s="38" t="n"/>
      <c r="AE179" s="38" t="n"/>
      <c r="AF179" s="61">
        <f>IF(COUNTIF($B$5:B179,B179)=1,1,0)</f>
        <v/>
      </c>
      <c r="AG179" s="62" t="inlineStr">
        <is>
          <t>https://www.lasillavacia.com/en-vivo/reforma-pensional-corte-avala-90-articulos-y-devuelve-9-a-la-camara/</t>
        </is>
      </c>
    </row>
    <row r="180" ht="15" customHeight="1" s="31">
      <c r="A180" s="38" t="inlineStr">
        <is>
          <t>ART_021</t>
        </is>
      </c>
      <c r="B180" s="38" t="inlineStr">
        <is>
          <t>ART_021_S03</t>
        </is>
      </c>
      <c r="C180" s="38" t="inlineStr">
        <is>
          <t>La Silla Vacía</t>
        </is>
      </c>
      <c r="D180" s="38" t="inlineStr">
        <is>
          <t>Reformas sociales en disputa (pensional/tributaria)</t>
        </is>
      </c>
      <c r="E180" s="38" t="inlineStr">
        <is>
          <t>Noticia dura</t>
        </is>
      </c>
      <c r="F180" s="38" t="inlineStr">
        <is>
          <t>Wed, 26 Aug 2026 00:50:09 +0000</t>
        </is>
      </c>
      <c r="G180" s="62" t="inlineStr">
        <is>
          <t>El conjuez Carlos Pablo Márquez salvó el voto.</t>
        </is>
      </c>
      <c r="H180" s="62" t="inlineStr">
        <is>
          <t>El expediente tenía como ponente a la magistrada Paola Meneses.</t>
        </is>
      </c>
      <c r="I180" s="62" t="inlineStr">
        <is>
          <t>También declaró exequible el artículo 94.</t>
        </is>
      </c>
      <c r="J180" s="38" t="n"/>
      <c r="K180" s="62" t="n"/>
      <c r="L180" s="38" t="n"/>
      <c r="M180" s="62" t="n"/>
      <c r="N180" s="38" t="n"/>
      <c r="O180" s="62" t="n"/>
      <c r="P180" s="38" t="n"/>
      <c r="Q180" s="62" t="n"/>
      <c r="R180" s="38" t="n"/>
      <c r="S180" s="62" t="n"/>
      <c r="T180" s="38" t="n"/>
      <c r="U180" s="62" t="n"/>
      <c r="V180" s="38" t="n"/>
      <c r="W180" s="62" t="n"/>
      <c r="X180" s="38" t="n"/>
      <c r="Y180" s="62" t="n"/>
      <c r="Z180" s="38" t="n"/>
      <c r="AA180" s="62" t="n"/>
      <c r="AB180" s="38" t="n"/>
      <c r="AC180" s="62" t="n"/>
      <c r="AD180" s="38" t="n"/>
      <c r="AE180" s="38" t="n"/>
      <c r="AF180" s="61">
        <f>IF(COUNTIF($B$5:B180,B180)=1,1,0)</f>
        <v/>
      </c>
      <c r="AG180" s="62" t="inlineStr">
        <is>
          <t>https://www.lasillavacia.com/en-vivo/reforma-pensional-corte-avala-90-articulos-y-devuelve-9-a-la-camara/</t>
        </is>
      </c>
    </row>
    <row r="181" ht="15" customHeight="1" s="31">
      <c r="A181" s="38" t="inlineStr">
        <is>
          <t>ART_021</t>
        </is>
      </c>
      <c r="B181" s="38" t="inlineStr">
        <is>
          <t>ART_021_S04</t>
        </is>
      </c>
      <c r="C181" s="38" t="inlineStr">
        <is>
          <t>La Silla Vacía</t>
        </is>
      </c>
      <c r="D181" s="38" t="inlineStr">
        <is>
          <t>Reformas sociales en disputa (pensional/tributaria)</t>
        </is>
      </c>
      <c r="E181" s="38" t="inlineStr">
        <is>
          <t>Noticia dura</t>
        </is>
      </c>
      <c r="F181" s="38" t="inlineStr">
        <is>
          <t>Wed, 26 Aug 2026 00:50:09 +0000</t>
        </is>
      </c>
      <c r="G181" s="62" t="inlineStr">
        <is>
          <t>También declaró exequible el artículo 94.</t>
        </is>
      </c>
      <c r="H181" s="62" t="inlineStr">
        <is>
          <t>El conjuez Carlos Pablo Márquez salvó el voto.</t>
        </is>
      </c>
      <c r="I181" s="62" t="inlineStr">
        <is>
          <t>Es decir, el que establecía a julio de 2025 la entrada en vigencia del nuevo sistema de pilares de la reforma pensional.</t>
        </is>
      </c>
      <c r="J181" s="38" t="n"/>
      <c r="K181" s="62" t="n"/>
      <c r="L181" s="38" t="n"/>
      <c r="M181" s="62" t="n"/>
      <c r="N181" s="38" t="n"/>
      <c r="O181" s="62" t="n"/>
      <c r="P181" s="38" t="n"/>
      <c r="Q181" s="62" t="n"/>
      <c r="R181" s="38" t="n"/>
      <c r="S181" s="62" t="n"/>
      <c r="T181" s="38" t="n"/>
      <c r="U181" s="62" t="n"/>
      <c r="V181" s="38" t="n"/>
      <c r="W181" s="62" t="n"/>
      <c r="X181" s="38" t="n"/>
      <c r="Y181" s="62" t="n"/>
      <c r="Z181" s="38" t="n"/>
      <c r="AA181" s="62" t="n"/>
      <c r="AB181" s="38" t="n"/>
      <c r="AC181" s="62" t="n"/>
      <c r="AD181" s="38" t="n"/>
      <c r="AE181" s="38" t="n"/>
      <c r="AF181" s="61">
        <f>IF(COUNTIF($B$5:B181,B181)=1,1,0)</f>
        <v/>
      </c>
      <c r="AG181" s="62" t="inlineStr">
        <is>
          <t>https://www.lasillavacia.com/en-vivo/reforma-pensional-corte-avala-90-articulos-y-devuelve-9-a-la-camara/</t>
        </is>
      </c>
    </row>
    <row r="182" ht="15" customHeight="1" s="31">
      <c r="A182" s="38" t="inlineStr">
        <is>
          <t>ART_021</t>
        </is>
      </c>
      <c r="B182" s="38" t="inlineStr">
        <is>
          <t>ART_021_S05</t>
        </is>
      </c>
      <c r="C182" s="38" t="inlineStr">
        <is>
          <t>La Silla Vacía</t>
        </is>
      </c>
      <c r="D182" s="38" t="inlineStr">
        <is>
          <t>Reformas sociales en disputa (pensional/tributaria)</t>
        </is>
      </c>
      <c r="E182" s="38" t="inlineStr">
        <is>
          <t>Noticia dura</t>
        </is>
      </c>
      <c r="F182" s="38" t="inlineStr">
        <is>
          <t>Wed, 26 Aug 2026 00:50:09 +0000</t>
        </is>
      </c>
      <c r="G182" s="62" t="inlineStr">
        <is>
          <t>Es decir, el que establecía a julio de 2025 la entrada en vigencia del nuevo sistema de pilares de la reforma pensional.</t>
        </is>
      </c>
      <c r="H182" s="62" t="inlineStr">
        <is>
          <t>También declaró exequible el artículo 94.</t>
        </is>
      </c>
      <c r="I182" s="62" t="inlineStr">
        <is>
          <t>Se avala en el entendido de que los artículos declarados exequibles entrarán en vigencia a partir del 1 de abril de 2027.</t>
        </is>
      </c>
      <c r="J182" s="38" t="n"/>
      <c r="K182" s="62" t="n"/>
      <c r="L182" s="38" t="n"/>
      <c r="M182" s="62" t="n"/>
      <c r="N182" s="38" t="n"/>
      <c r="O182" s="62" t="n"/>
      <c r="P182" s="38" t="n"/>
      <c r="Q182" s="62" t="n"/>
      <c r="R182" s="38" t="n"/>
      <c r="S182" s="62" t="n"/>
      <c r="T182" s="38" t="n"/>
      <c r="U182" s="62" t="n"/>
      <c r="V182" s="38" t="n"/>
      <c r="W182" s="62" t="n"/>
      <c r="X182" s="38" t="n"/>
      <c r="Y182" s="62" t="n"/>
      <c r="Z182" s="38" t="n"/>
      <c r="AA182" s="62" t="n"/>
      <c r="AB182" s="38" t="n"/>
      <c r="AC182" s="62" t="n"/>
      <c r="AD182" s="38" t="n"/>
      <c r="AE182" s="38" t="n"/>
      <c r="AF182" s="61">
        <f>IF(COUNTIF($B$5:B182,B182)=1,1,0)</f>
        <v/>
      </c>
      <c r="AG182" s="62" t="inlineStr">
        <is>
          <t>https://www.lasillavacia.com/en-vivo/reforma-pensional-corte-avala-90-articulos-y-devuelve-9-a-la-camara/</t>
        </is>
      </c>
    </row>
    <row r="183" ht="15" customHeight="1" s="31">
      <c r="A183" s="38" t="inlineStr">
        <is>
          <t>ART_021</t>
        </is>
      </c>
      <c r="B183" s="38" t="inlineStr">
        <is>
          <t>ART_021_S06</t>
        </is>
      </c>
      <c r="C183" s="38" t="inlineStr">
        <is>
          <t>La Silla Vacía</t>
        </is>
      </c>
      <c r="D183" s="38" t="inlineStr">
        <is>
          <t>Reformas sociales en disputa (pensional/tributaria)</t>
        </is>
      </c>
      <c r="E183" s="38" t="inlineStr">
        <is>
          <t>Noticia dura</t>
        </is>
      </c>
      <c r="F183" s="38" t="inlineStr">
        <is>
          <t>Wed, 26 Aug 2026 00:50:09 +0000</t>
        </is>
      </c>
      <c r="G183" s="62" t="inlineStr">
        <is>
          <t>Se avala en el entendido de que los artículos declarados exequibles entrarán en vigencia a partir del 1 de abril de 2027.</t>
        </is>
      </c>
      <c r="H183" s="62" t="inlineStr">
        <is>
          <t>Es decir, el que establecía a julio de 2025 la entrada en vigencia del nuevo sistema de pilares de la reforma pensional.</t>
        </is>
      </c>
      <c r="I183" s="62" t="inlineStr">
        <is>
          <t>“Un nuevo triunfo del gobierno del cambio y del pueblo trabajador”, acaba de celebrar el expresidente Petro.</t>
        </is>
      </c>
      <c r="J183" s="38" t="n"/>
      <c r="K183" s="62" t="n"/>
      <c r="L183" s="38" t="n"/>
      <c r="M183" s="62" t="n"/>
      <c r="N183" s="38" t="n"/>
      <c r="O183" s="62" t="n"/>
      <c r="P183" s="38" t="n"/>
      <c r="Q183" s="62" t="n"/>
      <c r="R183" s="38" t="n"/>
      <c r="S183" s="62" t="n"/>
      <c r="T183" s="38" t="n"/>
      <c r="U183" s="62" t="n"/>
      <c r="V183" s="38" t="n"/>
      <c r="W183" s="62" t="n"/>
      <c r="X183" s="38" t="n"/>
      <c r="Y183" s="62" t="n"/>
      <c r="Z183" s="38" t="n"/>
      <c r="AA183" s="62" t="n"/>
      <c r="AB183" s="38" t="n"/>
      <c r="AC183" s="62" t="n"/>
      <c r="AD183" s="38" t="n"/>
      <c r="AE183" s="38" t="n"/>
      <c r="AF183" s="61">
        <f>IF(COUNTIF($B$5:B183,B183)=1,1,0)</f>
        <v/>
      </c>
      <c r="AG183" s="62" t="inlineStr">
        <is>
          <t>https://www.lasillavacia.com/en-vivo/reforma-pensional-corte-avala-90-articulos-y-devuelve-9-a-la-camara/</t>
        </is>
      </c>
    </row>
    <row r="184" ht="15" customHeight="1" s="31">
      <c r="A184" s="38" t="inlineStr">
        <is>
          <t>ART_021</t>
        </is>
      </c>
      <c r="B184" s="38" t="inlineStr">
        <is>
          <t>ART_021_S07</t>
        </is>
      </c>
      <c r="C184" s="38" t="inlineStr">
        <is>
          <t>La Silla Vacía</t>
        </is>
      </c>
      <c r="D184" s="38" t="inlineStr">
        <is>
          <t>Reformas sociales en disputa (pensional/tributaria)</t>
        </is>
      </c>
      <c r="E184" s="38" t="inlineStr">
        <is>
          <t>Noticia dura</t>
        </is>
      </c>
      <c r="F184" s="38" t="inlineStr">
        <is>
          <t>Wed, 26 Aug 2026 00:50:09 +0000</t>
        </is>
      </c>
      <c r="G184" s="62" t="inlineStr">
        <is>
          <t>“Un nuevo triunfo del gobierno del cambio y del pueblo trabajador”, acaba de celebrar el expresidente Petro.</t>
        </is>
      </c>
      <c r="H184" s="62" t="inlineStr">
        <is>
          <t>Se avala en el entendido de que los artículos declarados exequibles entrarán en vigencia a partir del 1 de abril de 2027.</t>
        </is>
      </c>
      <c r="I184" s="62" t="inlineStr">
        <is>
          <t>Se ha aprobado la mayor parte de la nueva ley de reforma pensional.</t>
        </is>
      </c>
      <c r="J184" s="38" t="n"/>
      <c r="K184" s="62" t="n"/>
      <c r="L184" s="38" t="n"/>
      <c r="M184" s="62" t="n"/>
      <c r="N184" s="38" t="n"/>
      <c r="O184" s="62" t="n"/>
      <c r="P184" s="38" t="n"/>
      <c r="Q184" s="62" t="n"/>
      <c r="R184" s="38" t="n"/>
      <c r="S184" s="62" t="n"/>
      <c r="T184" s="38" t="n"/>
      <c r="U184" s="62" t="n"/>
      <c r="V184" s="38" t="n"/>
      <c r="W184" s="62" t="n"/>
      <c r="X184" s="38" t="n"/>
      <c r="Y184" s="62" t="n"/>
      <c r="Z184" s="38" t="n"/>
      <c r="AA184" s="62" t="n"/>
      <c r="AB184" s="38" t="n"/>
      <c r="AC184" s="62" t="n"/>
      <c r="AD184" s="38" t="n"/>
      <c r="AE184" s="38" t="n"/>
      <c r="AF184" s="61">
        <f>IF(COUNTIF($B$5:B184,B184)=1,1,0)</f>
        <v/>
      </c>
      <c r="AG184" s="62" t="inlineStr">
        <is>
          <t>https://www.lasillavacia.com/en-vivo/reforma-pensional-corte-avala-90-articulos-y-devuelve-9-a-la-camara/</t>
        </is>
      </c>
    </row>
    <row r="185" ht="15" customHeight="1" s="31">
      <c r="A185" s="38" t="inlineStr">
        <is>
          <t>ART_021</t>
        </is>
      </c>
      <c r="B185" s="38" t="inlineStr">
        <is>
          <t>ART_021_S08</t>
        </is>
      </c>
      <c r="C185" s="38" t="inlineStr">
        <is>
          <t>La Silla Vacía</t>
        </is>
      </c>
      <c r="D185" s="38" t="inlineStr">
        <is>
          <t>Reformas sociales en disputa (pensional/tributaria)</t>
        </is>
      </c>
      <c r="E185" s="38" t="inlineStr">
        <is>
          <t>Noticia dura</t>
        </is>
      </c>
      <c r="F185" s="38" t="inlineStr">
        <is>
          <t>Wed, 26 Aug 2026 00:50:09 +0000</t>
        </is>
      </c>
      <c r="G185" s="62" t="inlineStr">
        <is>
          <t>Se ha aprobado la mayor parte de la nueva ley de reforma pensional.</t>
        </is>
      </c>
      <c r="H185" s="62" t="inlineStr">
        <is>
          <t>“Un nuevo triunfo del gobierno del cambio y del pueblo trabajador”, acaba de celebrar el expresidente Petro.</t>
        </is>
      </c>
      <c r="I185" s="62" t="n"/>
      <c r="J185" s="38" t="n"/>
      <c r="K185" s="62" t="n"/>
      <c r="L185" s="38" t="n"/>
      <c r="M185" s="62" t="n"/>
      <c r="N185" s="38" t="n"/>
      <c r="O185" s="62" t="n"/>
      <c r="P185" s="38" t="n"/>
      <c r="Q185" s="62" t="n"/>
      <c r="R185" s="38" t="n"/>
      <c r="S185" s="62" t="n"/>
      <c r="T185" s="38" t="n"/>
      <c r="U185" s="62" t="n"/>
      <c r="V185" s="38" t="n"/>
      <c r="W185" s="62" t="n"/>
      <c r="X185" s="38" t="n"/>
      <c r="Y185" s="62" t="n"/>
      <c r="Z185" s="38" t="n"/>
      <c r="AA185" s="62" t="n"/>
      <c r="AB185" s="38" t="n"/>
      <c r="AC185" s="62" t="n"/>
      <c r="AD185" s="38" t="n"/>
      <c r="AE185" s="38" t="n"/>
      <c r="AF185" s="61">
        <f>IF(COUNTIF($B$5:B185,B185)=1,1,0)</f>
        <v/>
      </c>
      <c r="AG185" s="62" t="inlineStr">
        <is>
          <t>https://www.lasillavacia.com/en-vivo/reforma-pensional-corte-avala-90-articulos-y-devuelve-9-a-la-camara/</t>
        </is>
      </c>
    </row>
    <row r="186" ht="15" customHeight="1" s="31">
      <c r="A186" s="38" t="inlineStr">
        <is>
          <t>ART_022</t>
        </is>
      </c>
      <c r="B186" s="38" t="inlineStr">
        <is>
          <t>ART_022_S01</t>
        </is>
      </c>
      <c r="C186" s="38" t="inlineStr">
        <is>
          <t>La Silla Vacía</t>
        </is>
      </c>
      <c r="D186" s="38" t="inlineStr">
        <is>
          <t>Relación con Estados Unidos</t>
        </is>
      </c>
      <c r="E186" s="38" t="inlineStr">
        <is>
          <t>Noticia dura</t>
        </is>
      </c>
      <c r="F186" s="38" t="inlineStr">
        <is>
          <t>Fri, 26 Dec 2025 05:05:00 +0000</t>
        </is>
      </c>
      <c r="G186" s="62" t="inlineStr">
        <is>
          <t>El 2025 fue un año lleno de incertidumbres.</t>
        </is>
      </c>
      <c r="H186" s="62" t="n"/>
      <c r="I186" s="62" t="inlineStr">
        <is>
          <t>A la impredictibilidad del presidente Gustavo Petro se sumó el inmenso cambio en el equilibrio de poder mundial producido por la llegada de Donald Trump a la Casa Blanca.</t>
        </is>
      </c>
      <c r="J186" s="38" t="n"/>
      <c r="K186" s="62" t="n"/>
      <c r="L186" s="38" t="n"/>
      <c r="M186" s="62" t="n"/>
      <c r="N186" s="38" t="n"/>
      <c r="O186" s="62" t="n"/>
      <c r="P186" s="38" t="n"/>
      <c r="Q186" s="62" t="n"/>
      <c r="R186" s="38" t="n"/>
      <c r="S186" s="62" t="n"/>
      <c r="T186" s="38" t="n"/>
      <c r="U186" s="62" t="n"/>
      <c r="V186" s="38" t="n"/>
      <c r="W186" s="62" t="n"/>
      <c r="X186" s="38" t="n"/>
      <c r="Y186" s="62" t="n"/>
      <c r="Z186" s="38" t="n"/>
      <c r="AA186" s="62" t="n"/>
      <c r="AB186" s="38" t="n"/>
      <c r="AC186" s="62" t="n"/>
      <c r="AD186" s="38" t="n"/>
      <c r="AE186" s="38" t="n"/>
      <c r="AF186" s="61">
        <f>IF(COUNTIF($B$5:B186,B186)=1,1,0)</f>
        <v/>
      </c>
      <c r="AG186" s="62" t="inlineStr">
        <is>
          <t>https://www.lasillavacia.com/silla-nacional/asi-se-transformo-el-poder-en-colombia-en-2025/</t>
        </is>
      </c>
    </row>
    <row r="187" ht="15" customHeight="1" s="31">
      <c r="A187" s="38" t="inlineStr">
        <is>
          <t>ART_022</t>
        </is>
      </c>
      <c r="B187" s="38" t="inlineStr">
        <is>
          <t>ART_022_S02</t>
        </is>
      </c>
      <c r="C187" s="38" t="inlineStr">
        <is>
          <t>La Silla Vacía</t>
        </is>
      </c>
      <c r="D187" s="38" t="inlineStr">
        <is>
          <t>Relación con Estados Unidos</t>
        </is>
      </c>
      <c r="E187" s="38" t="inlineStr">
        <is>
          <t>Noticia dura</t>
        </is>
      </c>
      <c r="F187" s="38" t="inlineStr">
        <is>
          <t>Fri, 26 Dec 2025 05:05:00 +0000</t>
        </is>
      </c>
      <c r="G187" s="62" t="inlineStr">
        <is>
          <t>A la impredictibilidad del presidente Gustavo Petro se sumó el inmenso cambio en el equilibrio de poder mundial producido por la llegada de Donald Trump a la Casa Blanca.</t>
        </is>
      </c>
      <c r="H187" s="62" t="inlineStr">
        <is>
          <t>El 2025 fue un año lleno de incertidumbres.</t>
        </is>
      </c>
      <c r="I187" s="62" t="inlineStr">
        <is>
          <t>Esa mezcla –explosiva– definió estos 12 meses.</t>
        </is>
      </c>
      <c r="J187" s="38" t="n"/>
      <c r="K187" s="62" t="n"/>
      <c r="L187" s="38" t="n"/>
      <c r="M187" s="62" t="n"/>
      <c r="N187" s="38" t="n"/>
      <c r="O187" s="62" t="n"/>
      <c r="P187" s="38" t="n"/>
      <c r="Q187" s="62" t="n"/>
      <c r="R187" s="38" t="n"/>
      <c r="S187" s="62" t="n"/>
      <c r="T187" s="38" t="n"/>
      <c r="U187" s="62" t="n"/>
      <c r="V187" s="38" t="n"/>
      <c r="W187" s="62" t="n"/>
      <c r="X187" s="38" t="n"/>
      <c r="Y187" s="62" t="n"/>
      <c r="Z187" s="38" t="n"/>
      <c r="AA187" s="62" t="n"/>
      <c r="AB187" s="38" t="n"/>
      <c r="AC187" s="62" t="n"/>
      <c r="AD187" s="38" t="n"/>
      <c r="AE187" s="38" t="n"/>
      <c r="AF187" s="61">
        <f>IF(COUNTIF($B$5:B187,B187)=1,1,0)</f>
        <v/>
      </c>
      <c r="AG187" s="62" t="inlineStr">
        <is>
          <t>https://www.lasillavacia.com/silla-nacional/asi-se-transformo-el-poder-en-colombia-en-2025/</t>
        </is>
      </c>
    </row>
    <row r="188" ht="15" customHeight="1" s="31">
      <c r="A188" s="38" t="inlineStr">
        <is>
          <t>ART_022</t>
        </is>
      </c>
      <c r="B188" s="38" t="inlineStr">
        <is>
          <t>ART_022_S03</t>
        </is>
      </c>
      <c r="C188" s="38" t="inlineStr">
        <is>
          <t>La Silla Vacía</t>
        </is>
      </c>
      <c r="D188" s="38" t="inlineStr">
        <is>
          <t>Relación con Estados Unidos</t>
        </is>
      </c>
      <c r="E188" s="38" t="inlineStr">
        <is>
          <t>Noticia dura</t>
        </is>
      </c>
      <c r="F188" s="38" t="inlineStr">
        <is>
          <t>Fri, 26 Dec 2025 05:05:00 +0000</t>
        </is>
      </c>
      <c r="G188" s="62" t="inlineStr">
        <is>
          <t>Esa mezcla –explosiva– definió estos 12 meses.</t>
        </is>
      </c>
      <c r="H188" s="62" t="inlineStr">
        <is>
          <t>A la impredictibilidad del presidente Gustavo Petro se sumó el inmenso cambio en el equilibrio de poder mundial producido por la llegada de Donald Trump a la Casa Blanca.</t>
        </is>
      </c>
      <c r="I188"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J188" s="38" t="n"/>
      <c r="K188" s="62" t="n"/>
      <c r="L188" s="38" t="n"/>
      <c r="M188" s="62" t="n"/>
      <c r="N188" s="38" t="n"/>
      <c r="O188" s="62" t="n"/>
      <c r="P188" s="38" t="n"/>
      <c r="Q188" s="62" t="n"/>
      <c r="R188" s="38" t="n"/>
      <c r="S188" s="62" t="n"/>
      <c r="T188" s="38" t="n"/>
      <c r="U188" s="62" t="n"/>
      <c r="V188" s="38" t="n"/>
      <c r="W188" s="62" t="n"/>
      <c r="X188" s="38" t="n"/>
      <c r="Y188" s="62" t="n"/>
      <c r="Z188" s="38" t="n"/>
      <c r="AA188" s="62" t="n"/>
      <c r="AB188" s="38" t="n"/>
      <c r="AC188" s="62" t="n"/>
      <c r="AD188" s="38" t="n"/>
      <c r="AE188" s="38" t="n"/>
      <c r="AF188" s="61">
        <f>IF(COUNTIF($B$5:B188,B188)=1,1,0)</f>
        <v/>
      </c>
      <c r="AG188" s="62" t="inlineStr">
        <is>
          <t>https://www.lasillavacia.com/silla-nacional/asi-se-transformo-el-poder-en-colombia-en-2025/</t>
        </is>
      </c>
    </row>
    <row r="189" ht="15" customHeight="1" s="31">
      <c r="A189" s="38" t="inlineStr">
        <is>
          <t>ART_022</t>
        </is>
      </c>
      <c r="B189" s="38" t="inlineStr">
        <is>
          <t>ART_022_S04</t>
        </is>
      </c>
      <c r="C189" s="38" t="inlineStr">
        <is>
          <t>La Silla Vacía</t>
        </is>
      </c>
      <c r="D189" s="38" t="inlineStr">
        <is>
          <t>Relación con Estados Unidos</t>
        </is>
      </c>
      <c r="E189" s="38" t="inlineStr">
        <is>
          <t>Noticia dura</t>
        </is>
      </c>
      <c r="F189" s="38" t="inlineStr">
        <is>
          <t>Fri, 26 Dec 2025 05:05:00 +0000</t>
        </is>
      </c>
      <c r="G189"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H189" s="62" t="inlineStr">
        <is>
          <t>Esa mezcla –explosiva– definió estos 12 meses.</t>
        </is>
      </c>
      <c r="I189" s="62" t="inlineStr">
        <is>
          <t>Su gabinete de bajo perfil, no sostiene ninguna coalición en el Congreso, donde no logró en el último semestre sacar adelante ninguna de las reformas que quería.</t>
        </is>
      </c>
      <c r="J189" s="38" t="n"/>
      <c r="K189" s="62" t="n"/>
      <c r="L189" s="38" t="n"/>
      <c r="M189" s="62" t="n"/>
      <c r="N189" s="38" t="n"/>
      <c r="O189" s="62" t="n"/>
      <c r="P189" s="38" t="n"/>
      <c r="Q189" s="62" t="n"/>
      <c r="R189" s="38" t="n"/>
      <c r="S189" s="62" t="n"/>
      <c r="T189" s="38" t="n"/>
      <c r="U189" s="62" t="n"/>
      <c r="V189" s="38" t="n"/>
      <c r="W189" s="62" t="n"/>
      <c r="X189" s="38" t="n"/>
      <c r="Y189" s="62" t="n"/>
      <c r="Z189" s="38" t="n"/>
      <c r="AA189" s="62" t="n"/>
      <c r="AB189" s="38" t="n"/>
      <c r="AC189" s="62" t="n"/>
      <c r="AD189" s="38" t="n"/>
      <c r="AE189" s="38" t="n"/>
      <c r="AF189" s="61">
        <f>IF(COUNTIF($B$5:B189,B189)=1,1,0)</f>
        <v/>
      </c>
      <c r="AG189" s="62" t="inlineStr">
        <is>
          <t>https://www.lasillavacia.com/silla-nacional/asi-se-transformo-el-poder-en-colombia-en-2025/</t>
        </is>
      </c>
    </row>
    <row r="190" ht="15" customHeight="1" s="31">
      <c r="A190" s="38" t="inlineStr">
        <is>
          <t>ART_022</t>
        </is>
      </c>
      <c r="B190" s="38" t="inlineStr">
        <is>
          <t>ART_022_S05</t>
        </is>
      </c>
      <c r="C190" s="38" t="inlineStr">
        <is>
          <t>La Silla Vacía</t>
        </is>
      </c>
      <c r="D190" s="38" t="inlineStr">
        <is>
          <t>Relación con Estados Unidos</t>
        </is>
      </c>
      <c r="E190" s="38" t="inlineStr">
        <is>
          <t>Noticia dura</t>
        </is>
      </c>
      <c r="F190" s="38" t="inlineStr">
        <is>
          <t>Fri, 26 Dec 2025 05:05:00 +0000</t>
        </is>
      </c>
      <c r="G190" s="62" t="inlineStr">
        <is>
          <t>Su gabinete de bajo perfil, no sostiene ninguna coalición en el Congreso, donde no logró en el último semestre sacar adelante ninguna de las reformas que quería.</t>
        </is>
      </c>
      <c r="H190" s="62" t="inlineStr">
        <is>
          <t>Estas fueron las 11 grandes transformaciones del poder: En 2025, a Gustavo Petro se le vio más aislado que nunca: su esposa, Verónica Alcocer, salió de Casa de Nariño; Estados Unidos lo metió en la Lista Clinton ; su hijo Nicolás fue acusado de corrupción; y varios de sus principales aliados de izquierda salieron del gabinete, igual que su mano derecha, Laura Sarabia , todos desplazados por el todopoderoso Armando Benedetti .</t>
        </is>
      </c>
      <c r="I190" s="62" t="inlineStr">
        <is>
          <t>Incluso en el vecindario, Petro quedó como una voz solitaria frente al impulso regional a la explotación de hidrocarburos y en plantear una relación abiertamente hostil frente a Estados Unidos, a diferencia de México o Brasil.</t>
        </is>
      </c>
      <c r="J190" s="38" t="n"/>
      <c r="K190" s="62" t="n"/>
      <c r="L190" s="38" t="n"/>
      <c r="M190" s="62" t="n"/>
      <c r="N190" s="38" t="n"/>
      <c r="O190" s="62" t="n"/>
      <c r="P190" s="38" t="n"/>
      <c r="Q190" s="62" t="n"/>
      <c r="R190" s="38" t="n"/>
      <c r="S190" s="62" t="n"/>
      <c r="T190" s="38" t="n"/>
      <c r="U190" s="62" t="n"/>
      <c r="V190" s="38" t="n"/>
      <c r="W190" s="62" t="n"/>
      <c r="X190" s="38" t="n"/>
      <c r="Y190" s="62" t="n"/>
      <c r="Z190" s="38" t="n"/>
      <c r="AA190" s="62" t="n"/>
      <c r="AB190" s="38" t="n"/>
      <c r="AC190" s="62" t="n"/>
      <c r="AD190" s="38" t="n"/>
      <c r="AE190" s="38" t="n"/>
      <c r="AF190" s="61">
        <f>IF(COUNTIF($B$5:B190,B190)=1,1,0)</f>
        <v/>
      </c>
      <c r="AG190" s="62" t="inlineStr">
        <is>
          <t>https://www.lasillavacia.com/silla-nacional/asi-se-transformo-el-poder-en-colombia-en-2025/</t>
        </is>
      </c>
    </row>
    <row r="191" ht="15" customHeight="1" s="31">
      <c r="A191" s="38" t="inlineStr">
        <is>
          <t>ART_022</t>
        </is>
      </c>
      <c r="B191" s="38" t="inlineStr">
        <is>
          <t>ART_022_S06</t>
        </is>
      </c>
      <c r="C191" s="38" t="inlineStr">
        <is>
          <t>La Silla Vacía</t>
        </is>
      </c>
      <c r="D191" s="38" t="inlineStr">
        <is>
          <t>Relación con Estados Unidos</t>
        </is>
      </c>
      <c r="E191" s="38" t="inlineStr">
        <is>
          <t>Noticia dura</t>
        </is>
      </c>
      <c r="F191" s="38" t="inlineStr">
        <is>
          <t>Fri, 26 Dec 2025 05:05:00 +0000</t>
        </is>
      </c>
      <c r="G191" s="62" t="inlineStr">
        <is>
          <t>Incluso en el vecindario, Petro quedó como una voz solitaria frente al impulso regional a la explotación de hidrocarburos y en plantear una relación abiertamente hostil frente a Estados Unidos, a diferencia de México o Brasil.</t>
        </is>
      </c>
      <c r="H191" s="62" t="inlineStr">
        <is>
          <t>Su gabinete de bajo perfil, no sostiene ninguna coalición en el Congreso, donde no logró en el último semestre sacar adelante ninguna de las reformas que quería.</t>
        </is>
      </c>
      <c r="I191" s="62" t="inlineStr">
        <is>
          <t>Cuando lo metieron en la lista Clinton, ninguno de sus homólogos protestó.</t>
        </is>
      </c>
      <c r="J191" s="38" t="n"/>
      <c r="K191" s="62" t="n"/>
      <c r="L191" s="38" t="n"/>
      <c r="M191" s="62" t="n"/>
      <c r="N191" s="38" t="n"/>
      <c r="O191" s="62" t="n"/>
      <c r="P191" s="38" t="n"/>
      <c r="Q191" s="62" t="n"/>
      <c r="R191" s="38" t="n"/>
      <c r="S191" s="62" t="n"/>
      <c r="T191" s="38" t="n"/>
      <c r="U191" s="62" t="n"/>
      <c r="V191" s="38" t="n"/>
      <c r="W191" s="62" t="n"/>
      <c r="X191" s="38" t="n"/>
      <c r="Y191" s="62" t="n"/>
      <c r="Z191" s="38" t="n"/>
      <c r="AA191" s="62" t="n"/>
      <c r="AB191" s="38" t="n"/>
      <c r="AC191" s="62" t="n"/>
      <c r="AD191" s="38" t="n"/>
      <c r="AE191" s="38" t="n"/>
      <c r="AF191" s="61">
        <f>IF(COUNTIF($B$5:B191,B191)=1,1,0)</f>
        <v/>
      </c>
      <c r="AG191" s="62" t="inlineStr">
        <is>
          <t>https://www.lasillavacia.com/silla-nacional/asi-se-transformo-el-poder-en-colombia-en-2025/</t>
        </is>
      </c>
    </row>
    <row r="192" ht="15" customHeight="1" s="31">
      <c r="A192" s="38" t="inlineStr">
        <is>
          <t>ART_022</t>
        </is>
      </c>
      <c r="B192" s="38" t="inlineStr">
        <is>
          <t>ART_022_S07</t>
        </is>
      </c>
      <c r="C192" s="38" t="inlineStr">
        <is>
          <t>La Silla Vacía</t>
        </is>
      </c>
      <c r="D192" s="38" t="inlineStr">
        <is>
          <t>Relación con Estados Unidos</t>
        </is>
      </c>
      <c r="E192" s="38" t="inlineStr">
        <is>
          <t>Noticia dura</t>
        </is>
      </c>
      <c r="F192" s="38" t="inlineStr">
        <is>
          <t>Fri, 26 Dec 2025 05:05:00 +0000</t>
        </is>
      </c>
      <c r="G192" s="62" t="inlineStr">
        <is>
          <t>Cuando lo metieron en la lista Clinton, ninguno de sus homólogos protestó.</t>
        </is>
      </c>
      <c r="H192" s="62" t="inlineStr">
        <is>
          <t>Incluso en el vecindario, Petro quedó como una voz solitaria frente al impulso regional a la explotación de hidrocarburos y en plantear una relación abiertamente hostil frente a Estados Unidos, a diferencia de México o Brasil.</t>
        </is>
      </c>
      <c r="I192" s="62" t="inlineStr">
        <is>
          <t>A pesar de esa soledad personal, el proyecto político del presidente está más consolidado que nunca.</t>
        </is>
      </c>
      <c r="J192" s="38" t="n"/>
      <c r="K192" s="62" t="n"/>
      <c r="L192" s="38" t="n"/>
      <c r="M192" s="62" t="n"/>
      <c r="N192" s="38" t="n"/>
      <c r="O192" s="62" t="n"/>
      <c r="P192" s="38" t="n"/>
      <c r="Q192" s="62" t="n"/>
      <c r="R192" s="38" t="n"/>
      <c r="S192" s="62" t="n"/>
      <c r="T192" s="38" t="n"/>
      <c r="U192" s="62" t="n"/>
      <c r="V192" s="38" t="n"/>
      <c r="W192" s="62" t="n"/>
      <c r="X192" s="38" t="n"/>
      <c r="Y192" s="62" t="n"/>
      <c r="Z192" s="38" t="n"/>
      <c r="AA192" s="62" t="n"/>
      <c r="AB192" s="38" t="n"/>
      <c r="AC192" s="62" t="n"/>
      <c r="AD192" s="38" t="n"/>
      <c r="AE192" s="38" t="n"/>
      <c r="AF192" s="61">
        <f>IF(COUNTIF($B$5:B192,B192)=1,1,0)</f>
        <v/>
      </c>
      <c r="AG192" s="62" t="inlineStr">
        <is>
          <t>https://www.lasillavacia.com/silla-nacional/asi-se-transformo-el-poder-en-colombia-en-2025/</t>
        </is>
      </c>
    </row>
    <row r="193" ht="15" customHeight="1" s="31">
      <c r="A193" s="38" t="inlineStr">
        <is>
          <t>ART_022</t>
        </is>
      </c>
      <c r="B193" s="38" t="inlineStr">
        <is>
          <t>ART_022_S08</t>
        </is>
      </c>
      <c r="C193" s="38" t="inlineStr">
        <is>
          <t>La Silla Vacía</t>
        </is>
      </c>
      <c r="D193" s="38" t="inlineStr">
        <is>
          <t>Relación con Estados Unidos</t>
        </is>
      </c>
      <c r="E193" s="38" t="inlineStr">
        <is>
          <t>Noticia dura</t>
        </is>
      </c>
      <c r="F193" s="38" t="inlineStr">
        <is>
          <t>Fri, 26 Dec 2025 05:05:00 +0000</t>
        </is>
      </c>
      <c r="G193" s="62" t="inlineStr">
        <is>
          <t>A pesar de esa soledad personal, el proyecto político del presidente está más consolidado que nunca.</t>
        </is>
      </c>
      <c r="H193" s="62" t="inlineStr">
        <is>
          <t>Cuando lo metieron en la lista Clinton, ninguno de sus homólogos protestó.</t>
        </is>
      </c>
      <c r="I193" s="62" t="n"/>
      <c r="J193" s="38" t="n"/>
      <c r="K193" s="62" t="n"/>
      <c r="L193" s="38" t="n"/>
      <c r="M193" s="62" t="n"/>
      <c r="N193" s="38" t="n"/>
      <c r="O193" s="62" t="n"/>
      <c r="P193" s="38" t="n"/>
      <c r="Q193" s="62" t="n"/>
      <c r="R193" s="38" t="n"/>
      <c r="S193" s="62" t="n"/>
      <c r="T193" s="38" t="n"/>
      <c r="U193" s="62" t="n"/>
      <c r="V193" s="38" t="n"/>
      <c r="W193" s="62" t="n"/>
      <c r="X193" s="38" t="n"/>
      <c r="Y193" s="62" t="n"/>
      <c r="Z193" s="38" t="n"/>
      <c r="AA193" s="62" t="n"/>
      <c r="AB193" s="38" t="n"/>
      <c r="AC193" s="62" t="n"/>
      <c r="AD193" s="38" t="n"/>
      <c r="AE193" s="38" t="n"/>
      <c r="AF193" s="61">
        <f>IF(COUNTIF($B$5:B193,B193)=1,1,0)</f>
        <v/>
      </c>
      <c r="AG193" s="62" t="inlineStr">
        <is>
          <t>https://www.lasillavacia.com/silla-nacional/asi-se-transformo-el-poder-en-colombia-en-2025/</t>
        </is>
      </c>
    </row>
    <row r="194" ht="15" customHeight="1" s="31">
      <c r="A194" s="38" t="inlineStr">
        <is>
          <t>ART_023</t>
        </is>
      </c>
      <c r="B194" s="38" t="inlineStr">
        <is>
          <t>ART_023_S03</t>
        </is>
      </c>
      <c r="C194" s="38" t="inlineStr">
        <is>
          <t>La Silla Vacía</t>
        </is>
      </c>
      <c r="D194" s="38" t="inlineStr">
        <is>
          <t>Seguridad y orden público</t>
        </is>
      </c>
      <c r="E194" s="38" t="inlineStr">
        <is>
          <t>Opinión-análisis</t>
        </is>
      </c>
      <c r="F194" s="38" t="inlineStr">
        <is>
          <t>Thu, 03 Sep 2026 21:00:00 +0000</t>
        </is>
      </c>
      <c r="G194" s="62" t="inlineStr">
        <is>
          <t>Una política de seguridad no debería preguntarse únicamente cuántos fueron capturados o abatidos hoy, sino cuánta capacidad criminal dejó de existir.</t>
        </is>
      </c>
      <c r="H194" s="62" t="inlineStr">
        <is>
          <t>Esta columna fue escrita por la columnista invitada Alexandra González Zapata.</t>
        </is>
      </c>
      <c r="I194" s="62" t="inlineStr">
        <is>
          <t>En menos de tres semanas, el nuevo gobierno ha hecho de los “golpes contundentes” una de sus principales narrativas de seguridad.</t>
        </is>
      </c>
      <c r="J194" s="38" t="n"/>
      <c r="K194" s="62" t="n"/>
      <c r="L194" s="38" t="n"/>
      <c r="M194" s="62" t="n"/>
      <c r="N194" s="38" t="n"/>
      <c r="O194" s="62" t="n"/>
      <c r="P194" s="38" t="n"/>
      <c r="Q194" s="62" t="n"/>
      <c r="R194" s="38" t="n"/>
      <c r="S194" s="62" t="n"/>
      <c r="T194" s="38" t="n"/>
      <c r="U194" s="62" t="n"/>
      <c r="V194" s="38" t="n"/>
      <c r="W194" s="62" t="n"/>
      <c r="X194" s="38" t="n"/>
      <c r="Y194" s="62" t="n"/>
      <c r="Z194" s="38" t="n"/>
      <c r="AA194" s="62" t="n"/>
      <c r="AB194" s="38" t="n"/>
      <c r="AC194" s="62" t="n"/>
      <c r="AD194" s="38" t="n"/>
      <c r="AE194" s="38" t="n"/>
      <c r="AF194" s="61">
        <f>IF(COUNTIF($B$5:B194,B194)=1,1,0)</f>
        <v/>
      </c>
      <c r="AG194" s="62" t="inlineStr">
        <is>
          <t>https://www.lasillavacia.com/red-de-expertos/red-de-la-paz/contar-capturas-y-bajas-no-mide-la-seguridad-en-colombia/</t>
        </is>
      </c>
    </row>
    <row r="195" ht="15" customHeight="1" s="31">
      <c r="A195" s="38" t="inlineStr">
        <is>
          <t>ART_023</t>
        </is>
      </c>
      <c r="B195" s="38" t="inlineStr">
        <is>
          <t>ART_023_S04</t>
        </is>
      </c>
      <c r="C195" s="38" t="inlineStr">
        <is>
          <t>La Silla Vacía</t>
        </is>
      </c>
      <c r="D195" s="38" t="inlineStr">
        <is>
          <t>Seguridad y orden público</t>
        </is>
      </c>
      <c r="E195" s="38" t="inlineStr">
        <is>
          <t>Opinión-análisis</t>
        </is>
      </c>
      <c r="F195" s="38" t="inlineStr">
        <is>
          <t>Thu, 03 Sep 2026 21:00:00 +0000</t>
        </is>
      </c>
      <c r="G195" s="62" t="inlineStr">
        <is>
          <t>En menos de tres semanas, el nuevo gobierno ha hecho de los “golpes contundentes” una de sus principales narrativas de seguridad.</t>
        </is>
      </c>
      <c r="H195" s="62" t="inlineStr">
        <is>
          <t>Una política de seguridad no debería preguntarse únicamente cuántos fueron capturados o abatidos hoy, sino cuánta capacidad criminal dejó de existir.</t>
        </is>
      </c>
      <c r="I195" s="62" t="inlineStr">
        <is>
          <t>Tres bombardeos —en los que murieron cuatro menores de edad víctimas de reclutamiento forzado—, capturas, bajas e incautaciones buscan transmitir una idea sencilla: el Estado volvió a ejercer autoridad.</t>
        </is>
      </c>
      <c r="J195" s="38" t="n"/>
      <c r="K195" s="62" t="n"/>
      <c r="L195" s="38" t="n"/>
      <c r="M195" s="62" t="n"/>
      <c r="N195" s="38" t="n"/>
      <c r="O195" s="62" t="n"/>
      <c r="P195" s="38" t="n"/>
      <c r="Q195" s="62" t="n"/>
      <c r="R195" s="38" t="n"/>
      <c r="S195" s="62" t="n"/>
      <c r="T195" s="38" t="n"/>
      <c r="U195" s="62" t="n"/>
      <c r="V195" s="38" t="n"/>
      <c r="W195" s="62" t="n"/>
      <c r="X195" s="38" t="n"/>
      <c r="Y195" s="62" t="n"/>
      <c r="Z195" s="38" t="n"/>
      <c r="AA195" s="62" t="n"/>
      <c r="AB195" s="38" t="n"/>
      <c r="AC195" s="62" t="n"/>
      <c r="AD195" s="38" t="n"/>
      <c r="AE195" s="38" t="n"/>
      <c r="AF195" s="61">
        <f>IF(COUNTIF($B$5:B195,B195)=1,1,0)</f>
        <v/>
      </c>
      <c r="AG195" s="62" t="inlineStr">
        <is>
          <t>https://www.lasillavacia.com/red-de-expertos/red-de-la-paz/contar-capturas-y-bajas-no-mide-la-seguridad-en-colombia/</t>
        </is>
      </c>
    </row>
    <row r="196" ht="15" customHeight="1" s="31">
      <c r="A196" s="38" t="inlineStr">
        <is>
          <t>ART_023</t>
        </is>
      </c>
      <c r="B196" s="38" t="inlineStr">
        <is>
          <t>ART_023_S05</t>
        </is>
      </c>
      <c r="C196" s="38" t="inlineStr">
        <is>
          <t>La Silla Vacía</t>
        </is>
      </c>
      <c r="D196" s="38" t="inlineStr">
        <is>
          <t>Seguridad y orden público</t>
        </is>
      </c>
      <c r="E196" s="38" t="inlineStr">
        <is>
          <t>Opinión-análisis</t>
        </is>
      </c>
      <c r="F196" s="38" t="inlineStr">
        <is>
          <t>Thu, 03 Sep 2026 21:00:00 +0000</t>
        </is>
      </c>
      <c r="G196" s="62" t="inlineStr">
        <is>
          <t>Tres bombardeos —en los que murieron cuatro menores de edad víctimas de reclutamiento forzado—, capturas, bajas e incautaciones buscan transmitir una idea sencilla: el Estado volvió a ejercer autoridad.</t>
        </is>
      </c>
      <c r="H196" s="62" t="inlineStr">
        <is>
          <t>En menos de tres semanas, el nuevo gobierno ha hecho de los “golpes contundentes” una de sus principales narrativas de seguridad.</t>
        </is>
      </c>
      <c r="I196" s="62" t="inlineStr">
        <is>
          <t>El gobierno anterior deja una paradoja útil para entenderlo.</t>
        </is>
      </c>
      <c r="J196" s="38" t="n"/>
      <c r="K196" s="62" t="n"/>
      <c r="L196" s="38" t="n"/>
      <c r="M196" s="62" t="n"/>
      <c r="N196" s="38" t="n"/>
      <c r="O196" s="62" t="n"/>
      <c r="P196" s="38" t="n"/>
      <c r="Q196" s="62" t="n"/>
      <c r="R196" s="38" t="n"/>
      <c r="S196" s="62" t="n"/>
      <c r="T196" s="38" t="n"/>
      <c r="U196" s="62" t="n"/>
      <c r="V196" s="38" t="n"/>
      <c r="W196" s="62" t="n"/>
      <c r="X196" s="38" t="n"/>
      <c r="Y196" s="62" t="n"/>
      <c r="Z196" s="38" t="n"/>
      <c r="AA196" s="62" t="n"/>
      <c r="AB196" s="38" t="n"/>
      <c r="AC196" s="62" t="n"/>
      <c r="AD196" s="38" t="n"/>
      <c r="AE196" s="38" t="n"/>
      <c r="AF196" s="61">
        <f>IF(COUNTIF($B$5:B196,B196)=1,1,0)</f>
        <v/>
      </c>
      <c r="AG196" s="62" t="inlineStr">
        <is>
          <t>https://www.lasillavacia.com/red-de-expertos/red-de-la-paz/contar-capturas-y-bajas-no-mide-la-seguridad-en-colombia/</t>
        </is>
      </c>
    </row>
    <row r="197" ht="15" customHeight="1" s="31">
      <c r="A197" s="38" t="inlineStr">
        <is>
          <t>ART_023</t>
        </is>
      </c>
      <c r="B197" s="38" t="inlineStr">
        <is>
          <t>ART_023_S06</t>
        </is>
      </c>
      <c r="C197" s="38" t="inlineStr">
        <is>
          <t>La Silla Vacía</t>
        </is>
      </c>
      <c r="D197" s="38" t="inlineStr">
        <is>
          <t>Seguridad y orden público</t>
        </is>
      </c>
      <c r="E197" s="38" t="inlineStr">
        <is>
          <t>Opinión-análisis</t>
        </is>
      </c>
      <c r="F197" s="38" t="inlineStr">
        <is>
          <t>Thu, 03 Sep 2026 21:00:00 +0000</t>
        </is>
      </c>
      <c r="G197" s="62" t="inlineStr">
        <is>
          <t>El gobierno anterior deja una paradoja útil para entenderlo.</t>
        </is>
      </c>
      <c r="H197" s="62" t="inlineStr">
        <is>
          <t>Tres bombardeos —en los que murieron cuatro menores de edad víctimas de reclutamiento forzado—, capturas, bajas e incautaciones buscan transmitir una idea sencilla: el Estado volvió a ejercer autoridad.</t>
        </is>
      </c>
      <c r="I197" s="62" t="inlineStr">
        <is>
          <t>Entre agosto de 2022 y julio de 2026, las Fuerzas Militares y la Policía neutralizaron a más de 16.000 integrantes de grupos armados y libraron un combate cada 20 horas, según reportó el Ministerio de Defensa.</t>
        </is>
      </c>
      <c r="J197" s="38" t="n"/>
      <c r="K197" s="62" t="n"/>
      <c r="L197" s="38" t="n"/>
      <c r="M197" s="62" t="n"/>
      <c r="N197" s="38" t="n"/>
      <c r="O197" s="62" t="n"/>
      <c r="P197" s="38" t="n"/>
      <c r="Q197" s="62" t="n"/>
      <c r="R197" s="38" t="n"/>
      <c r="S197" s="62" t="n"/>
      <c r="T197" s="38" t="n"/>
      <c r="U197" s="62" t="n"/>
      <c r="V197" s="38" t="n"/>
      <c r="W197" s="62" t="n"/>
      <c r="X197" s="38" t="n"/>
      <c r="Y197" s="62" t="n"/>
      <c r="Z197" s="38" t="n"/>
      <c r="AA197" s="62" t="n"/>
      <c r="AB197" s="38" t="n"/>
      <c r="AC197" s="62" t="n"/>
      <c r="AD197" s="38" t="n"/>
      <c r="AE197" s="38" t="n"/>
      <c r="AF197" s="61">
        <f>IF(COUNTIF($B$5:B197,B197)=1,1,0)</f>
        <v/>
      </c>
      <c r="AG197" s="62" t="inlineStr">
        <is>
          <t>https://www.lasillavacia.com/red-de-expertos/red-de-la-paz/contar-capturas-y-bajas-no-mide-la-seguridad-en-colombia/</t>
        </is>
      </c>
    </row>
    <row r="198" ht="15" customHeight="1" s="31">
      <c r="A198" s="38" t="inlineStr">
        <is>
          <t>ART_023</t>
        </is>
      </c>
      <c r="B198" s="38" t="inlineStr">
        <is>
          <t>ART_023_S07</t>
        </is>
      </c>
      <c r="C198" s="38" t="inlineStr">
        <is>
          <t>La Silla Vacía</t>
        </is>
      </c>
      <c r="D198" s="38" t="inlineStr">
        <is>
          <t>Seguridad y orden público</t>
        </is>
      </c>
      <c r="E198" s="38" t="inlineStr">
        <is>
          <t>Opinión-análisis</t>
        </is>
      </c>
      <c r="F198" s="38" t="inlineStr">
        <is>
          <t>Thu, 03 Sep 2026 21:00:00 +0000</t>
        </is>
      </c>
      <c r="G198" s="62" t="inlineStr">
        <is>
          <t>Entre agosto de 2022 y julio de 2026, las Fuerzas Militares y la Policía neutralizaron a más de 16.000 integrantes de grupos armados y libraron un combate cada 20 horas, según reportó el Ministerio de Defensa.</t>
        </is>
      </c>
      <c r="H198" s="62" t="inlineStr">
        <is>
          <t>El gobierno anterior deja una paradoja útil para entenderlo.</t>
        </is>
      </c>
      <c r="I198" s="62" t="inlineStr">
        <is>
          <t>Al mismo tiempo, la información de inteligencia estimó que las estructuras armadas aumentaron un 85% y superaron los 27.000 integrantes.</t>
        </is>
      </c>
      <c r="J198" s="38" t="n"/>
      <c r="K198" s="62" t="n"/>
      <c r="L198" s="38" t="n"/>
      <c r="M198" s="62" t="n"/>
      <c r="N198" s="38" t="n"/>
      <c r="O198" s="62" t="n"/>
      <c r="P198" s="38" t="n"/>
      <c r="Q198" s="62" t="n"/>
      <c r="R198" s="38" t="n"/>
      <c r="S198" s="62" t="n"/>
      <c r="T198" s="38" t="n"/>
      <c r="U198" s="62" t="n"/>
      <c r="V198" s="38" t="n"/>
      <c r="W198" s="62" t="n"/>
      <c r="X198" s="38" t="n"/>
      <c r="Y198" s="62" t="n"/>
      <c r="Z198" s="38" t="n"/>
      <c r="AA198" s="62" t="n"/>
      <c r="AB198" s="38" t="n"/>
      <c r="AC198" s="62" t="n"/>
      <c r="AD198" s="38" t="n"/>
      <c r="AE198" s="38" t="n"/>
      <c r="AF198" s="61">
        <f>IF(COUNTIF($B$5:B198,B198)=1,1,0)</f>
        <v/>
      </c>
      <c r="AG198" s="62" t="inlineStr">
        <is>
          <t>https://www.lasillavacia.com/red-de-expertos/red-de-la-paz/contar-capturas-y-bajas-no-mide-la-seguridad-en-colombia/</t>
        </is>
      </c>
    </row>
    <row r="199" ht="15" customHeight="1" s="31">
      <c r="A199" s="38" t="inlineStr">
        <is>
          <t>ART_023</t>
        </is>
      </c>
      <c r="B199" s="38" t="inlineStr">
        <is>
          <t>ART_023_S08</t>
        </is>
      </c>
      <c r="C199" s="38" t="inlineStr">
        <is>
          <t>La Silla Vacía</t>
        </is>
      </c>
      <c r="D199" s="38" t="inlineStr">
        <is>
          <t>Seguridad y orden público</t>
        </is>
      </c>
      <c r="E199" s="38" t="inlineStr">
        <is>
          <t>Opinión-análisis</t>
        </is>
      </c>
      <c r="F199" s="38" t="inlineStr">
        <is>
          <t>Thu, 03 Sep 2026 21:00:00 +0000</t>
        </is>
      </c>
      <c r="G199" s="62" t="inlineStr">
        <is>
          <t>Al mismo tiempo, la información de inteligencia estimó que las estructuras armadas aumentaron un 85% y superaron los 27.000 integrantes.</t>
        </is>
      </c>
      <c r="H199" s="62" t="inlineStr">
        <is>
          <t>Entre agosto de 2022 y julio de 2026, las Fuerzas Militares y la Policía neutralizaron a más de 16.000 integrantes de grupos armados y libraron un combate cada 20 horas, según reportó el Ministerio de Defensa.</t>
        </is>
      </c>
      <c r="I199" s="62" t="inlineStr">
        <is>
          <t>El Clan del Golfo es el mejor ejemplo: el 51% de los neutralizados pertenecían a este grupo.</t>
        </is>
      </c>
      <c r="J199" s="38" t="n"/>
      <c r="K199" s="62" t="n"/>
      <c r="L199" s="38" t="n"/>
      <c r="M199" s="62" t="n"/>
      <c r="N199" s="38" t="n"/>
      <c r="O199" s="62" t="n"/>
      <c r="P199" s="38" t="n"/>
      <c r="Q199" s="62" t="n"/>
      <c r="R199" s="38" t="n"/>
      <c r="S199" s="62" t="n"/>
      <c r="T199" s="38" t="n"/>
      <c r="U199" s="62" t="n"/>
      <c r="V199" s="38" t="n"/>
      <c r="W199" s="62" t="n"/>
      <c r="X199" s="38" t="n"/>
      <c r="Y199" s="62" t="n"/>
      <c r="Z199" s="38" t="n"/>
      <c r="AA199" s="62" t="n"/>
      <c r="AB199" s="38" t="n"/>
      <c r="AC199" s="62" t="n"/>
      <c r="AD199" s="38" t="n"/>
      <c r="AE199" s="38" t="n"/>
      <c r="AF199" s="61">
        <f>IF(COUNTIF($B$5:B199,B199)=1,1,0)</f>
        <v/>
      </c>
      <c r="AG199" s="62" t="inlineStr">
        <is>
          <t>https://www.lasillavacia.com/red-de-expertos/red-de-la-paz/contar-capturas-y-bajas-no-mide-la-seguridad-en-colombia/</t>
        </is>
      </c>
    </row>
    <row r="200" ht="15" customHeight="1" s="31">
      <c r="A200" s="38" t="inlineStr">
        <is>
          <t>ART_023</t>
        </is>
      </c>
      <c r="B200" s="38" t="inlineStr">
        <is>
          <t>ART_023_S09</t>
        </is>
      </c>
      <c r="C200" s="38" t="inlineStr">
        <is>
          <t>La Silla Vacía</t>
        </is>
      </c>
      <c r="D200" s="38" t="inlineStr">
        <is>
          <t>Seguridad y orden público</t>
        </is>
      </c>
      <c r="E200" s="38" t="inlineStr">
        <is>
          <t>Opinión-análisis</t>
        </is>
      </c>
      <c r="F200" s="38" t="inlineStr">
        <is>
          <t>Thu, 03 Sep 2026 21:00:00 +0000</t>
        </is>
      </c>
      <c r="G200" s="62" t="inlineStr">
        <is>
          <t>El Clan del Golfo es el mejor ejemplo: el 51% de los neutralizados pertenecían a este grupo.</t>
        </is>
      </c>
      <c r="H200" s="62" t="inlineStr">
        <is>
          <t>Al mismo tiempo, la información de inteligencia estimó que las estructuras armadas aumentaron un 85% y superaron los 27.000 integrantes.</t>
        </is>
      </c>
      <c r="I200" s="62" t="inlineStr">
        <is>
          <t>Aún así, hoy es la organización armada ilegal más numerosa del país.</t>
        </is>
      </c>
      <c r="J200" s="38" t="n"/>
      <c r="K200" s="62" t="n"/>
      <c r="L200" s="38" t="n"/>
      <c r="M200" s="62" t="n"/>
      <c r="N200" s="38" t="n"/>
      <c r="O200" s="62" t="n"/>
      <c r="P200" s="38" t="n"/>
      <c r="Q200" s="62" t="n"/>
      <c r="R200" s="38" t="n"/>
      <c r="S200" s="62" t="n"/>
      <c r="T200" s="38" t="n"/>
      <c r="U200" s="62" t="n"/>
      <c r="V200" s="38" t="n"/>
      <c r="W200" s="62" t="n"/>
      <c r="X200" s="38" t="n"/>
      <c r="Y200" s="62" t="n"/>
      <c r="Z200" s="38" t="n"/>
      <c r="AA200" s="62" t="n"/>
      <c r="AB200" s="38" t="n"/>
      <c r="AC200" s="62" t="n"/>
      <c r="AD200" s="38" t="n"/>
      <c r="AE200" s="38" t="n"/>
      <c r="AF200" s="61">
        <f>IF(COUNTIF($B$5:B200,B200)=1,1,0)</f>
        <v/>
      </c>
      <c r="AG200" s="62" t="inlineStr">
        <is>
          <t>https://www.lasillavacia.com/red-de-expertos/red-de-la-paz/contar-capturas-y-bajas-no-mide-la-seguridad-en-colombia/</t>
        </is>
      </c>
    </row>
    <row r="201" ht="15" customHeight="1" s="31">
      <c r="A201" s="38" t="inlineStr">
        <is>
          <t>ART_023</t>
        </is>
      </c>
      <c r="B201" s="38" t="inlineStr">
        <is>
          <t>ART_023_S10</t>
        </is>
      </c>
      <c r="C201" s="38" t="inlineStr">
        <is>
          <t>La Silla Vacía</t>
        </is>
      </c>
      <c r="D201" s="38" t="inlineStr">
        <is>
          <t>Seguridad y orden público</t>
        </is>
      </c>
      <c r="E201" s="38" t="inlineStr">
        <is>
          <t>Opinión-análisis</t>
        </is>
      </c>
      <c r="F201" s="38" t="inlineStr">
        <is>
          <t>Thu, 03 Sep 2026 21:00:00 +0000</t>
        </is>
      </c>
      <c r="G201" s="62" t="inlineStr">
        <is>
          <t>Aún así, hoy es la organización armada ilegal más numerosa del país.</t>
        </is>
      </c>
      <c r="H201" s="62" t="inlineStr">
        <is>
          <t>El Clan del Golfo es el mejor ejemplo: el 51% de los neutralizados pertenecían a este grupo.</t>
        </is>
      </c>
      <c r="I201" s="62" t="inlineStr">
        <is>
          <t>A eso podríamos llamarlo “inercia operacional”.</t>
        </is>
      </c>
      <c r="J201" s="38" t="n"/>
      <c r="K201" s="62" t="n"/>
      <c r="L201" s="38" t="n"/>
      <c r="M201" s="62" t="n"/>
      <c r="N201" s="38" t="n"/>
      <c r="O201" s="62" t="n"/>
      <c r="P201" s="38" t="n"/>
      <c r="Q201" s="62" t="n"/>
      <c r="R201" s="38" t="n"/>
      <c r="S201" s="62" t="n"/>
      <c r="T201" s="38" t="n"/>
      <c r="U201" s="62" t="n"/>
      <c r="V201" s="38" t="n"/>
      <c r="W201" s="62" t="n"/>
      <c r="X201" s="38" t="n"/>
      <c r="Y201" s="62" t="n"/>
      <c r="Z201" s="38" t="n"/>
      <c r="AA201" s="62" t="n"/>
      <c r="AB201" s="38" t="n"/>
      <c r="AC201" s="62" t="n"/>
      <c r="AD201" s="38" t="n"/>
      <c r="AE201" s="38" t="n"/>
      <c r="AF201" s="61">
        <f>IF(COUNTIF($B$5:B201,B201)=1,1,0)</f>
        <v/>
      </c>
      <c r="AG201" s="62" t="inlineStr">
        <is>
          <t>https://www.lasillavacia.com/red-de-expertos/red-de-la-paz/contar-capturas-y-bajas-no-mide-la-seguridad-en-colombia/</t>
        </is>
      </c>
    </row>
    <row r="202" ht="15" customHeight="1" s="31">
      <c r="A202" s="38" t="inlineStr">
        <is>
          <t>ART_023</t>
        </is>
      </c>
      <c r="B202" s="38" t="inlineStr">
        <is>
          <t>ART_023_S11</t>
        </is>
      </c>
      <c r="C202" s="38" t="inlineStr">
        <is>
          <t>La Silla Vacía</t>
        </is>
      </c>
      <c r="D202" s="38" t="inlineStr">
        <is>
          <t>Seguridad y orden público</t>
        </is>
      </c>
      <c r="E202" s="38" t="inlineStr">
        <is>
          <t>Opinión-análisis</t>
        </is>
      </c>
      <c r="F202" s="38" t="inlineStr">
        <is>
          <t>Thu, 03 Sep 2026 21:00:00 +0000</t>
        </is>
      </c>
      <c r="G202" s="62" t="inlineStr">
        <is>
          <t>A eso podríamos llamarlo “inercia operacional”.</t>
        </is>
      </c>
      <c r="H202" s="62" t="inlineStr">
        <is>
          <t>Aún así, hoy es la organización armada ilegal más numerosa del país.</t>
        </is>
      </c>
      <c r="I202" s="62" t="inlineStr">
        <is>
          <t>El Estado continúa midiendo buena parte de su éxito por aquello que sabe contar: capturas, bajas y toneladas incautadas.</t>
        </is>
      </c>
      <c r="J202" s="38" t="n"/>
      <c r="K202" s="62" t="n"/>
      <c r="L202" s="38" t="n"/>
      <c r="M202" s="62" t="n"/>
      <c r="N202" s="38" t="n"/>
      <c r="O202" s="62" t="n"/>
      <c r="P202" s="38" t="n"/>
      <c r="Q202" s="62" t="n"/>
      <c r="R202" s="38" t="n"/>
      <c r="S202" s="62" t="n"/>
      <c r="T202" s="38" t="n"/>
      <c r="U202" s="62" t="n"/>
      <c r="V202" s="38" t="n"/>
      <c r="W202" s="62" t="n"/>
      <c r="X202" s="38" t="n"/>
      <c r="Y202" s="62" t="n"/>
      <c r="Z202" s="38" t="n"/>
      <c r="AA202" s="62" t="n"/>
      <c r="AB202" s="38" t="n"/>
      <c r="AC202" s="62" t="n"/>
      <c r="AD202" s="38" t="n"/>
      <c r="AE202" s="38" t="n"/>
      <c r="AF202" s="61">
        <f>IF(COUNTIF($B$5:B202,B202)=1,1,0)</f>
        <v/>
      </c>
      <c r="AG202" s="62" t="inlineStr">
        <is>
          <t>https://www.lasillavacia.com/red-de-expertos/red-de-la-paz/contar-capturas-y-bajas-no-mide-la-seguridad-en-colombia/</t>
        </is>
      </c>
    </row>
    <row r="203" ht="15" customHeight="1" s="31">
      <c r="A203" s="38" t="inlineStr">
        <is>
          <t>ART_023</t>
        </is>
      </c>
      <c r="B203" s="38" t="inlineStr">
        <is>
          <t>ART_023_S12</t>
        </is>
      </c>
      <c r="C203" s="38" t="inlineStr">
        <is>
          <t>La Silla Vacía</t>
        </is>
      </c>
      <c r="D203" s="38" t="inlineStr">
        <is>
          <t>Seguridad y orden público</t>
        </is>
      </c>
      <c r="E203" s="38" t="inlineStr">
        <is>
          <t>Opinión-análisis</t>
        </is>
      </c>
      <c r="F203" s="38" t="inlineStr">
        <is>
          <t>Thu, 03 Sep 2026 21:00:00 +0000</t>
        </is>
      </c>
      <c r="G203" s="62" t="inlineStr">
        <is>
          <t>El Estado continúa midiendo buena parte de su éxito por aquello que sabe contar: capturas, bajas y toneladas incautadas.</t>
        </is>
      </c>
      <c r="H203" s="62" t="inlineStr">
        <is>
          <t>A eso podríamos llamarlo “inercia operacional”.</t>
        </is>
      </c>
      <c r="I203" s="62" t="n"/>
      <c r="J203" s="38" t="n"/>
      <c r="K203" s="62" t="n"/>
      <c r="L203" s="38" t="n"/>
      <c r="M203" s="62" t="n"/>
      <c r="N203" s="38" t="n"/>
      <c r="O203" s="62" t="n"/>
      <c r="P203" s="38" t="n"/>
      <c r="Q203" s="62" t="n"/>
      <c r="R203" s="38" t="n"/>
      <c r="S203" s="62" t="n"/>
      <c r="T203" s="38" t="n"/>
      <c r="U203" s="62" t="n"/>
      <c r="V203" s="38" t="n"/>
      <c r="W203" s="62" t="n"/>
      <c r="X203" s="38" t="n"/>
      <c r="Y203" s="62" t="n"/>
      <c r="Z203" s="38" t="n"/>
      <c r="AA203" s="62" t="n"/>
      <c r="AB203" s="38" t="n"/>
      <c r="AC203" s="62" t="n"/>
      <c r="AD203" s="38" t="n"/>
      <c r="AE203" s="38" t="n"/>
      <c r="AF203" s="61">
        <f>IF(COUNTIF($B$5:B203,B203)=1,1,0)</f>
        <v/>
      </c>
      <c r="AG203" s="62" t="inlineStr">
        <is>
          <t>https://www.lasillavacia.com/red-de-expertos/red-de-la-paz/contar-capturas-y-bajas-no-mide-la-seguridad-en-colombia/</t>
        </is>
      </c>
    </row>
    <row r="204" ht="15" customHeight="1" s="31">
      <c r="A204" s="38" t="inlineStr">
        <is>
          <t>ART_024</t>
        </is>
      </c>
      <c r="B204" s="38" t="inlineStr">
        <is>
          <t>ART_024_S01</t>
        </is>
      </c>
      <c r="C204" s="38" t="inlineStr">
        <is>
          <t>La Silla Vacía</t>
        </is>
      </c>
      <c r="D204" s="38" t="inlineStr">
        <is>
          <t>Seguridad y orden público</t>
        </is>
      </c>
      <c r="E204" s="38" t="inlineStr">
        <is>
          <t>Noticia dura</t>
        </is>
      </c>
      <c r="F204" s="38" t="inlineStr">
        <is>
          <t>Wed, 05 Aug 2026 17:07:39 +0000</t>
        </is>
      </c>
      <c r="G204" s="62" t="inlineStr">
        <is>
          <t>La Fundación Ideas para la Paz (FIP), que investiga el conflicto armado en el país, publicó un informe donde presenta un balance negativo de la paz total, una de las banderas del ya saliente gobierno de Gustavo Petro.</t>
        </is>
      </c>
      <c r="H204" s="62" t="n"/>
      <c r="I204" s="62" t="inlineStr">
        <is>
          <t>Una de las principales conclusiones es que todos los grupos armados crecieron en 13 mil integrantes en los últimos cuatro años.</t>
        </is>
      </c>
      <c r="J204" s="38" t="n"/>
      <c r="K204" s="62" t="n"/>
      <c r="L204" s="38" t="n"/>
      <c r="M204" s="62" t="n"/>
      <c r="N204" s="38" t="n"/>
      <c r="O204" s="62" t="n"/>
      <c r="P204" s="38" t="n"/>
      <c r="Q204" s="62" t="n"/>
      <c r="R204" s="38" t="n"/>
      <c r="S204" s="62" t="n"/>
      <c r="T204" s="38" t="n"/>
      <c r="U204" s="62" t="n"/>
      <c r="V204" s="38" t="n"/>
      <c r="W204" s="62" t="n"/>
      <c r="X204" s="38" t="n"/>
      <c r="Y204" s="62" t="n"/>
      <c r="Z204" s="38" t="n"/>
      <c r="AA204" s="62" t="n"/>
      <c r="AB204" s="38" t="n"/>
      <c r="AC204" s="62" t="n"/>
      <c r="AD204" s="38" t="n"/>
      <c r="AE204" s="38" t="n"/>
      <c r="AF204" s="61">
        <f>IF(COUNTIF($B$5:B204,B204)=1,1,0)</f>
        <v/>
      </c>
      <c r="AG204" s="62" t="inlineStr">
        <is>
          <t>https://www.lasillavacia.com/en-vivo/fip-en-balance-de-la-paz-total-grupos-armados-suman-28-mil-integrantes/</t>
        </is>
      </c>
    </row>
    <row r="205" ht="15" customHeight="1" s="31">
      <c r="A205" s="38" t="inlineStr">
        <is>
          <t>ART_024</t>
        </is>
      </c>
      <c r="B205" s="38" t="inlineStr">
        <is>
          <t>ART_024_S02</t>
        </is>
      </c>
      <c r="C205" s="38" t="inlineStr">
        <is>
          <t>La Silla Vacía</t>
        </is>
      </c>
      <c r="D205" s="38" t="inlineStr">
        <is>
          <t>Seguridad y orden público</t>
        </is>
      </c>
      <c r="E205" s="38" t="inlineStr">
        <is>
          <t>Noticia dura</t>
        </is>
      </c>
      <c r="F205" s="38" t="inlineStr">
        <is>
          <t>Wed, 05 Aug 2026 17:07:39 +0000</t>
        </is>
      </c>
      <c r="G205" s="62" t="inlineStr">
        <is>
          <t>Una de las principales conclusiones es que todos los grupos armados crecieron en 13 mil integrantes en los últimos cuatro años.</t>
        </is>
      </c>
      <c r="H205" s="62" t="inlineStr">
        <is>
          <t>La Fundación Ideas para la Paz (FIP), que investiga el conflicto armado en el país, publicó un informe donde presenta un balance negativo de la paz total, una de las banderas del ya saliente gobierno de Gustavo Petro.</t>
        </is>
      </c>
      <c r="I205" s="62" t="inlineStr">
        <is>
          <t>Más claves del informe.</t>
        </is>
      </c>
      <c r="J205" s="38" t="n"/>
      <c r="K205" s="62" t="n"/>
      <c r="L205" s="38" t="n"/>
      <c r="M205" s="62" t="n"/>
      <c r="N205" s="38" t="n"/>
      <c r="O205" s="62" t="n"/>
      <c r="P205" s="38" t="n"/>
      <c r="Q205" s="62" t="n"/>
      <c r="R205" s="38" t="n"/>
      <c r="S205" s="62" t="n"/>
      <c r="T205" s="38" t="n"/>
      <c r="U205" s="62" t="n"/>
      <c r="V205" s="38" t="n"/>
      <c r="W205" s="62" t="n"/>
      <c r="X205" s="38" t="n"/>
      <c r="Y205" s="62" t="n"/>
      <c r="Z205" s="38" t="n"/>
      <c r="AA205" s="62" t="n"/>
      <c r="AB205" s="38" t="n"/>
      <c r="AC205" s="62" t="n"/>
      <c r="AD205" s="38" t="n"/>
      <c r="AE205" s="38" t="n"/>
      <c r="AF205" s="61">
        <f>IF(COUNTIF($B$5:B205,B205)=1,1,0)</f>
        <v/>
      </c>
      <c r="AG205" s="62" t="inlineStr">
        <is>
          <t>https://www.lasillavacia.com/en-vivo/fip-en-balance-de-la-paz-total-grupos-armados-suman-28-mil-integrantes/</t>
        </is>
      </c>
    </row>
    <row r="206" ht="15" customHeight="1" s="31">
      <c r="A206" s="38" t="inlineStr">
        <is>
          <t>ART_024</t>
        </is>
      </c>
      <c r="B206" s="38" t="inlineStr">
        <is>
          <t>ART_024_S03</t>
        </is>
      </c>
      <c r="C206" s="38" t="inlineStr">
        <is>
          <t>La Silla Vacía</t>
        </is>
      </c>
      <c r="D206" s="38" t="inlineStr">
        <is>
          <t>Seguridad y orden público</t>
        </is>
      </c>
      <c r="E206" s="38" t="inlineStr">
        <is>
          <t>Noticia dura</t>
        </is>
      </c>
      <c r="F206" s="38" t="inlineStr">
        <is>
          <t>Wed, 05 Aug 2026 17:07:39 +0000</t>
        </is>
      </c>
      <c r="G206" s="62" t="inlineStr">
        <is>
          <t>Más claves del informe.</t>
        </is>
      </c>
      <c r="H206" s="62" t="inlineStr">
        <is>
          <t>Una de las principales conclusiones es que todos los grupos armados crecieron en 13 mil integrantes en los últimos cuatro años.</t>
        </is>
      </c>
      <c r="I206" s="62" t="inlineStr">
        <is>
          <t>El balance general: los grupos armados alcanzaron unos 28 mil integrantes.</t>
        </is>
      </c>
      <c r="J206" s="38" t="n"/>
      <c r="K206" s="62" t="n"/>
      <c r="L206" s="38" t="n"/>
      <c r="M206" s="62" t="n"/>
      <c r="N206" s="38" t="n"/>
      <c r="O206" s="62" t="n"/>
      <c r="P206" s="38" t="n"/>
      <c r="Q206" s="62" t="n"/>
      <c r="R206" s="38" t="n"/>
      <c r="S206" s="62" t="n"/>
      <c r="T206" s="38" t="n"/>
      <c r="U206" s="62" t="n"/>
      <c r="V206" s="38" t="n"/>
      <c r="W206" s="62" t="n"/>
      <c r="X206" s="38" t="n"/>
      <c r="Y206" s="62" t="n"/>
      <c r="Z206" s="38" t="n"/>
      <c r="AA206" s="62" t="n"/>
      <c r="AB206" s="38" t="n"/>
      <c r="AC206" s="62" t="n"/>
      <c r="AD206" s="38" t="n"/>
      <c r="AE206" s="38" t="n"/>
      <c r="AF206" s="61">
        <f>IF(COUNTIF($B$5:B206,B206)=1,1,0)</f>
        <v/>
      </c>
      <c r="AG206" s="62" t="inlineStr">
        <is>
          <t>https://www.lasillavacia.com/en-vivo/fip-en-balance-de-la-paz-total-grupos-armados-suman-28-mil-integrantes/</t>
        </is>
      </c>
    </row>
    <row r="207" ht="15" customHeight="1" s="31">
      <c r="A207" s="38" t="inlineStr">
        <is>
          <t>ART_024</t>
        </is>
      </c>
      <c r="B207" s="38" t="inlineStr">
        <is>
          <t>ART_024_S04</t>
        </is>
      </c>
      <c r="C207" s="38" t="inlineStr">
        <is>
          <t>La Silla Vacía</t>
        </is>
      </c>
      <c r="D207" s="38" t="inlineStr">
        <is>
          <t>Seguridad y orden público</t>
        </is>
      </c>
      <c r="E207" s="38" t="inlineStr">
        <is>
          <t>Noticia dura</t>
        </is>
      </c>
      <c r="F207" s="38" t="inlineStr">
        <is>
          <t>Wed, 05 Aug 2026 17:07:39 +0000</t>
        </is>
      </c>
      <c r="G207" s="62" t="inlineStr">
        <is>
          <t>El balance general: los grupos armados alcanzaron unos 28 mil integrantes.</t>
        </is>
      </c>
      <c r="H207" s="62" t="inlineStr">
        <is>
          <t>Más claves del informe.</t>
        </is>
      </c>
      <c r="I207" s="62" t="inlineStr">
        <is>
          <t>Al inicio del gobierno de Gustavo Petro, la cifra estaba en unos 15 mil, según datos del Ministerio de Defensa.</t>
        </is>
      </c>
      <c r="J207" s="38" t="n"/>
      <c r="K207" s="62" t="n"/>
      <c r="L207" s="38" t="n"/>
      <c r="M207" s="62" t="n"/>
      <c r="N207" s="38" t="n"/>
      <c r="O207" s="62" t="n"/>
      <c r="P207" s="38" t="n"/>
      <c r="Q207" s="62" t="n"/>
      <c r="R207" s="38" t="n"/>
      <c r="S207" s="62" t="n"/>
      <c r="T207" s="38" t="n"/>
      <c r="U207" s="62" t="n"/>
      <c r="V207" s="38" t="n"/>
      <c r="W207" s="62" t="n"/>
      <c r="X207" s="38" t="n"/>
      <c r="Y207" s="62" t="n"/>
      <c r="Z207" s="38" t="n"/>
      <c r="AA207" s="62" t="n"/>
      <c r="AB207" s="38" t="n"/>
      <c r="AC207" s="62" t="n"/>
      <c r="AD207" s="38" t="n"/>
      <c r="AE207" s="38" t="n"/>
      <c r="AF207" s="61">
        <f>IF(COUNTIF($B$5:B207,B207)=1,1,0)</f>
        <v/>
      </c>
      <c r="AG207" s="62" t="inlineStr">
        <is>
          <t>https://www.lasillavacia.com/en-vivo/fip-en-balance-de-la-paz-total-grupos-armados-suman-28-mil-integrantes/</t>
        </is>
      </c>
    </row>
    <row r="208" ht="15" customHeight="1" s="31">
      <c r="A208" s="38" t="inlineStr">
        <is>
          <t>ART_024</t>
        </is>
      </c>
      <c r="B208" s="38" t="inlineStr">
        <is>
          <t>ART_024_S05</t>
        </is>
      </c>
      <c r="C208" s="38" t="inlineStr">
        <is>
          <t>La Silla Vacía</t>
        </is>
      </c>
      <c r="D208" s="38" t="inlineStr">
        <is>
          <t>Seguridad y orden público</t>
        </is>
      </c>
      <c r="E208" s="38" t="inlineStr">
        <is>
          <t>Noticia dura</t>
        </is>
      </c>
      <c r="F208" s="38" t="inlineStr">
        <is>
          <t>Wed, 05 Aug 2026 17:07:39 +0000</t>
        </is>
      </c>
      <c r="G208" s="62" t="inlineStr">
        <is>
          <t>Al inicio del gobierno de Gustavo Petro, la cifra estaba en unos 15 mil, según datos del Ministerio de Defensa.</t>
        </is>
      </c>
      <c r="H208" s="62" t="inlineStr">
        <is>
          <t>El balance general: los grupos armados alcanzaron unos 28 mil integrantes.</t>
        </is>
      </c>
      <c r="I208" s="62" t="inlineStr">
        <is>
          <t>Es decir, que crecieron casi el doble en cuatro años.</t>
        </is>
      </c>
      <c r="J208" s="38" t="n"/>
      <c r="K208" s="62" t="n"/>
      <c r="L208" s="38" t="n"/>
      <c r="M208" s="62" t="n"/>
      <c r="N208" s="38" t="n"/>
      <c r="O208" s="62" t="n"/>
      <c r="P208" s="38" t="n"/>
      <c r="Q208" s="62" t="n"/>
      <c r="R208" s="38" t="n"/>
      <c r="S208" s="62" t="n"/>
      <c r="T208" s="38" t="n"/>
      <c r="U208" s="62" t="n"/>
      <c r="V208" s="38" t="n"/>
      <c r="W208" s="62" t="n"/>
      <c r="X208" s="38" t="n"/>
      <c r="Y208" s="62" t="n"/>
      <c r="Z208" s="38" t="n"/>
      <c r="AA208" s="62" t="n"/>
      <c r="AB208" s="38" t="n"/>
      <c r="AC208" s="62" t="n"/>
      <c r="AD208" s="38" t="n"/>
      <c r="AE208" s="38" t="n"/>
      <c r="AF208" s="61">
        <f>IF(COUNTIF($B$5:B208,B208)=1,1,0)</f>
        <v/>
      </c>
      <c r="AG208" s="62" t="inlineStr">
        <is>
          <t>https://www.lasillavacia.com/en-vivo/fip-en-balance-de-la-paz-total-grupos-armados-suman-28-mil-integrantes/</t>
        </is>
      </c>
    </row>
    <row r="209" ht="15" customHeight="1" s="31">
      <c r="A209" s="38" t="inlineStr">
        <is>
          <t>ART_024</t>
        </is>
      </c>
      <c r="B209" s="38" t="inlineStr">
        <is>
          <t>ART_024_S06</t>
        </is>
      </c>
      <c r="C209" s="38" t="inlineStr">
        <is>
          <t>La Silla Vacía</t>
        </is>
      </c>
      <c r="D209" s="38" t="inlineStr">
        <is>
          <t>Seguridad y orden público</t>
        </is>
      </c>
      <c r="E209" s="38" t="inlineStr">
        <is>
          <t>Noticia dura</t>
        </is>
      </c>
      <c r="F209" s="38" t="inlineStr">
        <is>
          <t>Wed, 05 Aug 2026 17:07:39 +0000</t>
        </is>
      </c>
      <c r="G209" s="62" t="inlineStr">
        <is>
          <t>Es decir, que crecieron casi el doble en cuatro años.</t>
        </is>
      </c>
      <c r="H209" s="62" t="inlineStr">
        <is>
          <t>Al inicio del gobierno de Gustavo Petro, la cifra estaba en unos 15 mil, según datos del Ministerio de Defensa.</t>
        </is>
      </c>
      <c r="I209" s="62" t="inlineStr">
        <is>
          <t>En un informe de inicios de año , la FIP reportó –con cifras oficiales– que los grupos armados aumentaron sus filas con 5 mil combatientes nuevos en 2025.</t>
        </is>
      </c>
      <c r="J209" s="38" t="n"/>
      <c r="K209" s="62" t="n"/>
      <c r="L209" s="38" t="n"/>
      <c r="M209" s="62" t="n"/>
      <c r="N209" s="38" t="n"/>
      <c r="O209" s="62" t="n"/>
      <c r="P209" s="38" t="n"/>
      <c r="Q209" s="62" t="n"/>
      <c r="R209" s="38" t="n"/>
      <c r="S209" s="62" t="n"/>
      <c r="T209" s="38" t="n"/>
      <c r="U209" s="62" t="n"/>
      <c r="V209" s="38" t="n"/>
      <c r="W209" s="62" t="n"/>
      <c r="X209" s="38" t="n"/>
      <c r="Y209" s="62" t="n"/>
      <c r="Z209" s="38" t="n"/>
      <c r="AA209" s="62" t="n"/>
      <c r="AB209" s="38" t="n"/>
      <c r="AC209" s="62" t="n"/>
      <c r="AD209" s="38" t="n"/>
      <c r="AE209" s="38" t="n"/>
      <c r="AF209" s="61">
        <f>IF(COUNTIF($B$5:B209,B209)=1,1,0)</f>
        <v/>
      </c>
      <c r="AG209" s="62" t="inlineStr">
        <is>
          <t>https://www.lasillavacia.com/en-vivo/fip-en-balance-de-la-paz-total-grupos-armados-suman-28-mil-integrantes/</t>
        </is>
      </c>
    </row>
    <row r="210" ht="15" customHeight="1" s="31">
      <c r="A210" s="38" t="inlineStr">
        <is>
          <t>ART_024</t>
        </is>
      </c>
      <c r="B210" s="38" t="inlineStr">
        <is>
          <t>ART_024_S07</t>
        </is>
      </c>
      <c r="C210" s="38" t="inlineStr">
        <is>
          <t>La Silla Vacía</t>
        </is>
      </c>
      <c r="D210" s="38" t="inlineStr">
        <is>
          <t>Seguridad y orden público</t>
        </is>
      </c>
      <c r="E210" s="38" t="inlineStr">
        <is>
          <t>Noticia dura</t>
        </is>
      </c>
      <c r="F210" s="38" t="inlineStr">
        <is>
          <t>Wed, 05 Aug 2026 17:07:39 +0000</t>
        </is>
      </c>
      <c r="G210" s="62" t="inlineStr">
        <is>
          <t>En un informe de inicios de año , la FIP reportó –con cifras oficiales– que los grupos armados aumentaron sus filas con 5 mil combatientes nuevos en 2025.</t>
        </is>
      </c>
      <c r="H210" s="62" t="inlineStr">
        <is>
          <t>Es decir, que crecieron casi el doble en cuatro años.</t>
        </is>
      </c>
      <c r="I210" s="62" t="inlineStr">
        <is>
          <t>Entonces había 27.121 integrantes.</t>
        </is>
      </c>
      <c r="J210" s="38" t="n"/>
      <c r="K210" s="62" t="n"/>
      <c r="L210" s="38" t="n"/>
      <c r="M210" s="62" t="n"/>
      <c r="N210" s="38" t="n"/>
      <c r="O210" s="62" t="n"/>
      <c r="P210" s="38" t="n"/>
      <c r="Q210" s="62" t="n"/>
      <c r="R210" s="38" t="n"/>
      <c r="S210" s="62" t="n"/>
      <c r="T210" s="38" t="n"/>
      <c r="U210" s="62" t="n"/>
      <c r="V210" s="38" t="n"/>
      <c r="W210" s="62" t="n"/>
      <c r="X210" s="38" t="n"/>
      <c r="Y210" s="62" t="n"/>
      <c r="Z210" s="38" t="n"/>
      <c r="AA210" s="62" t="n"/>
      <c r="AB210" s="38" t="n"/>
      <c r="AC210" s="62" t="n"/>
      <c r="AD210" s="38" t="n"/>
      <c r="AE210" s="38" t="n"/>
      <c r="AF210" s="61">
        <f>IF(COUNTIF($B$5:B210,B210)=1,1,0)</f>
        <v/>
      </c>
      <c r="AG210" s="62" t="inlineStr">
        <is>
          <t>https://www.lasillavacia.com/en-vivo/fip-en-balance-de-la-paz-total-grupos-armados-suman-28-mil-integrantes/</t>
        </is>
      </c>
    </row>
    <row r="211" ht="15" customHeight="1" s="31">
      <c r="A211" s="38" t="inlineStr">
        <is>
          <t>ART_024</t>
        </is>
      </c>
      <c r="B211" s="38" t="inlineStr">
        <is>
          <t>ART_024_S08</t>
        </is>
      </c>
      <c r="C211" s="38" t="inlineStr">
        <is>
          <t>La Silla Vacía</t>
        </is>
      </c>
      <c r="D211" s="38" t="inlineStr">
        <is>
          <t>Seguridad y orden público</t>
        </is>
      </c>
      <c r="E211" s="38" t="inlineStr">
        <is>
          <t>Noticia dura</t>
        </is>
      </c>
      <c r="F211" s="38" t="inlineStr">
        <is>
          <t>Wed, 05 Aug 2026 17:07:39 +0000</t>
        </is>
      </c>
      <c r="G211" s="62" t="inlineStr">
        <is>
          <t>Entonces había 27.121 integrantes.</t>
        </is>
      </c>
      <c r="H211" s="62" t="inlineStr">
        <is>
          <t>En un informe de inicios de año , la FIP reportó –con cifras oficiales– que los grupos armados aumentaron sus filas con 5 mil combatientes nuevos en 2025.</t>
        </is>
      </c>
      <c r="I211" s="62" t="n"/>
      <c r="J211" s="38" t="n"/>
      <c r="K211" s="62" t="n"/>
      <c r="L211" s="38" t="n"/>
      <c r="M211" s="62" t="n"/>
      <c r="N211" s="38" t="n"/>
      <c r="O211" s="62" t="n"/>
      <c r="P211" s="38" t="n"/>
      <c r="Q211" s="62" t="n"/>
      <c r="R211" s="38" t="n"/>
      <c r="S211" s="62" t="n"/>
      <c r="T211" s="38" t="n"/>
      <c r="U211" s="62" t="n"/>
      <c r="V211" s="38" t="n"/>
      <c r="W211" s="62" t="n"/>
      <c r="X211" s="38" t="n"/>
      <c r="Y211" s="62" t="n"/>
      <c r="Z211" s="38" t="n"/>
      <c r="AA211" s="62" t="n"/>
      <c r="AB211" s="38" t="n"/>
      <c r="AC211" s="62" t="n"/>
      <c r="AD211" s="38" t="n"/>
      <c r="AE211" s="38" t="n"/>
      <c r="AF211" s="61">
        <f>IF(COUNTIF($B$5:B211,B211)=1,1,0)</f>
        <v/>
      </c>
      <c r="AG211" s="62" t="inlineStr">
        <is>
          <t>https://www.lasillavacia.com/en-vivo/fip-en-balance-de-la-paz-total-grupos-armados-suman-28-mil-integrantes/</t>
        </is>
      </c>
    </row>
    <row r="212" ht="15" customHeight="1" s="31">
      <c r="A212" s="38" t="inlineStr">
        <is>
          <t>ART_025</t>
        </is>
      </c>
      <c r="B212" s="38" t="inlineStr">
        <is>
          <t>ART_025_S03</t>
        </is>
      </c>
      <c r="C212" s="38" t="inlineStr">
        <is>
          <t>La Silla Vacía</t>
        </is>
      </c>
      <c r="D212" s="38" t="inlineStr">
        <is>
          <t>Relación con Estados Unidos</t>
        </is>
      </c>
      <c r="E212" s="38" t="inlineStr">
        <is>
          <t>Opinión-análisis</t>
        </is>
      </c>
      <c r="F212" s="38" t="inlineStr">
        <is>
          <t>Sat, 22 Aug 2026 04:57:47 +0000</t>
        </is>
      </c>
      <c r="G212" s="62" t="inlineStr">
        <is>
          <t>Desde hace unos días, se habla de la posibilidad de que Colombia abandone la Corte Penal Internacional (CPI).</t>
        </is>
      </c>
      <c r="H212" s="62" t="inlineStr">
        <is>
          <t>Esta columna fue escrita por los columnistas invitados Enrique Prieto Ríos y Juan Pablo Coy.</t>
        </is>
      </c>
      <c r="I212"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J212" s="38" t="n"/>
      <c r="K212" s="62" t="n"/>
      <c r="L212" s="38" t="n"/>
      <c r="M212" s="62" t="n"/>
      <c r="N212" s="38" t="n"/>
      <c r="O212" s="62" t="n"/>
      <c r="P212" s="38" t="n"/>
      <c r="Q212" s="62" t="n"/>
      <c r="R212" s="38" t="n"/>
      <c r="S212" s="62" t="n"/>
      <c r="T212" s="38" t="n"/>
      <c r="U212" s="62" t="n"/>
      <c r="V212" s="38" t="n"/>
      <c r="W212" s="62" t="n"/>
      <c r="X212" s="38" t="n"/>
      <c r="Y212" s="62" t="n"/>
      <c r="Z212" s="38" t="n"/>
      <c r="AA212" s="62" t="n"/>
      <c r="AB212" s="38" t="n"/>
      <c r="AC212" s="62" t="n"/>
      <c r="AD212" s="38" t="n"/>
      <c r="AE212" s="38" t="n"/>
      <c r="AF212" s="61">
        <f>IF(COUNTIF($B$5:B212,B212)=1,1,0)</f>
        <v/>
      </c>
      <c r="AG212" s="62" t="inlineStr">
        <is>
          <t>https://www.lasillavacia.com/red-de-expertos/red-social/borron-y-cuenta-nueva-colombia-y-su-retirada-de-la-cpi/</t>
        </is>
      </c>
    </row>
    <row r="213" ht="15" customHeight="1" s="31">
      <c r="A213" s="38" t="inlineStr">
        <is>
          <t>ART_025</t>
        </is>
      </c>
      <c r="B213" s="38" t="inlineStr">
        <is>
          <t>ART_025_S04</t>
        </is>
      </c>
      <c r="C213" s="38" t="inlineStr">
        <is>
          <t>La Silla Vacía</t>
        </is>
      </c>
      <c r="D213" s="38" t="inlineStr">
        <is>
          <t>Relación con Estados Unidos</t>
        </is>
      </c>
      <c r="E213" s="38" t="inlineStr">
        <is>
          <t>Opinión-análisis</t>
        </is>
      </c>
      <c r="F213" s="38" t="inlineStr">
        <is>
          <t>Sat, 22 Aug 2026 04:57:47 +0000</t>
        </is>
      </c>
      <c r="G213"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H213" s="62" t="inlineStr">
        <is>
          <t>Desde hace unos días, se habla de la posibilidad de que Colombia abandone la Corte Penal Internacional (CPI).</t>
        </is>
      </c>
      <c r="I213"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J213" s="38" t="n"/>
      <c r="K213" s="62" t="n"/>
      <c r="L213" s="38" t="n"/>
      <c r="M213" s="62" t="n"/>
      <c r="N213" s="38" t="n"/>
      <c r="O213" s="62" t="n"/>
      <c r="P213" s="38" t="n"/>
      <c r="Q213" s="62" t="n"/>
      <c r="R213" s="38" t="n"/>
      <c r="S213" s="62" t="n"/>
      <c r="T213" s="38" t="n"/>
      <c r="U213" s="62" t="n"/>
      <c r="V213" s="38" t="n"/>
      <c r="W213" s="62" t="n"/>
      <c r="X213" s="38" t="n"/>
      <c r="Y213" s="62" t="n"/>
      <c r="Z213" s="38" t="n"/>
      <c r="AA213" s="62" t="n"/>
      <c r="AB213" s="38" t="n"/>
      <c r="AC213" s="62" t="n"/>
      <c r="AD213" s="38" t="n"/>
      <c r="AE213" s="38" t="n"/>
      <c r="AF213" s="61">
        <f>IF(COUNTIF($B$5:B213,B213)=1,1,0)</f>
        <v/>
      </c>
      <c r="AG213" s="62" t="inlineStr">
        <is>
          <t>https://www.lasillavacia.com/red-de-expertos/red-social/borron-y-cuenta-nueva-colombia-y-su-retirada-de-la-cpi/</t>
        </is>
      </c>
    </row>
    <row r="214" ht="15" customHeight="1" s="31">
      <c r="A214" s="38" t="inlineStr">
        <is>
          <t>ART_025</t>
        </is>
      </c>
      <c r="B214" s="38" t="inlineStr">
        <is>
          <t>ART_025_S05</t>
        </is>
      </c>
      <c r="C214" s="38" t="inlineStr">
        <is>
          <t>La Silla Vacía</t>
        </is>
      </c>
      <c r="D214" s="38" t="inlineStr">
        <is>
          <t>Relación con Estados Unidos</t>
        </is>
      </c>
      <c r="E214" s="38" t="inlineStr">
        <is>
          <t>Opinión-análisis</t>
        </is>
      </c>
      <c r="F214" s="38" t="inlineStr">
        <is>
          <t>Sat, 22 Aug 2026 04:57:47 +0000</t>
        </is>
      </c>
      <c r="G214"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H214" s="62" t="inlineStr">
        <is>
          <t>La noticia, por ahora no confirmada oficialmente, apareció solo unos días después de que Pete Hegseth, secretario de Defensa de Estados Unidos, invitara a los países integrantes de la Coalición de las Américas contra los Cárteles a retirarse de la CPI.</t>
        </is>
      </c>
      <c r="I214" s="62" t="inlineStr">
        <is>
          <t>Al margen de las consideraciones políticas sobre la conveniencia o no del retiro de Colombia, creemos que conviene aclarar algo más elemental: ¿qué significa realmente retirarse de la CPI?</t>
        </is>
      </c>
      <c r="J214" s="38" t="n"/>
      <c r="K214" s="62" t="n"/>
      <c r="L214" s="38" t="n"/>
      <c r="M214" s="62" t="n"/>
      <c r="N214" s="38" t="n"/>
      <c r="O214" s="62" t="n"/>
      <c r="P214" s="38" t="n"/>
      <c r="Q214" s="62" t="n"/>
      <c r="R214" s="38" t="n"/>
      <c r="S214" s="62" t="n"/>
      <c r="T214" s="38" t="n"/>
      <c r="U214" s="62" t="n"/>
      <c r="V214" s="38" t="n"/>
      <c r="W214" s="62" t="n"/>
      <c r="X214" s="38" t="n"/>
      <c r="Y214" s="62" t="n"/>
      <c r="Z214" s="38" t="n"/>
      <c r="AA214" s="62" t="n"/>
      <c r="AB214" s="38" t="n"/>
      <c r="AC214" s="62" t="n"/>
      <c r="AD214" s="38" t="n"/>
      <c r="AE214" s="38" t="n"/>
      <c r="AF214" s="61">
        <f>IF(COUNTIF($B$5:B214,B214)=1,1,0)</f>
        <v/>
      </c>
      <c r="AG214" s="62" t="inlineStr">
        <is>
          <t>https://www.lasillavacia.com/red-de-expertos/red-social/borron-y-cuenta-nueva-colombia-y-su-retirada-de-la-cpi/</t>
        </is>
      </c>
    </row>
    <row r="215" ht="15" customHeight="1" s="31">
      <c r="A215" s="38" t="inlineStr">
        <is>
          <t>ART_025</t>
        </is>
      </c>
      <c r="B215" s="38" t="inlineStr">
        <is>
          <t>ART_025_S06</t>
        </is>
      </c>
      <c r="C215" s="38" t="inlineStr">
        <is>
          <t>La Silla Vacía</t>
        </is>
      </c>
      <c r="D215" s="38" t="inlineStr">
        <is>
          <t>Relación con Estados Unidos</t>
        </is>
      </c>
      <c r="E215" s="38" t="inlineStr">
        <is>
          <t>Opinión-análisis</t>
        </is>
      </c>
      <c r="F215" s="38" t="inlineStr">
        <is>
          <t>Sat, 22 Aug 2026 04:57:47 +0000</t>
        </is>
      </c>
      <c r="G215" s="62" t="inlineStr">
        <is>
          <t>Al margen de las consideraciones políticas sobre la conveniencia o no del retiro de Colombia, creemos que conviene aclarar algo más elemental: ¿qué significa realmente retirarse de la CPI?</t>
        </is>
      </c>
      <c r="H215" s="62" t="inlineStr">
        <is>
          <t>Esta no es una discusión menor, menos tratándose de un país como el nuestro que ha pertenecido a la Corte durante más de dos décadas, y mucho menos cuando hemos convivido durante años con una situación de conflicto armado que, además, ha sido estudiada por la CPI.</t>
        </is>
      </c>
      <c r="I215" s="62" t="inlineStr">
        <is>
          <t>Porque, contrario a lo que podría sugerir la discusión política, denunciar el Estatuto de Roma no equivale a apagar un interruptor y desaparecer inmediatamente de la jurisdicción de la Corte.</t>
        </is>
      </c>
      <c r="J215" s="38" t="n"/>
      <c r="K215" s="62" t="n"/>
      <c r="L215" s="38" t="n"/>
      <c r="M215" s="62" t="n"/>
      <c r="N215" s="38" t="n"/>
      <c r="O215" s="62" t="n"/>
      <c r="P215" s="38" t="n"/>
      <c r="Q215" s="62" t="n"/>
      <c r="R215" s="38" t="n"/>
      <c r="S215" s="62" t="n"/>
      <c r="T215" s="38" t="n"/>
      <c r="U215" s="62" t="n"/>
      <c r="V215" s="38" t="n"/>
      <c r="W215" s="62" t="n"/>
      <c r="X215" s="38" t="n"/>
      <c r="Y215" s="62" t="n"/>
      <c r="Z215" s="38" t="n"/>
      <c r="AA215" s="62" t="n"/>
      <c r="AB215" s="38" t="n"/>
      <c r="AC215" s="62" t="n"/>
      <c r="AD215" s="38" t="n"/>
      <c r="AE215" s="38" t="n"/>
      <c r="AF215" s="61">
        <f>IF(COUNTIF($B$5:B215,B215)=1,1,0)</f>
        <v/>
      </c>
      <c r="AG215" s="62" t="inlineStr">
        <is>
          <t>https://www.lasillavacia.com/red-de-expertos/red-social/borron-y-cuenta-nueva-colombia-y-su-retirada-de-la-cpi/</t>
        </is>
      </c>
    </row>
    <row r="216" ht="15" customHeight="1" s="31">
      <c r="A216" s="38" t="inlineStr">
        <is>
          <t>ART_025</t>
        </is>
      </c>
      <c r="B216" s="38" t="inlineStr">
        <is>
          <t>ART_025_S07</t>
        </is>
      </c>
      <c r="C216" s="38" t="inlineStr">
        <is>
          <t>La Silla Vacía</t>
        </is>
      </c>
      <c r="D216" s="38" t="inlineStr">
        <is>
          <t>Relación con Estados Unidos</t>
        </is>
      </c>
      <c r="E216" s="38" t="inlineStr">
        <is>
          <t>Opinión-análisis</t>
        </is>
      </c>
      <c r="F216" s="38" t="inlineStr">
        <is>
          <t>Sat, 22 Aug 2026 04:57:47 +0000</t>
        </is>
      </c>
      <c r="G216" s="62" t="inlineStr">
        <is>
          <t>Porque, contrario a lo que podría sugerir la discusión política, denunciar el Estatuto de Roma no equivale a apagar un interruptor y desaparecer inmediatamente de la jurisdicción de la Corte.</t>
        </is>
      </c>
      <c r="H216" s="62" t="inlineStr">
        <is>
          <t>Al margen de las consideraciones políticas sobre la conveniencia o no del retiro de Colombia, creemos que conviene aclarar algo más elemental: ¿qué significa realmente retirarse de la CPI?</t>
        </is>
      </c>
      <c r="I216" s="62" t="inlineStr">
        <is>
          <t>La escotilla de escape del Estatuto de Roma existe; de hecho, ningún tratado es una camisa de fuerza perpetua y, en este caso, se encuentra en el artículo 127 del Estatuto , que le permite a cualquier Estado Parte informar su deseo de retirarse.</t>
        </is>
      </c>
      <c r="J216" s="38" t="n"/>
      <c r="K216" s="62" t="n"/>
      <c r="L216" s="38" t="n"/>
      <c r="M216" s="62" t="n"/>
      <c r="N216" s="38" t="n"/>
      <c r="O216" s="62" t="n"/>
      <c r="P216" s="38" t="n"/>
      <c r="Q216" s="62" t="n"/>
      <c r="R216" s="38" t="n"/>
      <c r="S216" s="62" t="n"/>
      <c r="T216" s="38" t="n"/>
      <c r="U216" s="62" t="n"/>
      <c r="V216" s="38" t="n"/>
      <c r="W216" s="62" t="n"/>
      <c r="X216" s="38" t="n"/>
      <c r="Y216" s="62" t="n"/>
      <c r="Z216" s="38" t="n"/>
      <c r="AA216" s="62" t="n"/>
      <c r="AB216" s="38" t="n"/>
      <c r="AC216" s="62" t="n"/>
      <c r="AD216" s="38" t="n"/>
      <c r="AE216" s="38" t="n"/>
      <c r="AF216" s="61">
        <f>IF(COUNTIF($B$5:B216,B216)=1,1,0)</f>
        <v/>
      </c>
      <c r="AG216" s="62" t="inlineStr">
        <is>
          <t>https://www.lasillavacia.com/red-de-expertos/red-social/borron-y-cuenta-nueva-colombia-y-su-retirada-de-la-cpi/</t>
        </is>
      </c>
    </row>
    <row r="217" ht="15" customHeight="1" s="31">
      <c r="A217" s="38" t="inlineStr">
        <is>
          <t>ART_025</t>
        </is>
      </c>
      <c r="B217" s="38" t="inlineStr">
        <is>
          <t>ART_025_S08</t>
        </is>
      </c>
      <c r="C217" s="38" t="inlineStr">
        <is>
          <t>La Silla Vacía</t>
        </is>
      </c>
      <c r="D217" s="38" t="inlineStr">
        <is>
          <t>Relación con Estados Unidos</t>
        </is>
      </c>
      <c r="E217" s="38" t="inlineStr">
        <is>
          <t>Opinión-análisis</t>
        </is>
      </c>
      <c r="F217" s="38" t="inlineStr">
        <is>
          <t>Sat, 22 Aug 2026 04:57:47 +0000</t>
        </is>
      </c>
      <c r="G217" s="62" t="inlineStr">
        <is>
          <t>La escotilla de escape del Estatuto de Roma existe; de hecho, ningún tratado es una camisa de fuerza perpetua y, en este caso, se encuentra en el artículo 127 del Estatuto , que le permite a cualquier Estado Parte informar su deseo de retirarse.</t>
        </is>
      </c>
      <c r="H217" s="62" t="inlineStr">
        <is>
          <t>Porque, contrario a lo que podría sugerir la discusión política, denunciar el Estatuto de Roma no equivale a apagar un interruptor y desaparecer inmediatamente de la jurisdicción de la Corte.</t>
        </is>
      </c>
      <c r="I217" s="62" t="inlineStr">
        <is>
          <t>Esta notificación debe efectuarse mediante escrito dirigido al Secretario General de las Naciones Unidas.</t>
        </is>
      </c>
      <c r="J217" s="38" t="n"/>
      <c r="K217" s="62" t="n"/>
      <c r="L217" s="38" t="n"/>
      <c r="M217" s="62" t="n"/>
      <c r="N217" s="38" t="n"/>
      <c r="O217" s="62" t="n"/>
      <c r="P217" s="38" t="n"/>
      <c r="Q217" s="62" t="n"/>
      <c r="R217" s="38" t="n"/>
      <c r="S217" s="62" t="n"/>
      <c r="T217" s="38" t="n"/>
      <c r="U217" s="62" t="n"/>
      <c r="V217" s="38" t="n"/>
      <c r="W217" s="62" t="n"/>
      <c r="X217" s="38" t="n"/>
      <c r="Y217" s="62" t="n"/>
      <c r="Z217" s="38" t="n"/>
      <c r="AA217" s="62" t="n"/>
      <c r="AB217" s="38" t="n"/>
      <c r="AC217" s="62" t="n"/>
      <c r="AD217" s="38" t="n"/>
      <c r="AE217" s="38" t="n"/>
      <c r="AF217" s="61">
        <f>IF(COUNTIF($B$5:B217,B217)=1,1,0)</f>
        <v/>
      </c>
      <c r="AG217" s="62" t="inlineStr">
        <is>
          <t>https://www.lasillavacia.com/red-de-expertos/red-social/borron-y-cuenta-nueva-colombia-y-su-retirada-de-la-cpi/</t>
        </is>
      </c>
    </row>
    <row r="218" ht="15" customHeight="1" s="31">
      <c r="A218" s="38" t="inlineStr">
        <is>
          <t>ART_025</t>
        </is>
      </c>
      <c r="B218" s="38" t="inlineStr">
        <is>
          <t>ART_025_S09</t>
        </is>
      </c>
      <c r="C218" s="38" t="inlineStr">
        <is>
          <t>La Silla Vacía</t>
        </is>
      </c>
      <c r="D218" s="38" t="inlineStr">
        <is>
          <t>Relación con Estados Unidos</t>
        </is>
      </c>
      <c r="E218" s="38" t="inlineStr">
        <is>
          <t>Opinión-análisis</t>
        </is>
      </c>
      <c r="F218" s="38" t="inlineStr">
        <is>
          <t>Sat, 22 Aug 2026 04:57:47 +0000</t>
        </is>
      </c>
      <c r="G218" s="62" t="inlineStr">
        <is>
          <t>Esta notificación debe efectuarse mediante escrito dirigido al Secretario General de las Naciones Unidas.</t>
        </is>
      </c>
      <c r="H218" s="62" t="inlineStr">
        <is>
          <t>La escotilla de escape del Estatuto de Roma existe; de hecho, ningún tratado es una camisa de fuerza perpetua y, en este caso, se encuentra en el artículo 127 del Estatuto , que le permite a cualquier Estado Parte informar su deseo de retirarse.</t>
        </is>
      </c>
      <c r="I218" s="62" t="inlineStr">
        <is>
          <t>La decisión, además, no produce efectos inmediatos: salvo que el propio Estado indique una fecha posterior, el retiro solo se hace efectivo un año después de recibida la notificación.</t>
        </is>
      </c>
      <c r="J218" s="38" t="n"/>
      <c r="K218" s="62" t="n"/>
      <c r="L218" s="38" t="n"/>
      <c r="M218" s="62" t="n"/>
      <c r="N218" s="38" t="n"/>
      <c r="O218" s="62" t="n"/>
      <c r="P218" s="38" t="n"/>
      <c r="Q218" s="62" t="n"/>
      <c r="R218" s="38" t="n"/>
      <c r="S218" s="62" t="n"/>
      <c r="T218" s="38" t="n"/>
      <c r="U218" s="62" t="n"/>
      <c r="V218" s="38" t="n"/>
      <c r="W218" s="62" t="n"/>
      <c r="X218" s="38" t="n"/>
      <c r="Y218" s="62" t="n"/>
      <c r="Z218" s="38" t="n"/>
      <c r="AA218" s="62" t="n"/>
      <c r="AB218" s="38" t="n"/>
      <c r="AC218" s="62" t="n"/>
      <c r="AD218" s="38" t="n"/>
      <c r="AE218" s="38" t="n"/>
      <c r="AF218" s="61">
        <f>IF(COUNTIF($B$5:B218,B218)=1,1,0)</f>
        <v/>
      </c>
      <c r="AG218" s="62" t="inlineStr">
        <is>
          <t>https://www.lasillavacia.com/red-de-expertos/red-social/borron-y-cuenta-nueva-colombia-y-su-retirada-de-la-cpi/</t>
        </is>
      </c>
    </row>
    <row r="219" ht="15" customHeight="1" s="31">
      <c r="A219" s="38" t="inlineStr">
        <is>
          <t>ART_025</t>
        </is>
      </c>
      <c r="B219" s="38" t="inlineStr">
        <is>
          <t>ART_025_S10</t>
        </is>
      </c>
      <c r="C219" s="38" t="inlineStr">
        <is>
          <t>La Silla Vacía</t>
        </is>
      </c>
      <c r="D219" s="38" t="inlineStr">
        <is>
          <t>Relación con Estados Unidos</t>
        </is>
      </c>
      <c r="E219" s="38" t="inlineStr">
        <is>
          <t>Opinión-análisis</t>
        </is>
      </c>
      <c r="F219" s="38" t="inlineStr">
        <is>
          <t>Sat, 22 Aug 2026 04:57:47 +0000</t>
        </is>
      </c>
      <c r="G219" s="62" t="inlineStr">
        <is>
          <t>La decisión, además, no produce efectos inmediatos: salvo que el propio Estado indique una fecha posterior, el retiro solo se hace efectivo un año después de recibida la notificación.</t>
        </is>
      </c>
      <c r="H219" s="62" t="inlineStr">
        <is>
          <t>Esta notificación debe efectuarse mediante escrito dirigido al Secretario General de las Naciones Unidas.</t>
        </is>
      </c>
      <c r="I219" s="62" t="inlineStr">
        <is>
          <t>Colombia tampoco llegó accidentalmente a este sistema.</t>
        </is>
      </c>
      <c r="J219" s="38" t="n"/>
      <c r="K219" s="62" t="n"/>
      <c r="L219" s="38" t="n"/>
      <c r="M219" s="62" t="n"/>
      <c r="N219" s="38" t="n"/>
      <c r="O219" s="62" t="n"/>
      <c r="P219" s="38" t="n"/>
      <c r="Q219" s="62" t="n"/>
      <c r="R219" s="38" t="n"/>
      <c r="S219" s="62" t="n"/>
      <c r="T219" s="38" t="n"/>
      <c r="U219" s="62" t="n"/>
      <c r="V219" s="38" t="n"/>
      <c r="W219" s="62" t="n"/>
      <c r="X219" s="38" t="n"/>
      <c r="Y219" s="62" t="n"/>
      <c r="Z219" s="38" t="n"/>
      <c r="AA219" s="62" t="n"/>
      <c r="AB219" s="38" t="n"/>
      <c r="AC219" s="62" t="n"/>
      <c r="AD219" s="38" t="n"/>
      <c r="AE219" s="38" t="n"/>
      <c r="AF219" s="61">
        <f>IF(COUNTIF($B$5:B219,B219)=1,1,0)</f>
        <v/>
      </c>
      <c r="AG219" s="62" t="inlineStr">
        <is>
          <t>https://www.lasillavacia.com/red-de-expertos/red-social/borron-y-cuenta-nueva-colombia-y-su-retirada-de-la-cpi/</t>
        </is>
      </c>
    </row>
    <row r="220" ht="15" customHeight="1" s="31">
      <c r="A220" s="38" t="inlineStr">
        <is>
          <t>ART_025</t>
        </is>
      </c>
      <c r="B220" s="38" t="inlineStr">
        <is>
          <t>ART_025_S11</t>
        </is>
      </c>
      <c r="C220" s="38" t="inlineStr">
        <is>
          <t>La Silla Vacía</t>
        </is>
      </c>
      <c r="D220" s="38" t="inlineStr">
        <is>
          <t>Relación con Estados Unidos</t>
        </is>
      </c>
      <c r="E220" s="38" t="inlineStr">
        <is>
          <t>Opinión-análisis</t>
        </is>
      </c>
      <c r="F220" s="38" t="inlineStr">
        <is>
          <t>Sat, 22 Aug 2026 04:57:47 +0000</t>
        </is>
      </c>
      <c r="G220" s="62" t="inlineStr">
        <is>
          <t>Colombia tampoco llegó accidentalmente a este sistema.</t>
        </is>
      </c>
      <c r="H220" s="62" t="inlineStr">
        <is>
          <t>La decisión, además, no produce efectos inmediatos: salvo que el propio Estado indique una fecha posterior, el retiro solo se hace efectivo un año después de recibida la notificación.</t>
        </is>
      </c>
      <c r="I220" s="62" t="inlineStr">
        <is>
          <t>El país suscribió el Estatuto de Roma en 1998 y, después de una reforma constitucional y de su aprobación por el Congreso mediante la Ley 742 de 2002 , depositó su instrumento de ratificación el 5 de agosto de ese año .</t>
        </is>
      </c>
      <c r="J220" s="38" t="n"/>
      <c r="K220" s="62" t="n"/>
      <c r="L220" s="38" t="n"/>
      <c r="M220" s="62" t="n"/>
      <c r="N220" s="38" t="n"/>
      <c r="O220" s="62" t="n"/>
      <c r="P220" s="38" t="n"/>
      <c r="Q220" s="62" t="n"/>
      <c r="R220" s="38" t="n"/>
      <c r="S220" s="62" t="n"/>
      <c r="T220" s="38" t="n"/>
      <c r="U220" s="62" t="n"/>
      <c r="V220" s="38" t="n"/>
      <c r="W220" s="62" t="n"/>
      <c r="X220" s="38" t="n"/>
      <c r="Y220" s="62" t="n"/>
      <c r="Z220" s="38" t="n"/>
      <c r="AA220" s="62" t="n"/>
      <c r="AB220" s="38" t="n"/>
      <c r="AC220" s="62" t="n"/>
      <c r="AD220" s="38" t="n"/>
      <c r="AE220" s="38" t="n"/>
      <c r="AF220" s="61">
        <f>IF(COUNTIF($B$5:B220,B220)=1,1,0)</f>
        <v/>
      </c>
      <c r="AG220" s="62" t="inlineStr">
        <is>
          <t>https://www.lasillavacia.com/red-de-expertos/red-social/borron-y-cuenta-nueva-colombia-y-su-retirada-de-la-cpi/</t>
        </is>
      </c>
    </row>
    <row r="221" ht="15" customHeight="1" s="31">
      <c r="A221" s="38" t="inlineStr">
        <is>
          <t>ART_025</t>
        </is>
      </c>
      <c r="B221" s="38" t="inlineStr">
        <is>
          <t>ART_025_S12</t>
        </is>
      </c>
      <c r="C221" s="38" t="inlineStr">
        <is>
          <t>La Silla Vacía</t>
        </is>
      </c>
      <c r="D221" s="38" t="inlineStr">
        <is>
          <t>Relación con Estados Unidos</t>
        </is>
      </c>
      <c r="E221" s="38" t="inlineStr">
        <is>
          <t>Opinión-análisis</t>
        </is>
      </c>
      <c r="F221" s="38" t="inlineStr">
        <is>
          <t>Sat, 22 Aug 2026 04:57:47 +0000</t>
        </is>
      </c>
      <c r="G221" s="62" t="inlineStr">
        <is>
          <t>El país suscribió el Estatuto de Roma en 1998 y, después de una reforma constitucional y de su aprobación por el Congreso mediante la Ley 742 de 2002 , depositó su instrumento de ratificación el 5 de agosto de ese año .</t>
        </is>
      </c>
      <c r="H221" s="62" t="inlineStr">
        <is>
          <t>Colombia tampoco llegó accidentalmente a este sistema.</t>
        </is>
      </c>
      <c r="I221" s="62" t="n"/>
      <c r="J221" s="38" t="n"/>
      <c r="K221" s="62" t="n"/>
      <c r="L221" s="38" t="n"/>
      <c r="M221" s="62" t="n"/>
      <c r="N221" s="38" t="n"/>
      <c r="O221" s="62" t="n"/>
      <c r="P221" s="38" t="n"/>
      <c r="Q221" s="62" t="n"/>
      <c r="R221" s="38" t="n"/>
      <c r="S221" s="62" t="n"/>
      <c r="T221" s="38" t="n"/>
      <c r="U221" s="62" t="n"/>
      <c r="V221" s="38" t="n"/>
      <c r="W221" s="62" t="n"/>
      <c r="X221" s="38" t="n"/>
      <c r="Y221" s="62" t="n"/>
      <c r="Z221" s="38" t="n"/>
      <c r="AA221" s="62" t="n"/>
      <c r="AB221" s="38" t="n"/>
      <c r="AC221" s="62" t="n"/>
      <c r="AD221" s="38" t="n"/>
      <c r="AE221" s="38" t="n"/>
      <c r="AF221" s="61">
        <f>IF(COUNTIF($B$5:B221,B221)=1,1,0)</f>
        <v/>
      </c>
      <c r="AG221" s="62" t="inlineStr">
        <is>
          <t>https://www.lasillavacia.com/red-de-expertos/red-social/borron-y-cuenta-nueva-colombia-y-su-retirada-de-la-cpi/</t>
        </is>
      </c>
    </row>
    <row r="222" ht="15" customHeight="1" s="31">
      <c r="A222" s="38" t="inlineStr">
        <is>
          <t>ART_026</t>
        </is>
      </c>
      <c r="B222" s="38" t="inlineStr">
        <is>
          <t>ART_026_S01</t>
        </is>
      </c>
      <c r="C222" s="38" t="inlineStr">
        <is>
          <t>Semana</t>
        </is>
      </c>
      <c r="D222" s="38" t="inlineStr">
        <is>
          <t>Reformas sociales en disputa (pensional/tributaria)</t>
        </is>
      </c>
      <c r="E222" s="38" t="inlineStr">
        <is>
          <t>Noticia dura</t>
        </is>
      </c>
      <c r="F222" s="38" t="inlineStr">
        <is>
          <t>Thu, 03 Sep 2026 02:25:55 +0000</t>
        </is>
      </c>
      <c r="G222"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H222" s="62" t="n"/>
      <c r="I222" s="62" t="inlineStr">
        <is>
          <t>Según Valora Analitik, la decisión se conoció luego de que el alto tribunal revisara las disposiciones de la reforma que cambiarán las reglas del sistema de pensiones.</t>
        </is>
      </c>
      <c r="J222" s="38" t="n"/>
      <c r="K222" s="62" t="n"/>
      <c r="L222" s="38" t="n"/>
      <c r="M222" s="62" t="n"/>
      <c r="N222" s="38" t="n"/>
      <c r="O222" s="62" t="n"/>
      <c r="P222" s="38" t="n"/>
      <c r="Q222" s="62" t="n"/>
      <c r="R222" s="38" t="n"/>
      <c r="S222" s="62" t="n"/>
      <c r="T222" s="38" t="n"/>
      <c r="U222" s="62" t="n"/>
      <c r="V222" s="38" t="n"/>
      <c r="W222" s="62" t="n"/>
      <c r="X222" s="38" t="n"/>
      <c r="Y222" s="62" t="n"/>
      <c r="Z222" s="38" t="n"/>
      <c r="AA222" s="62" t="n"/>
      <c r="AB222" s="38" t="n"/>
      <c r="AC222" s="62" t="n"/>
      <c r="AD222" s="38" t="n"/>
      <c r="AE222" s="38" t="n"/>
      <c r="AF222" s="61">
        <f>IF(COUNTIF($B$5:B222,B222)=1,1,0)</f>
        <v/>
      </c>
      <c r="AG222" s="62" t="inlineStr">
        <is>
          <t>https://www.semana.com/economia/management/articulo/se-acaba-en-2027-la-corte-constitucional-aclaro-que-pasara-con-el-auxilio-funerario-de-colpensiones/202655/</t>
        </is>
      </c>
    </row>
    <row r="223" ht="15" customHeight="1" s="31">
      <c r="A223" s="38" t="inlineStr">
        <is>
          <t>ART_026</t>
        </is>
      </c>
      <c r="B223" s="38" t="inlineStr">
        <is>
          <t>ART_026_S02</t>
        </is>
      </c>
      <c r="C223" s="38" t="inlineStr">
        <is>
          <t>Semana</t>
        </is>
      </c>
      <c r="D223" s="38" t="inlineStr">
        <is>
          <t>Reformas sociales en disputa (pensional/tributaria)</t>
        </is>
      </c>
      <c r="E223" s="38" t="inlineStr">
        <is>
          <t>Noticia dura</t>
        </is>
      </c>
      <c r="F223" s="38" t="inlineStr">
        <is>
          <t>Thu, 03 Sep 2026 02:25:55 +0000</t>
        </is>
      </c>
      <c r="G223" s="62" t="inlineStr">
        <is>
          <t>Según Valora Analitik, la decisión se conoció luego de que el alto tribunal revisara las disposiciones de la reforma que cambiarán las reglas del sistema de pensiones.</t>
        </is>
      </c>
      <c r="H223"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I223" s="62" t="inlineStr">
        <is>
          <t>Aunque el nuevo modelo traerá modificaciones para los afiliados, la prestación destinada a cubrir parte de los gastos funerarios continuará vigente.</t>
        </is>
      </c>
      <c r="J223" s="38" t="n"/>
      <c r="K223" s="62" t="n"/>
      <c r="L223" s="38" t="n"/>
      <c r="M223" s="62" t="n"/>
      <c r="N223" s="38" t="n"/>
      <c r="O223" s="62" t="n"/>
      <c r="P223" s="38" t="n"/>
      <c r="Q223" s="62" t="n"/>
      <c r="R223" s="38" t="n"/>
      <c r="S223" s="62" t="n"/>
      <c r="T223" s="38" t="n"/>
      <c r="U223" s="62" t="n"/>
      <c r="V223" s="38" t="n"/>
      <c r="W223" s="62" t="n"/>
      <c r="X223" s="38" t="n"/>
      <c r="Y223" s="62" t="n"/>
      <c r="Z223" s="38" t="n"/>
      <c r="AA223" s="62" t="n"/>
      <c r="AB223" s="38" t="n"/>
      <c r="AC223" s="62" t="n"/>
      <c r="AD223" s="38" t="n"/>
      <c r="AE223" s="38" t="n"/>
      <c r="AF223" s="61">
        <f>IF(COUNTIF($B$5:B223,B223)=1,1,0)</f>
        <v/>
      </c>
      <c r="AG223" s="62" t="inlineStr">
        <is>
          <t>https://www.semana.com/economia/management/articulo/se-acaba-en-2027-la-corte-constitucional-aclaro-que-pasara-con-el-auxilio-funerario-de-colpensiones/202655/</t>
        </is>
      </c>
    </row>
    <row r="224" ht="15" customHeight="1" s="31">
      <c r="A224" s="38" t="inlineStr">
        <is>
          <t>ART_026</t>
        </is>
      </c>
      <c r="B224" s="38" t="inlineStr">
        <is>
          <t>ART_026_S03</t>
        </is>
      </c>
      <c r="C224" s="38" t="inlineStr">
        <is>
          <t>Semana</t>
        </is>
      </c>
      <c r="D224" s="38" t="inlineStr">
        <is>
          <t>Reformas sociales en disputa (pensional/tributaria)</t>
        </is>
      </c>
      <c r="E224" s="38" t="inlineStr">
        <is>
          <t>Noticia dura</t>
        </is>
      </c>
      <c r="F224" s="38" t="inlineStr">
        <is>
          <t>Thu, 03 Sep 2026 02:25:55 +0000</t>
        </is>
      </c>
      <c r="G224" s="62" t="inlineStr">
        <is>
          <t>Aunque el nuevo modelo traerá modificaciones para los afiliados, la prestación destinada a cubrir parte de los gastos funerarios continuará vigente.</t>
        </is>
      </c>
      <c r="H224" s="62" t="inlineStr">
        <is>
          <t>Según Valora Analitik, la decisión se conoció luego de que el alto tribunal revisara las disposiciones de la reforma que cambiarán las reglas del sistema de pensiones.</t>
        </is>
      </c>
      <c r="I224" s="62" t="inlineStr">
        <is>
          <t>El auxilio funerario es un reconocimiento económico que puede recibir la persona que demuestre haber asumido los gastos del funeral de un afiliado o pensionado fallecido.</t>
        </is>
      </c>
      <c r="J224" s="38" t="n"/>
      <c r="K224" s="62" t="n"/>
      <c r="L224" s="38" t="n"/>
      <c r="M224" s="62" t="n"/>
      <c r="N224" s="38" t="n"/>
      <c r="O224" s="62" t="n"/>
      <c r="P224" s="38" t="n"/>
      <c r="Q224" s="62" t="n"/>
      <c r="R224" s="38" t="n"/>
      <c r="S224" s="62" t="n"/>
      <c r="T224" s="38" t="n"/>
      <c r="U224" s="62" t="n"/>
      <c r="V224" s="38" t="n"/>
      <c r="W224" s="62" t="n"/>
      <c r="X224" s="38" t="n"/>
      <c r="Y224" s="62" t="n"/>
      <c r="Z224" s="38" t="n"/>
      <c r="AA224" s="62" t="n"/>
      <c r="AB224" s="38" t="n"/>
      <c r="AC224" s="62" t="n"/>
      <c r="AD224" s="38" t="n"/>
      <c r="AE224" s="38" t="n"/>
      <c r="AF224" s="61">
        <f>IF(COUNTIF($B$5:B224,B224)=1,1,0)</f>
        <v/>
      </c>
      <c r="AG224" s="62" t="inlineStr">
        <is>
          <t>https://www.semana.com/economia/management/articulo/se-acaba-en-2027-la-corte-constitucional-aclaro-que-pasara-con-el-auxilio-funerario-de-colpensiones/202655/</t>
        </is>
      </c>
    </row>
    <row r="225" ht="15" customHeight="1" s="31">
      <c r="A225" s="38" t="inlineStr">
        <is>
          <t>ART_026</t>
        </is>
      </c>
      <c r="B225" s="38" t="inlineStr">
        <is>
          <t>ART_026_S04</t>
        </is>
      </c>
      <c r="C225" s="38" t="inlineStr">
        <is>
          <t>Semana</t>
        </is>
      </c>
      <c r="D225" s="38" t="inlineStr">
        <is>
          <t>Reformas sociales en disputa (pensional/tributaria)</t>
        </is>
      </c>
      <c r="E225" s="38" t="inlineStr">
        <is>
          <t>Noticia dura</t>
        </is>
      </c>
      <c r="F225" s="38" t="inlineStr">
        <is>
          <t>Thu, 03 Sep 2026 02:25:55 +0000</t>
        </is>
      </c>
      <c r="G225" s="62" t="inlineStr">
        <is>
          <t>El auxilio funerario es un reconocimiento económico que puede recibir la persona que demuestre haber asumido los gastos del funeral de un afiliado o pensionado fallecido.</t>
        </is>
      </c>
      <c r="H225" s="62" t="inlineStr">
        <is>
          <t>Aunque el nuevo modelo traerá modificaciones para los afiliados, la prestación destinada a cubrir parte de los gastos funerarios continuará vigente.</t>
        </is>
      </c>
      <c r="I225" s="62" t="inlineStr">
        <is>
          <t>Se trata de un apoyo que busca reducir el impacto económico que puede representar para una familia afrontar este tipo de gastos.</t>
        </is>
      </c>
      <c r="J225" s="38" t="n"/>
      <c r="K225" s="62" t="n"/>
      <c r="L225" s="38" t="n"/>
      <c r="M225" s="62" t="n"/>
      <c r="N225" s="38" t="n"/>
      <c r="O225" s="62" t="n"/>
      <c r="P225" s="38" t="n"/>
      <c r="Q225" s="62" t="n"/>
      <c r="R225" s="38" t="n"/>
      <c r="S225" s="62" t="n"/>
      <c r="T225" s="38" t="n"/>
      <c r="U225" s="62" t="n"/>
      <c r="V225" s="38" t="n"/>
      <c r="W225" s="62" t="n"/>
      <c r="X225" s="38" t="n"/>
      <c r="Y225" s="62" t="n"/>
      <c r="Z225" s="38" t="n"/>
      <c r="AA225" s="62" t="n"/>
      <c r="AB225" s="38" t="n"/>
      <c r="AC225" s="62" t="n"/>
      <c r="AD225" s="38" t="n"/>
      <c r="AE225" s="38" t="n"/>
      <c r="AF225" s="61">
        <f>IF(COUNTIF($B$5:B225,B225)=1,1,0)</f>
        <v/>
      </c>
      <c r="AG225" s="62" t="inlineStr">
        <is>
          <t>https://www.semana.com/economia/management/articulo/se-acaba-en-2027-la-corte-constitucional-aclaro-que-pasara-con-el-auxilio-funerario-de-colpensiones/202655/</t>
        </is>
      </c>
    </row>
    <row r="226" ht="15" customHeight="1" s="31">
      <c r="A226" s="38" t="inlineStr">
        <is>
          <t>ART_026</t>
        </is>
      </c>
      <c r="B226" s="38" t="inlineStr">
        <is>
          <t>ART_026_S05</t>
        </is>
      </c>
      <c r="C226" s="38" t="inlineStr">
        <is>
          <t>Semana</t>
        </is>
      </c>
      <c r="D226" s="38" t="inlineStr">
        <is>
          <t>Reformas sociales en disputa (pensional/tributaria)</t>
        </is>
      </c>
      <c r="E226" s="38" t="inlineStr">
        <is>
          <t>Noticia dura</t>
        </is>
      </c>
      <c r="F226" s="38" t="inlineStr">
        <is>
          <t>Thu, 03 Sep 2026 02:25:55 +0000</t>
        </is>
      </c>
      <c r="G226" s="62" t="inlineStr">
        <is>
          <t>Se trata de un apoyo que busca reducir el impacto económico que puede representar para una familia afrontar este tipo de gastos.</t>
        </is>
      </c>
      <c r="H226" s="62" t="inlineStr">
        <is>
          <t>El auxilio funerario es un reconocimiento económico que puede recibir la persona que demuestre haber asumido los gastos del funeral de un afiliado o pensionado fallecido.</t>
        </is>
      </c>
      <c r="I226" s="62" t="inlineStr">
        <is>
          <t>De acuerdo con lo establecido en las normas que regulan la prestación, el monto del auxilio está relacionado con la situación pensional o salarial que tenía la persona fallecida.</t>
        </is>
      </c>
      <c r="J226" s="38" t="n"/>
      <c r="K226" s="62" t="n"/>
      <c r="L226" s="38" t="n"/>
      <c r="M226" s="62" t="n"/>
      <c r="N226" s="38" t="n"/>
      <c r="O226" s="62" t="n"/>
      <c r="P226" s="38" t="n"/>
      <c r="Q226" s="62" t="n"/>
      <c r="R226" s="38" t="n"/>
      <c r="S226" s="62" t="n"/>
      <c r="T226" s="38" t="n"/>
      <c r="U226" s="62" t="n"/>
      <c r="V226" s="38" t="n"/>
      <c r="W226" s="62" t="n"/>
      <c r="X226" s="38" t="n"/>
      <c r="Y226" s="62" t="n"/>
      <c r="Z226" s="38" t="n"/>
      <c r="AA226" s="62" t="n"/>
      <c r="AB226" s="38" t="n"/>
      <c r="AC226" s="62" t="n"/>
      <c r="AD226" s="38" t="n"/>
      <c r="AE226" s="38" t="n"/>
      <c r="AF226" s="61">
        <f>IF(COUNTIF($B$5:B226,B226)=1,1,0)</f>
        <v/>
      </c>
      <c r="AG226" s="62" t="inlineStr">
        <is>
          <t>https://www.semana.com/economia/management/articulo/se-acaba-en-2027-la-corte-constitucional-aclaro-que-pasara-con-el-auxilio-funerario-de-colpensiones/202655/</t>
        </is>
      </c>
    </row>
    <row r="227" ht="15" customHeight="1" s="31">
      <c r="A227" s="38" t="inlineStr">
        <is>
          <t>ART_026</t>
        </is>
      </c>
      <c r="B227" s="38" t="inlineStr">
        <is>
          <t>ART_026_S06</t>
        </is>
      </c>
      <c r="C227" s="38" t="inlineStr">
        <is>
          <t>Semana</t>
        </is>
      </c>
      <c r="D227" s="38" t="inlineStr">
        <is>
          <t>Reformas sociales en disputa (pensional/tributaria)</t>
        </is>
      </c>
      <c r="E227" s="38" t="inlineStr">
        <is>
          <t>Noticia dura</t>
        </is>
      </c>
      <c r="F227" s="38" t="inlineStr">
        <is>
          <t>Thu, 03 Sep 2026 02:25:55 +0000</t>
        </is>
      </c>
      <c r="G227" s="62" t="inlineStr">
        <is>
          <t>De acuerdo con lo establecido en las normas que regulan la prestación, el monto del auxilio está relacionado con la situación pensional o salarial que tenía la persona fallecida.</t>
        </is>
      </c>
      <c r="H227" s="62" t="inlineStr">
        <is>
          <t>Se trata de un apoyo que busca reducir el impacto económico que puede representar para una familia afrontar este tipo de gastos.</t>
        </is>
      </c>
      <c r="I227" s="62" t="inlineStr">
        <is>
          <t>Además, existe un límite mínimo y máximo para determinar cuánto dinero puede recibir quien haga la reclamación.</t>
        </is>
      </c>
      <c r="J227" s="38" t="n"/>
      <c r="K227" s="62" t="n"/>
      <c r="L227" s="38" t="n"/>
      <c r="M227" s="62" t="n"/>
      <c r="N227" s="38" t="n"/>
      <c r="O227" s="62" t="n"/>
      <c r="P227" s="38" t="n"/>
      <c r="Q227" s="62" t="n"/>
      <c r="R227" s="38" t="n"/>
      <c r="S227" s="62" t="n"/>
      <c r="T227" s="38" t="n"/>
      <c r="U227" s="62" t="n"/>
      <c r="V227" s="38" t="n"/>
      <c r="W227" s="62" t="n"/>
      <c r="X227" s="38" t="n"/>
      <c r="Y227" s="62" t="n"/>
      <c r="Z227" s="38" t="n"/>
      <c r="AA227" s="62" t="n"/>
      <c r="AB227" s="38" t="n"/>
      <c r="AC227" s="62" t="n"/>
      <c r="AD227" s="38" t="n"/>
      <c r="AE227" s="38" t="n"/>
      <c r="AF227" s="61">
        <f>IF(COUNTIF($B$5:B227,B227)=1,1,0)</f>
        <v/>
      </c>
      <c r="AG227" s="62" t="inlineStr">
        <is>
          <t>https://www.semana.com/economia/management/articulo/se-acaba-en-2027-la-corte-constitucional-aclaro-que-pasara-con-el-auxilio-funerario-de-colpensiones/202655/</t>
        </is>
      </c>
    </row>
    <row r="228" ht="15" customHeight="1" s="31">
      <c r="A228" s="38" t="inlineStr">
        <is>
          <t>ART_026</t>
        </is>
      </c>
      <c r="B228" s="38" t="inlineStr">
        <is>
          <t>ART_026_S07</t>
        </is>
      </c>
      <c r="C228" s="38" t="inlineStr">
        <is>
          <t>Semana</t>
        </is>
      </c>
      <c r="D228" s="38" t="inlineStr">
        <is>
          <t>Reformas sociales en disputa (pensional/tributaria)</t>
        </is>
      </c>
      <c r="E228" s="38" t="inlineStr">
        <is>
          <t>Noticia dura</t>
        </is>
      </c>
      <c r="F228" s="38" t="inlineStr">
        <is>
          <t>Thu, 03 Sep 2026 02:25:55 +0000</t>
        </is>
      </c>
      <c r="G228" s="62" t="inlineStr">
        <is>
          <t>Además, existe un límite mínimo y máximo para determinar cuánto dinero puede recibir quien haga la reclamación.</t>
        </is>
      </c>
      <c r="H228" s="62" t="inlineStr">
        <is>
          <t>De acuerdo con lo establecido en las normas que regulan la prestación, el monto del auxilio está relacionado con la situación pensional o salarial que tenía la persona fallecida.</t>
        </is>
      </c>
      <c r="I228" s="62" t="inlineStr">
        <is>
          <t>Con la decisión de la Corte, este beneficio no quedará eliminado cuando empiece a aplicarse el nuevo sistema pensional.</t>
        </is>
      </c>
      <c r="J228" s="38" t="n"/>
      <c r="K228" s="62" t="n"/>
      <c r="L228" s="38" t="n"/>
      <c r="M228" s="62" t="n"/>
      <c r="N228" s="38" t="n"/>
      <c r="O228" s="62" t="n"/>
      <c r="P228" s="38" t="n"/>
      <c r="Q228" s="62" t="n"/>
      <c r="R228" s="38" t="n"/>
      <c r="S228" s="62" t="n"/>
      <c r="T228" s="38" t="n"/>
      <c r="U228" s="62" t="n"/>
      <c r="V228" s="38" t="n"/>
      <c r="W228" s="62" t="n"/>
      <c r="X228" s="38" t="n"/>
      <c r="Y228" s="62" t="n"/>
      <c r="Z228" s="38" t="n"/>
      <c r="AA228" s="62" t="n"/>
      <c r="AB228" s="38" t="n"/>
      <c r="AC228" s="62" t="n"/>
      <c r="AD228" s="38" t="n"/>
      <c r="AE228" s="38" t="n"/>
      <c r="AF228" s="61">
        <f>IF(COUNTIF($B$5:B228,B228)=1,1,0)</f>
        <v/>
      </c>
      <c r="AG228" s="62" t="inlineStr">
        <is>
          <t>https://www.semana.com/economia/management/articulo/se-acaba-en-2027-la-corte-constitucional-aclaro-que-pasara-con-el-auxilio-funerario-de-colpensiones/202655/</t>
        </is>
      </c>
    </row>
    <row r="229" ht="15" customHeight="1" s="31">
      <c r="A229" s="38" t="inlineStr">
        <is>
          <t>ART_026</t>
        </is>
      </c>
      <c r="B229" s="38" t="inlineStr">
        <is>
          <t>ART_026_S08</t>
        </is>
      </c>
      <c r="C229" s="38" t="inlineStr">
        <is>
          <t>Semana</t>
        </is>
      </c>
      <c r="D229" s="38" t="inlineStr">
        <is>
          <t>Reformas sociales en disputa (pensional/tributaria)</t>
        </is>
      </c>
      <c r="E229" s="38" t="inlineStr">
        <is>
          <t>Noticia dura</t>
        </is>
      </c>
      <c r="F229" s="38" t="inlineStr">
        <is>
          <t>Thu, 03 Sep 2026 02:25:55 +0000</t>
        </is>
      </c>
      <c r="G229" s="62" t="inlineStr">
        <is>
          <t>Con la decisión de la Corte, este beneficio no quedará eliminado cuando empiece a aplicarse el nuevo sistema pensional.</t>
        </is>
      </c>
      <c r="H229" s="62" t="inlineStr">
        <is>
          <t>Además, existe un límite mínimo y máximo para determinar cuánto dinero puede recibir quien haga la reclamación.</t>
        </is>
      </c>
      <c r="I229" s="62" t="inlineStr">
        <is>
          <t>Sin embargo, el valor exacto que tendrá el auxilio en 2027 todavía no se puede establecer, pues uno de los factores utilizados para calcularlo depende del salario mínimo que sea fijado para ese año.</t>
        </is>
      </c>
      <c r="J229" s="38" t="n"/>
      <c r="K229" s="62" t="n"/>
      <c r="L229" s="38" t="n"/>
      <c r="M229" s="62" t="n"/>
      <c r="N229" s="38" t="n"/>
      <c r="O229" s="62" t="n"/>
      <c r="P229" s="38" t="n"/>
      <c r="Q229" s="62" t="n"/>
      <c r="R229" s="38" t="n"/>
      <c r="S229" s="62" t="n"/>
      <c r="T229" s="38" t="n"/>
      <c r="U229" s="62" t="n"/>
      <c r="V229" s="38" t="n"/>
      <c r="W229" s="62" t="n"/>
      <c r="X229" s="38" t="n"/>
      <c r="Y229" s="62" t="n"/>
      <c r="Z229" s="38" t="n"/>
      <c r="AA229" s="62" t="n"/>
      <c r="AB229" s="38" t="n"/>
      <c r="AC229" s="62" t="n"/>
      <c r="AD229" s="38" t="n"/>
      <c r="AE229" s="38" t="n"/>
      <c r="AF229" s="61">
        <f>IF(COUNTIF($B$5:B229,B229)=1,1,0)</f>
        <v/>
      </c>
      <c r="AG229" s="62" t="inlineStr">
        <is>
          <t>https://www.semana.com/economia/management/articulo/se-acaba-en-2027-la-corte-constitucional-aclaro-que-pasara-con-el-auxilio-funerario-de-colpensiones/202655/</t>
        </is>
      </c>
    </row>
    <row r="230" ht="15" customHeight="1" s="31">
      <c r="A230" s="38" t="inlineStr">
        <is>
          <t>ART_026</t>
        </is>
      </c>
      <c r="B230" s="38" t="inlineStr">
        <is>
          <t>ART_026_S09</t>
        </is>
      </c>
      <c r="C230" s="38" t="inlineStr">
        <is>
          <t>Semana</t>
        </is>
      </c>
      <c r="D230" s="38" t="inlineStr">
        <is>
          <t>Reformas sociales en disputa (pensional/tributaria)</t>
        </is>
      </c>
      <c r="E230" s="38" t="inlineStr">
        <is>
          <t>Noticia dura</t>
        </is>
      </c>
      <c r="F230" s="38" t="inlineStr">
        <is>
          <t>Thu, 03 Sep 2026 02:25:55 +0000</t>
        </is>
      </c>
      <c r="G230" s="62" t="inlineStr">
        <is>
          <t>Sin embargo, el valor exacto que tendrá el auxilio en 2027 todavía no se puede establecer, pues uno de los factores utilizados para calcularlo depende del salario mínimo que sea fijado para ese año.</t>
        </is>
      </c>
      <c r="H230" s="62" t="inlineStr">
        <is>
          <t>Con la decisión de la Corte, este beneficio no quedará eliminado cuando empiece a aplicarse el nuevo sistema pensional.</t>
        </is>
      </c>
      <c r="I230" s="62" t="inlineStr">
        <is>
          <t>Actualmente, la legislación contempla que el auxilio funerario debe estar dentro de un rango que va de cinco a diez salarios mínimos mensuales.</t>
        </is>
      </c>
      <c r="J230" s="38" t="n"/>
      <c r="K230" s="62" t="n"/>
      <c r="L230" s="38" t="n"/>
      <c r="M230" s="62" t="n"/>
      <c r="N230" s="38" t="n"/>
      <c r="O230" s="62" t="n"/>
      <c r="P230" s="38" t="n"/>
      <c r="Q230" s="62" t="n"/>
      <c r="R230" s="38" t="n"/>
      <c r="S230" s="62" t="n"/>
      <c r="T230" s="38" t="n"/>
      <c r="U230" s="62" t="n"/>
      <c r="V230" s="38" t="n"/>
      <c r="W230" s="62" t="n"/>
      <c r="X230" s="38" t="n"/>
      <c r="Y230" s="62" t="n"/>
      <c r="Z230" s="38" t="n"/>
      <c r="AA230" s="62" t="n"/>
      <c r="AB230" s="38" t="n"/>
      <c r="AC230" s="62" t="n"/>
      <c r="AD230" s="38" t="n"/>
      <c r="AE230" s="38" t="n"/>
      <c r="AF230" s="61">
        <f>IF(COUNTIF($B$5:B230,B230)=1,1,0)</f>
        <v/>
      </c>
      <c r="AG230" s="62" t="inlineStr">
        <is>
          <t>https://www.semana.com/economia/management/articulo/se-acaba-en-2027-la-corte-constitucional-aclaro-que-pasara-con-el-auxilio-funerario-de-colpensiones/202655/</t>
        </is>
      </c>
    </row>
    <row r="231" ht="15" customHeight="1" s="31">
      <c r="A231" s="38" t="inlineStr">
        <is>
          <t>ART_026</t>
        </is>
      </c>
      <c r="B231" s="38" t="inlineStr">
        <is>
          <t>ART_026_S10</t>
        </is>
      </c>
      <c r="C231" s="38" t="inlineStr">
        <is>
          <t>Semana</t>
        </is>
      </c>
      <c r="D231" s="38" t="inlineStr">
        <is>
          <t>Reformas sociales en disputa (pensional/tributaria)</t>
        </is>
      </c>
      <c r="E231" s="38" t="inlineStr">
        <is>
          <t>Noticia dura</t>
        </is>
      </c>
      <c r="F231" s="38" t="inlineStr">
        <is>
          <t>Thu, 03 Sep 2026 02:25:55 +0000</t>
        </is>
      </c>
      <c r="G231" s="62" t="inlineStr">
        <is>
          <t>Actualmente, la legislación contempla que el auxilio funerario debe estar dentro de un rango que va de cinco a diez salarios mínimos mensuales.</t>
        </is>
      </c>
      <c r="H231" s="62" t="inlineStr">
        <is>
          <t>Sin embargo, el valor exacto que tendrá el auxilio en 2027 todavía no se puede establecer, pues uno de los factores utilizados para calcularlo depende del salario mínimo que sea fijado para ese año.</t>
        </is>
      </c>
      <c r="I231" s="62" t="n"/>
      <c r="J231" s="38" t="n"/>
      <c r="K231" s="62" t="n"/>
      <c r="L231" s="38" t="n"/>
      <c r="M231" s="62" t="n"/>
      <c r="N231" s="38" t="n"/>
      <c r="O231" s="62" t="n"/>
      <c r="P231" s="38" t="n"/>
      <c r="Q231" s="62" t="n"/>
      <c r="R231" s="38" t="n"/>
      <c r="S231" s="62" t="n"/>
      <c r="T231" s="38" t="n"/>
      <c r="U231" s="62" t="n"/>
      <c r="V231" s="38" t="n"/>
      <c r="W231" s="62" t="n"/>
      <c r="X231" s="38" t="n"/>
      <c r="Y231" s="62" t="n"/>
      <c r="Z231" s="38" t="n"/>
      <c r="AA231" s="62" t="n"/>
      <c r="AB231" s="38" t="n"/>
      <c r="AC231" s="62" t="n"/>
      <c r="AD231" s="38" t="n"/>
      <c r="AE231" s="38" t="n"/>
      <c r="AF231" s="61">
        <f>IF(COUNTIF($B$5:B231,B231)=1,1,0)</f>
        <v/>
      </c>
      <c r="AG231" s="62" t="inlineStr">
        <is>
          <t>https://www.semana.com/economia/management/articulo/se-acaba-en-2027-la-corte-constitucional-aclaro-que-pasara-con-el-auxilio-funerario-de-colpensiones/202655/</t>
        </is>
      </c>
    </row>
    <row r="232" ht="15" customHeight="1" s="31">
      <c r="A232" s="38" t="inlineStr">
        <is>
          <t>ART_027</t>
        </is>
      </c>
      <c r="B232" s="38" t="inlineStr">
        <is>
          <t>ART_027_S01</t>
        </is>
      </c>
      <c r="C232" s="38" t="inlineStr">
        <is>
          <t>Semana</t>
        </is>
      </c>
      <c r="D232" s="38" t="inlineStr">
        <is>
          <t>Seguridad y orden público</t>
        </is>
      </c>
      <c r="E232" s="38" t="inlineStr">
        <is>
          <t>Noticia dura</t>
        </is>
      </c>
      <c r="F232" s="38" t="inlineStr">
        <is>
          <t>Thu, 03 Sep 2026 23:36:50 +0000</t>
        </is>
      </c>
      <c r="G232" s="62" t="inlineStr">
        <is>
          <t>Dos militares muertos y dos más heridos dejó el presunto ataque que habría protagonizado un soldado al interior del Batallón de Infantería n.° 44, ubicado en la base militar de Cupiagua, en el municipio de Aguazul, Casanare.</t>
        </is>
      </c>
      <c r="H232" s="62" t="n"/>
      <c r="I232"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J232" s="38" t="n"/>
      <c r="K232" s="62" t="n"/>
      <c r="L232" s="38" t="n"/>
      <c r="M232" s="62" t="n"/>
      <c r="N232" s="38" t="n"/>
      <c r="O232" s="62" t="n"/>
      <c r="P232" s="38" t="n"/>
      <c r="Q232" s="62" t="n"/>
      <c r="R232" s="38" t="n"/>
      <c r="S232" s="62" t="n"/>
      <c r="T232" s="38" t="n"/>
      <c r="U232" s="62" t="n"/>
      <c r="V232" s="38" t="n"/>
      <c r="W232" s="62" t="n"/>
      <c r="X232" s="38" t="n"/>
      <c r="Y232" s="62" t="n"/>
      <c r="Z232" s="38" t="n"/>
      <c r="AA232" s="62" t="n"/>
      <c r="AB232" s="38" t="n"/>
      <c r="AC232" s="62" t="n"/>
      <c r="AD232" s="38" t="n"/>
      <c r="AE232" s="38" t="n"/>
      <c r="AF232" s="61">
        <f>IF(COUNTIF($B$5:B232,B232)=1,1,0)</f>
        <v/>
      </c>
      <c r="AG232" s="62" t="inlineStr">
        <is>
          <t>https://www.semana.com/nacion/articulo/soldado-habria-atacado-a-cuatro-companeros-en-casanare-dos-militares-murieron/202650/</t>
        </is>
      </c>
    </row>
    <row r="233" ht="15" customHeight="1" s="31">
      <c r="A233" s="38" t="inlineStr">
        <is>
          <t>ART_027</t>
        </is>
      </c>
      <c r="B233" s="38" t="inlineStr">
        <is>
          <t>ART_027_S02</t>
        </is>
      </c>
      <c r="C233" s="38" t="inlineStr">
        <is>
          <t>Semana</t>
        </is>
      </c>
      <c r="D233" s="38" t="inlineStr">
        <is>
          <t>Seguridad y orden público</t>
        </is>
      </c>
      <c r="E233" s="38" t="inlineStr">
        <is>
          <t>Noticia dura</t>
        </is>
      </c>
      <c r="F233" s="38" t="inlineStr">
        <is>
          <t>Thu, 03 Sep 2026 23:36:50 +0000</t>
        </is>
      </c>
      <c r="G233"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H233" s="62" t="inlineStr">
        <is>
          <t>Dos militares muertos y dos más heridos dejó el presunto ataque que habría protagonizado un soldado al interior del Batallón de Infantería n.° 44, ubicado en la base militar de Cupiagua, en el municipio de Aguazul, Casanare.</t>
        </is>
      </c>
      <c r="I233" s="62" t="inlineStr">
        <is>
          <t>La situación fue de tal gravedad que como consecuencia del presunto ataque, dos soldados fallecieron y otros dos resultaron heridos.</t>
        </is>
      </c>
      <c r="J233" s="38" t="n"/>
      <c r="K233" s="62" t="n"/>
      <c r="L233" s="38" t="n"/>
      <c r="M233" s="62" t="n"/>
      <c r="N233" s="38" t="n"/>
      <c r="O233" s="62" t="n"/>
      <c r="P233" s="38" t="n"/>
      <c r="Q233" s="62" t="n"/>
      <c r="R233" s="38" t="n"/>
      <c r="S233" s="62" t="n"/>
      <c r="T233" s="38" t="n"/>
      <c r="U233" s="62" t="n"/>
      <c r="V233" s="38" t="n"/>
      <c r="W233" s="62" t="n"/>
      <c r="X233" s="38" t="n"/>
      <c r="Y233" s="62" t="n"/>
      <c r="Z233" s="38" t="n"/>
      <c r="AA233" s="62" t="n"/>
      <c r="AB233" s="38" t="n"/>
      <c r="AC233" s="62" t="n"/>
      <c r="AD233" s="38" t="n"/>
      <c r="AE233" s="38" t="n"/>
      <c r="AF233" s="61">
        <f>IF(COUNTIF($B$5:B233,B233)=1,1,0)</f>
        <v/>
      </c>
      <c r="AG233" s="62" t="inlineStr">
        <is>
          <t>https://www.semana.com/nacion/articulo/soldado-habria-atacado-a-cuatro-companeros-en-casanare-dos-militares-murieron/202650/</t>
        </is>
      </c>
    </row>
    <row r="234" ht="15" customHeight="1" s="31">
      <c r="A234" s="38" t="inlineStr">
        <is>
          <t>ART_027</t>
        </is>
      </c>
      <c r="B234" s="38" t="inlineStr">
        <is>
          <t>ART_027_S03</t>
        </is>
      </c>
      <c r="C234" s="38" t="inlineStr">
        <is>
          <t>Semana</t>
        </is>
      </c>
      <c r="D234" s="38" t="inlineStr">
        <is>
          <t>Seguridad y orden público</t>
        </is>
      </c>
      <c r="E234" s="38" t="inlineStr">
        <is>
          <t>Noticia dura</t>
        </is>
      </c>
      <c r="F234" s="38" t="inlineStr">
        <is>
          <t>Thu, 03 Sep 2026 23:36:50 +0000</t>
        </is>
      </c>
      <c r="G234" s="62" t="inlineStr">
        <is>
          <t>La situación fue de tal gravedad que como consecuencia del presunto ataque, dos soldados fallecieron y otros dos resultaron heridos.</t>
        </is>
      </c>
      <c r="H234" s="62" t="inlineStr">
        <is>
          <t>La Sexta Brigada del Ejército Nacional confirmó a través de un comunicado que durante la mañana de este jueves, 3 de septiembre, se “presentó un hecho de intolerancia” en el que un soldado habría accionado un arma de dotación en contra de otros cuatro uniformados, integrantes del mencionado batallón.</t>
        </is>
      </c>
      <c r="I234" s="62" t="inlineStr">
        <is>
          <t>Sin embargo, las autoridades competentes ahora tratan de establecer la situación que habría provocado la tragedia en Casanare.</t>
        </is>
      </c>
      <c r="J234" s="38" t="n"/>
      <c r="K234" s="62" t="n"/>
      <c r="L234" s="38" t="n"/>
      <c r="M234" s="62" t="n"/>
      <c r="N234" s="38" t="n"/>
      <c r="O234" s="62" t="n"/>
      <c r="P234" s="38" t="n"/>
      <c r="Q234" s="62" t="n"/>
      <c r="R234" s="38" t="n"/>
      <c r="S234" s="62" t="n"/>
      <c r="T234" s="38" t="n"/>
      <c r="U234" s="62" t="n"/>
      <c r="V234" s="38" t="n"/>
      <c r="W234" s="62" t="n"/>
      <c r="X234" s="38" t="n"/>
      <c r="Y234" s="62" t="n"/>
      <c r="Z234" s="38" t="n"/>
      <c r="AA234" s="62" t="n"/>
      <c r="AB234" s="38" t="n"/>
      <c r="AC234" s="62" t="n"/>
      <c r="AD234" s="38" t="n"/>
      <c r="AE234" s="38" t="n"/>
      <c r="AF234" s="61">
        <f>IF(COUNTIF($B$5:B234,B234)=1,1,0)</f>
        <v/>
      </c>
      <c r="AG234" s="62" t="inlineStr">
        <is>
          <t>https://www.semana.com/nacion/articulo/soldado-habria-atacado-a-cuatro-companeros-en-casanare-dos-militares-murieron/202650/</t>
        </is>
      </c>
    </row>
    <row r="235" ht="15" customHeight="1" s="31">
      <c r="A235" s="38" t="inlineStr">
        <is>
          <t>ART_027</t>
        </is>
      </c>
      <c r="B235" s="38" t="inlineStr">
        <is>
          <t>ART_027_S04</t>
        </is>
      </c>
      <c r="C235" s="38" t="inlineStr">
        <is>
          <t>Semana</t>
        </is>
      </c>
      <c r="D235" s="38" t="inlineStr">
        <is>
          <t>Seguridad y orden público</t>
        </is>
      </c>
      <c r="E235" s="38" t="inlineStr">
        <is>
          <t>Noticia dura</t>
        </is>
      </c>
      <c r="F235" s="38" t="inlineStr">
        <is>
          <t>Thu, 03 Sep 2026 23:36:50 +0000</t>
        </is>
      </c>
      <c r="G235" s="62" t="inlineStr">
        <is>
          <t>Sin embargo, las autoridades competentes ahora tratan de establecer la situación que habría provocado la tragedia en Casanare.</t>
        </is>
      </c>
      <c r="H235" s="62" t="inlineStr">
        <is>
          <t>La situación fue de tal gravedad que como consecuencia del presunto ataque, dos soldados fallecieron y otros dos resultaron heridos.</t>
        </is>
      </c>
      <c r="I235" s="62" t="inlineStr">
        <is>
          <t>Desde el Ejército Nacional explicaron que los dos uniformados heridos fueron trasladados de inmediato a un centro hospitalario de la región para recibir atención médica especializada.</t>
        </is>
      </c>
      <c r="J235" s="38" t="n"/>
      <c r="K235" s="62" t="n"/>
      <c r="L235" s="38" t="n"/>
      <c r="M235" s="62" t="n"/>
      <c r="N235" s="38" t="n"/>
      <c r="O235" s="62" t="n"/>
      <c r="P235" s="38" t="n"/>
      <c r="Q235" s="62" t="n"/>
      <c r="R235" s="38" t="n"/>
      <c r="S235" s="62" t="n"/>
      <c r="T235" s="38" t="n"/>
      <c r="U235" s="62" t="n"/>
      <c r="V235" s="38" t="n"/>
      <c r="W235" s="62" t="n"/>
      <c r="X235" s="38" t="n"/>
      <c r="Y235" s="62" t="n"/>
      <c r="Z235" s="38" t="n"/>
      <c r="AA235" s="62" t="n"/>
      <c r="AB235" s="38" t="n"/>
      <c r="AC235" s="62" t="n"/>
      <c r="AD235" s="38" t="n"/>
      <c r="AE235" s="38" t="n"/>
      <c r="AF235" s="61">
        <f>IF(COUNTIF($B$5:B235,B235)=1,1,0)</f>
        <v/>
      </c>
      <c r="AG235" s="62" t="inlineStr">
        <is>
          <t>https://www.semana.com/nacion/articulo/soldado-habria-atacado-a-cuatro-companeros-en-casanare-dos-militares-murieron/202650/</t>
        </is>
      </c>
    </row>
    <row r="236" ht="15" customHeight="1" s="31">
      <c r="A236" s="38" t="inlineStr">
        <is>
          <t>ART_027</t>
        </is>
      </c>
      <c r="B236" s="38" t="inlineStr">
        <is>
          <t>ART_027_S05</t>
        </is>
      </c>
      <c r="C236" s="38" t="inlineStr">
        <is>
          <t>Semana</t>
        </is>
      </c>
      <c r="D236" s="38" t="inlineStr">
        <is>
          <t>Seguridad y orden público</t>
        </is>
      </c>
      <c r="E236" s="38" t="inlineStr">
        <is>
          <t>Noticia dura</t>
        </is>
      </c>
      <c r="F236" s="38" t="inlineStr">
        <is>
          <t>Thu, 03 Sep 2026 23:36:50 +0000</t>
        </is>
      </c>
      <c r="G236" s="62" t="inlineStr">
        <is>
          <t>Desde el Ejército Nacional explicaron que los dos uniformados heridos fueron trasladados de inmediato a un centro hospitalario de la región para recibir atención médica especializada.</t>
        </is>
      </c>
      <c r="H236" s="62" t="inlineStr">
        <is>
          <t>Sin embargo, las autoridades competentes ahora tratan de establecer la situación que habría provocado la tragedia en Casanare.</t>
        </is>
      </c>
      <c r="I236" s="62" t="inlineStr">
        <is>
          <t>Por ahora, el parte médico de los militares es reservado.</t>
        </is>
      </c>
      <c r="J236" s="38" t="n"/>
      <c r="K236" s="62" t="n"/>
      <c r="L236" s="38" t="n"/>
      <c r="M236" s="62" t="n"/>
      <c r="N236" s="38" t="n"/>
      <c r="O236" s="62" t="n"/>
      <c r="P236" s="38" t="n"/>
      <c r="Q236" s="62" t="n"/>
      <c r="R236" s="38" t="n"/>
      <c r="S236" s="62" t="n"/>
      <c r="T236" s="38" t="n"/>
      <c r="U236" s="62" t="n"/>
      <c r="V236" s="38" t="n"/>
      <c r="W236" s="62" t="n"/>
      <c r="X236" s="38" t="n"/>
      <c r="Y236" s="62" t="n"/>
      <c r="Z236" s="38" t="n"/>
      <c r="AA236" s="62" t="n"/>
      <c r="AB236" s="38" t="n"/>
      <c r="AC236" s="62" t="n"/>
      <c r="AD236" s="38" t="n"/>
      <c r="AE236" s="38" t="n"/>
      <c r="AF236" s="61">
        <f>IF(COUNTIF($B$5:B236,B236)=1,1,0)</f>
        <v/>
      </c>
      <c r="AG236" s="62" t="inlineStr">
        <is>
          <t>https://www.semana.com/nacion/articulo/soldado-habria-atacado-a-cuatro-companeros-en-casanare-dos-militares-murieron/202650/</t>
        </is>
      </c>
    </row>
    <row r="237" ht="15" customHeight="1" s="31">
      <c r="A237" s="38" t="inlineStr">
        <is>
          <t>ART_027</t>
        </is>
      </c>
      <c r="B237" s="38" t="inlineStr">
        <is>
          <t>ART_027_S06</t>
        </is>
      </c>
      <c r="C237" s="38" t="inlineStr">
        <is>
          <t>Semana</t>
        </is>
      </c>
      <c r="D237" s="38" t="inlineStr">
        <is>
          <t>Seguridad y orden público</t>
        </is>
      </c>
      <c r="E237" s="38" t="inlineStr">
        <is>
          <t>Noticia dura</t>
        </is>
      </c>
      <c r="F237" s="38" t="inlineStr">
        <is>
          <t>Thu, 03 Sep 2026 23:36:50 +0000</t>
        </is>
      </c>
      <c r="G237" s="62" t="inlineStr">
        <is>
          <t>Por ahora, el parte médico de los militares es reservado.</t>
        </is>
      </c>
      <c r="H237" s="62" t="inlineStr">
        <is>
          <t>Desde el Ejército Nacional explicaron que los dos uniformados heridos fueron trasladados de inmediato a un centro hospitalario de la región para recibir atención médica especializada.</t>
        </is>
      </c>
      <c r="I237" s="62" t="inlineStr">
        <is>
          <t>El Comando de la Décima Sexta Brigada anunció que se activaron todos los protocolos de seguridad establecidos y coordinó con las autoridades competentes el desarrollo de los actos urgentes y las labores investigativas.</t>
        </is>
      </c>
      <c r="J237" s="38" t="n"/>
      <c r="K237" s="62" t="n"/>
      <c r="L237" s="38" t="n"/>
      <c r="M237" s="62" t="n"/>
      <c r="N237" s="38" t="n"/>
      <c r="O237" s="62" t="n"/>
      <c r="P237" s="38" t="n"/>
      <c r="Q237" s="62" t="n"/>
      <c r="R237" s="38" t="n"/>
      <c r="S237" s="62" t="n"/>
      <c r="T237" s="38" t="n"/>
      <c r="U237" s="62" t="n"/>
      <c r="V237" s="38" t="n"/>
      <c r="W237" s="62" t="n"/>
      <c r="X237" s="38" t="n"/>
      <c r="Y237" s="62" t="n"/>
      <c r="Z237" s="38" t="n"/>
      <c r="AA237" s="62" t="n"/>
      <c r="AB237" s="38" t="n"/>
      <c r="AC237" s="62" t="n"/>
      <c r="AD237" s="38" t="n"/>
      <c r="AE237" s="38" t="n"/>
      <c r="AF237" s="61">
        <f>IF(COUNTIF($B$5:B237,B237)=1,1,0)</f>
        <v/>
      </c>
      <c r="AG237" s="62" t="inlineStr">
        <is>
          <t>https://www.semana.com/nacion/articulo/soldado-habria-atacado-a-cuatro-companeros-en-casanare-dos-militares-murieron/202650/</t>
        </is>
      </c>
    </row>
    <row r="238" ht="15" customHeight="1" s="31">
      <c r="A238" s="38" t="inlineStr">
        <is>
          <t>ART_027</t>
        </is>
      </c>
      <c r="B238" s="38" t="inlineStr">
        <is>
          <t>ART_027_S07</t>
        </is>
      </c>
      <c r="C238" s="38" t="inlineStr">
        <is>
          <t>Semana</t>
        </is>
      </c>
      <c r="D238" s="38" t="inlineStr">
        <is>
          <t>Seguridad y orden público</t>
        </is>
      </c>
      <c r="E238" s="38" t="inlineStr">
        <is>
          <t>Noticia dura</t>
        </is>
      </c>
      <c r="F238" s="38" t="inlineStr">
        <is>
          <t>Thu, 03 Sep 2026 23:36:50 +0000</t>
        </is>
      </c>
      <c r="G238" s="62" t="inlineStr">
        <is>
          <t>El Comando de la Décima Sexta Brigada anunció que se activaron todos los protocolos de seguridad establecidos y coordinó con las autoridades competentes el desarrollo de los actos urgentes y las labores investigativas.</t>
        </is>
      </c>
      <c r="H238" s="62" t="inlineStr">
        <is>
          <t>Por ahora, el parte médico de los militares es reservado.</t>
        </is>
      </c>
      <c r="I238" s="62" t="inlineStr">
        <is>
          <t>Esas indagaciones dejaron sobre la mesa las circunstancias de tiempo, modo y lugar detrás de ese acto de intolerancia que dejó dos soldados muertos y otros dos heridos por un militar que habría accionado su arma de dotación.</t>
        </is>
      </c>
      <c r="J238" s="38" t="n"/>
      <c r="K238" s="62" t="n"/>
      <c r="L238" s="38" t="n"/>
      <c r="M238" s="62" t="n"/>
      <c r="N238" s="38" t="n"/>
      <c r="O238" s="62" t="n"/>
      <c r="P238" s="38" t="n"/>
      <c r="Q238" s="62" t="n"/>
      <c r="R238" s="38" t="n"/>
      <c r="S238" s="62" t="n"/>
      <c r="T238" s="38" t="n"/>
      <c r="U238" s="62" t="n"/>
      <c r="V238" s="38" t="n"/>
      <c r="W238" s="62" t="n"/>
      <c r="X238" s="38" t="n"/>
      <c r="Y238" s="62" t="n"/>
      <c r="Z238" s="38" t="n"/>
      <c r="AA238" s="62" t="n"/>
      <c r="AB238" s="38" t="n"/>
      <c r="AC238" s="62" t="n"/>
      <c r="AD238" s="38" t="n"/>
      <c r="AE238" s="38" t="n"/>
      <c r="AF238" s="61">
        <f>IF(COUNTIF($B$5:B238,B238)=1,1,0)</f>
        <v/>
      </c>
      <c r="AG238" s="62" t="inlineStr">
        <is>
          <t>https://www.semana.com/nacion/articulo/soldado-habria-atacado-a-cuatro-companeros-en-casanare-dos-militares-murieron/202650/</t>
        </is>
      </c>
    </row>
    <row r="239" ht="15" customHeight="1" s="31">
      <c r="A239" s="38" t="inlineStr">
        <is>
          <t>ART_027</t>
        </is>
      </c>
      <c r="B239" s="38" t="inlineStr">
        <is>
          <t>ART_027_S08</t>
        </is>
      </c>
      <c r="C239" s="38" t="inlineStr">
        <is>
          <t>Semana</t>
        </is>
      </c>
      <c r="D239" s="38" t="inlineStr">
        <is>
          <t>Seguridad y orden público</t>
        </is>
      </c>
      <c r="E239" s="38" t="inlineStr">
        <is>
          <t>Noticia dura</t>
        </is>
      </c>
      <c r="F239" s="38" t="inlineStr">
        <is>
          <t>Thu, 03 Sep 2026 23:36:50 +0000</t>
        </is>
      </c>
      <c r="G239" s="62" t="inlineStr">
        <is>
          <t>Esas indagaciones dejaron sobre la mesa las circunstancias de tiempo, modo y lugar detrás de ese acto de intolerancia que dejó dos soldados muertos y otros dos heridos por un militar que habría accionado su arma de dotación.</t>
        </is>
      </c>
      <c r="H239" s="62" t="inlineStr">
        <is>
          <t>El Comando de la Décima Sexta Brigada anunció que se activaron todos los protocolos de seguridad establecidos y coordinó con las autoridades competentes el desarrollo de los actos urgentes y las labores investigativas.</t>
        </is>
      </c>
      <c r="I239"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J239" s="38" t="n"/>
      <c r="K239" s="62" t="n"/>
      <c r="L239" s="38" t="n"/>
      <c r="M239" s="62" t="n"/>
      <c r="N239" s="38" t="n"/>
      <c r="O239" s="62" t="n"/>
      <c r="P239" s="38" t="n"/>
      <c r="Q239" s="62" t="n"/>
      <c r="R239" s="38" t="n"/>
      <c r="S239" s="62" t="n"/>
      <c r="T239" s="38" t="n"/>
      <c r="U239" s="62" t="n"/>
      <c r="V239" s="38" t="n"/>
      <c r="W239" s="62" t="n"/>
      <c r="X239" s="38" t="n"/>
      <c r="Y239" s="62" t="n"/>
      <c r="Z239" s="38" t="n"/>
      <c r="AA239" s="62" t="n"/>
      <c r="AB239" s="38" t="n"/>
      <c r="AC239" s="62" t="n"/>
      <c r="AD239" s="38" t="n"/>
      <c r="AE239" s="38" t="n"/>
      <c r="AF239" s="61">
        <f>IF(COUNTIF($B$5:B239,B239)=1,1,0)</f>
        <v/>
      </c>
      <c r="AG239" s="62" t="inlineStr">
        <is>
          <t>https://www.semana.com/nacion/articulo/soldado-habria-atacado-a-cuatro-companeros-en-casanare-dos-militares-murieron/202650/</t>
        </is>
      </c>
    </row>
    <row r="240" ht="15" customHeight="1" s="31">
      <c r="A240" s="38" t="inlineStr">
        <is>
          <t>ART_027</t>
        </is>
      </c>
      <c r="B240" s="38" t="inlineStr">
        <is>
          <t>ART_027_S09</t>
        </is>
      </c>
      <c r="C240" s="38" t="inlineStr">
        <is>
          <t>Semana</t>
        </is>
      </c>
      <c r="D240" s="38" t="inlineStr">
        <is>
          <t>Seguridad y orden público</t>
        </is>
      </c>
      <c r="E240" s="38" t="inlineStr">
        <is>
          <t>Noticia dura</t>
        </is>
      </c>
      <c r="F240" s="38" t="inlineStr">
        <is>
          <t>Thu, 03 Sep 2026 23:36:50 +0000</t>
        </is>
      </c>
      <c r="G240"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H240" s="62" t="inlineStr">
        <is>
          <t>Esas indagaciones dejaron sobre la mesa las circunstancias de tiempo, modo y lugar detrás de ese acto de intolerancia que dejó dos soldados muertos y otros dos heridos por un militar que habría accionado su arma de dotación.</t>
        </is>
      </c>
      <c r="I240" s="62" t="inlineStr">
        <is>
          <t>Desde la institución manifestaron: “Lamenta profundamente este hecho y expresa sus condolencias a los familiares y allegados de los dos militares fallecidos, al tiempo que desea una pronta recuperación a los soldados que resultaron heridos”.</t>
        </is>
      </c>
      <c r="J240" s="38" t="n"/>
      <c r="K240" s="62" t="n"/>
      <c r="L240" s="38" t="n"/>
      <c r="M240" s="62" t="n"/>
      <c r="N240" s="38" t="n"/>
      <c r="O240" s="62" t="n"/>
      <c r="P240" s="38" t="n"/>
      <c r="Q240" s="62" t="n"/>
      <c r="R240" s="38" t="n"/>
      <c r="S240" s="62" t="n"/>
      <c r="T240" s="38" t="n"/>
      <c r="U240" s="62" t="n"/>
      <c r="V240" s="38" t="n"/>
      <c r="W240" s="62" t="n"/>
      <c r="X240" s="38" t="n"/>
      <c r="Y240" s="62" t="n"/>
      <c r="Z240" s="38" t="n"/>
      <c r="AA240" s="62" t="n"/>
      <c r="AB240" s="38" t="n"/>
      <c r="AC240" s="62" t="n"/>
      <c r="AD240" s="38" t="n"/>
      <c r="AE240" s="38" t="n"/>
      <c r="AF240" s="61">
        <f>IF(COUNTIF($B$5:B240,B240)=1,1,0)</f>
        <v/>
      </c>
      <c r="AG240" s="62" t="inlineStr">
        <is>
          <t>https://www.semana.com/nacion/articulo/soldado-habria-atacado-a-cuatro-companeros-en-casanare-dos-militares-murieron/202650/</t>
        </is>
      </c>
    </row>
    <row r="241" ht="15" customHeight="1" s="31">
      <c r="A241" s="38" t="inlineStr">
        <is>
          <t>ART_027</t>
        </is>
      </c>
      <c r="B241" s="38" t="inlineStr">
        <is>
          <t>ART_027_S10</t>
        </is>
      </c>
      <c r="C241" s="38" t="inlineStr">
        <is>
          <t>Semana</t>
        </is>
      </c>
      <c r="D241" s="38" t="inlineStr">
        <is>
          <t>Seguridad y orden público</t>
        </is>
      </c>
      <c r="E241" s="38" t="inlineStr">
        <is>
          <t>Noticia dura</t>
        </is>
      </c>
      <c r="F241" s="38" t="inlineStr">
        <is>
          <t>Thu, 03 Sep 2026 23:36:50 +0000</t>
        </is>
      </c>
      <c r="G241" s="62" t="inlineStr">
        <is>
          <t>Desde la institución manifestaron: “Lamenta profundamente este hecho y expresa sus condolencias a los familiares y allegados de los dos militares fallecidos, al tiempo que desea una pronta recuperación a los soldados que resultaron heridos”.</t>
        </is>
      </c>
      <c r="H241" s="62" t="inlineStr">
        <is>
          <t>El Ejército Nacional también activó las medidas correspondientes para garantizar el desarrollo de las investigaciones y brindará toda la colaboración necesaria para que las autoridades judiciales puedan esclarecer este hecho de violencia ocurrido en el municipio de Aguazul.</t>
        </is>
      </c>
      <c r="I241" s="62" t="n"/>
      <c r="J241" s="38" t="n"/>
      <c r="K241" s="62" t="n"/>
      <c r="L241" s="38" t="n"/>
      <c r="M241" s="62" t="n"/>
      <c r="N241" s="38" t="n"/>
      <c r="O241" s="62" t="n"/>
      <c r="P241" s="38" t="n"/>
      <c r="Q241" s="62" t="n"/>
      <c r="R241" s="38" t="n"/>
      <c r="S241" s="62" t="n"/>
      <c r="T241" s="38" t="n"/>
      <c r="U241" s="62" t="n"/>
      <c r="V241" s="38" t="n"/>
      <c r="W241" s="62" t="n"/>
      <c r="X241" s="38" t="n"/>
      <c r="Y241" s="62" t="n"/>
      <c r="Z241" s="38" t="n"/>
      <c r="AA241" s="62" t="n"/>
      <c r="AB241" s="38" t="n"/>
      <c r="AC241" s="62" t="n"/>
      <c r="AD241" s="38" t="n"/>
      <c r="AE241" s="38" t="n"/>
      <c r="AF241" s="61">
        <f>IF(COUNTIF($B$5:B241,B241)=1,1,0)</f>
        <v/>
      </c>
      <c r="AG241" s="62" t="inlineStr">
        <is>
          <t>https://www.semana.com/nacion/articulo/soldado-habria-atacado-a-cuatro-companeros-en-casanare-dos-militares-murieron/202650/</t>
        </is>
      </c>
    </row>
    <row r="242" ht="15" customHeight="1" s="31">
      <c r="A242" s="38" t="inlineStr">
        <is>
          <t>ART_028</t>
        </is>
      </c>
      <c r="B242" s="38" t="inlineStr">
        <is>
          <t>ART_028_S01</t>
        </is>
      </c>
      <c r="C242" s="38" t="inlineStr">
        <is>
          <t>Semana</t>
        </is>
      </c>
      <c r="D242" s="38" t="inlineStr">
        <is>
          <t>Relación con Estados Unidos</t>
        </is>
      </c>
      <c r="E242" s="38" t="inlineStr">
        <is>
          <t>Opinión-análisis</t>
        </is>
      </c>
      <c r="F242" s="38" t="inlineStr">
        <is>
          <t>Sat, 05 Sep 2026 05:00:46 +0000</t>
        </is>
      </c>
      <c r="G242" s="62" t="inlineStr">
        <is>
          <t>Impúdico.</t>
        </is>
      </c>
      <c r="H242" s="62" t="n"/>
      <c r="I242" s="62" t="inlineStr">
        <is>
          <t>Es la palabra exacta.</t>
        </is>
      </c>
      <c r="J242" s="38" t="n"/>
      <c r="K242" s="62" t="n"/>
      <c r="L242" s="38" t="n"/>
      <c r="M242" s="62" t="n"/>
      <c r="N242" s="38" t="n"/>
      <c r="O242" s="62" t="n"/>
      <c r="P242" s="38" t="n"/>
      <c r="Q242" s="62" t="n"/>
      <c r="R242" s="38" t="n"/>
      <c r="S242" s="62" t="n"/>
      <c r="T242" s="38" t="n"/>
      <c r="U242" s="62" t="n"/>
      <c r="V242" s="38" t="n"/>
      <c r="W242" s="62" t="n"/>
      <c r="X242" s="38" t="n"/>
      <c r="Y242" s="62" t="n"/>
      <c r="Z242" s="38" t="n"/>
      <c r="AA242" s="62" t="n"/>
      <c r="AB242" s="38" t="n"/>
      <c r="AC242" s="62" t="n"/>
      <c r="AD242" s="38" t="n"/>
      <c r="AE242" s="38" t="n"/>
      <c r="AF242" s="61">
        <f>IF(COUNTIF($B$5:B242,B242)=1,1,0)</f>
        <v/>
      </c>
      <c r="AG242" s="62" t="inlineStr">
        <is>
          <t>https://www.semana.com/opinion/articulo/impudico/202646/</t>
        </is>
      </c>
    </row>
    <row r="243" ht="15" customHeight="1" s="31">
      <c r="A243" s="38" t="inlineStr">
        <is>
          <t>ART_028</t>
        </is>
      </c>
      <c r="B243" s="38" t="inlineStr">
        <is>
          <t>ART_028_S02</t>
        </is>
      </c>
      <c r="C243" s="38" t="inlineStr">
        <is>
          <t>Semana</t>
        </is>
      </c>
      <c r="D243" s="38" t="inlineStr">
        <is>
          <t>Relación con Estados Unidos</t>
        </is>
      </c>
      <c r="E243" s="38" t="inlineStr">
        <is>
          <t>Opinión-análisis</t>
        </is>
      </c>
      <c r="F243" s="38" t="inlineStr">
        <is>
          <t>Sat, 05 Sep 2026 05:00:46 +0000</t>
        </is>
      </c>
      <c r="G243" s="62" t="inlineStr">
        <is>
          <t>Es la palabra exacta.</t>
        </is>
      </c>
      <c r="H243" s="62" t="inlineStr">
        <is>
          <t>Impúdico.</t>
        </is>
      </c>
      <c r="I243" s="62" t="inlineStr">
        <is>
          <t>No hay otra que capture mejor la esencia del acuerdo petrolero entre Estados Unidos y Venezuela.</t>
        </is>
      </c>
      <c r="J243" s="38" t="n"/>
      <c r="K243" s="62" t="n"/>
      <c r="L243" s="38" t="n"/>
      <c r="M243" s="62" t="n"/>
      <c r="N243" s="38" t="n"/>
      <c r="O243" s="62" t="n"/>
      <c r="P243" s="38" t="n"/>
      <c r="Q243" s="62" t="n"/>
      <c r="R243" s="38" t="n"/>
      <c r="S243" s="62" t="n"/>
      <c r="T243" s="38" t="n"/>
      <c r="U243" s="62" t="n"/>
      <c r="V243" s="38" t="n"/>
      <c r="W243" s="62" t="n"/>
      <c r="X243" s="38" t="n"/>
      <c r="Y243" s="62" t="n"/>
      <c r="Z243" s="38" t="n"/>
      <c r="AA243" s="62" t="n"/>
      <c r="AB243" s="38" t="n"/>
      <c r="AC243" s="62" t="n"/>
      <c r="AD243" s="38" t="n"/>
      <c r="AE243" s="38" t="n"/>
      <c r="AF243" s="61">
        <f>IF(COUNTIF($B$5:B243,B243)=1,1,0)</f>
        <v/>
      </c>
      <c r="AG243" s="62" t="inlineStr">
        <is>
          <t>https://www.semana.com/opinion/articulo/impudico/202646/</t>
        </is>
      </c>
    </row>
    <row r="244" ht="15" customHeight="1" s="31">
      <c r="A244" s="38" t="inlineStr">
        <is>
          <t>ART_028</t>
        </is>
      </c>
      <c r="B244" s="38" t="inlineStr">
        <is>
          <t>ART_028_S03</t>
        </is>
      </c>
      <c r="C244" s="38" t="inlineStr">
        <is>
          <t>Semana</t>
        </is>
      </c>
      <c r="D244" s="38" t="inlineStr">
        <is>
          <t>Relación con Estados Unidos</t>
        </is>
      </c>
      <c r="E244" s="38" t="inlineStr">
        <is>
          <t>Opinión-análisis</t>
        </is>
      </c>
      <c r="F244" s="38" t="inlineStr">
        <is>
          <t>Sat, 05 Sep 2026 05:00:46 +0000</t>
        </is>
      </c>
      <c r="G244" s="62" t="inlineStr">
        <is>
          <t>No hay otra que capture mejor la esencia del acuerdo petrolero entre Estados Unidos y Venezuela.</t>
        </is>
      </c>
      <c r="H244" s="62" t="inlineStr">
        <is>
          <t>Es la palabra exacta.</t>
        </is>
      </c>
      <c r="I244" s="62" t="inlineStr">
        <is>
          <t>Es un pacto que desviste las intenciones, que quita el velo de la retórica diplomática y nos deja frente a frente con la cruda realidad del pragmatismo geopolítico.</t>
        </is>
      </c>
      <c r="J244" s="38" t="n"/>
      <c r="K244" s="62" t="n"/>
      <c r="L244" s="38" t="n"/>
      <c r="M244" s="62" t="n"/>
      <c r="N244" s="38" t="n"/>
      <c r="O244" s="62" t="n"/>
      <c r="P244" s="38" t="n"/>
      <c r="Q244" s="62" t="n"/>
      <c r="R244" s="38" t="n"/>
      <c r="S244" s="62" t="n"/>
      <c r="T244" s="38" t="n"/>
      <c r="U244" s="62" t="n"/>
      <c r="V244" s="38" t="n"/>
      <c r="W244" s="62" t="n"/>
      <c r="X244" s="38" t="n"/>
      <c r="Y244" s="62" t="n"/>
      <c r="Z244" s="38" t="n"/>
      <c r="AA244" s="62" t="n"/>
      <c r="AB244" s="38" t="n"/>
      <c r="AC244" s="62" t="n"/>
      <c r="AD244" s="38" t="n"/>
      <c r="AE244" s="38" t="n"/>
      <c r="AF244" s="61">
        <f>IF(COUNTIF($B$5:B244,B244)=1,1,0)</f>
        <v/>
      </c>
      <c r="AG244" s="62" t="inlineStr">
        <is>
          <t>https://www.semana.com/opinion/articulo/impudico/202646/</t>
        </is>
      </c>
    </row>
    <row r="245" ht="15" customHeight="1" s="31">
      <c r="A245" s="38" t="inlineStr">
        <is>
          <t>ART_028</t>
        </is>
      </c>
      <c r="B245" s="38" t="inlineStr">
        <is>
          <t>ART_028_S04</t>
        </is>
      </c>
      <c r="C245" s="38" t="inlineStr">
        <is>
          <t>Semana</t>
        </is>
      </c>
      <c r="D245" s="38" t="inlineStr">
        <is>
          <t>Relación con Estados Unidos</t>
        </is>
      </c>
      <c r="E245" s="38" t="inlineStr">
        <is>
          <t>Opinión-análisis</t>
        </is>
      </c>
      <c r="F245" s="38" t="inlineStr">
        <is>
          <t>Sat, 05 Sep 2026 05:00:46 +0000</t>
        </is>
      </c>
      <c r="G245" s="62" t="inlineStr">
        <is>
          <t>Es un pacto que desviste las intenciones, que quita el velo de la retórica diplomática y nos deja frente a frente con la cruda realidad del pragmatismo geopolítico.</t>
        </is>
      </c>
      <c r="H245" s="62" t="inlineStr">
        <is>
          <t>No hay otra que capture mejor la esencia del acuerdo petrolero entre Estados Unidos y Venezuela.</t>
        </is>
      </c>
      <c r="I245" s="62" t="inlineStr">
        <is>
          <t>Para entender este histórico giro, hay que dividir la historia en dos actos: el de Washington y el de Caracas.</t>
        </is>
      </c>
      <c r="J245" s="38" t="n"/>
      <c r="K245" s="62" t="n"/>
      <c r="L245" s="38" t="n"/>
      <c r="M245" s="62" t="n"/>
      <c r="N245" s="38" t="n"/>
      <c r="O245" s="62" t="n"/>
      <c r="P245" s="38" t="n"/>
      <c r="Q245" s="62" t="n"/>
      <c r="R245" s="38" t="n"/>
      <c r="S245" s="62" t="n"/>
      <c r="T245" s="38" t="n"/>
      <c r="U245" s="62" t="n"/>
      <c r="V245" s="38" t="n"/>
      <c r="W245" s="62" t="n"/>
      <c r="X245" s="38" t="n"/>
      <c r="Y245" s="62" t="n"/>
      <c r="Z245" s="38" t="n"/>
      <c r="AA245" s="62" t="n"/>
      <c r="AB245" s="38" t="n"/>
      <c r="AC245" s="62" t="n"/>
      <c r="AD245" s="38" t="n"/>
      <c r="AE245" s="38" t="n"/>
      <c r="AF245" s="61">
        <f>IF(COUNTIF($B$5:B245,B245)=1,1,0)</f>
        <v/>
      </c>
      <c r="AG245" s="62" t="inlineStr">
        <is>
          <t>https://www.semana.com/opinion/articulo/impudico/202646/</t>
        </is>
      </c>
    </row>
    <row r="246" ht="15" customHeight="1" s="31">
      <c r="A246" s="38" t="inlineStr">
        <is>
          <t>ART_028</t>
        </is>
      </c>
      <c r="B246" s="38" t="inlineStr">
        <is>
          <t>ART_028_S05</t>
        </is>
      </c>
      <c r="C246" s="38" t="inlineStr">
        <is>
          <t>Semana</t>
        </is>
      </c>
      <c r="D246" s="38" t="inlineStr">
        <is>
          <t>Relación con Estados Unidos</t>
        </is>
      </c>
      <c r="E246" s="38" t="inlineStr">
        <is>
          <t>Opinión-análisis</t>
        </is>
      </c>
      <c r="F246" s="38" t="inlineStr">
        <is>
          <t>Sat, 05 Sep 2026 05:00:46 +0000</t>
        </is>
      </c>
      <c r="G246" s="62" t="inlineStr">
        <is>
          <t>Para entender este histórico giro, hay que dividir la historia en dos actos: el de Washington y el de Caracas.</t>
        </is>
      </c>
      <c r="H246" s="62" t="inlineStr">
        <is>
          <t>Es un pacto que desviste las intenciones, que quita el velo de la retórica diplomática y nos deja frente a frente con la cruda realidad del pragmatismo geopolítico.</t>
        </is>
      </c>
      <c r="I246" s="62" t="inlineStr">
        <is>
          <t>Me explico.</t>
        </is>
      </c>
      <c r="J246" s="38" t="n"/>
      <c r="K246" s="62" t="n"/>
      <c r="L246" s="38" t="n"/>
      <c r="M246" s="62" t="n"/>
      <c r="N246" s="38" t="n"/>
      <c r="O246" s="62" t="n"/>
      <c r="P246" s="38" t="n"/>
      <c r="Q246" s="62" t="n"/>
      <c r="R246" s="38" t="n"/>
      <c r="S246" s="62" t="n"/>
      <c r="T246" s="38" t="n"/>
      <c r="U246" s="62" t="n"/>
      <c r="V246" s="38" t="n"/>
      <c r="W246" s="62" t="n"/>
      <c r="X246" s="38" t="n"/>
      <c r="Y246" s="62" t="n"/>
      <c r="Z246" s="38" t="n"/>
      <c r="AA246" s="62" t="n"/>
      <c r="AB246" s="38" t="n"/>
      <c r="AC246" s="62" t="n"/>
      <c r="AD246" s="38" t="n"/>
      <c r="AE246" s="38" t="n"/>
      <c r="AF246" s="61">
        <f>IF(COUNTIF($B$5:B246,B246)=1,1,0)</f>
        <v/>
      </c>
      <c r="AG246" s="62" t="inlineStr">
        <is>
          <t>https://www.semana.com/opinion/articulo/impudico/202646/</t>
        </is>
      </c>
    </row>
    <row r="247" ht="15" customHeight="1" s="31">
      <c r="A247" s="38" t="inlineStr">
        <is>
          <t>ART_028</t>
        </is>
      </c>
      <c r="B247" s="38" t="inlineStr">
        <is>
          <t>ART_028_S06</t>
        </is>
      </c>
      <c r="C247" s="38" t="inlineStr">
        <is>
          <t>Semana</t>
        </is>
      </c>
      <c r="D247" s="38" t="inlineStr">
        <is>
          <t>Relación con Estados Unidos</t>
        </is>
      </c>
      <c r="E247" s="38" t="inlineStr">
        <is>
          <t>Opinión-análisis</t>
        </is>
      </c>
      <c r="F247" s="38" t="inlineStr">
        <is>
          <t>Sat, 05 Sep 2026 05:00:46 +0000</t>
        </is>
      </c>
      <c r="G247" s="62" t="inlineStr">
        <is>
          <t>Me explico.</t>
        </is>
      </c>
      <c r="H247" s="62" t="inlineStr">
        <is>
          <t>Para entender este histórico giro, hay que dividir la historia en dos actos: el de Washington y el de Caracas.</t>
        </is>
      </c>
      <c r="I247" s="62" t="inlineStr">
        <is>
          <t>Desde la óptica estadounidense, estamos ante un cambio de paradigma excepcional.</t>
        </is>
      </c>
      <c r="J247" s="38" t="n"/>
      <c r="K247" s="62" t="n"/>
      <c r="L247" s="38" t="n"/>
      <c r="M247" s="62" t="n"/>
      <c r="N247" s="38" t="n"/>
      <c r="O247" s="62" t="n"/>
      <c r="P247" s="38" t="n"/>
      <c r="Q247" s="62" t="n"/>
      <c r="R247" s="38" t="n"/>
      <c r="S247" s="62" t="n"/>
      <c r="T247" s="38" t="n"/>
      <c r="U247" s="62" t="n"/>
      <c r="V247" s="38" t="n"/>
      <c r="W247" s="62" t="n"/>
      <c r="X247" s="38" t="n"/>
      <c r="Y247" s="62" t="n"/>
      <c r="Z247" s="38" t="n"/>
      <c r="AA247" s="62" t="n"/>
      <c r="AB247" s="38" t="n"/>
      <c r="AC247" s="62" t="n"/>
      <c r="AD247" s="38" t="n"/>
      <c r="AE247" s="38" t="n"/>
      <c r="AF247" s="61">
        <f>IF(COUNTIF($B$5:B247,B247)=1,1,0)</f>
        <v/>
      </c>
      <c r="AG247" s="62" t="inlineStr">
        <is>
          <t>https://www.semana.com/opinion/articulo/impudico/202646/</t>
        </is>
      </c>
    </row>
    <row r="248" ht="15" customHeight="1" s="31">
      <c r="A248" s="38" t="inlineStr">
        <is>
          <t>ART_028</t>
        </is>
      </c>
      <c r="B248" s="38" t="inlineStr">
        <is>
          <t>ART_028_S07</t>
        </is>
      </c>
      <c r="C248" s="38" t="inlineStr">
        <is>
          <t>Semana</t>
        </is>
      </c>
      <c r="D248" s="38" t="inlineStr">
        <is>
          <t>Relación con Estados Unidos</t>
        </is>
      </c>
      <c r="E248" s="38" t="inlineStr">
        <is>
          <t>Opinión-análisis</t>
        </is>
      </c>
      <c r="F248" s="38" t="inlineStr">
        <is>
          <t>Sat, 05 Sep 2026 05:00:46 +0000</t>
        </is>
      </c>
      <c r="G248" s="62" t="inlineStr">
        <is>
          <t>Desde la óptica estadounidense, estamos ante un cambio de paradigma excepcional.</t>
        </is>
      </c>
      <c r="H248" s="62" t="inlineStr">
        <is>
          <t>Me explico.</t>
        </is>
      </c>
      <c r="I248" s="62" t="inlineStr">
        <is>
          <t>Es el fin de la era de la dependencia ciega de Oriente Medio.</t>
        </is>
      </c>
      <c r="J248" s="38" t="n"/>
      <c r="K248" s="62" t="n"/>
      <c r="L248" s="38" t="n"/>
      <c r="M248" s="62" t="n"/>
      <c r="N248" s="38" t="n"/>
      <c r="O248" s="62" t="n"/>
      <c r="P248" s="38" t="n"/>
      <c r="Q248" s="62" t="n"/>
      <c r="R248" s="38" t="n"/>
      <c r="S248" s="62" t="n"/>
      <c r="T248" s="38" t="n"/>
      <c r="U248" s="62" t="n"/>
      <c r="V248" s="38" t="n"/>
      <c r="W248" s="62" t="n"/>
      <c r="X248" s="38" t="n"/>
      <c r="Y248" s="62" t="n"/>
      <c r="Z248" s="38" t="n"/>
      <c r="AA248" s="62" t="n"/>
      <c r="AB248" s="38" t="n"/>
      <c r="AC248" s="62" t="n"/>
      <c r="AD248" s="38" t="n"/>
      <c r="AE248" s="38" t="n"/>
      <c r="AF248" s="61">
        <f>IF(COUNTIF($B$5:B248,B248)=1,1,0)</f>
        <v/>
      </c>
      <c r="AG248" s="62" t="inlineStr">
        <is>
          <t>https://www.semana.com/opinion/articulo/impudico/202646/</t>
        </is>
      </c>
    </row>
    <row r="249" ht="15" customHeight="1" s="31">
      <c r="A249" s="38" t="inlineStr">
        <is>
          <t>ART_028</t>
        </is>
      </c>
      <c r="B249" s="38" t="inlineStr">
        <is>
          <t>ART_028_S08</t>
        </is>
      </c>
      <c r="C249" s="38" t="inlineStr">
        <is>
          <t>Semana</t>
        </is>
      </c>
      <c r="D249" s="38" t="inlineStr">
        <is>
          <t>Relación con Estados Unidos</t>
        </is>
      </c>
      <c r="E249" s="38" t="inlineStr">
        <is>
          <t>Opinión-análisis</t>
        </is>
      </c>
      <c r="F249" s="38" t="inlineStr">
        <is>
          <t>Sat, 05 Sep 2026 05:00:46 +0000</t>
        </is>
      </c>
      <c r="G249" s="62" t="inlineStr">
        <is>
          <t>Es el fin de la era de la dependencia ciega de Oriente Medio.</t>
        </is>
      </c>
      <c r="H249" s="62" t="inlineStr">
        <is>
          <t>Desde la óptica estadounidense, estamos ante un cambio de paradigma excepcional.</t>
        </is>
      </c>
      <c r="I249" s="62" t="inlineStr">
        <is>
          <t>Es mover el eje gravitacional del petróleo desde las arenas árabes hacia nuestra propia región, hacia América Latina.</t>
        </is>
      </c>
      <c r="J249" s="38" t="n"/>
      <c r="K249" s="62" t="n"/>
      <c r="L249" s="38" t="n"/>
      <c r="M249" s="62" t="n"/>
      <c r="N249" s="38" t="n"/>
      <c r="O249" s="62" t="n"/>
      <c r="P249" s="38" t="n"/>
      <c r="Q249" s="62" t="n"/>
      <c r="R249" s="38" t="n"/>
      <c r="S249" s="62" t="n"/>
      <c r="T249" s="38" t="n"/>
      <c r="U249" s="62" t="n"/>
      <c r="V249" s="38" t="n"/>
      <c r="W249" s="62" t="n"/>
      <c r="X249" s="38" t="n"/>
      <c r="Y249" s="62" t="n"/>
      <c r="Z249" s="38" t="n"/>
      <c r="AA249" s="62" t="n"/>
      <c r="AB249" s="38" t="n"/>
      <c r="AC249" s="62" t="n"/>
      <c r="AD249" s="38" t="n"/>
      <c r="AE249" s="38" t="n"/>
      <c r="AF249" s="61">
        <f>IF(COUNTIF($B$5:B249,B249)=1,1,0)</f>
        <v/>
      </c>
      <c r="AG249" s="62" t="inlineStr">
        <is>
          <t>https://www.semana.com/opinion/articulo/impudico/202646/</t>
        </is>
      </c>
    </row>
    <row r="250" ht="15" customHeight="1" s="31">
      <c r="A250" s="38" t="inlineStr">
        <is>
          <t>ART_028</t>
        </is>
      </c>
      <c r="B250" s="38" t="inlineStr">
        <is>
          <t>ART_028_S09</t>
        </is>
      </c>
      <c r="C250" s="38" t="inlineStr">
        <is>
          <t>Semana</t>
        </is>
      </c>
      <c r="D250" s="38" t="inlineStr">
        <is>
          <t>Relación con Estados Unidos</t>
        </is>
      </c>
      <c r="E250" s="38" t="inlineStr">
        <is>
          <t>Opinión-análisis</t>
        </is>
      </c>
      <c r="F250" s="38" t="inlineStr">
        <is>
          <t>Sat, 05 Sep 2026 05:00:46 +0000</t>
        </is>
      </c>
      <c r="G250" s="62" t="inlineStr">
        <is>
          <t>Es mover el eje gravitacional del petróleo desde las arenas árabes hacia nuestra propia región, hacia América Latina.</t>
        </is>
      </c>
      <c r="H250" s="62" t="inlineStr">
        <is>
          <t>Es el fin de la era de la dependencia ciega de Oriente Medio.</t>
        </is>
      </c>
      <c r="I250" s="62" t="inlineStr">
        <is>
          <t>No es un tema menor.</t>
        </is>
      </c>
      <c r="J250" s="38" t="n"/>
      <c r="K250" s="62" t="n"/>
      <c r="L250" s="38" t="n"/>
      <c r="M250" s="62" t="n"/>
      <c r="N250" s="38" t="n"/>
      <c r="O250" s="62" t="n"/>
      <c r="P250" s="38" t="n"/>
      <c r="Q250" s="62" t="n"/>
      <c r="R250" s="38" t="n"/>
      <c r="S250" s="62" t="n"/>
      <c r="T250" s="38" t="n"/>
      <c r="U250" s="62" t="n"/>
      <c r="V250" s="38" t="n"/>
      <c r="W250" s="62" t="n"/>
      <c r="X250" s="38" t="n"/>
      <c r="Y250" s="62" t="n"/>
      <c r="Z250" s="38" t="n"/>
      <c r="AA250" s="62" t="n"/>
      <c r="AB250" s="38" t="n"/>
      <c r="AC250" s="62" t="n"/>
      <c r="AD250" s="38" t="n"/>
      <c r="AE250" s="38" t="n"/>
      <c r="AF250" s="61">
        <f>IF(COUNTIF($B$5:B250,B250)=1,1,0)</f>
        <v/>
      </c>
      <c r="AG250" s="62" t="inlineStr">
        <is>
          <t>https://www.semana.com/opinion/articulo/impudico/202646/</t>
        </is>
      </c>
    </row>
    <row r="251" ht="15" customHeight="1" s="31">
      <c r="A251" s="38" t="inlineStr">
        <is>
          <t>ART_028</t>
        </is>
      </c>
      <c r="B251" s="38" t="inlineStr">
        <is>
          <t>ART_028_S10</t>
        </is>
      </c>
      <c r="C251" s="38" t="inlineStr">
        <is>
          <t>Semana</t>
        </is>
      </c>
      <c r="D251" s="38" t="inlineStr">
        <is>
          <t>Relación con Estados Unidos</t>
        </is>
      </c>
      <c r="E251" s="38" t="inlineStr">
        <is>
          <t>Opinión-análisis</t>
        </is>
      </c>
      <c r="F251" s="38" t="inlineStr">
        <is>
          <t>Sat, 05 Sep 2026 05:00:46 +0000</t>
        </is>
      </c>
      <c r="G251" s="62" t="inlineStr">
        <is>
          <t>No es un tema menor.</t>
        </is>
      </c>
      <c r="H251" s="62" t="inlineStr">
        <is>
          <t>Es mover el eje gravitacional del petróleo desde las arenas árabes hacia nuestra propia región, hacia América Latina.</t>
        </is>
      </c>
      <c r="I251" s="62" t="n"/>
      <c r="J251" s="38" t="n"/>
      <c r="K251" s="62" t="n"/>
      <c r="L251" s="38" t="n"/>
      <c r="M251" s="62" t="n"/>
      <c r="N251" s="38" t="n"/>
      <c r="O251" s="62" t="n"/>
      <c r="P251" s="38" t="n"/>
      <c r="Q251" s="62" t="n"/>
      <c r="R251" s="38" t="n"/>
      <c r="S251" s="62" t="n"/>
      <c r="T251" s="38" t="n"/>
      <c r="U251" s="62" t="n"/>
      <c r="V251" s="38" t="n"/>
      <c r="W251" s="62" t="n"/>
      <c r="X251" s="38" t="n"/>
      <c r="Y251" s="62" t="n"/>
      <c r="Z251" s="38" t="n"/>
      <c r="AA251" s="62" t="n"/>
      <c r="AB251" s="38" t="n"/>
      <c r="AC251" s="62" t="n"/>
      <c r="AD251" s="38" t="n"/>
      <c r="AE251" s="38" t="n"/>
      <c r="AF251" s="61">
        <f>IF(COUNTIF($B$5:B251,B251)=1,1,0)</f>
        <v/>
      </c>
      <c r="AG251" s="62" t="inlineStr">
        <is>
          <t>https://www.semana.com/opinion/articulo/impudico/202646/</t>
        </is>
      </c>
    </row>
    <row r="252" ht="15" customHeight="1" s="31">
      <c r="A252" s="38" t="inlineStr">
        <is>
          <t>ART_029</t>
        </is>
      </c>
      <c r="B252" s="38" t="inlineStr">
        <is>
          <t>ART_029_S01</t>
        </is>
      </c>
      <c r="C252" s="38" t="inlineStr">
        <is>
          <t>Semana</t>
        </is>
      </c>
      <c r="D252" s="38" t="inlineStr">
        <is>
          <t>Respuesta a la emergencia del terremoto</t>
        </is>
      </c>
      <c r="E252" s="38" t="inlineStr">
        <is>
          <t>Opinión-análisis</t>
        </is>
      </c>
      <c r="F252" s="38" t="inlineStr">
        <is>
          <t>Sat, 05 Sep 2026 04:59:35 +0000</t>
        </is>
      </c>
      <c r="G252" s="62" t="inlineStr">
        <is>
          <t>Si se escogiera el peor momento para un terremoto en Colombia, la respuesta sería el 10 de agosto de 2026.</t>
        </is>
      </c>
      <c r="H252" s="62" t="n"/>
      <c r="I252"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J252" s="38" t="n"/>
      <c r="K252" s="62" t="n"/>
      <c r="L252" s="38" t="n"/>
      <c r="M252" s="62" t="n"/>
      <c r="N252" s="38" t="n"/>
      <c r="O252" s="62" t="n"/>
      <c r="P252" s="38" t="n"/>
      <c r="Q252" s="62" t="n"/>
      <c r="R252" s="38" t="n"/>
      <c r="S252" s="62" t="n"/>
      <c r="T252" s="38" t="n"/>
      <c r="U252" s="62" t="n"/>
      <c r="V252" s="38" t="n"/>
      <c r="W252" s="62" t="n"/>
      <c r="X252" s="38" t="n"/>
      <c r="Y252" s="62" t="n"/>
      <c r="Z252" s="38" t="n"/>
      <c r="AA252" s="62" t="n"/>
      <c r="AB252" s="38" t="n"/>
      <c r="AC252" s="62" t="n"/>
      <c r="AD252" s="38" t="n"/>
      <c r="AE252" s="38" t="n"/>
      <c r="AF252" s="61">
        <f>IF(COUNTIF($B$5:B252,B252)=1,1,0)</f>
        <v/>
      </c>
      <c r="AG252" s="62" t="inlineStr">
        <is>
          <t>https://www.semana.com/opinion/articulo/un-terremoto-en-las-fauces-del-neoliberalismo/202635/</t>
        </is>
      </c>
    </row>
    <row r="253" ht="15" customHeight="1" s="31">
      <c r="A253" s="38" t="inlineStr">
        <is>
          <t>ART_029</t>
        </is>
      </c>
      <c r="B253" s="38" t="inlineStr">
        <is>
          <t>ART_029_S02</t>
        </is>
      </c>
      <c r="C253" s="38" t="inlineStr">
        <is>
          <t>Semana</t>
        </is>
      </c>
      <c r="D253" s="38" t="inlineStr">
        <is>
          <t>Respuesta a la emergencia del terremoto</t>
        </is>
      </c>
      <c r="E253" s="38" t="inlineStr">
        <is>
          <t>Opinión-análisis</t>
        </is>
      </c>
      <c r="F253" s="38" t="inlineStr">
        <is>
          <t>Sat, 05 Sep 2026 04:59:35 +0000</t>
        </is>
      </c>
      <c r="G253"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H253" s="62" t="inlineStr">
        <is>
          <t>Si se escogiera el peor momento para un terremoto en Colombia, la respuesta sería el 10 de agosto de 2026.</t>
        </is>
      </c>
      <c r="I253" s="62" t="inlineStr">
        <is>
          <t>La asfixia es tanta que, por cada peso que se abona al principal, se piden prestados tres.</t>
        </is>
      </c>
      <c r="J253" s="38" t="n"/>
      <c r="K253" s="62" t="n"/>
      <c r="L253" s="38" t="n"/>
      <c r="M253" s="62" t="n"/>
      <c r="N253" s="38" t="n"/>
      <c r="O253" s="62" t="n"/>
      <c r="P253" s="38" t="n"/>
      <c r="Q253" s="62" t="n"/>
      <c r="R253" s="38" t="n"/>
      <c r="S253" s="62" t="n"/>
      <c r="T253" s="38" t="n"/>
      <c r="U253" s="62" t="n"/>
      <c r="V253" s="38" t="n"/>
      <c r="W253" s="62" t="n"/>
      <c r="X253" s="38" t="n"/>
      <c r="Y253" s="62" t="n"/>
      <c r="Z253" s="38" t="n"/>
      <c r="AA253" s="62" t="n"/>
      <c r="AB253" s="38" t="n"/>
      <c r="AC253" s="62" t="n"/>
      <c r="AD253" s="38" t="n"/>
      <c r="AE253" s="38" t="n"/>
      <c r="AF253" s="61">
        <f>IF(COUNTIF($B$5:B253,B253)=1,1,0)</f>
        <v/>
      </c>
      <c r="AG253" s="62" t="inlineStr">
        <is>
          <t>https://www.semana.com/opinion/articulo/un-terremoto-en-las-fauces-del-neoliberalismo/202635/</t>
        </is>
      </c>
    </row>
    <row r="254" ht="15" customHeight="1" s="31">
      <c r="A254" s="38" t="inlineStr">
        <is>
          <t>ART_029</t>
        </is>
      </c>
      <c r="B254" s="38" t="inlineStr">
        <is>
          <t>ART_029_S03</t>
        </is>
      </c>
      <c r="C254" s="38" t="inlineStr">
        <is>
          <t>Semana</t>
        </is>
      </c>
      <c r="D254" s="38" t="inlineStr">
        <is>
          <t>Respuesta a la emergencia del terremoto</t>
        </is>
      </c>
      <c r="E254" s="38" t="inlineStr">
        <is>
          <t>Opinión-análisis</t>
        </is>
      </c>
      <c r="F254" s="38" t="inlineStr">
        <is>
          <t>Sat, 05 Sep 2026 04:59:35 +0000</t>
        </is>
      </c>
      <c r="G254" s="62" t="inlineStr">
        <is>
          <t>La asfixia es tanta que, por cada peso que se abona al principal, se piden prestados tres.</t>
        </is>
      </c>
      <c r="H254" s="62" t="inlineStr">
        <is>
          <t>No solo porque es una fecha inmediata de la transición del gobierno de Petro al de Abelardo De La Espriella, sino porque la situación fiscal del país es de las peores en las últimas décadas, con una deuda pública en niveles del 60 por ciento del PIB, contratada a costosas tasas de interés.</t>
        </is>
      </c>
      <c r="I254" s="62" t="inlineStr">
        <is>
          <t>La experiencia histórica es que la fórmula para reconstruir una región luego de un terremoto se reduce a dos palabras: Estado y plata.</t>
        </is>
      </c>
      <c r="J254" s="38" t="n"/>
      <c r="K254" s="62" t="n"/>
      <c r="L254" s="38" t="n"/>
      <c r="M254" s="62" t="n"/>
      <c r="N254" s="38" t="n"/>
      <c r="O254" s="62" t="n"/>
      <c r="P254" s="38" t="n"/>
      <c r="Q254" s="62" t="n"/>
      <c r="R254" s="38" t="n"/>
      <c r="S254" s="62" t="n"/>
      <c r="T254" s="38" t="n"/>
      <c r="U254" s="62" t="n"/>
      <c r="V254" s="38" t="n"/>
      <c r="W254" s="62" t="n"/>
      <c r="X254" s="38" t="n"/>
      <c r="Y254" s="62" t="n"/>
      <c r="Z254" s="38" t="n"/>
      <c r="AA254" s="62" t="n"/>
      <c r="AB254" s="38" t="n"/>
      <c r="AC254" s="62" t="n"/>
      <c r="AD254" s="38" t="n"/>
      <c r="AE254" s="38" t="n"/>
      <c r="AF254" s="61">
        <f>IF(COUNTIF($B$5:B254,B254)=1,1,0)</f>
        <v/>
      </c>
      <c r="AG254" s="62" t="inlineStr">
        <is>
          <t>https://www.semana.com/opinion/articulo/un-terremoto-en-las-fauces-del-neoliberalismo/202635/</t>
        </is>
      </c>
    </row>
    <row r="255" ht="15" customHeight="1" s="31">
      <c r="A255" s="38" t="inlineStr">
        <is>
          <t>ART_029</t>
        </is>
      </c>
      <c r="B255" s="38" t="inlineStr">
        <is>
          <t>ART_029_S04</t>
        </is>
      </c>
      <c r="C255" s="38" t="inlineStr">
        <is>
          <t>Semana</t>
        </is>
      </c>
      <c r="D255" s="38" t="inlineStr">
        <is>
          <t>Respuesta a la emergencia del terremoto</t>
        </is>
      </c>
      <c r="E255" s="38" t="inlineStr">
        <is>
          <t>Opinión-análisis</t>
        </is>
      </c>
      <c r="F255" s="38" t="inlineStr">
        <is>
          <t>Sat, 05 Sep 2026 04:59:35 +0000</t>
        </is>
      </c>
      <c r="G255" s="62" t="inlineStr">
        <is>
          <t>La experiencia histórica es que la fórmula para reconstruir una región luego de un terremoto se reduce a dos palabras: Estado y plata.</t>
        </is>
      </c>
      <c r="H255" s="62" t="inlineStr">
        <is>
          <t>La asfixia es tanta que, por cada peso que se abona al principal, se piden prestados tres.</t>
        </is>
      </c>
      <c r="I255" s="62" t="inlineStr">
        <is>
          <t>Sin estos dos elementos a tope, el sufrimiento de las personas es mayor, el periodo para recomponer es más largo y la recuperación económica puede quedar a mitad de camino.</t>
        </is>
      </c>
      <c r="J255" s="38" t="n"/>
      <c r="K255" s="62" t="n"/>
      <c r="L255" s="38" t="n"/>
      <c r="M255" s="62" t="n"/>
      <c r="N255" s="38" t="n"/>
      <c r="O255" s="62" t="n"/>
      <c r="P255" s="38" t="n"/>
      <c r="Q255" s="62" t="n"/>
      <c r="R255" s="38" t="n"/>
      <c r="S255" s="62" t="n"/>
      <c r="T255" s="38" t="n"/>
      <c r="U255" s="62" t="n"/>
      <c r="V255" s="38" t="n"/>
      <c r="W255" s="62" t="n"/>
      <c r="X255" s="38" t="n"/>
      <c r="Y255" s="62" t="n"/>
      <c r="Z255" s="38" t="n"/>
      <c r="AA255" s="62" t="n"/>
      <c r="AB255" s="38" t="n"/>
      <c r="AC255" s="62" t="n"/>
      <c r="AD255" s="38" t="n"/>
      <c r="AE255" s="38" t="n"/>
      <c r="AF255" s="61">
        <f>IF(COUNTIF($B$5:B255,B255)=1,1,0)</f>
        <v/>
      </c>
      <c r="AG255" s="62" t="inlineStr">
        <is>
          <t>https://www.semana.com/opinion/articulo/un-terremoto-en-las-fauces-del-neoliberalismo/202635/</t>
        </is>
      </c>
    </row>
    <row r="256" ht="15" customHeight="1" s="31">
      <c r="A256" s="38" t="inlineStr">
        <is>
          <t>ART_029</t>
        </is>
      </c>
      <c r="B256" s="38" t="inlineStr">
        <is>
          <t>ART_029_S05</t>
        </is>
      </c>
      <c r="C256" s="38" t="inlineStr">
        <is>
          <t>Semana</t>
        </is>
      </c>
      <c r="D256" s="38" t="inlineStr">
        <is>
          <t>Respuesta a la emergencia del terremoto</t>
        </is>
      </c>
      <c r="E256" s="38" t="inlineStr">
        <is>
          <t>Opinión-análisis</t>
        </is>
      </c>
      <c r="F256" s="38" t="inlineStr">
        <is>
          <t>Sat, 05 Sep 2026 04:59:35 +0000</t>
        </is>
      </c>
      <c r="G256" s="62" t="inlineStr">
        <is>
          <t>Sin estos dos elementos a tope, el sufrimiento de las personas es mayor, el periodo para recomponer es más largo y la recuperación económica puede quedar a mitad de camino.</t>
        </is>
      </c>
      <c r="H256" s="62" t="inlineStr">
        <is>
          <t>La experiencia histórica es que la fórmula para reconstruir una región luego de un terremoto se reduce a dos palabras: Estado y plata.</t>
        </is>
      </c>
      <c r="I256"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J256" s="38" t="n"/>
      <c r="K256" s="62" t="n"/>
      <c r="L256" s="38" t="n"/>
      <c r="M256" s="62" t="n"/>
      <c r="N256" s="38" t="n"/>
      <c r="O256" s="62" t="n"/>
      <c r="P256" s="38" t="n"/>
      <c r="Q256" s="62" t="n"/>
      <c r="R256" s="38" t="n"/>
      <c r="S256" s="62" t="n"/>
      <c r="T256" s="38" t="n"/>
      <c r="U256" s="62" t="n"/>
      <c r="V256" s="38" t="n"/>
      <c r="W256" s="62" t="n"/>
      <c r="X256" s="38" t="n"/>
      <c r="Y256" s="62" t="n"/>
      <c r="Z256" s="38" t="n"/>
      <c r="AA256" s="62" t="n"/>
      <c r="AB256" s="38" t="n"/>
      <c r="AC256" s="62" t="n"/>
      <c r="AD256" s="38" t="n"/>
      <c r="AE256" s="38" t="n"/>
      <c r="AF256" s="61">
        <f>IF(COUNTIF($B$5:B256,B256)=1,1,0)</f>
        <v/>
      </c>
      <c r="AG256" s="62" t="inlineStr">
        <is>
          <t>https://www.semana.com/opinion/articulo/un-terremoto-en-las-fauces-del-neoliberalismo/202635/</t>
        </is>
      </c>
    </row>
    <row r="257" ht="15" customHeight="1" s="31">
      <c r="A257" s="38" t="inlineStr">
        <is>
          <t>ART_029</t>
        </is>
      </c>
      <c r="B257" s="38" t="inlineStr">
        <is>
          <t>ART_029_S06</t>
        </is>
      </c>
      <c r="C257" s="38" t="inlineStr">
        <is>
          <t>Semana</t>
        </is>
      </c>
      <c r="D257" s="38" t="inlineStr">
        <is>
          <t>Respuesta a la emergencia del terremoto</t>
        </is>
      </c>
      <c r="E257" s="38" t="inlineStr">
        <is>
          <t>Opinión-análisis</t>
        </is>
      </c>
      <c r="F257" s="38" t="inlineStr">
        <is>
          <t>Sat, 05 Sep 2026 04:59:35 +0000</t>
        </is>
      </c>
      <c r="G257"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H257" s="62" t="inlineStr">
        <is>
          <t>Sin estos dos elementos a tope, el sufrimiento de las personas es mayor, el periodo para recomponer es más largo y la recuperación económica puede quedar a mitad de camino.</t>
        </is>
      </c>
      <c r="I257" s="62" t="inlineStr">
        <is>
          <t>Esos importes y el periodo aumentarían si los centros económicos fueron golpeados como ahora, en primer lugar, en el caso de Pereira.</t>
        </is>
      </c>
      <c r="J257" s="38" t="n"/>
      <c r="K257" s="62" t="n"/>
      <c r="L257" s="38" t="n"/>
      <c r="M257" s="62" t="n"/>
      <c r="N257" s="38" t="n"/>
      <c r="O257" s="62" t="n"/>
      <c r="P257" s="38" t="n"/>
      <c r="Q257" s="62" t="n"/>
      <c r="R257" s="38" t="n"/>
      <c r="S257" s="62" t="n"/>
      <c r="T257" s="38" t="n"/>
      <c r="U257" s="62" t="n"/>
      <c r="V257" s="38" t="n"/>
      <c r="W257" s="62" t="n"/>
      <c r="X257" s="38" t="n"/>
      <c r="Y257" s="62" t="n"/>
      <c r="Z257" s="38" t="n"/>
      <c r="AA257" s="62" t="n"/>
      <c r="AB257" s="38" t="n"/>
      <c r="AC257" s="62" t="n"/>
      <c r="AD257" s="38" t="n"/>
      <c r="AE257" s="38" t="n"/>
      <c r="AF257" s="61">
        <f>IF(COUNTIF($B$5:B257,B257)=1,1,0)</f>
        <v/>
      </c>
      <c r="AG257" s="62" t="inlineStr">
        <is>
          <t>https://www.semana.com/opinion/articulo/un-terremoto-en-las-fauces-del-neoliberalismo/202635/</t>
        </is>
      </c>
    </row>
    <row r="258" ht="15" customHeight="1" s="31">
      <c r="A258" s="38" t="inlineStr">
        <is>
          <t>ART_029</t>
        </is>
      </c>
      <c r="B258" s="38" t="inlineStr">
        <is>
          <t>ART_029_S07</t>
        </is>
      </c>
      <c r="C258" s="38" t="inlineStr">
        <is>
          <t>Semana</t>
        </is>
      </c>
      <c r="D258" s="38" t="inlineStr">
        <is>
          <t>Respuesta a la emergencia del terremoto</t>
        </is>
      </c>
      <c r="E258" s="38" t="inlineStr">
        <is>
          <t>Opinión-análisis</t>
        </is>
      </c>
      <c r="F258" s="38" t="inlineStr">
        <is>
          <t>Sat, 05 Sep 2026 04:59:35 +0000</t>
        </is>
      </c>
      <c r="G258" s="62" t="inlineStr">
        <is>
          <t>Esos importes y el periodo aumentarían si los centros económicos fueron golpeados como ahora, en primer lugar, en el caso de Pereira.</t>
        </is>
      </c>
      <c r="H258" s="62" t="inlineStr">
        <is>
          <t>Dos reglas universales de los terremotos indican que el costo de arreglar es igual a 2 o a 2,5 veces el de lo derruido (Banco Mundial), y el tiempo de la operación de rescate se aproxima a 1.000 días por grado de intensidad del siniestro, lo que para uno de escala 7 será entre seis y diez años (ONU).</t>
        </is>
      </c>
      <c r="I258" s="62" t="inlineStr">
        <is>
          <t>Hay ejemplos recientes que ratifican lo anterior.</t>
        </is>
      </c>
      <c r="J258" s="38" t="n"/>
      <c r="K258" s="62" t="n"/>
      <c r="L258" s="38" t="n"/>
      <c r="M258" s="62" t="n"/>
      <c r="N258" s="38" t="n"/>
      <c r="O258" s="62" t="n"/>
      <c r="P258" s="38" t="n"/>
      <c r="Q258" s="62" t="n"/>
      <c r="R258" s="38" t="n"/>
      <c r="S258" s="62" t="n"/>
      <c r="T258" s="38" t="n"/>
      <c r="U258" s="62" t="n"/>
      <c r="V258" s="38" t="n"/>
      <c r="W258" s="62" t="n"/>
      <c r="X258" s="38" t="n"/>
      <c r="Y258" s="62" t="n"/>
      <c r="Z258" s="38" t="n"/>
      <c r="AA258" s="62" t="n"/>
      <c r="AB258" s="38" t="n"/>
      <c r="AC258" s="62" t="n"/>
      <c r="AD258" s="38" t="n"/>
      <c r="AE258" s="38" t="n"/>
      <c r="AF258" s="61">
        <f>IF(COUNTIF($B$5:B258,B258)=1,1,0)</f>
        <v/>
      </c>
      <c r="AG258" s="62" t="inlineStr">
        <is>
          <t>https://www.semana.com/opinion/articulo/un-terremoto-en-las-fauces-del-neoliberalismo/202635/</t>
        </is>
      </c>
    </row>
    <row r="259" ht="15" customHeight="1" s="31">
      <c r="A259" s="38" t="inlineStr">
        <is>
          <t>ART_029</t>
        </is>
      </c>
      <c r="B259" s="38" t="inlineStr">
        <is>
          <t>ART_029_S08</t>
        </is>
      </c>
      <c r="C259" s="38" t="inlineStr">
        <is>
          <t>Semana</t>
        </is>
      </c>
      <c r="D259" s="38" t="inlineStr">
        <is>
          <t>Respuesta a la emergencia del terremoto</t>
        </is>
      </c>
      <c r="E259" s="38" t="inlineStr">
        <is>
          <t>Opinión-análisis</t>
        </is>
      </c>
      <c r="F259" s="38" t="inlineStr">
        <is>
          <t>Sat, 05 Sep 2026 04:59:35 +0000</t>
        </is>
      </c>
      <c r="G259" s="62" t="inlineStr">
        <is>
          <t>Hay ejemplos recientes que ratifican lo anterior.</t>
        </is>
      </c>
      <c r="H259" s="62" t="inlineStr">
        <is>
          <t>Esos importes y el periodo aumentarían si los centros económicos fueron golpeados como ahora, en primer lugar, en el caso de Pereira.</t>
        </is>
      </c>
      <c r="I259" s="62" t="inlineStr">
        <is>
          <t>El peor es Haití en 2010, con una intensidad de 7 en la escala de Richter.</t>
        </is>
      </c>
      <c r="J259" s="38" t="n"/>
      <c r="K259" s="62" t="n"/>
      <c r="L259" s="38" t="n"/>
      <c r="M259" s="62" t="n"/>
      <c r="N259" s="38" t="n"/>
      <c r="O259" s="62" t="n"/>
      <c r="P259" s="38" t="n"/>
      <c r="Q259" s="62" t="n"/>
      <c r="R259" s="38" t="n"/>
      <c r="S259" s="62" t="n"/>
      <c r="T259" s="38" t="n"/>
      <c r="U259" s="62" t="n"/>
      <c r="V259" s="38" t="n"/>
      <c r="W259" s="62" t="n"/>
      <c r="X259" s="38" t="n"/>
      <c r="Y259" s="62" t="n"/>
      <c r="Z259" s="38" t="n"/>
      <c r="AA259" s="62" t="n"/>
      <c r="AB259" s="38" t="n"/>
      <c r="AC259" s="62" t="n"/>
      <c r="AD259" s="38" t="n"/>
      <c r="AE259" s="38" t="n"/>
      <c r="AF259" s="61">
        <f>IF(COUNTIF($B$5:B259,B259)=1,1,0)</f>
        <v/>
      </c>
      <c r="AG259" s="62" t="inlineStr">
        <is>
          <t>https://www.semana.com/opinion/articulo/un-terremoto-en-las-fauces-del-neoliberalismo/202635/</t>
        </is>
      </c>
    </row>
    <row r="260" ht="15" customHeight="1" s="31">
      <c r="A260" s="38" t="inlineStr">
        <is>
          <t>ART_029</t>
        </is>
      </c>
      <c r="B260" s="38" t="inlineStr">
        <is>
          <t>ART_029_S09</t>
        </is>
      </c>
      <c r="C260" s="38" t="inlineStr">
        <is>
          <t>Semana</t>
        </is>
      </c>
      <c r="D260" s="38" t="inlineStr">
        <is>
          <t>Respuesta a la emergencia del terremoto</t>
        </is>
      </c>
      <c r="E260" s="38" t="inlineStr">
        <is>
          <t>Opinión-análisis</t>
        </is>
      </c>
      <c r="F260" s="38" t="inlineStr">
        <is>
          <t>Sat, 05 Sep 2026 04:59:35 +0000</t>
        </is>
      </c>
      <c r="G260" s="62" t="inlineStr">
        <is>
          <t>El peor es Haití en 2010, con una intensidad de 7 en la escala de Richter.</t>
        </is>
      </c>
      <c r="H260" s="62" t="inlineStr">
        <is>
          <t>Hay ejemplos recientes que ratifican lo anterior.</t>
        </is>
      </c>
      <c r="I260" s="62" t="inlineStr">
        <is>
          <t>La mortandad fue descomunal, con centenares de miles de muertos, la reconstrucción lleva 14 años y no ha terminado, porque hubo otro en la zona sur del país en 2021.</t>
        </is>
      </c>
      <c r="J260" s="38" t="n"/>
      <c r="K260" s="62" t="n"/>
      <c r="L260" s="38" t="n"/>
      <c r="M260" s="62" t="n"/>
      <c r="N260" s="38" t="n"/>
      <c r="O260" s="62" t="n"/>
      <c r="P260" s="38" t="n"/>
      <c r="Q260" s="62" t="n"/>
      <c r="R260" s="38" t="n"/>
      <c r="S260" s="62" t="n"/>
      <c r="T260" s="38" t="n"/>
      <c r="U260" s="62" t="n"/>
      <c r="V260" s="38" t="n"/>
      <c r="W260" s="62" t="n"/>
      <c r="X260" s="38" t="n"/>
      <c r="Y260" s="62" t="n"/>
      <c r="Z260" s="38" t="n"/>
      <c r="AA260" s="62" t="n"/>
      <c r="AB260" s="38" t="n"/>
      <c r="AC260" s="62" t="n"/>
      <c r="AD260" s="38" t="n"/>
      <c r="AE260" s="38" t="n"/>
      <c r="AF260" s="61">
        <f>IF(COUNTIF($B$5:B260,B260)=1,1,0)</f>
        <v/>
      </c>
      <c r="AG260" s="62" t="inlineStr">
        <is>
          <t>https://www.semana.com/opinion/articulo/un-terremoto-en-las-fauces-del-neoliberalismo/202635/</t>
        </is>
      </c>
    </row>
    <row r="261" ht="15" customHeight="1" s="31">
      <c r="A261" s="38" t="inlineStr">
        <is>
          <t>ART_029</t>
        </is>
      </c>
      <c r="B261" s="38" t="inlineStr">
        <is>
          <t>ART_029_S10</t>
        </is>
      </c>
      <c r="C261" s="38" t="inlineStr">
        <is>
          <t>Semana</t>
        </is>
      </c>
      <c r="D261" s="38" t="inlineStr">
        <is>
          <t>Respuesta a la emergencia del terremoto</t>
        </is>
      </c>
      <c r="E261" s="38" t="inlineStr">
        <is>
          <t>Opinión-análisis</t>
        </is>
      </c>
      <c r="F261" s="38" t="inlineStr">
        <is>
          <t>Sat, 05 Sep 2026 04:59:35 +0000</t>
        </is>
      </c>
      <c r="G261" s="62" t="inlineStr">
        <is>
          <t>La mortandad fue descomunal, con centenares de miles de muertos, la reconstrucción lleva 14 años y no ha terminado, porque hubo otro en la zona sur del país en 2021.</t>
        </is>
      </c>
      <c r="H261" s="62" t="inlineStr">
        <is>
          <t>El peor es Haití en 2010, con una intensidad de 7 en la escala de Richter.</t>
        </is>
      </c>
      <c r="I261" s="62" t="n"/>
      <c r="J261" s="38" t="n"/>
      <c r="K261" s="62" t="n"/>
      <c r="L261" s="38" t="n"/>
      <c r="M261" s="62" t="n"/>
      <c r="N261" s="38" t="n"/>
      <c r="O261" s="62" t="n"/>
      <c r="P261" s="38" t="n"/>
      <c r="Q261" s="62" t="n"/>
      <c r="R261" s="38" t="n"/>
      <c r="S261" s="62" t="n"/>
      <c r="T261" s="38" t="n"/>
      <c r="U261" s="62" t="n"/>
      <c r="V261" s="38" t="n"/>
      <c r="W261" s="62" t="n"/>
      <c r="X261" s="38" t="n"/>
      <c r="Y261" s="62" t="n"/>
      <c r="Z261" s="38" t="n"/>
      <c r="AA261" s="62" t="n"/>
      <c r="AB261" s="38" t="n"/>
      <c r="AC261" s="62" t="n"/>
      <c r="AD261" s="38" t="n"/>
      <c r="AE261" s="38" t="n"/>
      <c r="AF261" s="61">
        <f>IF(COUNTIF($B$5:B261,B261)=1,1,0)</f>
        <v/>
      </c>
      <c r="AG261" s="62" t="inlineStr">
        <is>
          <t>https://www.semana.com/opinion/articulo/un-terremoto-en-las-fauces-del-neoliberalismo/202635/</t>
        </is>
      </c>
    </row>
    <row r="262" ht="15" customHeight="1" s="31">
      <c r="A262" s="38" t="inlineStr">
        <is>
          <t>ART_030</t>
        </is>
      </c>
      <c r="B262" s="38" t="inlineStr">
        <is>
          <t>ART_030_S01</t>
        </is>
      </c>
      <c r="C262" s="38" t="inlineStr">
        <is>
          <t>Semana</t>
        </is>
      </c>
      <c r="D262" s="38" t="inlineStr">
        <is>
          <t>Seguridad y orden público</t>
        </is>
      </c>
      <c r="E262" s="38" t="inlineStr">
        <is>
          <t>Opinión-análisis</t>
        </is>
      </c>
      <c r="F262" s="38" t="inlineStr">
        <is>
          <t>Fri, 04 Sep 2026 10:00:00 +0000</t>
        </is>
      </c>
      <c r="G262" s="62" t="inlineStr">
        <is>
          <t>Mucho se ha hablado del “histórico megaacuerdo” petrolero entre los Estados Unidos y Venezuela.</t>
        </is>
      </c>
      <c r="H262" s="62" t="n"/>
      <c r="I262" s="62" t="inlineStr">
        <is>
          <t>Dejando de lado las consideraciones legales y políticas que pudiera tener, habrá que saber cuáles son las eventuales consecuencias que podría tener para nuestro país.</t>
        </is>
      </c>
      <c r="J262" s="38" t="n"/>
      <c r="K262" s="62" t="n"/>
      <c r="L262" s="38" t="n"/>
      <c r="M262" s="62" t="n"/>
      <c r="N262" s="38" t="n"/>
      <c r="O262" s="62" t="n"/>
      <c r="P262" s="38" t="n"/>
      <c r="Q262" s="62" t="n"/>
      <c r="R262" s="38" t="n"/>
      <c r="S262" s="62" t="n"/>
      <c r="T262" s="38" t="n"/>
      <c r="U262" s="62" t="n"/>
      <c r="V262" s="38" t="n"/>
      <c r="W262" s="62" t="n"/>
      <c r="X262" s="38" t="n"/>
      <c r="Y262" s="62" t="n"/>
      <c r="Z262" s="38" t="n"/>
      <c r="AA262" s="62" t="n"/>
      <c r="AB262" s="38" t="n"/>
      <c r="AC262" s="62" t="n"/>
      <c r="AD262" s="38" t="n"/>
      <c r="AE262" s="38" t="n"/>
      <c r="AF262" s="61">
        <f>IF(COUNTIF($B$5:B262,B262)=1,1,0)</f>
        <v/>
      </c>
      <c r="AG262" s="62" t="inlineStr">
        <is>
          <t>https://www.semana.com/opinion/articulo/una-venezuela-prospera-y-democratica-fundamental-para-colombia/202600/</t>
        </is>
      </c>
    </row>
    <row r="263" ht="15" customHeight="1" s="31">
      <c r="A263" s="38" t="inlineStr">
        <is>
          <t>ART_030</t>
        </is>
      </c>
      <c r="B263" s="38" t="inlineStr">
        <is>
          <t>ART_030_S02</t>
        </is>
      </c>
      <c r="C263" s="38" t="inlineStr">
        <is>
          <t>Semana</t>
        </is>
      </c>
      <c r="D263" s="38" t="inlineStr">
        <is>
          <t>Seguridad y orden público</t>
        </is>
      </c>
      <c r="E263" s="38" t="inlineStr">
        <is>
          <t>Opinión-análisis</t>
        </is>
      </c>
      <c r="F263" s="38" t="inlineStr">
        <is>
          <t>Fri, 04 Sep 2026 10:00:00 +0000</t>
        </is>
      </c>
      <c r="G263" s="62" t="inlineStr">
        <is>
          <t>Dejando de lado las consideraciones legales y políticas que pudiera tener, habrá que saber cuáles son las eventuales consecuencias que podría tener para nuestro país.</t>
        </is>
      </c>
      <c r="H263" s="62" t="inlineStr">
        <is>
          <t>Mucho se ha hablado del “histórico megaacuerdo” petrolero entre los Estados Unidos y Venezuela.</t>
        </is>
      </c>
      <c r="I263" s="62" t="inlineStr">
        <is>
          <t>Hay hechos que son determinantes y que se derivan del transcurrir de los años de existencia de las dos repúblicas.</t>
        </is>
      </c>
      <c r="J263" s="38" t="n"/>
      <c r="K263" s="62" t="n"/>
      <c r="L263" s="38" t="n"/>
      <c r="M263" s="62" t="n"/>
      <c r="N263" s="38" t="n"/>
      <c r="O263" s="62" t="n"/>
      <c r="P263" s="38" t="n"/>
      <c r="Q263" s="62" t="n"/>
      <c r="R263" s="38" t="n"/>
      <c r="S263" s="62" t="n"/>
      <c r="T263" s="38" t="n"/>
      <c r="U263" s="62" t="n"/>
      <c r="V263" s="38" t="n"/>
      <c r="W263" s="62" t="n"/>
      <c r="X263" s="38" t="n"/>
      <c r="Y263" s="62" t="n"/>
      <c r="Z263" s="38" t="n"/>
      <c r="AA263" s="62" t="n"/>
      <c r="AB263" s="38" t="n"/>
      <c r="AC263" s="62" t="n"/>
      <c r="AD263" s="38" t="n"/>
      <c r="AE263" s="38" t="n"/>
      <c r="AF263" s="61">
        <f>IF(COUNTIF($B$5:B263,B263)=1,1,0)</f>
        <v/>
      </c>
      <c r="AG263" s="62" t="inlineStr">
        <is>
          <t>https://www.semana.com/opinion/articulo/una-venezuela-prospera-y-democratica-fundamental-para-colombia/202600/</t>
        </is>
      </c>
    </row>
    <row r="264" ht="15" customHeight="1" s="31">
      <c r="A264" s="38" t="inlineStr">
        <is>
          <t>ART_030</t>
        </is>
      </c>
      <c r="B264" s="38" t="inlineStr">
        <is>
          <t>ART_030_S03</t>
        </is>
      </c>
      <c r="C264" s="38" t="inlineStr">
        <is>
          <t>Semana</t>
        </is>
      </c>
      <c r="D264" s="38" t="inlineStr">
        <is>
          <t>Seguridad y orden público</t>
        </is>
      </c>
      <c r="E264" s="38" t="inlineStr">
        <is>
          <t>Opinión-análisis</t>
        </is>
      </c>
      <c r="F264" s="38" t="inlineStr">
        <is>
          <t>Fri, 04 Sep 2026 10:00:00 +0000</t>
        </is>
      </c>
      <c r="G264" s="62" t="inlineStr">
        <is>
          <t>Hay hechos que son determinantes y que se derivan del transcurrir de los años de existencia de las dos repúblicas.</t>
        </is>
      </c>
      <c r="H264" s="62" t="inlineStr">
        <is>
          <t>Dejando de lado las consideraciones legales y políticas que pudiera tener, habrá que saber cuáles son las eventuales consecuencias que podría tener para nuestro país.</t>
        </is>
      </c>
      <c r="I264" s="62" t="inlineStr">
        <is>
          <t>Ante todo, Colombia no tiene los recursos que posee Venezuela.</t>
        </is>
      </c>
      <c r="J264" s="38" t="n"/>
      <c r="K264" s="62" t="n"/>
      <c r="L264" s="38" t="n"/>
      <c r="M264" s="62" t="n"/>
      <c r="N264" s="38" t="n"/>
      <c r="O264" s="62" t="n"/>
      <c r="P264" s="38" t="n"/>
      <c r="Q264" s="62" t="n"/>
      <c r="R264" s="38" t="n"/>
      <c r="S264" s="62" t="n"/>
      <c r="T264" s="38" t="n"/>
      <c r="U264" s="62" t="n"/>
      <c r="V264" s="38" t="n"/>
      <c r="W264" s="62" t="n"/>
      <c r="X264" s="38" t="n"/>
      <c r="Y264" s="62" t="n"/>
      <c r="Z264" s="38" t="n"/>
      <c r="AA264" s="62" t="n"/>
      <c r="AB264" s="38" t="n"/>
      <c r="AC264" s="62" t="n"/>
      <c r="AD264" s="38" t="n"/>
      <c r="AE264" s="38" t="n"/>
      <c r="AF264" s="61">
        <f>IF(COUNTIF($B$5:B264,B264)=1,1,0)</f>
        <v/>
      </c>
      <c r="AG264" s="62" t="inlineStr">
        <is>
          <t>https://www.semana.com/opinion/articulo/una-venezuela-prospera-y-democratica-fundamental-para-colombia/202600/</t>
        </is>
      </c>
    </row>
    <row r="265" ht="15" customHeight="1" s="31">
      <c r="A265" s="38" t="inlineStr">
        <is>
          <t>ART_030</t>
        </is>
      </c>
      <c r="B265" s="38" t="inlineStr">
        <is>
          <t>ART_030_S04</t>
        </is>
      </c>
      <c r="C265" s="38" t="inlineStr">
        <is>
          <t>Semana</t>
        </is>
      </c>
      <c r="D265" s="38" t="inlineStr">
        <is>
          <t>Seguridad y orden público</t>
        </is>
      </c>
      <c r="E265" s="38" t="inlineStr">
        <is>
          <t>Opinión-análisis</t>
        </is>
      </c>
      <c r="F265" s="38" t="inlineStr">
        <is>
          <t>Fri, 04 Sep 2026 10:00:00 +0000</t>
        </is>
      </c>
      <c r="G265" s="62" t="inlineStr">
        <is>
          <t>Ante todo, Colombia no tiene los recursos que posee Venezuela.</t>
        </is>
      </c>
      <c r="H265" s="62" t="inlineStr">
        <is>
          <t>Hay hechos que son determinantes y que se derivan del transcurrir de los años de existencia de las dos repúblicas.</t>
        </is>
      </c>
      <c r="I265" s="62" t="inlineStr">
        <is>
          <t>Se recuerda a algún personaje colombiano que decía a mediados del siglo XX que, por cualquier parte por donde se trazara la línea fronteriza con Venezuela, el petróleo siempre estaría del otro lado.</t>
        </is>
      </c>
      <c r="J265" s="38" t="n"/>
      <c r="K265" s="62" t="n"/>
      <c r="L265" s="38" t="n"/>
      <c r="M265" s="62" t="n"/>
      <c r="N265" s="38" t="n"/>
      <c r="O265" s="62" t="n"/>
      <c r="P265" s="38" t="n"/>
      <c r="Q265" s="62" t="n"/>
      <c r="R265" s="38" t="n"/>
      <c r="S265" s="62" t="n"/>
      <c r="T265" s="38" t="n"/>
      <c r="U265" s="62" t="n"/>
      <c r="V265" s="38" t="n"/>
      <c r="W265" s="62" t="n"/>
      <c r="X265" s="38" t="n"/>
      <c r="Y265" s="62" t="n"/>
      <c r="Z265" s="38" t="n"/>
      <c r="AA265" s="62" t="n"/>
      <c r="AB265" s="38" t="n"/>
      <c r="AC265" s="62" t="n"/>
      <c r="AD265" s="38" t="n"/>
      <c r="AE265" s="38" t="n"/>
      <c r="AF265" s="61">
        <f>IF(COUNTIF($B$5:B265,B265)=1,1,0)</f>
        <v/>
      </c>
      <c r="AG265" s="62" t="inlineStr">
        <is>
          <t>https://www.semana.com/opinion/articulo/una-venezuela-prospera-y-democratica-fundamental-para-colombia/202600/</t>
        </is>
      </c>
    </row>
    <row r="266" ht="15" customHeight="1" s="31">
      <c r="A266" s="38" t="inlineStr">
        <is>
          <t>ART_030</t>
        </is>
      </c>
      <c r="B266" s="38" t="inlineStr">
        <is>
          <t>ART_030_S05</t>
        </is>
      </c>
      <c r="C266" s="38" t="inlineStr">
        <is>
          <t>Semana</t>
        </is>
      </c>
      <c r="D266" s="38" t="inlineStr">
        <is>
          <t>Seguridad y orden público</t>
        </is>
      </c>
      <c r="E266" s="38" t="inlineStr">
        <is>
          <t>Opinión-análisis</t>
        </is>
      </c>
      <c r="F266" s="38" t="inlineStr">
        <is>
          <t>Fri, 04 Sep 2026 10:00:00 +0000</t>
        </is>
      </c>
      <c r="G266" s="62" t="inlineStr">
        <is>
          <t>Se recuerda a algún personaje colombiano que decía a mediados del siglo XX que, por cualquier parte por donde se trazara la línea fronteriza con Venezuela, el petróleo siempre estaría del otro lado.</t>
        </is>
      </c>
      <c r="H266" s="62" t="inlineStr">
        <is>
          <t>Ante todo, Colombia no tiene los recursos que posee Venezuela.</t>
        </is>
      </c>
      <c r="I266" s="62" t="inlineStr">
        <is>
          <t>No solamente es el petróleo, sino el gas, el hierro, la bauxita, el acero, el coltán, las tierras raras y la energía eléctrica, para no hablar del oro y de algunos otros metales preciosos.</t>
        </is>
      </c>
      <c r="J266" s="38" t="n"/>
      <c r="K266" s="62" t="n"/>
      <c r="L266" s="38" t="n"/>
      <c r="M266" s="62" t="n"/>
      <c r="N266" s="38" t="n"/>
      <c r="O266" s="62" t="n"/>
      <c r="P266" s="38" t="n"/>
      <c r="Q266" s="62" t="n"/>
      <c r="R266" s="38" t="n"/>
      <c r="S266" s="62" t="n"/>
      <c r="T266" s="38" t="n"/>
      <c r="U266" s="62" t="n"/>
      <c r="V266" s="38" t="n"/>
      <c r="W266" s="62" t="n"/>
      <c r="X266" s="38" t="n"/>
      <c r="Y266" s="62" t="n"/>
      <c r="Z266" s="38" t="n"/>
      <c r="AA266" s="62" t="n"/>
      <c r="AB266" s="38" t="n"/>
      <c r="AC266" s="62" t="n"/>
      <c r="AD266" s="38" t="n"/>
      <c r="AE266" s="38" t="n"/>
      <c r="AF266" s="61">
        <f>IF(COUNTIF($B$5:B266,B266)=1,1,0)</f>
        <v/>
      </c>
      <c r="AG266" s="62" t="inlineStr">
        <is>
          <t>https://www.semana.com/opinion/articulo/una-venezuela-prospera-y-democratica-fundamental-para-colombia/202600/</t>
        </is>
      </c>
    </row>
    <row r="267" ht="15" customHeight="1" s="31">
      <c r="A267" s="38" t="inlineStr">
        <is>
          <t>ART_030</t>
        </is>
      </c>
      <c r="B267" s="38" t="inlineStr">
        <is>
          <t>ART_030_S06</t>
        </is>
      </c>
      <c r="C267" s="38" t="inlineStr">
        <is>
          <t>Semana</t>
        </is>
      </c>
      <c r="D267" s="38" t="inlineStr">
        <is>
          <t>Seguridad y orden público</t>
        </is>
      </c>
      <c r="E267" s="38" t="inlineStr">
        <is>
          <t>Opinión-análisis</t>
        </is>
      </c>
      <c r="F267" s="38" t="inlineStr">
        <is>
          <t>Fri, 04 Sep 2026 10:00:00 +0000</t>
        </is>
      </c>
      <c r="G267" s="62" t="inlineStr">
        <is>
          <t>No solamente es el petróleo, sino el gas, el hierro, la bauxita, el acero, el coltán, las tierras raras y la energía eléctrica, para no hablar del oro y de algunos otros metales preciosos.</t>
        </is>
      </c>
      <c r="H267" s="62" t="inlineStr">
        <is>
          <t>Se recuerda a algún personaje colombiano que decía a mediados del siglo XX que, por cualquier parte por donde se trazara la línea fronteriza con Venezuela, el petróleo siempre estaría del otro lado.</t>
        </is>
      </c>
      <c r="I267"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J267" s="38" t="n"/>
      <c r="K267" s="62" t="n"/>
      <c r="L267" s="38" t="n"/>
      <c r="M267" s="62" t="n"/>
      <c r="N267" s="38" t="n"/>
      <c r="O267" s="62" t="n"/>
      <c r="P267" s="38" t="n"/>
      <c r="Q267" s="62" t="n"/>
      <c r="R267" s="38" t="n"/>
      <c r="S267" s="62" t="n"/>
      <c r="T267" s="38" t="n"/>
      <c r="U267" s="62" t="n"/>
      <c r="V267" s="38" t="n"/>
      <c r="W267" s="62" t="n"/>
      <c r="X267" s="38" t="n"/>
      <c r="Y267" s="62" t="n"/>
      <c r="Z267" s="38" t="n"/>
      <c r="AA267" s="62" t="n"/>
      <c r="AB267" s="38" t="n"/>
      <c r="AC267" s="62" t="n"/>
      <c r="AD267" s="38" t="n"/>
      <c r="AE267" s="38" t="n"/>
      <c r="AF267" s="61">
        <f>IF(COUNTIF($B$5:B267,B267)=1,1,0)</f>
        <v/>
      </c>
      <c r="AG267" s="62" t="inlineStr">
        <is>
          <t>https://www.semana.com/opinion/articulo/una-venezuela-prospera-y-democratica-fundamental-para-colombia/202600/</t>
        </is>
      </c>
    </row>
    <row r="268" ht="15" customHeight="1" s="31">
      <c r="A268" s="38" t="inlineStr">
        <is>
          <t>ART_030</t>
        </is>
      </c>
      <c r="B268" s="38" t="inlineStr">
        <is>
          <t>ART_030_S07</t>
        </is>
      </c>
      <c r="C268" s="38" t="inlineStr">
        <is>
          <t>Semana</t>
        </is>
      </c>
      <c r="D268" s="38" t="inlineStr">
        <is>
          <t>Seguridad y orden público</t>
        </is>
      </c>
      <c r="E268" s="38" t="inlineStr">
        <is>
          <t>Opinión-análisis</t>
        </is>
      </c>
      <c r="F268" s="38" t="inlineStr">
        <is>
          <t>Fri, 04 Sep 2026 10:00:00 +0000</t>
        </is>
      </c>
      <c r="G268"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H268" s="62" t="inlineStr">
        <is>
          <t>No solamente es el petróleo, sino el gas, el hierro, la bauxita, el acero, el coltán, las tierras raras y la energía eléctrica, para no hablar del oro y de algunos otros metales preciosos.</t>
        </is>
      </c>
      <c r="I268" s="62" t="inlineStr">
        <is>
          <t>A esa condición se ha acostumbrado la población, a la que además le gustan los militares, que son los que dicen la última palabra, incluso en asuntos que van desde la política exterior hasta el manejo de la economía.</t>
        </is>
      </c>
      <c r="J268" s="38" t="n"/>
      <c r="K268" s="62" t="n"/>
      <c r="L268" s="38" t="n"/>
      <c r="M268" s="62" t="n"/>
      <c r="N268" s="38" t="n"/>
      <c r="O268" s="62" t="n"/>
      <c r="P268" s="38" t="n"/>
      <c r="Q268" s="62" t="n"/>
      <c r="R268" s="38" t="n"/>
      <c r="S268" s="62" t="n"/>
      <c r="T268" s="38" t="n"/>
      <c r="U268" s="62" t="n"/>
      <c r="V268" s="38" t="n"/>
      <c r="W268" s="62" t="n"/>
      <c r="X268" s="38" t="n"/>
      <c r="Y268" s="62" t="n"/>
      <c r="Z268" s="38" t="n"/>
      <c r="AA268" s="62" t="n"/>
      <c r="AB268" s="38" t="n"/>
      <c r="AC268" s="62" t="n"/>
      <c r="AD268" s="38" t="n"/>
      <c r="AE268" s="38" t="n"/>
      <c r="AF268" s="61">
        <f>IF(COUNTIF($B$5:B268,B268)=1,1,0)</f>
        <v/>
      </c>
      <c r="AG268" s="62" t="inlineStr">
        <is>
          <t>https://www.semana.com/opinion/articulo/una-venezuela-prospera-y-democratica-fundamental-para-colombia/202600/</t>
        </is>
      </c>
    </row>
    <row r="269" ht="15" customHeight="1" s="31">
      <c r="A269" s="38" t="inlineStr">
        <is>
          <t>ART_030</t>
        </is>
      </c>
      <c r="B269" s="38" t="inlineStr">
        <is>
          <t>ART_030_S08</t>
        </is>
      </c>
      <c r="C269" s="38" t="inlineStr">
        <is>
          <t>Semana</t>
        </is>
      </c>
      <c r="D269" s="38" t="inlineStr">
        <is>
          <t>Seguridad y orden público</t>
        </is>
      </c>
      <c r="E269" s="38" t="inlineStr">
        <is>
          <t>Opinión-análisis</t>
        </is>
      </c>
      <c r="F269" s="38" t="inlineStr">
        <is>
          <t>Fri, 04 Sep 2026 10:00:00 +0000</t>
        </is>
      </c>
      <c r="G269" s="62" t="inlineStr">
        <is>
          <t>A esa condición se ha acostumbrado la población, a la que además le gustan los militares, que son los que dicen la última palabra, incluso en asuntos que van desde la política exterior hasta el manejo de la economía.</t>
        </is>
      </c>
      <c r="H269"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I269" s="62" t="inlineStr">
        <is>
          <t>Sabiendo desde hace años que los delincuentes y los grupos armados colombianos consiguen refugio en Venezuela, es indispensable que su gobierno actúe decididamente para reprimirlos y coordine con Colombia acciones efectivas para lograrlo.</t>
        </is>
      </c>
      <c r="J269" s="38" t="n"/>
      <c r="K269" s="62" t="n"/>
      <c r="L269" s="38" t="n"/>
      <c r="M269" s="62" t="n"/>
      <c r="N269" s="38" t="n"/>
      <c r="O269" s="62" t="n"/>
      <c r="P269" s="38" t="n"/>
      <c r="Q269" s="62" t="n"/>
      <c r="R269" s="38" t="n"/>
      <c r="S269" s="62" t="n"/>
      <c r="T269" s="38" t="n"/>
      <c r="U269" s="62" t="n"/>
      <c r="V269" s="38" t="n"/>
      <c r="W269" s="62" t="n"/>
      <c r="X269" s="38" t="n"/>
      <c r="Y269" s="62" t="n"/>
      <c r="Z269" s="38" t="n"/>
      <c r="AA269" s="62" t="n"/>
      <c r="AB269" s="38" t="n"/>
      <c r="AC269" s="62" t="n"/>
      <c r="AD269" s="38" t="n"/>
      <c r="AE269" s="38" t="n"/>
      <c r="AF269" s="61">
        <f>IF(COUNTIF($B$5:B269,B269)=1,1,0)</f>
        <v/>
      </c>
      <c r="AG269" s="62" t="inlineStr">
        <is>
          <t>https://www.semana.com/opinion/articulo/una-venezuela-prospera-y-democratica-fundamental-para-colombia/202600/</t>
        </is>
      </c>
    </row>
    <row r="270" ht="15" customHeight="1" s="31">
      <c r="A270" s="38" t="inlineStr">
        <is>
          <t>ART_030</t>
        </is>
      </c>
      <c r="B270" s="38" t="inlineStr">
        <is>
          <t>ART_030_S09</t>
        </is>
      </c>
      <c r="C270" s="38" t="inlineStr">
        <is>
          <t>Semana</t>
        </is>
      </c>
      <c r="D270" s="38" t="inlineStr">
        <is>
          <t>Seguridad y orden público</t>
        </is>
      </c>
      <c r="E270" s="38" t="inlineStr">
        <is>
          <t>Opinión-análisis</t>
        </is>
      </c>
      <c r="F270" s="38" t="inlineStr">
        <is>
          <t>Fri, 04 Sep 2026 10:00:00 +0000</t>
        </is>
      </c>
      <c r="G270" s="62" t="inlineStr">
        <is>
          <t>Sabiendo desde hace años que los delincuentes y los grupos armados colombianos consiguen refugio en Venezuela, es indispensable que su gobierno actúe decididamente para reprimirlos y coordine con Colombia acciones efectivas para lograrlo.</t>
        </is>
      </c>
      <c r="H270" s="62" t="inlineStr">
        <is>
          <t>A esa condición se ha acostumbrado la población, a la que además le gustan los militares, que son los que dicen la última palabra, incluso en asuntos que van desde la política exterior hasta el manejo de la economía.</t>
        </is>
      </c>
      <c r="I270" s="62" t="inlineStr">
        <is>
          <t>Venezuela debe saber que Colombia nunca los invadirá, a pesar de que durante muchos años las Fuerzas Armadas venezolanas y algunos dirigentes políticos de ese país así lo preveían.</t>
        </is>
      </c>
      <c r="J270" s="38" t="n"/>
      <c r="K270" s="62" t="n"/>
      <c r="L270" s="38" t="n"/>
      <c r="M270" s="62" t="n"/>
      <c r="N270" s="38" t="n"/>
      <c r="O270" s="62" t="n"/>
      <c r="P270" s="38" t="n"/>
      <c r="Q270" s="62" t="n"/>
      <c r="R270" s="38" t="n"/>
      <c r="S270" s="62" t="n"/>
      <c r="T270" s="38" t="n"/>
      <c r="U270" s="62" t="n"/>
      <c r="V270" s="38" t="n"/>
      <c r="W270" s="62" t="n"/>
      <c r="X270" s="38" t="n"/>
      <c r="Y270" s="62" t="n"/>
      <c r="Z270" s="38" t="n"/>
      <c r="AA270" s="62" t="n"/>
      <c r="AB270" s="38" t="n"/>
      <c r="AC270" s="62" t="n"/>
      <c r="AD270" s="38" t="n"/>
      <c r="AE270" s="38" t="n"/>
      <c r="AF270" s="61">
        <f>IF(COUNTIF($B$5:B270,B270)=1,1,0)</f>
        <v/>
      </c>
      <c r="AG270" s="62" t="inlineStr">
        <is>
          <t>https://www.semana.com/opinion/articulo/una-venezuela-prospera-y-democratica-fundamental-para-colombia/202600/</t>
        </is>
      </c>
    </row>
    <row r="271" ht="15" customHeight="1" s="31">
      <c r="A271" s="38" t="inlineStr">
        <is>
          <t>ART_030</t>
        </is>
      </c>
      <c r="B271" s="38" t="inlineStr">
        <is>
          <t>ART_030_S10</t>
        </is>
      </c>
      <c r="C271" s="38" t="inlineStr">
        <is>
          <t>Semana</t>
        </is>
      </c>
      <c r="D271" s="38" t="inlineStr">
        <is>
          <t>Seguridad y orden público</t>
        </is>
      </c>
      <c r="E271" s="38" t="inlineStr">
        <is>
          <t>Opinión-análisis</t>
        </is>
      </c>
      <c r="F271" s="38" t="inlineStr">
        <is>
          <t>Fri, 04 Sep 2026 10:00:00 +0000</t>
        </is>
      </c>
      <c r="G271" s="62" t="inlineStr">
        <is>
          <t>Venezuela debe saber que Colombia nunca los invadirá, a pesar de que durante muchos años las Fuerzas Armadas venezolanas y algunos dirigentes políticos de ese país así lo preveían.</t>
        </is>
      </c>
      <c r="H271" s="62" t="inlineStr">
        <is>
          <t>Sabiendo desde hace años que los delincuentes y los grupos armados colombianos consiguen refugio en Venezuela, es indispensable que su gobierno actúe decididamente para reprimirlos y coordine con Colombia acciones efectivas para lograrlo.</t>
        </is>
      </c>
      <c r="I271" s="62" t="n"/>
      <c r="J271" s="38" t="n"/>
      <c r="K271" s="62" t="n"/>
      <c r="L271" s="38" t="n"/>
      <c r="M271" s="62" t="n"/>
      <c r="N271" s="38" t="n"/>
      <c r="O271" s="62" t="n"/>
      <c r="P271" s="38" t="n"/>
      <c r="Q271" s="62" t="n"/>
      <c r="R271" s="38" t="n"/>
      <c r="S271" s="62" t="n"/>
      <c r="T271" s="38" t="n"/>
      <c r="U271" s="62" t="n"/>
      <c r="V271" s="38" t="n"/>
      <c r="W271" s="62" t="n"/>
      <c r="X271" s="38" t="n"/>
      <c r="Y271" s="62" t="n"/>
      <c r="Z271" s="38" t="n"/>
      <c r="AA271" s="62" t="n"/>
      <c r="AB271" s="38" t="n"/>
      <c r="AC271" s="62" t="n"/>
      <c r="AD271" s="38" t="n"/>
      <c r="AE271" s="38" t="n"/>
      <c r="AF271" s="61">
        <f>IF(COUNTIF($B$5:B271,B271)=1,1,0)</f>
        <v/>
      </c>
      <c r="AG271" s="62" t="inlineStr">
        <is>
          <t>https://www.semana.com/opinion/articulo/una-venezuela-prospera-y-democratica-fundamental-para-colombia/202600/</t>
        </is>
      </c>
    </row>
    <row r="272" ht="15" customHeight="1" s="31">
      <c r="A272" s="38" t="inlineStr">
        <is>
          <t>ART_031</t>
        </is>
      </c>
      <c r="B272" s="38" t="inlineStr">
        <is>
          <t>ART_031_S01</t>
        </is>
      </c>
      <c r="C272" s="38" t="inlineStr">
        <is>
          <t>El Tiempo</t>
        </is>
      </c>
      <c r="D272" s="38" t="inlineStr">
        <is>
          <t>Reformas sociales en disputa (pensional/tributaria)</t>
        </is>
      </c>
      <c r="E272" s="38" t="inlineStr">
        <is>
          <t>Noticia dura</t>
        </is>
      </c>
      <c r="F272" s="38" t="inlineStr">
        <is>
          <t>2026-09-05T01:05:59-05:00</t>
        </is>
      </c>
      <c r="G272" s="62" t="inlineStr">
        <is>
          <t>Llegar a la edad de pensión no significa automáticamente que una persona vaya a recibir una mesada mensual.</t>
        </is>
      </c>
      <c r="H272" s="62" t="n"/>
      <c r="I272" s="62" t="inlineStr">
        <is>
          <t>Para pensionarse también debe cumplir determinadas condiciones, que dependen del régimen al que esté afiliado.</t>
        </is>
      </c>
      <c r="J272" s="38" t="n"/>
      <c r="K272" s="62" t="n"/>
      <c r="L272" s="38" t="n"/>
      <c r="M272" s="62" t="n"/>
      <c r="N272" s="38" t="n"/>
      <c r="O272" s="62" t="n"/>
      <c r="P272" s="38" t="n"/>
      <c r="Q272" s="62" t="n"/>
      <c r="R272" s="38" t="n"/>
      <c r="S272" s="62" t="n"/>
      <c r="T272" s="38" t="n"/>
      <c r="U272" s="62" t="n"/>
      <c r="V272" s="38" t="n"/>
      <c r="W272" s="62" t="n"/>
      <c r="X272" s="38" t="n"/>
      <c r="Y272" s="62" t="n"/>
      <c r="Z272" s="38" t="n"/>
      <c r="AA272" s="62" t="n"/>
      <c r="AB272" s="38" t="n"/>
      <c r="AC272" s="62" t="n"/>
      <c r="AD272" s="38" t="n"/>
      <c r="AE272" s="38" t="n"/>
      <c r="AF272" s="61">
        <f>IF(COUNTIF($B$5:B272,B272)=1,1,0)</f>
        <v/>
      </c>
      <c r="AG272" s="62" t="inlineStr">
        <is>
          <t>https://www.eltiempo.com/economia/finanzas-personales/que-pasa-con-su-dinero-si-no-alcanza-a-cumplir-las-semanas-necesarias-para-pensionarse-consulte-que-hacer-si-esta-en-porvenir-o-colpensiones-3583613</t>
        </is>
      </c>
    </row>
    <row r="273" ht="15" customHeight="1" s="31">
      <c r="A273" s="38" t="inlineStr">
        <is>
          <t>ART_031</t>
        </is>
      </c>
      <c r="B273" s="38" t="inlineStr">
        <is>
          <t>ART_031_S02</t>
        </is>
      </c>
      <c r="C273" s="38" t="inlineStr">
        <is>
          <t>El Tiempo</t>
        </is>
      </c>
      <c r="D273" s="38" t="inlineStr">
        <is>
          <t>Reformas sociales en disputa (pensional/tributaria)</t>
        </is>
      </c>
      <c r="E273" s="38" t="inlineStr">
        <is>
          <t>Noticia dura</t>
        </is>
      </c>
      <c r="F273" s="38" t="inlineStr">
        <is>
          <t>2026-09-05T01:05:59-05:00</t>
        </is>
      </c>
      <c r="G273" s="62" t="inlineStr">
        <is>
          <t>Para pensionarse también debe cumplir determinadas condiciones, que dependen del régimen al que esté afiliado.</t>
        </is>
      </c>
      <c r="H273" s="62" t="inlineStr">
        <is>
          <t>Llegar a la edad de pensión no significa automáticamente que una persona vaya a recibir una mesada mensual.</t>
        </is>
      </c>
      <c r="I273" s="62" t="n"/>
      <c r="J273" s="38" t="n"/>
      <c r="K273" s="62" t="n"/>
      <c r="L273" s="38" t="n"/>
      <c r="M273" s="62" t="n"/>
      <c r="N273" s="38" t="n"/>
      <c r="O273" s="62" t="n"/>
      <c r="P273" s="38" t="n"/>
      <c r="Q273" s="62" t="n"/>
      <c r="R273" s="38" t="n"/>
      <c r="S273" s="62" t="n"/>
      <c r="T273" s="38" t="n"/>
      <c r="U273" s="62" t="n"/>
      <c r="V273" s="38" t="n"/>
      <c r="W273" s="62" t="n"/>
      <c r="X273" s="38" t="n"/>
      <c r="Y273" s="62" t="n"/>
      <c r="Z273" s="38" t="n"/>
      <c r="AA273" s="62" t="n"/>
      <c r="AB273" s="38" t="n"/>
      <c r="AC273" s="62" t="n"/>
      <c r="AD273" s="38" t="n"/>
      <c r="AE273" s="38" t="n"/>
      <c r="AF273" s="61">
        <f>IF(COUNTIF($B$5:B273,B273)=1,1,0)</f>
        <v/>
      </c>
      <c r="AG273" s="62" t="inlineStr">
        <is>
          <t>https://www.eltiempo.com/economia/finanzas-personales/que-pasa-con-su-dinero-si-no-alcanza-a-cumplir-las-semanas-necesarias-para-pensionarse-consulte-que-hacer-si-esta-en-porvenir-o-colpensiones-3583613</t>
        </is>
      </c>
    </row>
    <row r="274" ht="15" customHeight="1" s="31">
      <c r="A274" s="38" t="inlineStr">
        <is>
          <t>ART_032</t>
        </is>
      </c>
      <c r="B274" s="38" t="inlineStr">
        <is>
          <t>ART_032_S01</t>
        </is>
      </c>
      <c r="C274" s="38" t="inlineStr">
        <is>
          <t>El Tiempo</t>
        </is>
      </c>
      <c r="D274" s="38" t="inlineStr">
        <is>
          <t>Respuesta a la emergencia del terremoto</t>
        </is>
      </c>
      <c r="E274" s="38" t="inlineStr">
        <is>
          <t>Opinión-análisis</t>
        </is>
      </c>
      <c r="F274" s="38" t="inlineStr">
        <is>
          <t>2026-08-30T23:15:00-05:00</t>
        </is>
      </c>
      <c r="G274" s="62" t="inlineStr">
        <is>
          <t>El pasado viernes, 29 de agosto, “se convocó”, (¿?) a través de las redes sociales, una “Velatón por las Víctimas del Terremoto, Jornada de Oración” en la plaza de Bolívar, que recomiendo ver en videos con el logo oficial de la Presidencia.</t>
        </is>
      </c>
      <c r="H274" s="62" t="n"/>
      <c r="I274"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J274" s="38" t="n"/>
      <c r="K274" s="62" t="n"/>
      <c r="L274" s="38" t="n"/>
      <c r="M274" s="62" t="n"/>
      <c r="N274" s="38" t="n"/>
      <c r="O274" s="62" t="n"/>
      <c r="P274" s="38" t="n"/>
      <c r="Q274" s="62" t="n"/>
      <c r="R274" s="38" t="n"/>
      <c r="S274" s="62" t="n"/>
      <c r="T274" s="38" t="n"/>
      <c r="U274" s="62" t="n"/>
      <c r="V274" s="38" t="n"/>
      <c r="W274" s="62" t="n"/>
      <c r="X274" s="38" t="n"/>
      <c r="Y274" s="62" t="n"/>
      <c r="Z274" s="38" t="n"/>
      <c r="AA274" s="62" t="n"/>
      <c r="AB274" s="38" t="n"/>
      <c r="AC274" s="62" t="n"/>
      <c r="AD274" s="38" t="n"/>
      <c r="AE274" s="38" t="n"/>
      <c r="AF274" s="61">
        <f>IF(COUNTIF($B$5:B274,B274)=1,1,0)</f>
        <v/>
      </c>
      <c r="AG274" s="62" t="inlineStr">
        <is>
          <t>https://www.eltiempo.com/opinion/columnistas/con-el-favor-de-dios-3582274</t>
        </is>
      </c>
    </row>
    <row r="275" ht="15" customHeight="1" s="31">
      <c r="A275" s="38" t="inlineStr">
        <is>
          <t>ART_032</t>
        </is>
      </c>
      <c r="B275" s="38" t="inlineStr">
        <is>
          <t>ART_032_S02</t>
        </is>
      </c>
      <c r="C275" s="38" t="inlineStr">
        <is>
          <t>El Tiempo</t>
        </is>
      </c>
      <c r="D275" s="38" t="inlineStr">
        <is>
          <t>Respuesta a la emergencia del terremoto</t>
        </is>
      </c>
      <c r="E275" s="38" t="inlineStr">
        <is>
          <t>Opinión-análisis</t>
        </is>
      </c>
      <c r="F275" s="38" t="inlineStr">
        <is>
          <t>2026-08-30T23:15:00-05:00</t>
        </is>
      </c>
      <c r="G275"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H275" s="62" t="inlineStr">
        <is>
          <t>El pasado viernes, 29 de agosto, “se convocó”, (¿?) a través de las redes sociales, una “Velatón por las Víctimas del Terremoto, Jornada de Oración” en la plaza de Bolívar, que recomiendo ver en videos con el logo oficial de la Presidencia.</t>
        </is>
      </c>
      <c r="I275" s="62" t="inlineStr">
        <is>
          <t>Y, como en toda puesta en escena hay una trama y un guion, y también un subtexto y unas referencias de culto, el episodio del viernes ya muestra los motivos centrales de la “batalla cultural” que seguramente serán desarrollados en sucesivas temporadas.</t>
        </is>
      </c>
      <c r="J275" s="38" t="n"/>
      <c r="K275" s="62" t="n"/>
      <c r="L275" s="38" t="n"/>
      <c r="M275" s="62" t="n"/>
      <c r="N275" s="38" t="n"/>
      <c r="O275" s="62" t="n"/>
      <c r="P275" s="38" t="n"/>
      <c r="Q275" s="62" t="n"/>
      <c r="R275" s="38" t="n"/>
      <c r="S275" s="62" t="n"/>
      <c r="T275" s="38" t="n"/>
      <c r="U275" s="62" t="n"/>
      <c r="V275" s="38" t="n"/>
      <c r="W275" s="62" t="n"/>
      <c r="X275" s="38" t="n"/>
      <c r="Y275" s="62" t="n"/>
      <c r="Z275" s="38" t="n"/>
      <c r="AA275" s="62" t="n"/>
      <c r="AB275" s="38" t="n"/>
      <c r="AC275" s="62" t="n"/>
      <c r="AD275" s="38" t="n"/>
      <c r="AE275" s="38" t="n"/>
      <c r="AF275" s="61">
        <f>IF(COUNTIF($B$5:B275,B275)=1,1,0)</f>
        <v/>
      </c>
      <c r="AG275" s="62" t="inlineStr">
        <is>
          <t>https://www.eltiempo.com/opinion/columnistas/con-el-favor-de-dios-3582274</t>
        </is>
      </c>
    </row>
    <row r="276" ht="15" customHeight="1" s="31">
      <c r="A276" s="38" t="inlineStr">
        <is>
          <t>ART_032</t>
        </is>
      </c>
      <c r="B276" s="38" t="inlineStr">
        <is>
          <t>ART_032_S03</t>
        </is>
      </c>
      <c r="C276" s="38" t="inlineStr">
        <is>
          <t>El Tiempo</t>
        </is>
      </c>
      <c r="D276" s="38" t="inlineStr">
        <is>
          <t>Respuesta a la emergencia del terremoto</t>
        </is>
      </c>
      <c r="E276" s="38" t="inlineStr">
        <is>
          <t>Opinión-análisis</t>
        </is>
      </c>
      <c r="F276" s="38" t="inlineStr">
        <is>
          <t>2026-08-30T23:15:00-05:00</t>
        </is>
      </c>
      <c r="G276" s="62" t="inlineStr">
        <is>
          <t>Y, como en toda puesta en escena hay una trama y un guion, y también un subtexto y unas referencias de culto, el episodio del viernes ya muestra los motivos centrales de la “batalla cultural” que seguramente serán desarrollados en sucesivas temporadas.</t>
        </is>
      </c>
      <c r="H276" s="62" t="inlineStr">
        <is>
          <t>Si bien los objetivos de recoger fondos y “orar” por las víctimas son loables, cabe preguntarse quién está detrás de la voz pasiva de esa convocatoria, y de aquella romería performática, y qué rol juega cada personaje, desde los protagónicos hasta los secundarios.</t>
        </is>
      </c>
      <c r="I276" s="62" t="inlineStr">
        <is>
          <t>Lo primero para decir es que el guion (de texto, imágenes y música) no es malo, para los objetivos que persigue, aunque tampoco es original.</t>
        </is>
      </c>
      <c r="J276" s="38" t="n"/>
      <c r="K276" s="62" t="n"/>
      <c r="L276" s="38" t="n"/>
      <c r="M276" s="62" t="n"/>
      <c r="N276" s="38" t="n"/>
      <c r="O276" s="62" t="n"/>
      <c r="P276" s="38" t="n"/>
      <c r="Q276" s="62" t="n"/>
      <c r="R276" s="38" t="n"/>
      <c r="S276" s="62" t="n"/>
      <c r="T276" s="38" t="n"/>
      <c r="U276" s="62" t="n"/>
      <c r="V276" s="38" t="n"/>
      <c r="W276" s="62" t="n"/>
      <c r="X276" s="38" t="n"/>
      <c r="Y276" s="62" t="n"/>
      <c r="Z276" s="38" t="n"/>
      <c r="AA276" s="62" t="n"/>
      <c r="AB276" s="38" t="n"/>
      <c r="AC276" s="62" t="n"/>
      <c r="AD276" s="38" t="n"/>
      <c r="AE276" s="38" t="n"/>
      <c r="AF276" s="61">
        <f>IF(COUNTIF($B$5:B276,B276)=1,1,0)</f>
        <v/>
      </c>
      <c r="AG276" s="62" t="inlineStr">
        <is>
          <t>https://www.eltiempo.com/opinion/columnistas/con-el-favor-de-dios-3582274</t>
        </is>
      </c>
    </row>
    <row r="277" ht="15" customHeight="1" s="31">
      <c r="A277" s="38" t="inlineStr">
        <is>
          <t>ART_032</t>
        </is>
      </c>
      <c r="B277" s="38" t="inlineStr">
        <is>
          <t>ART_032_S04</t>
        </is>
      </c>
      <c r="C277" s="38" t="inlineStr">
        <is>
          <t>El Tiempo</t>
        </is>
      </c>
      <c r="D277" s="38" t="inlineStr">
        <is>
          <t>Respuesta a la emergencia del terremoto</t>
        </is>
      </c>
      <c r="E277" s="38" t="inlineStr">
        <is>
          <t>Opinión-análisis</t>
        </is>
      </c>
      <c r="F277" s="38" t="inlineStr">
        <is>
          <t>2026-08-30T23:15:00-05:00</t>
        </is>
      </c>
      <c r="G277" s="62" t="inlineStr">
        <is>
          <t>Lo primero para decir es que el guion (de texto, imágenes y música) no es malo, para los objetivos que persigue, aunque tampoco es original.</t>
        </is>
      </c>
      <c r="H277" s="62" t="inlineStr">
        <is>
          <t>Y, como en toda puesta en escena hay una trama y un guion, y también un subtexto y unas referencias de culto, el episodio del viernes ya muestra los motivos centrales de la “batalla cultural” que seguramente serán desarrollados en sucesivas temporadas.</t>
        </is>
      </c>
      <c r="I277"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J277" s="38" t="n"/>
      <c r="K277" s="62" t="n"/>
      <c r="L277" s="38" t="n"/>
      <c r="M277" s="62" t="n"/>
      <c r="N277" s="38" t="n"/>
      <c r="O277" s="62" t="n"/>
      <c r="P277" s="38" t="n"/>
      <c r="Q277" s="62" t="n"/>
      <c r="R277" s="38" t="n"/>
      <c r="S277" s="62" t="n"/>
      <c r="T277" s="38" t="n"/>
      <c r="U277" s="62" t="n"/>
      <c r="V277" s="38" t="n"/>
      <c r="W277" s="62" t="n"/>
      <c r="X277" s="38" t="n"/>
      <c r="Y277" s="62" t="n"/>
      <c r="Z277" s="38" t="n"/>
      <c r="AA277" s="62" t="n"/>
      <c r="AB277" s="38" t="n"/>
      <c r="AC277" s="62" t="n"/>
      <c r="AD277" s="38" t="n"/>
      <c r="AE277" s="38" t="n"/>
      <c r="AF277" s="61">
        <f>IF(COUNTIF($B$5:B277,B277)=1,1,0)</f>
        <v/>
      </c>
      <c r="AG277" s="62" t="inlineStr">
        <is>
          <t>https://www.eltiempo.com/opinion/columnistas/con-el-favor-de-dios-3582274</t>
        </is>
      </c>
    </row>
    <row r="278" ht="15" customHeight="1" s="31">
      <c r="A278" s="38" t="inlineStr">
        <is>
          <t>ART_032</t>
        </is>
      </c>
      <c r="B278" s="38" t="inlineStr">
        <is>
          <t>ART_032_S05</t>
        </is>
      </c>
      <c r="C278" s="38" t="inlineStr">
        <is>
          <t>El Tiempo</t>
        </is>
      </c>
      <c r="D278" s="38" t="inlineStr">
        <is>
          <t>Respuesta a la emergencia del terremoto</t>
        </is>
      </c>
      <c r="E278" s="38" t="inlineStr">
        <is>
          <t>Opinión-análisis</t>
        </is>
      </c>
      <c r="F278" s="38" t="inlineStr">
        <is>
          <t>2026-08-30T23:15:00-05:00</t>
        </is>
      </c>
      <c r="G278"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H278" s="62" t="inlineStr">
        <is>
          <t>Lo primero para decir es que el guion (de texto, imágenes y música) no es malo, para los objetivos que persigue, aunque tampoco es original.</t>
        </is>
      </c>
      <c r="I278" s="62" t="inlineStr">
        <is>
          <t>Es un acierto también el orden de aparición de los “líderes interreligiosos”, como los llama la primera dama en su discurso de invocación.</t>
        </is>
      </c>
      <c r="J278" s="38" t="n"/>
      <c r="K278" s="62" t="n"/>
      <c r="L278" s="38" t="n"/>
      <c r="M278" s="62" t="n"/>
      <c r="N278" s="38" t="n"/>
      <c r="O278" s="62" t="n"/>
      <c r="P278" s="38" t="n"/>
      <c r="Q278" s="62" t="n"/>
      <c r="R278" s="38" t="n"/>
      <c r="S278" s="62" t="n"/>
      <c r="T278" s="38" t="n"/>
      <c r="U278" s="62" t="n"/>
      <c r="V278" s="38" t="n"/>
      <c r="W278" s="62" t="n"/>
      <c r="X278" s="38" t="n"/>
      <c r="Y278" s="62" t="n"/>
      <c r="Z278" s="38" t="n"/>
      <c r="AA278" s="62" t="n"/>
      <c r="AB278" s="38" t="n"/>
      <c r="AC278" s="62" t="n"/>
      <c r="AD278" s="38" t="n"/>
      <c r="AE278" s="38" t="n"/>
      <c r="AF278" s="61">
        <f>IF(COUNTIF($B$5:B278,B278)=1,1,0)</f>
        <v/>
      </c>
      <c r="AG278" s="62" t="inlineStr">
        <is>
          <t>https://www.eltiempo.com/opinion/columnistas/con-el-favor-de-dios-3582274</t>
        </is>
      </c>
    </row>
    <row r="279" ht="15" customHeight="1" s="31">
      <c r="A279" s="38" t="inlineStr">
        <is>
          <t>ART_032</t>
        </is>
      </c>
      <c r="B279" s="38" t="inlineStr">
        <is>
          <t>ART_032_S06</t>
        </is>
      </c>
      <c r="C279" s="38" t="inlineStr">
        <is>
          <t>El Tiempo</t>
        </is>
      </c>
      <c r="D279" s="38" t="inlineStr">
        <is>
          <t>Respuesta a la emergencia del terremoto</t>
        </is>
      </c>
      <c r="E279" s="38" t="inlineStr">
        <is>
          <t>Opinión-análisis</t>
        </is>
      </c>
      <c r="F279" s="38" t="inlineStr">
        <is>
          <t>2026-08-30T23:15:00-05:00</t>
        </is>
      </c>
      <c r="G279" s="62" t="inlineStr">
        <is>
          <t>Es un acierto también el orden de aparición de los “líderes interreligiosos”, como los llama la primera dama en su discurso de invocación.</t>
        </is>
      </c>
      <c r="H279" s="62" t="inlineStr">
        <is>
          <t>Y lo segundo es que, a pesar de cierta obviedad, la paleta de colores del vestuario (primera dama/Virgen de Fátima) funciona bien, e incluso se refuerza con personajes secundarios como la esposa del Vicepresidente, puesta ahí, al parecer, para dar continuidad a un decorado pastel claro.</t>
        </is>
      </c>
      <c r="I279" s="62" t="n"/>
      <c r="J279" s="38" t="n"/>
      <c r="K279" s="62" t="n"/>
      <c r="L279" s="38" t="n"/>
      <c r="M279" s="62" t="n"/>
      <c r="N279" s="38" t="n"/>
      <c r="O279" s="62" t="n"/>
      <c r="P279" s="38" t="n"/>
      <c r="Q279" s="62" t="n"/>
      <c r="R279" s="38" t="n"/>
      <c r="S279" s="62" t="n"/>
      <c r="T279" s="38" t="n"/>
      <c r="U279" s="62" t="n"/>
      <c r="V279" s="38" t="n"/>
      <c r="W279" s="62" t="n"/>
      <c r="X279" s="38" t="n"/>
      <c r="Y279" s="62" t="n"/>
      <c r="Z279" s="38" t="n"/>
      <c r="AA279" s="62" t="n"/>
      <c r="AB279" s="38" t="n"/>
      <c r="AC279" s="62" t="n"/>
      <c r="AD279" s="38" t="n"/>
      <c r="AE279" s="38" t="n"/>
      <c r="AF279" s="61">
        <f>IF(COUNTIF($B$5:B279,B279)=1,1,0)</f>
        <v/>
      </c>
      <c r="AG279" s="62" t="inlineStr">
        <is>
          <t>https://www.eltiempo.com/opinion/columnistas/con-el-favor-de-dios-3582274</t>
        </is>
      </c>
    </row>
    <row r="280" ht="15" customHeight="1" s="31">
      <c r="A280" s="38" t="inlineStr">
        <is>
          <t>ART_033</t>
        </is>
      </c>
      <c r="B280" s="38" t="inlineStr">
        <is>
          <t>ART_033_S01</t>
        </is>
      </c>
      <c r="C280" s="38" t="inlineStr">
        <is>
          <t>El Espectador</t>
        </is>
      </c>
      <c r="D280" s="38" t="inlineStr">
        <is>
          <t>Relación con Estados Unidos</t>
        </is>
      </c>
      <c r="E280" s="38" t="inlineStr">
        <is>
          <t>Noticia dura</t>
        </is>
      </c>
      <c r="F280" s="38" t="inlineStr">
        <is>
          <t>Fri, 04 Sep 2026 23:58:00 +0000</t>
        </is>
      </c>
      <c r="G280" s="62" t="inlineStr">
        <is>
          <t>La aerolínea Avianca confirmó que canceló los tiquetes adquiridos por el expresidente Gustavo Petro para su viaje a México debido a que está incluido en la lista OFAC.</t>
        </is>
      </c>
      <c r="H280" s="62" t="n"/>
      <c r="I280" s="62" t="inlineStr">
        <is>
          <t>El expresidente les respondió.</t>
        </is>
      </c>
      <c r="J280" s="38" t="n"/>
      <c r="K280" s="62" t="n"/>
      <c r="L280" s="38" t="n"/>
      <c r="M280" s="62" t="n"/>
      <c r="N280" s="38" t="n"/>
      <c r="O280" s="62" t="n"/>
      <c r="P280" s="38" t="n"/>
      <c r="Q280" s="62" t="n"/>
      <c r="R280" s="38" t="n"/>
      <c r="S280" s="62" t="n"/>
      <c r="T280" s="38" t="n"/>
      <c r="U280" s="62" t="n"/>
      <c r="V280" s="38" t="n"/>
      <c r="W280" s="62" t="n"/>
      <c r="X280" s="38" t="n"/>
      <c r="Y280" s="62" t="n"/>
      <c r="Z280" s="38" t="n"/>
      <c r="AA280" s="62" t="n"/>
      <c r="AB280" s="38" t="n"/>
      <c r="AC280" s="62" t="n"/>
      <c r="AD280" s="38" t="n"/>
      <c r="AE280" s="38" t="n"/>
      <c r="AF280" s="61">
        <f>IF(COUNTIF($B$5:B280,B280)=1,1,0)</f>
        <v/>
      </c>
      <c r="AG280" s="62" t="inlineStr">
        <is>
          <t>https://www.elespectador.com/politica/avianca-confirma-que-cancelo-tiquetes-de-petro-a-mexico-esto-dijo-el-expresidente/</t>
        </is>
      </c>
    </row>
    <row r="281" ht="15" customHeight="1" s="31">
      <c r="A281" s="38" t="inlineStr">
        <is>
          <t>ART_033</t>
        </is>
      </c>
      <c r="B281" s="38" t="inlineStr">
        <is>
          <t>ART_033_S02</t>
        </is>
      </c>
      <c r="C281" s="38" t="inlineStr">
        <is>
          <t>El Espectador</t>
        </is>
      </c>
      <c r="D281" s="38" t="inlineStr">
        <is>
          <t>Relación con Estados Unidos</t>
        </is>
      </c>
      <c r="E281" s="38" t="inlineStr">
        <is>
          <t>Noticia dura</t>
        </is>
      </c>
      <c r="F281" s="38" t="inlineStr">
        <is>
          <t>Fri, 04 Sep 2026 23:58:00 +0000</t>
        </is>
      </c>
      <c r="G281" s="62" t="inlineStr">
        <is>
          <t>El expresidente les respondió.</t>
        </is>
      </c>
      <c r="H281" s="62" t="inlineStr">
        <is>
          <t>La aerolínea Avianca confirmó que canceló los tiquetes adquiridos por el expresidente Gustavo Petro para su viaje a México debido a que está incluido en la lista OFAC.</t>
        </is>
      </c>
      <c r="I281"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J281" s="38" t="n"/>
      <c r="K281" s="62" t="n"/>
      <c r="L281" s="38" t="n"/>
      <c r="M281" s="62" t="n"/>
      <c r="N281" s="38" t="n"/>
      <c r="O281" s="62" t="n"/>
      <c r="P281" s="38" t="n"/>
      <c r="Q281" s="62" t="n"/>
      <c r="R281" s="38" t="n"/>
      <c r="S281" s="62" t="n"/>
      <c r="T281" s="38" t="n"/>
      <c r="U281" s="62" t="n"/>
      <c r="V281" s="38" t="n"/>
      <c r="W281" s="62" t="n"/>
      <c r="X281" s="38" t="n"/>
      <c r="Y281" s="62" t="n"/>
      <c r="Z281" s="38" t="n"/>
      <c r="AA281" s="62" t="n"/>
      <c r="AB281" s="38" t="n"/>
      <c r="AC281" s="62" t="n"/>
      <c r="AD281" s="38" t="n"/>
      <c r="AE281" s="38" t="n"/>
      <c r="AF281" s="61">
        <f>IF(COUNTIF($B$5:B281,B281)=1,1,0)</f>
        <v/>
      </c>
      <c r="AG281" s="62" t="inlineStr">
        <is>
          <t>https://www.elespectador.com/politica/avianca-confirma-que-cancelo-tiquetes-de-petro-a-mexico-esto-dijo-el-expresidente/</t>
        </is>
      </c>
    </row>
    <row r="282" ht="15" customHeight="1" s="31">
      <c r="A282" s="38" t="inlineStr">
        <is>
          <t>ART_033</t>
        </is>
      </c>
      <c r="B282" s="38" t="inlineStr">
        <is>
          <t>ART_033_S03</t>
        </is>
      </c>
      <c r="C282" s="38" t="inlineStr">
        <is>
          <t>El Espectador</t>
        </is>
      </c>
      <c r="D282" s="38" t="inlineStr">
        <is>
          <t>Relación con Estados Unidos</t>
        </is>
      </c>
      <c r="E282" s="38" t="inlineStr">
        <is>
          <t>Noticia dura</t>
        </is>
      </c>
      <c r="F282" s="38" t="inlineStr">
        <is>
          <t>Fri, 04 Sep 2026 23:58:00 +0000</t>
        </is>
      </c>
      <c r="G282"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H282" s="62" t="inlineStr">
        <is>
          <t>El expresidente les respondió.</t>
        </is>
      </c>
      <c r="I282" s="62" t="inlineStr">
        <is>
          <t>Lea: Gobernadores se reunieron con presidente De la Espriella y elevaron peticiones regionales</t>
        </is>
      </c>
      <c r="J282" s="38" t="n"/>
      <c r="K282" s="62" t="n"/>
      <c r="L282" s="38" t="n"/>
      <c r="M282" s="62" t="n"/>
      <c r="N282" s="38" t="n"/>
      <c r="O282" s="62" t="n"/>
      <c r="P282" s="38" t="n"/>
      <c r="Q282" s="62" t="n"/>
      <c r="R282" s="38" t="n"/>
      <c r="S282" s="62" t="n"/>
      <c r="T282" s="38" t="n"/>
      <c r="U282" s="62" t="n"/>
      <c r="V282" s="38" t="n"/>
      <c r="W282" s="62" t="n"/>
      <c r="X282" s="38" t="n"/>
      <c r="Y282" s="62" t="n"/>
      <c r="Z282" s="38" t="n"/>
      <c r="AA282" s="62" t="n"/>
      <c r="AB282" s="38" t="n"/>
      <c r="AC282" s="62" t="n"/>
      <c r="AD282" s="38" t="n"/>
      <c r="AE282" s="38" t="n"/>
      <c r="AF282" s="61">
        <f>IF(COUNTIF($B$5:B282,B282)=1,1,0)</f>
        <v/>
      </c>
      <c r="AG282" s="62" t="inlineStr">
        <is>
          <t>https://www.elespectador.com/politica/avianca-confirma-que-cancelo-tiquetes-de-petro-a-mexico-esto-dijo-el-expresidente/</t>
        </is>
      </c>
    </row>
    <row r="283" ht="15" customHeight="1" s="31">
      <c r="A283" s="38" t="inlineStr">
        <is>
          <t>ART_033</t>
        </is>
      </c>
      <c r="B283" s="38" t="inlineStr">
        <is>
          <t>ART_033_S04</t>
        </is>
      </c>
      <c r="C283" s="38" t="inlineStr">
        <is>
          <t>El Espectador</t>
        </is>
      </c>
      <c r="D283" s="38" t="inlineStr">
        <is>
          <t>Relación con Estados Unidos</t>
        </is>
      </c>
      <c r="E283" s="38" t="inlineStr">
        <is>
          <t>Noticia dura</t>
        </is>
      </c>
      <c r="F283" s="38" t="inlineStr">
        <is>
          <t>Fri, 04 Sep 2026 23:58:00 +0000</t>
        </is>
      </c>
      <c r="G283" s="62" t="inlineStr">
        <is>
          <t>Lea: Gobernadores se reunieron con presidente De la Espriella y elevaron peticiones regionales</t>
        </is>
      </c>
      <c r="H283"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I283"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J283" s="38" t="n"/>
      <c r="K283" s="62" t="n"/>
      <c r="L283" s="38" t="n"/>
      <c r="M283" s="62" t="n"/>
      <c r="N283" s="38" t="n"/>
      <c r="O283" s="62" t="n"/>
      <c r="P283" s="38" t="n"/>
      <c r="Q283" s="62" t="n"/>
      <c r="R283" s="38" t="n"/>
      <c r="S283" s="62" t="n"/>
      <c r="T283" s="38" t="n"/>
      <c r="U283" s="62" t="n"/>
      <c r="V283" s="38" t="n"/>
      <c r="W283" s="62" t="n"/>
      <c r="X283" s="38" t="n"/>
      <c r="Y283" s="62" t="n"/>
      <c r="Z283" s="38" t="n"/>
      <c r="AA283" s="62" t="n"/>
      <c r="AB283" s="38" t="n"/>
      <c r="AC283" s="62" t="n"/>
      <c r="AD283" s="38" t="n"/>
      <c r="AE283" s="38" t="n"/>
      <c r="AF283" s="61">
        <f>IF(COUNTIF($B$5:B283,B283)=1,1,0)</f>
        <v/>
      </c>
      <c r="AG283" s="62" t="inlineStr">
        <is>
          <t>https://www.elespectador.com/politica/avianca-confirma-que-cancelo-tiquetes-de-petro-a-mexico-esto-dijo-el-expresidente/</t>
        </is>
      </c>
    </row>
    <row r="284" ht="15" customHeight="1" s="31">
      <c r="A284" s="38" t="inlineStr">
        <is>
          <t>ART_033</t>
        </is>
      </c>
      <c r="B284" s="38" t="inlineStr">
        <is>
          <t>ART_033_S05</t>
        </is>
      </c>
      <c r="C284" s="38" t="inlineStr">
        <is>
          <t>El Espectador</t>
        </is>
      </c>
      <c r="D284" s="38" t="inlineStr">
        <is>
          <t>Relación con Estados Unidos</t>
        </is>
      </c>
      <c r="E284" s="38" t="inlineStr">
        <is>
          <t>Noticia dura</t>
        </is>
      </c>
      <c r="F284" s="38" t="inlineStr">
        <is>
          <t>Fri, 04 Sep 2026 23:58:00 +0000</t>
        </is>
      </c>
      <c r="G284"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H284" s="62" t="inlineStr">
        <is>
          <t>Lea: Gobernadores se reunieron con presidente De la Espriella y elevaron peticiones regionales</t>
        </is>
      </c>
      <c r="I284" s="62" t="inlineStr">
        <is>
          <t>Por esta razón, la aerolínea canceló las reservas que fueron hechas por el expresidente Gustavo Petro y reembolsó la totalidad del valor que había sido pagado.</t>
        </is>
      </c>
      <c r="J284" s="38" t="n"/>
      <c r="K284" s="62" t="n"/>
      <c r="L284" s="38" t="n"/>
      <c r="M284" s="62" t="n"/>
      <c r="N284" s="38" t="n"/>
      <c r="O284" s="62" t="n"/>
      <c r="P284" s="38" t="n"/>
      <c r="Q284" s="62" t="n"/>
      <c r="R284" s="38" t="n"/>
      <c r="S284" s="62" t="n"/>
      <c r="T284" s="38" t="n"/>
      <c r="U284" s="62" t="n"/>
      <c r="V284" s="38" t="n"/>
      <c r="W284" s="62" t="n"/>
      <c r="X284" s="38" t="n"/>
      <c r="Y284" s="62" t="n"/>
      <c r="Z284" s="38" t="n"/>
      <c r="AA284" s="62" t="n"/>
      <c r="AB284" s="38" t="n"/>
      <c r="AC284" s="62" t="n"/>
      <c r="AD284" s="38" t="n"/>
      <c r="AE284" s="38" t="n"/>
      <c r="AF284" s="61">
        <f>IF(COUNTIF($B$5:B284,B284)=1,1,0)</f>
        <v/>
      </c>
      <c r="AG284" s="62" t="inlineStr">
        <is>
          <t>https://www.elespectador.com/politica/avianca-confirma-que-cancelo-tiquetes-de-petro-a-mexico-esto-dijo-el-expresidente/</t>
        </is>
      </c>
    </row>
    <row r="285" ht="15" customHeight="1" s="31">
      <c r="A285" s="38" t="inlineStr">
        <is>
          <t>ART_033</t>
        </is>
      </c>
      <c r="B285" s="38" t="inlineStr">
        <is>
          <t>ART_033_S06</t>
        </is>
      </c>
      <c r="C285" s="38" t="inlineStr">
        <is>
          <t>El Espectador</t>
        </is>
      </c>
      <c r="D285" s="38" t="inlineStr">
        <is>
          <t>Relación con Estados Unidos</t>
        </is>
      </c>
      <c r="E285" s="38" t="inlineStr">
        <is>
          <t>Noticia dura</t>
        </is>
      </c>
      <c r="F285" s="38" t="inlineStr">
        <is>
          <t>Fri, 04 Sep 2026 23:58:00 +0000</t>
        </is>
      </c>
      <c r="G285" s="62" t="inlineStr">
        <is>
          <t>Por esta razón, la aerolínea canceló las reservas que fueron hechas por el expresidente Gustavo Petro y reembolsó la totalidad del valor que había sido pagado.</t>
        </is>
      </c>
      <c r="H285"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I285" s="62" t="n"/>
      <c r="J285" s="38" t="n"/>
      <c r="K285" s="62" t="n"/>
      <c r="L285" s="38" t="n"/>
      <c r="M285" s="62" t="n"/>
      <c r="N285" s="38" t="n"/>
      <c r="O285" s="62" t="n"/>
      <c r="P285" s="38" t="n"/>
      <c r="Q285" s="62" t="n"/>
      <c r="R285" s="38" t="n"/>
      <c r="S285" s="62" t="n"/>
      <c r="T285" s="38" t="n"/>
      <c r="U285" s="62" t="n"/>
      <c r="V285" s="38" t="n"/>
      <c r="W285" s="62" t="n"/>
      <c r="X285" s="38" t="n"/>
      <c r="Y285" s="62" t="n"/>
      <c r="Z285" s="38" t="n"/>
      <c r="AA285" s="62" t="n"/>
      <c r="AB285" s="38" t="n"/>
      <c r="AC285" s="62" t="n"/>
      <c r="AD285" s="38" t="n"/>
      <c r="AE285" s="38" t="n"/>
      <c r="AF285" s="61">
        <f>IF(COUNTIF($B$5:B285,B285)=1,1,0)</f>
        <v/>
      </c>
      <c r="AG285" s="62" t="inlineStr">
        <is>
          <t>https://www.elespectador.com/politica/avianca-confirma-que-cancelo-tiquetes-de-petro-a-mexico-esto-dijo-el-expresidente/</t>
        </is>
      </c>
    </row>
    <row r="286" ht="15" customHeight="1" s="31">
      <c r="A286" s="38" t="inlineStr">
        <is>
          <t>ART_034</t>
        </is>
      </c>
      <c r="B286" s="38" t="inlineStr">
        <is>
          <t>ART_034_S01</t>
        </is>
      </c>
      <c r="C286" s="38" t="inlineStr">
        <is>
          <t>El Espectador</t>
        </is>
      </c>
      <c r="D286" s="38" t="inlineStr">
        <is>
          <t>Seguridad y orden público</t>
        </is>
      </c>
      <c r="E286" s="38" t="inlineStr">
        <is>
          <t>Noticia dura</t>
        </is>
      </c>
      <c r="F286" s="38" t="inlineStr">
        <is>
          <t>Sun, 06 Sep 2026 00:22:17 +0000</t>
        </is>
      </c>
      <c r="G286"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H286" s="62" t="n"/>
      <c r="I286" s="62" t="inlineStr">
        <is>
          <t>En contexto: Tres soldados mueren en combate tras ataque del Eln con drones en Norte de Santander</t>
        </is>
      </c>
      <c r="J286" s="38" t="n"/>
      <c r="K286" s="62" t="n"/>
      <c r="L286" s="38" t="n"/>
      <c r="M286" s="62" t="n"/>
      <c r="N286" s="38" t="n"/>
      <c r="O286" s="62" t="n"/>
      <c r="P286" s="38" t="n"/>
      <c r="Q286" s="62" t="n"/>
      <c r="R286" s="38" t="n"/>
      <c r="S286" s="62" t="n"/>
      <c r="T286" s="38" t="n"/>
      <c r="U286" s="62" t="n"/>
      <c r="V286" s="38" t="n"/>
      <c r="W286" s="62" t="n"/>
      <c r="X286" s="38" t="n"/>
      <c r="Y286" s="62" t="n"/>
      <c r="Z286" s="38" t="n"/>
      <c r="AA286" s="62" t="n"/>
      <c r="AB286" s="38" t="n"/>
      <c r="AC286" s="62" t="n"/>
      <c r="AD286" s="38" t="n"/>
      <c r="AE286" s="38" t="n"/>
      <c r="AF286" s="61">
        <f>IF(COUNTIF($B$5:B286,B286)=1,1,0)</f>
        <v/>
      </c>
      <c r="AG286" s="62" t="inlineStr">
        <is>
          <t>https://www.elespectador.com/judicial/mindefensa-anuncia-nuevas-medidas-de-seguridad-tras-ataque-con-drones-del-eln-en-ocana/</t>
        </is>
      </c>
    </row>
    <row r="287" ht="15" customHeight="1" s="31">
      <c r="A287" s="38" t="inlineStr">
        <is>
          <t>ART_034</t>
        </is>
      </c>
      <c r="B287" s="38" t="inlineStr">
        <is>
          <t>ART_034_S02</t>
        </is>
      </c>
      <c r="C287" s="38" t="inlineStr">
        <is>
          <t>El Espectador</t>
        </is>
      </c>
      <c r="D287" s="38" t="inlineStr">
        <is>
          <t>Seguridad y orden público</t>
        </is>
      </c>
      <c r="E287" s="38" t="inlineStr">
        <is>
          <t>Noticia dura</t>
        </is>
      </c>
      <c r="F287" s="38" t="inlineStr">
        <is>
          <t>Sun, 06 Sep 2026 00:22:17 +0000</t>
        </is>
      </c>
      <c r="G287" s="62" t="inlineStr">
        <is>
          <t>En contexto: Tres soldados mueren en combate tras ataque del Eln con drones en Norte de Santander</t>
        </is>
      </c>
      <c r="H287"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I287" s="62" t="inlineStr">
        <is>
          <t>Las decisiones se adoptaron en un consejo de seguridad en el que participaron el gobernador de Norte de Santander y altos mandos militares y policiales de la región.</t>
        </is>
      </c>
      <c r="J287" s="38" t="n"/>
      <c r="K287" s="62" t="n"/>
      <c r="L287" s="38" t="n"/>
      <c r="M287" s="62" t="n"/>
      <c r="N287" s="38" t="n"/>
      <c r="O287" s="62" t="n"/>
      <c r="P287" s="38" t="n"/>
      <c r="Q287" s="62" t="n"/>
      <c r="R287" s="38" t="n"/>
      <c r="S287" s="62" t="n"/>
      <c r="T287" s="38" t="n"/>
      <c r="U287" s="62" t="n"/>
      <c r="V287" s="38" t="n"/>
      <c r="W287" s="62" t="n"/>
      <c r="X287" s="38" t="n"/>
      <c r="Y287" s="62" t="n"/>
      <c r="Z287" s="38" t="n"/>
      <c r="AA287" s="62" t="n"/>
      <c r="AB287" s="38" t="n"/>
      <c r="AC287" s="62" t="n"/>
      <c r="AD287" s="38" t="n"/>
      <c r="AE287" s="38" t="n"/>
      <c r="AF287" s="61">
        <f>IF(COUNTIF($B$5:B287,B287)=1,1,0)</f>
        <v/>
      </c>
      <c r="AG287" s="62" t="inlineStr">
        <is>
          <t>https://www.elespectador.com/judicial/mindefensa-anuncia-nuevas-medidas-de-seguridad-tras-ataque-con-drones-del-eln-en-ocana/</t>
        </is>
      </c>
    </row>
    <row r="288" ht="15" customHeight="1" s="31">
      <c r="A288" s="38" t="inlineStr">
        <is>
          <t>ART_034</t>
        </is>
      </c>
      <c r="B288" s="38" t="inlineStr">
        <is>
          <t>ART_034_S03</t>
        </is>
      </c>
      <c r="C288" s="38" t="inlineStr">
        <is>
          <t>El Espectador</t>
        </is>
      </c>
      <c r="D288" s="38" t="inlineStr">
        <is>
          <t>Seguridad y orden público</t>
        </is>
      </c>
      <c r="E288" s="38" t="inlineStr">
        <is>
          <t>Noticia dura</t>
        </is>
      </c>
      <c r="F288" s="38" t="inlineStr">
        <is>
          <t>Sun, 06 Sep 2026 00:22:17 +0000</t>
        </is>
      </c>
      <c r="G288" s="62" t="inlineStr">
        <is>
          <t>Las decisiones se adoptaron en un consejo de seguridad en el que participaron el gobernador de Norte de Santander y altos mandos militares y policiales de la región.</t>
        </is>
      </c>
      <c r="H288" s="62" t="inlineStr">
        <is>
          <t>En contexto: Tres soldados mueren en combate tras ataque del Eln con drones en Norte de Santander</t>
        </is>
      </c>
      <c r="I288"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J288" s="38" t="n"/>
      <c r="K288" s="62" t="n"/>
      <c r="L288" s="38" t="n"/>
      <c r="M288" s="62" t="n"/>
      <c r="N288" s="38" t="n"/>
      <c r="O288" s="62" t="n"/>
      <c r="P288" s="38" t="n"/>
      <c r="Q288" s="62" t="n"/>
      <c r="R288" s="38" t="n"/>
      <c r="S288" s="62" t="n"/>
      <c r="T288" s="38" t="n"/>
      <c r="U288" s="62" t="n"/>
      <c r="V288" s="38" t="n"/>
      <c r="W288" s="62" t="n"/>
      <c r="X288" s="38" t="n"/>
      <c r="Y288" s="62" t="n"/>
      <c r="Z288" s="38" t="n"/>
      <c r="AA288" s="62" t="n"/>
      <c r="AB288" s="38" t="n"/>
      <c r="AC288" s="62" t="n"/>
      <c r="AD288" s="38" t="n"/>
      <c r="AE288" s="38" t="n"/>
      <c r="AF288" s="61">
        <f>IF(COUNTIF($B$5:B288,B288)=1,1,0)</f>
        <v/>
      </c>
      <c r="AG288" s="62" t="inlineStr">
        <is>
          <t>https://www.elespectador.com/judicial/mindefensa-anuncia-nuevas-medidas-de-seguridad-tras-ataque-con-drones-del-eln-en-ocana/</t>
        </is>
      </c>
    </row>
    <row r="289" ht="15" customHeight="1" s="31">
      <c r="A289" s="38" t="inlineStr">
        <is>
          <t>ART_034</t>
        </is>
      </c>
      <c r="B289" s="38" t="inlineStr">
        <is>
          <t>ART_034_S04</t>
        </is>
      </c>
      <c r="C289" s="38" t="inlineStr">
        <is>
          <t>El Espectador</t>
        </is>
      </c>
      <c r="D289" s="38" t="inlineStr">
        <is>
          <t>Seguridad y orden público</t>
        </is>
      </c>
      <c r="E289" s="38" t="inlineStr">
        <is>
          <t>Noticia dura</t>
        </is>
      </c>
      <c r="F289" s="38" t="inlineStr">
        <is>
          <t>Sun, 06 Sep 2026 00:22:17 +0000</t>
        </is>
      </c>
      <c r="G289"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H289" s="62" t="inlineStr">
        <is>
          <t>Las decisiones se adoptaron en un consejo de seguridad en el que participaron el gobernador de Norte de Santander y altos mandos militares y policiales de la región.</t>
        </is>
      </c>
      <c r="I289" s="62" t="inlineStr">
        <is>
          <t>También se dispuso fortalecer el bloqueo y la contención de los corredores utilizados por los grupos armados ilegales para movilizar hombres, armas, explosivos y recursos ilícitos entre el sur del Cesar y Ocaña.</t>
        </is>
      </c>
      <c r="J289" s="38" t="n"/>
      <c r="K289" s="62" t="n"/>
      <c r="L289" s="38" t="n"/>
      <c r="M289" s="62" t="n"/>
      <c r="N289" s="38" t="n"/>
      <c r="O289" s="62" t="n"/>
      <c r="P289" s="38" t="n"/>
      <c r="Q289" s="62" t="n"/>
      <c r="R289" s="38" t="n"/>
      <c r="S289" s="62" t="n"/>
      <c r="T289" s="38" t="n"/>
      <c r="U289" s="62" t="n"/>
      <c r="V289" s="38" t="n"/>
      <c r="W289" s="62" t="n"/>
      <c r="X289" s="38" t="n"/>
      <c r="Y289" s="62" t="n"/>
      <c r="Z289" s="38" t="n"/>
      <c r="AA289" s="62" t="n"/>
      <c r="AB289" s="38" t="n"/>
      <c r="AC289" s="62" t="n"/>
      <c r="AD289" s="38" t="n"/>
      <c r="AE289" s="38" t="n"/>
      <c r="AF289" s="61">
        <f>IF(COUNTIF($B$5:B289,B289)=1,1,0)</f>
        <v/>
      </c>
      <c r="AG289" s="62" t="inlineStr">
        <is>
          <t>https://www.elespectador.com/judicial/mindefensa-anuncia-nuevas-medidas-de-seguridad-tras-ataque-con-drones-del-eln-en-ocana/</t>
        </is>
      </c>
    </row>
    <row r="290" ht="15" customHeight="1" s="31">
      <c r="A290" s="38" t="inlineStr">
        <is>
          <t>ART_034</t>
        </is>
      </c>
      <c r="B290" s="38" t="inlineStr">
        <is>
          <t>ART_034_S05</t>
        </is>
      </c>
      <c r="C290" s="38" t="inlineStr">
        <is>
          <t>El Espectador</t>
        </is>
      </c>
      <c r="D290" s="38" t="inlineStr">
        <is>
          <t>Seguridad y orden público</t>
        </is>
      </c>
      <c r="E290" s="38" t="inlineStr">
        <is>
          <t>Noticia dura</t>
        </is>
      </c>
      <c r="F290" s="38" t="inlineStr">
        <is>
          <t>Sun, 06 Sep 2026 00:22:17 +0000</t>
        </is>
      </c>
      <c r="G290" s="62" t="inlineStr">
        <is>
          <t>También se dispuso fortalecer el bloqueo y la contención de los corredores utilizados por los grupos armados ilegales para movilizar hombres, armas, explosivos y recursos ilícitos entre el sur del Cesar y Ocaña.</t>
        </is>
      </c>
      <c r="H290"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I290" s="62" t="inlineStr">
        <is>
          <t>Lea: Nuevo juez restringe bombardeos en Guaviare por riesgo a menores reclutados por disidencias</t>
        </is>
      </c>
      <c r="J290" s="38" t="n"/>
      <c r="K290" s="62" t="n"/>
      <c r="L290" s="38" t="n"/>
      <c r="M290" s="62" t="n"/>
      <c r="N290" s="38" t="n"/>
      <c r="O290" s="62" t="n"/>
      <c r="P290" s="38" t="n"/>
      <c r="Q290" s="62" t="n"/>
      <c r="R290" s="38" t="n"/>
      <c r="S290" s="62" t="n"/>
      <c r="T290" s="38" t="n"/>
      <c r="U290" s="62" t="n"/>
      <c r="V290" s="38" t="n"/>
      <c r="W290" s="62" t="n"/>
      <c r="X290" s="38" t="n"/>
      <c r="Y290" s="62" t="n"/>
      <c r="Z290" s="38" t="n"/>
      <c r="AA290" s="62" t="n"/>
      <c r="AB290" s="38" t="n"/>
      <c r="AC290" s="62" t="n"/>
      <c r="AD290" s="38" t="n"/>
      <c r="AE290" s="38" t="n"/>
      <c r="AF290" s="61">
        <f>IF(COUNTIF($B$5:B290,B290)=1,1,0)</f>
        <v/>
      </c>
      <c r="AG290" s="62" t="inlineStr">
        <is>
          <t>https://www.elespectador.com/judicial/mindefensa-anuncia-nuevas-medidas-de-seguridad-tras-ataque-con-drones-del-eln-en-ocana/</t>
        </is>
      </c>
    </row>
    <row r="291" ht="15" customHeight="1" s="31">
      <c r="A291" s="38" t="inlineStr">
        <is>
          <t>ART_034</t>
        </is>
      </c>
      <c r="B291" s="38" t="inlineStr">
        <is>
          <t>ART_034_S06</t>
        </is>
      </c>
      <c r="C291" s="38" t="inlineStr">
        <is>
          <t>El Espectador</t>
        </is>
      </c>
      <c r="D291" s="38" t="inlineStr">
        <is>
          <t>Seguridad y orden público</t>
        </is>
      </c>
      <c r="E291" s="38" t="inlineStr">
        <is>
          <t>Noticia dura</t>
        </is>
      </c>
      <c r="F291" s="38" t="inlineStr">
        <is>
          <t>Sun, 06 Sep 2026 00:22:17 +0000</t>
        </is>
      </c>
      <c r="G291" s="62" t="inlineStr">
        <is>
          <t>Lea: Nuevo juez restringe bombardeos en Guaviare por riesgo a menores reclutados por disidencias</t>
        </is>
      </c>
      <c r="H291" s="62" t="inlineStr">
        <is>
          <t>También se dispuso fortalecer el bloqueo y la contención de los corredores utilizados por los grupos armados ilegales para movilizar hombres, armas, explosivos y recursos ilícitos entre el sur del Cesar y Ocaña.</t>
        </is>
      </c>
      <c r="I291" s="62" t="n"/>
      <c r="J291" s="38" t="n"/>
      <c r="K291" s="62" t="n"/>
      <c r="L291" s="38" t="n"/>
      <c r="M291" s="62" t="n"/>
      <c r="N291" s="38" t="n"/>
      <c r="O291" s="62" t="n"/>
      <c r="P291" s="38" t="n"/>
      <c r="Q291" s="62" t="n"/>
      <c r="R291" s="38" t="n"/>
      <c r="S291" s="62" t="n"/>
      <c r="T291" s="38" t="n"/>
      <c r="U291" s="62" t="n"/>
      <c r="V291" s="38" t="n"/>
      <c r="W291" s="62" t="n"/>
      <c r="X291" s="38" t="n"/>
      <c r="Y291" s="62" t="n"/>
      <c r="Z291" s="38" t="n"/>
      <c r="AA291" s="62" t="n"/>
      <c r="AB291" s="38" t="n"/>
      <c r="AC291" s="62" t="n"/>
      <c r="AD291" s="38" t="n"/>
      <c r="AE291" s="38" t="n"/>
      <c r="AF291" s="61">
        <f>IF(COUNTIF($B$5:B291,B291)=1,1,0)</f>
        <v/>
      </c>
      <c r="AG291" s="62" t="inlineStr">
        <is>
          <t>https://www.elespectador.com/judicial/mindefensa-anuncia-nuevas-medidas-de-seguridad-tras-ataque-con-drones-del-eln-en-ocana/</t>
        </is>
      </c>
    </row>
    <row r="292" ht="15" customHeight="1" s="31">
      <c r="A292" s="38" t="inlineStr">
        <is>
          <t>ART_035</t>
        </is>
      </c>
      <c r="B292" s="38" t="inlineStr">
        <is>
          <t>ART_035_S01</t>
        </is>
      </c>
      <c r="C292" s="38" t="inlineStr">
        <is>
          <t>Infobae Colombia</t>
        </is>
      </c>
      <c r="D292" s="38" t="inlineStr">
        <is>
          <t>Transición de gobierno y relación con la oposición</t>
        </is>
      </c>
      <c r="E292" s="38" t="inlineStr">
        <is>
          <t>Noticia dura</t>
        </is>
      </c>
      <c r="F292" s="38" t="inlineStr">
        <is>
          <t>Sun, 06 Sep 2026 00:24:00 +0000</t>
        </is>
      </c>
      <c r="G292" s="62" t="inlineStr">
        <is>
          <t>El país sigue hablando sobre la muerte de Naín Andrés Pérez Toncel, alias Bendito Menor, cabecilla de las Autodefensas Conquistadoras de la Sierra, que perdió la vida en un operativo de la Policía en Riohacha, donde fue abatido junto con su compañera sentimental y dos escoltas.</t>
        </is>
      </c>
      <c r="H292" s="62" t="n"/>
      <c r="I292"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J292" s="38" t="n"/>
      <c r="K292" s="62" t="n"/>
      <c r="L292" s="38" t="n"/>
      <c r="M292" s="62" t="n"/>
      <c r="N292" s="38" t="n"/>
      <c r="O292" s="62" t="n"/>
      <c r="P292" s="38" t="n"/>
      <c r="Q292" s="62" t="n"/>
      <c r="R292" s="38" t="n"/>
      <c r="S292" s="62" t="n"/>
      <c r="T292" s="38" t="n"/>
      <c r="U292" s="62" t="n"/>
      <c r="V292" s="38" t="n"/>
      <c r="W292" s="62" t="n"/>
      <c r="X292" s="38" t="n"/>
      <c r="Y292" s="62" t="n"/>
      <c r="Z292" s="38" t="n"/>
      <c r="AA292" s="62" t="n"/>
      <c r="AB292" s="38" t="n"/>
      <c r="AC292" s="62" t="n"/>
      <c r="AD292" s="38" t="n"/>
      <c r="AE292" s="38" t="n"/>
      <c r="AF292" s="61">
        <f>IF(COUNTIF($B$5:B292,B292)=1,1,0)</f>
        <v/>
      </c>
      <c r="AG292" s="62" t="inlineStr">
        <is>
          <t>https://www.infobae.com/colombia/2026/09/05/cuerpo-de-bendito-menor-fue-entregado-a-sus-familiares-en-riohacha-asi-fue-el-sepelio-del-lider-criminal/</t>
        </is>
      </c>
    </row>
    <row r="293" ht="15" customHeight="1" s="31">
      <c r="A293" s="38" t="inlineStr">
        <is>
          <t>ART_035</t>
        </is>
      </c>
      <c r="B293" s="38" t="inlineStr">
        <is>
          <t>ART_035_S02</t>
        </is>
      </c>
      <c r="C293" s="38" t="inlineStr">
        <is>
          <t>Infobae Colombia</t>
        </is>
      </c>
      <c r="D293" s="38" t="inlineStr">
        <is>
          <t>Transición de gobierno y relación con la oposición</t>
        </is>
      </c>
      <c r="E293" s="38" t="inlineStr">
        <is>
          <t>Noticia dura</t>
        </is>
      </c>
      <c r="F293" s="38" t="inlineStr">
        <is>
          <t>Sun, 06 Sep 2026 00:24:00 +0000</t>
        </is>
      </c>
      <c r="G293"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H293" s="62" t="inlineStr">
        <is>
          <t>El país sigue hablando sobre la muerte de Naín Andrés Pérez Toncel, alias Bendito Menor, cabecilla de las Autodefensas Conquistadoras de la Sierra, que perdió la vida en un operativo de la Policía en Riohacha, donde fue abatido junto con su compañera sentimental y dos escoltas.</t>
        </is>
      </c>
      <c r="I293" s="62" t="inlineStr">
        <is>
          <t>Por otro lado, las Autodefensas Conquistadoras de la Sierra se pronunciaron por la muerte de Bendito Menor y aseguraron que no habrá ningún acto de retaliación, además de enviar condolencias a sus familiares y seres más cercanos.</t>
        </is>
      </c>
      <c r="J293" s="38" t="n"/>
      <c r="K293" s="62" t="n"/>
      <c r="L293" s="38" t="n"/>
      <c r="M293" s="62" t="n"/>
      <c r="N293" s="38" t="n"/>
      <c r="O293" s="62" t="n"/>
      <c r="P293" s="38" t="n"/>
      <c r="Q293" s="62" t="n"/>
      <c r="R293" s="38" t="n"/>
      <c r="S293" s="62" t="n"/>
      <c r="T293" s="38" t="n"/>
      <c r="U293" s="62" t="n"/>
      <c r="V293" s="38" t="n"/>
      <c r="W293" s="62" t="n"/>
      <c r="X293" s="38" t="n"/>
      <c r="Y293" s="62" t="n"/>
      <c r="Z293" s="38" t="n"/>
      <c r="AA293" s="62" t="n"/>
      <c r="AB293" s="38" t="n"/>
      <c r="AC293" s="62" t="n"/>
      <c r="AD293" s="38" t="n"/>
      <c r="AE293" s="38" t="n"/>
      <c r="AF293" s="61">
        <f>IF(COUNTIF($B$5:B293,B293)=1,1,0)</f>
        <v/>
      </c>
      <c r="AG293" s="62" t="inlineStr">
        <is>
          <t>https://www.infobae.com/colombia/2026/09/05/cuerpo-de-bendito-menor-fue-entregado-a-sus-familiares-en-riohacha-asi-fue-el-sepelio-del-lider-criminal/</t>
        </is>
      </c>
    </row>
    <row r="294" ht="15" customHeight="1" s="31">
      <c r="A294" s="38" t="inlineStr">
        <is>
          <t>ART_035</t>
        </is>
      </c>
      <c r="B294" s="38" t="inlineStr">
        <is>
          <t>ART_035_S03</t>
        </is>
      </c>
      <c r="C294" s="38" t="inlineStr">
        <is>
          <t>Infobae Colombia</t>
        </is>
      </c>
      <c r="D294" s="38" t="inlineStr">
        <is>
          <t>Transición de gobierno y relación con la oposición</t>
        </is>
      </c>
      <c r="E294" s="38" t="inlineStr">
        <is>
          <t>Noticia dura</t>
        </is>
      </c>
      <c r="F294" s="38" t="inlineStr">
        <is>
          <t>Sun, 06 Sep 2026 00:24:00 +0000</t>
        </is>
      </c>
      <c r="G294" s="62" t="inlineStr">
        <is>
          <t>Por otro lado, las Autodefensas Conquistadoras de la Sierra se pronunciaron por la muerte de Bendito Menor y aseguraron que no habrá ningún acto de retaliación, además de enviar condolencias a sus familiares y seres más cercanos.</t>
        </is>
      </c>
      <c r="H294" s="62" t="inlineStr">
        <is>
          <t>Un día después del hecho, el cuerpo del líder criminal fue entregado a su familia, después de que Medicina Legal lo tuviera en su poder e hiciera los procedimientos de identificación y el presidente Abelardo de la Espriella lo presentara ante los medios dentro de una bolsa blanca, junto con las otras cuatro bajas.</t>
        </is>
      </c>
      <c r="I294" s="62" t="inlineStr">
        <is>
          <t>La entrega del cuerpo de ‘Bendito Menor’</t>
        </is>
      </c>
      <c r="J294" s="38" t="n"/>
      <c r="K294" s="62" t="n"/>
      <c r="L294" s="38" t="n"/>
      <c r="M294" s="62" t="n"/>
      <c r="N294" s="38" t="n"/>
      <c r="O294" s="62" t="n"/>
      <c r="P294" s="38" t="n"/>
      <c r="Q294" s="62" t="n"/>
      <c r="R294" s="38" t="n"/>
      <c r="S294" s="62" t="n"/>
      <c r="T294" s="38" t="n"/>
      <c r="U294" s="62" t="n"/>
      <c r="V294" s="38" t="n"/>
      <c r="W294" s="62" t="n"/>
      <c r="X294" s="38" t="n"/>
      <c r="Y294" s="62" t="n"/>
      <c r="Z294" s="38" t="n"/>
      <c r="AA294" s="62" t="n"/>
      <c r="AB294" s="38" t="n"/>
      <c r="AC294" s="62" t="n"/>
      <c r="AD294" s="38" t="n"/>
      <c r="AE294" s="38" t="n"/>
      <c r="AF294" s="61">
        <f>IF(COUNTIF($B$5:B294,B294)=1,1,0)</f>
        <v/>
      </c>
      <c r="AG294" s="62" t="inlineStr">
        <is>
          <t>https://www.infobae.com/colombia/2026/09/05/cuerpo-de-bendito-menor-fue-entregado-a-sus-familiares-en-riohacha-asi-fue-el-sepelio-del-lider-criminal/</t>
        </is>
      </c>
    </row>
    <row r="295" ht="15" customHeight="1" s="31">
      <c r="A295" s="38" t="inlineStr">
        <is>
          <t>ART_035</t>
        </is>
      </c>
      <c r="B295" s="38" t="inlineStr">
        <is>
          <t>ART_035_S04</t>
        </is>
      </c>
      <c r="C295" s="38" t="inlineStr">
        <is>
          <t>Infobae Colombia</t>
        </is>
      </c>
      <c r="D295" s="38" t="inlineStr">
        <is>
          <t>Transición de gobierno y relación con la oposición</t>
        </is>
      </c>
      <c r="E295" s="38" t="inlineStr">
        <is>
          <t>Noticia dura</t>
        </is>
      </c>
      <c r="F295" s="38" t="inlineStr">
        <is>
          <t>Sun, 06 Sep 2026 00:24:00 +0000</t>
        </is>
      </c>
      <c r="G295" s="62" t="inlineStr">
        <is>
          <t>La entrega del cuerpo de ‘Bendito Menor’</t>
        </is>
      </c>
      <c r="H295" s="62" t="inlineStr">
        <is>
          <t>Por otro lado, las Autodefensas Conquistadoras de la Sierra se pronunciaron por la muerte de Bendito Menor y aseguraron que no habrá ningún acto de retaliación, además de enviar condolencias a sus familiares y seres más cercanos.</t>
        </is>
      </c>
      <c r="I295"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J295" s="38" t="n"/>
      <c r="K295" s="62" t="n"/>
      <c r="L295" s="38" t="n"/>
      <c r="M295" s="62" t="n"/>
      <c r="N295" s="38" t="n"/>
      <c r="O295" s="62" t="n"/>
      <c r="P295" s="38" t="n"/>
      <c r="Q295" s="62" t="n"/>
      <c r="R295" s="38" t="n"/>
      <c r="S295" s="62" t="n"/>
      <c r="T295" s="38" t="n"/>
      <c r="U295" s="62" t="n"/>
      <c r="V295" s="38" t="n"/>
      <c r="W295" s="62" t="n"/>
      <c r="X295" s="38" t="n"/>
      <c r="Y295" s="62" t="n"/>
      <c r="Z295" s="38" t="n"/>
      <c r="AA295" s="62" t="n"/>
      <c r="AB295" s="38" t="n"/>
      <c r="AC295" s="62" t="n"/>
      <c r="AD295" s="38" t="n"/>
      <c r="AE295" s="38" t="n"/>
      <c r="AF295" s="61">
        <f>IF(COUNTIF($B$5:B295,B295)=1,1,0)</f>
        <v/>
      </c>
      <c r="AG295" s="62" t="inlineStr">
        <is>
          <t>https://www.infobae.com/colombia/2026/09/05/cuerpo-de-bendito-menor-fue-entregado-a-sus-familiares-en-riohacha-asi-fue-el-sepelio-del-lider-criminal/</t>
        </is>
      </c>
    </row>
    <row r="296" ht="15" customHeight="1" s="31">
      <c r="A296" s="38" t="inlineStr">
        <is>
          <t>ART_035</t>
        </is>
      </c>
      <c r="B296" s="38" t="inlineStr">
        <is>
          <t>ART_035_S05</t>
        </is>
      </c>
      <c r="C296" s="38" t="inlineStr">
        <is>
          <t>Infobae Colombia</t>
        </is>
      </c>
      <c r="D296" s="38" t="inlineStr">
        <is>
          <t>Transición de gobierno y relación con la oposición</t>
        </is>
      </c>
      <c r="E296" s="38" t="inlineStr">
        <is>
          <t>Noticia dura</t>
        </is>
      </c>
      <c r="F296" s="38" t="inlineStr">
        <is>
          <t>Sun, 06 Sep 2026 00:24:00 +0000</t>
        </is>
      </c>
      <c r="G296"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H296" s="62" t="inlineStr">
        <is>
          <t>La entrega del cuerpo de ‘Bendito Menor’</t>
        </is>
      </c>
      <c r="I296" s="62" t="inlineStr">
        <is>
          <t>De acuerdo con Medicina Legal, los cuerpos fueron examinados por equipos forenses de Barranquilla y quedaron habilitados para su entrega a los familiares, una vez mediara la autorización de las autoridades competentes.</t>
        </is>
      </c>
      <c r="J296" s="38" t="n"/>
      <c r="K296" s="62" t="n"/>
      <c r="L296" s="38" t="n"/>
      <c r="M296" s="62" t="n"/>
      <c r="N296" s="38" t="n"/>
      <c r="O296" s="62" t="n"/>
      <c r="P296" s="38" t="n"/>
      <c r="Q296" s="62" t="n"/>
      <c r="R296" s="38" t="n"/>
      <c r="S296" s="62" t="n"/>
      <c r="T296" s="38" t="n"/>
      <c r="U296" s="62" t="n"/>
      <c r="V296" s="38" t="n"/>
      <c r="W296" s="62" t="n"/>
      <c r="X296" s="38" t="n"/>
      <c r="Y296" s="62" t="n"/>
      <c r="Z296" s="38" t="n"/>
      <c r="AA296" s="62" t="n"/>
      <c r="AB296" s="38" t="n"/>
      <c r="AC296" s="62" t="n"/>
      <c r="AD296" s="38" t="n"/>
      <c r="AE296" s="38" t="n"/>
      <c r="AF296" s="61">
        <f>IF(COUNTIF($B$5:B296,B296)=1,1,0)</f>
        <v/>
      </c>
      <c r="AG296" s="62" t="inlineStr">
        <is>
          <t>https://www.infobae.com/colombia/2026/09/05/cuerpo-de-bendito-menor-fue-entregado-a-sus-familiares-en-riohacha-asi-fue-el-sepelio-del-lider-criminal/</t>
        </is>
      </c>
    </row>
    <row r="297" ht="15" customHeight="1" s="31">
      <c r="A297" s="38" t="inlineStr">
        <is>
          <t>ART_035</t>
        </is>
      </c>
      <c r="B297" s="38" t="inlineStr">
        <is>
          <t>ART_035_S06</t>
        </is>
      </c>
      <c r="C297" s="38" t="inlineStr">
        <is>
          <t>Infobae Colombia</t>
        </is>
      </c>
      <c r="D297" s="38" t="inlineStr">
        <is>
          <t>Transición de gobierno y relación con la oposición</t>
        </is>
      </c>
      <c r="E297" s="38" t="inlineStr">
        <is>
          <t>Noticia dura</t>
        </is>
      </c>
      <c r="F297" s="38" t="inlineStr">
        <is>
          <t>Sun, 06 Sep 2026 00:24:00 +0000</t>
        </is>
      </c>
      <c r="G297" s="62" t="inlineStr">
        <is>
          <t>De acuerdo con Medicina Legal, los cuerpos fueron examinados por equipos forenses de Barranquilla y quedaron habilitados para su entrega a los familiares, una vez mediara la autorización de las autoridades competentes.</t>
        </is>
      </c>
      <c r="H297" s="62" t="inlineStr">
        <is>
          <t>La entrega de los cuerpos de Naín Andrés Pérez Toncel, alias Bendito Menor; Rosa Angélica Tarazona “La Bebecita” y otros dos acompañantes, abatidos en un operativo de la Dijín en Riohacha, abrió un nuevo capítulo tras la incursión policial de la madrugada del 4 de septiembre.</t>
        </is>
      </c>
      <c r="I297" s="62" t="n"/>
      <c r="J297" s="38" t="n"/>
      <c r="K297" s="62" t="n"/>
      <c r="L297" s="38" t="n"/>
      <c r="M297" s="62" t="n"/>
      <c r="N297" s="38" t="n"/>
      <c r="O297" s="62" t="n"/>
      <c r="P297" s="38" t="n"/>
      <c r="Q297" s="62" t="n"/>
      <c r="R297" s="38" t="n"/>
      <c r="S297" s="62" t="n"/>
      <c r="T297" s="38" t="n"/>
      <c r="U297" s="62" t="n"/>
      <c r="V297" s="38" t="n"/>
      <c r="W297" s="62" t="n"/>
      <c r="X297" s="38" t="n"/>
      <c r="Y297" s="62" t="n"/>
      <c r="Z297" s="38" t="n"/>
      <c r="AA297" s="62" t="n"/>
      <c r="AB297" s="38" t="n"/>
      <c r="AC297" s="62" t="n"/>
      <c r="AD297" s="38" t="n"/>
      <c r="AE297" s="38" t="n"/>
      <c r="AF297" s="61">
        <f>IF(COUNTIF($B$5:B297,B297)=1,1,0)</f>
        <v/>
      </c>
      <c r="AG297" s="62" t="inlineStr">
        <is>
          <t>https://www.infobae.com/colombia/2026/09/05/cuerpo-de-bendito-menor-fue-entregado-a-sus-familiares-en-riohacha-asi-fue-el-sepelio-del-lider-criminal/</t>
        </is>
      </c>
    </row>
    <row r="298" ht="15" customHeight="1" s="31">
      <c r="A298" s="38" t="inlineStr">
        <is>
          <t>ART_036</t>
        </is>
      </c>
      <c r="B298" s="38" t="inlineStr">
        <is>
          <t>ART_036_S01</t>
        </is>
      </c>
      <c r="C298" s="38" t="inlineStr">
        <is>
          <t>Infobae Colombia</t>
        </is>
      </c>
      <c r="D298" s="38" t="inlineStr">
        <is>
          <t>Seguridad y orden público</t>
        </is>
      </c>
      <c r="E298" s="38" t="inlineStr">
        <is>
          <t>Noticia dura</t>
        </is>
      </c>
      <c r="F298" s="38" t="inlineStr">
        <is>
          <t>Sat, 05 Sep 2026 23:40:04 +0000</t>
        </is>
      </c>
      <c r="G298"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H298" s="62" t="n"/>
      <c r="I298" s="62" t="inlineStr">
        <is>
          <t>El atentado y los combates que se presentaron posteriormente dejaron tres militares asesinados: el capitán Marco David Pirajón Montezuma y los soldados profesionales Joel Alberto Jiménez Jaramillo y Jhon Carlo Marrugo Manjarrez.</t>
        </is>
      </c>
      <c r="J298" s="38" t="n"/>
      <c r="K298" s="62" t="n"/>
      <c r="L298" s="38" t="n"/>
      <c r="M298" s="62" t="n"/>
      <c r="N298" s="38" t="n"/>
      <c r="O298" s="62" t="n"/>
      <c r="P298" s="38" t="n"/>
      <c r="Q298" s="62" t="n"/>
      <c r="R298" s="38" t="n"/>
      <c r="S298" s="62" t="n"/>
      <c r="T298" s="38" t="n"/>
      <c r="U298" s="62" t="n"/>
      <c r="V298" s="38" t="n"/>
      <c r="W298" s="62" t="n"/>
      <c r="X298" s="38" t="n"/>
      <c r="Y298" s="62" t="n"/>
      <c r="Z298" s="38" t="n"/>
      <c r="AA298" s="62" t="n"/>
      <c r="AB298" s="38" t="n"/>
      <c r="AC298" s="62" t="n"/>
      <c r="AD298" s="38" t="n"/>
      <c r="AE298" s="38" t="n"/>
      <c r="AF298" s="61">
        <f>IF(COUNTIF($B$5:B298,B298)=1,1,0)</f>
        <v/>
      </c>
      <c r="AG298" s="62" t="inlineStr">
        <is>
          <t>https://www.infobae.com/colombia/2026/09/05/toman-medidas-para-reforzar-la-seguridad-en-ocana-y-norte-de-santander-tras-atentado-del-eln-activaran-la-campana-militar-y-policial-esparta/</t>
        </is>
      </c>
    </row>
    <row r="299" ht="15" customHeight="1" s="31">
      <c r="A299" s="38" t="inlineStr">
        <is>
          <t>ART_036</t>
        </is>
      </c>
      <c r="B299" s="38" t="inlineStr">
        <is>
          <t>ART_036_S02</t>
        </is>
      </c>
      <c r="C299" s="38" t="inlineStr">
        <is>
          <t>Infobae Colombia</t>
        </is>
      </c>
      <c r="D299" s="38" t="inlineStr">
        <is>
          <t>Seguridad y orden público</t>
        </is>
      </c>
      <c r="E299" s="38" t="inlineStr">
        <is>
          <t>Noticia dura</t>
        </is>
      </c>
      <c r="F299" s="38" t="inlineStr">
        <is>
          <t>Sat, 05 Sep 2026 23:40:04 +0000</t>
        </is>
      </c>
      <c r="G299" s="62" t="inlineStr">
        <is>
          <t>El atentado y los combates que se presentaron posteriormente dejaron tres militares asesinados: el capitán Marco David Pirajón Montezuma y los soldados profesionales Joel Alberto Jiménez Jaramillo y Jhon Carlo Marrugo Manjarrez.</t>
        </is>
      </c>
      <c r="H299"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I299" s="62" t="inlineStr">
        <is>
          <t>Ante la gravedad de estos hechos, se establecieron nuevas medidas para reforzar la seguridad y el control territorial en Ocaña y en la región del Catatumbo.</t>
        </is>
      </c>
      <c r="J299" s="38" t="n"/>
      <c r="K299" s="62" t="n"/>
      <c r="L299" s="38" t="n"/>
      <c r="M299" s="62" t="n"/>
      <c r="N299" s="38" t="n"/>
      <c r="O299" s="62" t="n"/>
      <c r="P299" s="38" t="n"/>
      <c r="Q299" s="62" t="n"/>
      <c r="R299" s="38" t="n"/>
      <c r="S299" s="62" t="n"/>
      <c r="T299" s="38" t="n"/>
      <c r="U299" s="62" t="n"/>
      <c r="V299" s="38" t="n"/>
      <c r="W299" s="62" t="n"/>
      <c r="X299" s="38" t="n"/>
      <c r="Y299" s="62" t="n"/>
      <c r="Z299" s="38" t="n"/>
      <c r="AA299" s="62" t="n"/>
      <c r="AB299" s="38" t="n"/>
      <c r="AC299" s="62" t="n"/>
      <c r="AD299" s="38" t="n"/>
      <c r="AE299" s="38" t="n"/>
      <c r="AF299" s="61">
        <f>IF(COUNTIF($B$5:B299,B299)=1,1,0)</f>
        <v/>
      </c>
      <c r="AG299" s="62" t="inlineStr">
        <is>
          <t>https://www.infobae.com/colombia/2026/09/05/toman-medidas-para-reforzar-la-seguridad-en-ocana-y-norte-de-santander-tras-atentado-del-eln-activaran-la-campana-militar-y-policial-esparta/</t>
        </is>
      </c>
    </row>
    <row r="300" ht="15" customHeight="1" s="31">
      <c r="A300" s="38" t="inlineStr">
        <is>
          <t>ART_036</t>
        </is>
      </c>
      <c r="B300" s="38" t="inlineStr">
        <is>
          <t>ART_036_S03</t>
        </is>
      </c>
      <c r="C300" s="38" t="inlineStr">
        <is>
          <t>Infobae Colombia</t>
        </is>
      </c>
      <c r="D300" s="38" t="inlineStr">
        <is>
          <t>Seguridad y orden público</t>
        </is>
      </c>
      <c r="E300" s="38" t="inlineStr">
        <is>
          <t>Noticia dura</t>
        </is>
      </c>
      <c r="F300" s="38" t="inlineStr">
        <is>
          <t>Sat, 05 Sep 2026 23:40:04 +0000</t>
        </is>
      </c>
      <c r="G300" s="62" t="inlineStr">
        <is>
          <t>Ante la gravedad de estos hechos, se establecieron nuevas medidas para reforzar la seguridad y el control territorial en Ocaña y en la región del Catatumbo.</t>
        </is>
      </c>
      <c r="H300" s="62" t="inlineStr">
        <is>
          <t>El atentado y los combates que se presentaron posteriormente dejaron tres militares asesinados: el capitán Marco David Pirajón Montezuma y los soldados profesionales Joel Alberto Jiménez Jaramillo y Jhon Carlo Marrugo Manjarrez.</t>
        </is>
      </c>
      <c r="I300"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J300" s="38" t="n"/>
      <c r="K300" s="62" t="n"/>
      <c r="L300" s="38" t="n"/>
      <c r="M300" s="62" t="n"/>
      <c r="N300" s="38" t="n"/>
      <c r="O300" s="62" t="n"/>
      <c r="P300" s="38" t="n"/>
      <c r="Q300" s="62" t="n"/>
      <c r="R300" s="38" t="n"/>
      <c r="S300" s="62" t="n"/>
      <c r="T300" s="38" t="n"/>
      <c r="U300" s="62" t="n"/>
      <c r="V300" s="38" t="n"/>
      <c r="W300" s="62" t="n"/>
      <c r="X300" s="38" t="n"/>
      <c r="Y300" s="62" t="n"/>
      <c r="Z300" s="38" t="n"/>
      <c r="AA300" s="62" t="n"/>
      <c r="AB300" s="38" t="n"/>
      <c r="AC300" s="62" t="n"/>
      <c r="AD300" s="38" t="n"/>
      <c r="AE300" s="38" t="n"/>
      <c r="AF300" s="61">
        <f>IF(COUNTIF($B$5:B300,B300)=1,1,0)</f>
        <v/>
      </c>
      <c r="AG300" s="62" t="inlineStr">
        <is>
          <t>https://www.infobae.com/colombia/2026/09/05/toman-medidas-para-reforzar-la-seguridad-en-ocana-y-norte-de-santander-tras-atentado-del-eln-activaran-la-campana-militar-y-policial-esparta/</t>
        </is>
      </c>
    </row>
    <row r="301" ht="15" customHeight="1" s="31">
      <c r="A301" s="38" t="inlineStr">
        <is>
          <t>ART_036</t>
        </is>
      </c>
      <c r="B301" s="38" t="inlineStr">
        <is>
          <t>ART_036_S04</t>
        </is>
      </c>
      <c r="C301" s="38" t="inlineStr">
        <is>
          <t>Infobae Colombia</t>
        </is>
      </c>
      <c r="D301" s="38" t="inlineStr">
        <is>
          <t>Seguridad y orden público</t>
        </is>
      </c>
      <c r="E301" s="38" t="inlineStr">
        <is>
          <t>Noticia dura</t>
        </is>
      </c>
      <c r="F301" s="38" t="inlineStr">
        <is>
          <t>Sat, 05 Sep 2026 23:40:04 +0000</t>
        </is>
      </c>
      <c r="G301"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H301" s="62" t="inlineStr">
        <is>
          <t>Ante la gravedad de estos hechos, se establecieron nuevas medidas para reforzar la seguridad y el control territorial en Ocaña y en la región del Catatumbo.</t>
        </is>
      </c>
      <c r="I301" s="62" t="inlineStr">
        <is>
          <t>“Se reforzarán los corredores de movilidad ilegal, las capacidades de inteligencia y la coordinación con la @FiscaliaCol para identificar, capturar y judicializar a los responsables.</t>
        </is>
      </c>
      <c r="J301" s="38" t="n"/>
      <c r="K301" s="62" t="n"/>
      <c r="L301" s="38" t="n"/>
      <c r="M301" s="62" t="n"/>
      <c r="N301" s="38" t="n"/>
      <c r="O301" s="62" t="n"/>
      <c r="P301" s="38" t="n"/>
      <c r="Q301" s="62" t="n"/>
      <c r="R301" s="38" t="n"/>
      <c r="S301" s="62" t="n"/>
      <c r="T301" s="38" t="n"/>
      <c r="U301" s="62" t="n"/>
      <c r="V301" s="38" t="n"/>
      <c r="W301" s="62" t="n"/>
      <c r="X301" s="38" t="n"/>
      <c r="Y301" s="62" t="n"/>
      <c r="Z301" s="38" t="n"/>
      <c r="AA301" s="62" t="n"/>
      <c r="AB301" s="38" t="n"/>
      <c r="AC301" s="62" t="n"/>
      <c r="AD301" s="38" t="n"/>
      <c r="AE301" s="38" t="n"/>
      <c r="AF301" s="61">
        <f>IF(COUNTIF($B$5:B301,B301)=1,1,0)</f>
        <v/>
      </c>
      <c r="AG301" s="62" t="inlineStr">
        <is>
          <t>https://www.infobae.com/colombia/2026/09/05/toman-medidas-para-reforzar-la-seguridad-en-ocana-y-norte-de-santander-tras-atentado-del-eln-activaran-la-campana-militar-y-policial-esparta/</t>
        </is>
      </c>
    </row>
    <row r="302" ht="15" customHeight="1" s="31">
      <c r="A302" s="38" t="inlineStr">
        <is>
          <t>ART_036</t>
        </is>
      </c>
      <c r="B302" s="38" t="inlineStr">
        <is>
          <t>ART_036_S05</t>
        </is>
      </c>
      <c r="C302" s="38" t="inlineStr">
        <is>
          <t>Infobae Colombia</t>
        </is>
      </c>
      <c r="D302" s="38" t="inlineStr">
        <is>
          <t>Seguridad y orden público</t>
        </is>
      </c>
      <c r="E302" s="38" t="inlineStr">
        <is>
          <t>Noticia dura</t>
        </is>
      </c>
      <c r="F302" s="38" t="inlineStr">
        <is>
          <t>Sat, 05 Sep 2026 23:40:04 +0000</t>
        </is>
      </c>
      <c r="G302" s="62" t="inlineStr">
        <is>
          <t>“Se reforzarán los corredores de movilidad ilegal, las capacidades de inteligencia y la coordinación con la @FiscaliaCol para identificar, capturar y judicializar a los responsables.</t>
        </is>
      </c>
      <c r="H302"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I302" s="62" t="inlineStr">
        <is>
          <t>Las @FuerzasMilCol y la @PoliciaColombia mantienen desplegadas todas sus capacidades para proteger a la población y enfrentar con contundencia a quienes atenten contra la seguridad del #Catatumbo”, indicaron las Fuerzas Militares en X.</t>
        </is>
      </c>
      <c r="J302" s="38" t="n"/>
      <c r="K302" s="62" t="n"/>
      <c r="L302" s="38" t="n"/>
      <c r="M302" s="62" t="n"/>
      <c r="N302" s="38" t="n"/>
      <c r="O302" s="62" t="n"/>
      <c r="P302" s="38" t="n"/>
      <c r="Q302" s="62" t="n"/>
      <c r="R302" s="38" t="n"/>
      <c r="S302" s="62" t="n"/>
      <c r="T302" s="38" t="n"/>
      <c r="U302" s="62" t="n"/>
      <c r="V302" s="38" t="n"/>
      <c r="W302" s="62" t="n"/>
      <c r="X302" s="38" t="n"/>
      <c r="Y302" s="62" t="n"/>
      <c r="Z302" s="38" t="n"/>
      <c r="AA302" s="62" t="n"/>
      <c r="AB302" s="38" t="n"/>
      <c r="AC302" s="62" t="n"/>
      <c r="AD302" s="38" t="n"/>
      <c r="AE302" s="38" t="n"/>
      <c r="AF302" s="61">
        <f>IF(COUNTIF($B$5:B302,B302)=1,1,0)</f>
        <v/>
      </c>
      <c r="AG302" s="62" t="inlineStr">
        <is>
          <t>https://www.infobae.com/colombia/2026/09/05/toman-medidas-para-reforzar-la-seguridad-en-ocana-y-norte-de-santander-tras-atentado-del-eln-activaran-la-campana-militar-y-policial-esparta/</t>
        </is>
      </c>
    </row>
    <row r="303" ht="15" customHeight="1" s="31">
      <c r="A303" s="38" t="inlineStr">
        <is>
          <t>ART_036</t>
        </is>
      </c>
      <c r="B303" s="38" t="inlineStr">
        <is>
          <t>ART_036_S06</t>
        </is>
      </c>
      <c r="C303" s="38" t="inlineStr">
        <is>
          <t>Infobae Colombia</t>
        </is>
      </c>
      <c r="D303" s="38" t="inlineStr">
        <is>
          <t>Seguridad y orden público</t>
        </is>
      </c>
      <c r="E303" s="38" t="inlineStr">
        <is>
          <t>Noticia dura</t>
        </is>
      </c>
      <c r="F303" s="38" t="inlineStr">
        <is>
          <t>Sat, 05 Sep 2026 23:40:04 +0000</t>
        </is>
      </c>
      <c r="G303" s="62" t="inlineStr">
        <is>
          <t>Las @FuerzasMilCol y la @PoliciaColombia mantienen desplegadas todas sus capacidades para proteger a la población y enfrentar con contundencia a quienes atenten contra la seguridad del #Catatumbo”, indicaron las Fuerzas Militares en X.</t>
        </is>
      </c>
      <c r="H303" s="62" t="inlineStr">
        <is>
          <t>“Se reforzarán los corredores de movilidad ilegal, las capacidades de inteligencia y la coordinación con la @FiscaliaCol para identificar, capturar y judicializar a los responsables.</t>
        </is>
      </c>
      <c r="I303" s="62" t="n"/>
      <c r="J303" s="38" t="n"/>
      <c r="K303" s="62" t="n"/>
      <c r="L303" s="38" t="n"/>
      <c r="M303" s="62" t="n"/>
      <c r="N303" s="38" t="n"/>
      <c r="O303" s="62" t="n"/>
      <c r="P303" s="38" t="n"/>
      <c r="Q303" s="62" t="n"/>
      <c r="R303" s="38" t="n"/>
      <c r="S303" s="62" t="n"/>
      <c r="T303" s="38" t="n"/>
      <c r="U303" s="62" t="n"/>
      <c r="V303" s="38" t="n"/>
      <c r="W303" s="62" t="n"/>
      <c r="X303" s="38" t="n"/>
      <c r="Y303" s="62" t="n"/>
      <c r="Z303" s="38" t="n"/>
      <c r="AA303" s="62" t="n"/>
      <c r="AB303" s="38" t="n"/>
      <c r="AC303" s="62" t="n"/>
      <c r="AD303" s="38" t="n"/>
      <c r="AE303" s="38" t="n"/>
      <c r="AF303" s="61">
        <f>IF(COUNTIF($B$5:B303,B303)=1,1,0)</f>
        <v/>
      </c>
      <c r="AG303" s="62" t="inlineStr">
        <is>
          <t>https://www.infobae.com/colombia/2026/09/05/toman-medidas-para-reforzar-la-seguridad-en-ocana-y-norte-de-santander-tras-atentado-del-eln-activaran-la-campana-militar-y-policial-esparta/</t>
        </is>
      </c>
    </row>
    <row r="304" ht="15" customHeight="1" s="31">
      <c r="A304" s="38" t="inlineStr">
        <is>
          <t>ART_037</t>
        </is>
      </c>
      <c r="B304" s="38" t="inlineStr">
        <is>
          <t>ART_037_S01</t>
        </is>
      </c>
      <c r="C304" s="38" t="inlineStr">
        <is>
          <t>El Espectador</t>
        </is>
      </c>
      <c r="D304" s="38" t="inlineStr">
        <is>
          <t>Seguridad y orden público</t>
        </is>
      </c>
      <c r="E304" s="38" t="inlineStr">
        <is>
          <t>Noticia dura</t>
        </is>
      </c>
      <c r="F304" s="38" t="inlineStr">
        <is>
          <t>Mon, 29 Jun 2026 18:35:06 +0000</t>
        </is>
      </c>
      <c r="G304" s="62" t="inlineStr">
        <is>
          <t>La expansión de las Autodefensas Conquistadoras de la Sierra Nevada (ACSN) hacia Maicao está modificando el mapa del conflicto armado en La Guajira.</t>
        </is>
      </c>
      <c r="H304" s="62" t="n"/>
      <c r="I304"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J304" s="38" t="n"/>
      <c r="K304" s="62" t="n"/>
      <c r="L304" s="38" t="n"/>
      <c r="M304" s="62" t="n"/>
      <c r="N304" s="38" t="n"/>
      <c r="O304" s="62" t="n"/>
      <c r="P304" s="38" t="n"/>
      <c r="Q304" s="62" t="n"/>
      <c r="R304" s="38" t="n"/>
      <c r="S304" s="62" t="n"/>
      <c r="T304" s="38" t="n"/>
      <c r="U304" s="62" t="n"/>
      <c r="V304" s="38" t="n"/>
      <c r="W304" s="62" t="n"/>
      <c r="X304" s="38" t="n"/>
      <c r="Y304" s="62" t="n"/>
      <c r="Z304" s="38" t="n"/>
      <c r="AA304" s="62" t="n"/>
      <c r="AB304" s="38" t="n"/>
      <c r="AC304" s="62" t="n"/>
      <c r="AD304" s="38" t="n"/>
      <c r="AE304" s="38" t="n"/>
      <c r="AF304" s="61">
        <f>IF(COUNTIF($B$5:B304,B304)=1,1,0)</f>
        <v/>
      </c>
      <c r="AG304" s="62" t="inlineStr">
        <is>
          <t>https://www.elespectador.com/colombia-20/paz-y-memoria/alerta-por-expansion-de-autodefensas-conquistadoras-y-guerra-con-eln-y-disidencias-en-maicao-y-la-guajira-segun-defensoria/</t>
        </is>
      </c>
    </row>
    <row r="305" ht="15" customHeight="1" s="31">
      <c r="A305" s="38" t="inlineStr">
        <is>
          <t>ART_037</t>
        </is>
      </c>
      <c r="B305" s="38" t="inlineStr">
        <is>
          <t>ART_037_S02</t>
        </is>
      </c>
      <c r="C305" s="38" t="inlineStr">
        <is>
          <t>El Espectador</t>
        </is>
      </c>
      <c r="D305" s="38" t="inlineStr">
        <is>
          <t>Seguridad y orden público</t>
        </is>
      </c>
      <c r="E305" s="38" t="inlineStr">
        <is>
          <t>Noticia dura</t>
        </is>
      </c>
      <c r="F305" s="38" t="inlineStr">
        <is>
          <t>Mon, 29 Jun 2026 18:35:06 +0000</t>
        </is>
      </c>
      <c r="G305"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H305" s="62" t="inlineStr">
        <is>
          <t>La expansión de las Autodefensas Conquistadoras de la Sierra Nevada (ACSN) hacia Maicao está modificando el mapa del conflicto armado en La Guajira.</t>
        </is>
      </c>
      <c r="I305"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J305" s="38" t="n"/>
      <c r="K305" s="62" t="n"/>
      <c r="L305" s="38" t="n"/>
      <c r="M305" s="62" t="n"/>
      <c r="N305" s="38" t="n"/>
      <c r="O305" s="62" t="n"/>
      <c r="P305" s="38" t="n"/>
      <c r="Q305" s="62" t="n"/>
      <c r="R305" s="38" t="n"/>
      <c r="S305" s="62" t="n"/>
      <c r="T305" s="38" t="n"/>
      <c r="U305" s="62" t="n"/>
      <c r="V305" s="38" t="n"/>
      <c r="W305" s="62" t="n"/>
      <c r="X305" s="38" t="n"/>
      <c r="Y305" s="62" t="n"/>
      <c r="Z305" s="38" t="n"/>
      <c r="AA305" s="62" t="n"/>
      <c r="AB305" s="38" t="n"/>
      <c r="AC305" s="62" t="n"/>
      <c r="AD305" s="38" t="n"/>
      <c r="AE305" s="38" t="n"/>
      <c r="AF305" s="61">
        <f>IF(COUNTIF($B$5:B305,B305)=1,1,0)</f>
        <v/>
      </c>
      <c r="AG305" s="62" t="inlineStr">
        <is>
          <t>https://www.elespectador.com/colombia-20/paz-y-memoria/alerta-por-expansion-de-autodefensas-conquistadoras-y-guerra-con-eln-y-disidencias-en-maicao-y-la-guajira-segun-defensoria/</t>
        </is>
      </c>
    </row>
    <row r="306" ht="15" customHeight="1" s="31">
      <c r="A306" s="38" t="inlineStr">
        <is>
          <t>ART_037</t>
        </is>
      </c>
      <c r="B306" s="38" t="inlineStr">
        <is>
          <t>ART_037_S03</t>
        </is>
      </c>
      <c r="C306" s="38" t="inlineStr">
        <is>
          <t>El Espectador</t>
        </is>
      </c>
      <c r="D306" s="38" t="inlineStr">
        <is>
          <t>Seguridad y orden público</t>
        </is>
      </c>
      <c r="E306" s="38" t="inlineStr">
        <is>
          <t>Noticia dura</t>
        </is>
      </c>
      <c r="F306" s="38" t="inlineStr">
        <is>
          <t>Mon, 29 Jun 2026 18:35:06 +0000</t>
        </is>
      </c>
      <c r="G306"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H306" s="62" t="inlineStr">
        <is>
          <t>Esa es la principal conclusión de la Alerta Temprana de Inminencia 013 de 2026, emitida por la Defensoría del Pueblo el pasado 17 de junio, pero divulgada este lunes, en la que advierte que el municipio fronterizo enfrenta un riesgo creciente de confrontaciones entre grupos armados ilegales y de nuevas afectaciones contra la población civil.</t>
        </is>
      </c>
      <c r="I306"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J306" s="38" t="n"/>
      <c r="K306" s="62" t="n"/>
      <c r="L306" s="38" t="n"/>
      <c r="M306" s="62" t="n"/>
      <c r="N306" s="38" t="n"/>
      <c r="O306" s="62" t="n"/>
      <c r="P306" s="38" t="n"/>
      <c r="Q306" s="62" t="n"/>
      <c r="R306" s="38" t="n"/>
      <c r="S306" s="62" t="n"/>
      <c r="T306" s="38" t="n"/>
      <c r="U306" s="62" t="n"/>
      <c r="V306" s="38" t="n"/>
      <c r="W306" s="62" t="n"/>
      <c r="X306" s="38" t="n"/>
      <c r="Y306" s="62" t="n"/>
      <c r="Z306" s="38" t="n"/>
      <c r="AA306" s="62" t="n"/>
      <c r="AB306" s="38" t="n"/>
      <c r="AC306" s="62" t="n"/>
      <c r="AD306" s="38" t="n"/>
      <c r="AE306" s="38" t="n"/>
      <c r="AF306" s="61">
        <f>IF(COUNTIF($B$5:B306,B306)=1,1,0)</f>
        <v/>
      </c>
      <c r="AG306" s="62" t="inlineStr">
        <is>
          <t>https://www.elespectador.com/colombia-20/paz-y-memoria/alerta-por-expansion-de-autodefensas-conquistadoras-y-guerra-con-eln-y-disidencias-en-maicao-y-la-guajira-segun-defensoria/</t>
        </is>
      </c>
    </row>
    <row r="307" ht="15" customHeight="1" s="31">
      <c r="A307" s="38" t="inlineStr">
        <is>
          <t>ART_037</t>
        </is>
      </c>
      <c r="B307" s="38" t="inlineStr">
        <is>
          <t>ART_037_S04</t>
        </is>
      </c>
      <c r="C307" s="38" t="inlineStr">
        <is>
          <t>El Espectador</t>
        </is>
      </c>
      <c r="D307" s="38" t="inlineStr">
        <is>
          <t>Seguridad y orden público</t>
        </is>
      </c>
      <c r="E307" s="38" t="inlineStr">
        <is>
          <t>Noticia dura</t>
        </is>
      </c>
      <c r="F307" s="38" t="inlineStr">
        <is>
          <t>Mon, 29 Jun 2026 18:35:06 +0000</t>
        </is>
      </c>
      <c r="G307"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H307" s="62" t="inlineStr">
        <is>
          <t>En Maicao confluyen el Ejército de Liberación Nacional (ELN), las disidencias de las FARC agrupadas en la Segunda Marquetalia, las ACSN y varias estructuras de criminalidad organizada, tanto locales como transnacionales, que disputan rentas ilegales derivadas de la extorsión, el narcotráfico, el contrabando y el control de pasos fronterizos.</t>
        </is>
      </c>
      <c r="I307"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J307" s="38" t="n"/>
      <c r="K307" s="62" t="n"/>
      <c r="L307" s="38" t="n"/>
      <c r="M307" s="62" t="n"/>
      <c r="N307" s="38" t="n"/>
      <c r="O307" s="62" t="n"/>
      <c r="P307" s="38" t="n"/>
      <c r="Q307" s="62" t="n"/>
      <c r="R307" s="38" t="n"/>
      <c r="S307" s="62" t="n"/>
      <c r="T307" s="38" t="n"/>
      <c r="U307" s="62" t="n"/>
      <c r="V307" s="38" t="n"/>
      <c r="W307" s="62" t="n"/>
      <c r="X307" s="38" t="n"/>
      <c r="Y307" s="62" t="n"/>
      <c r="Z307" s="38" t="n"/>
      <c r="AA307" s="62" t="n"/>
      <c r="AB307" s="38" t="n"/>
      <c r="AC307" s="62" t="n"/>
      <c r="AD307" s="38" t="n"/>
      <c r="AE307" s="38" t="n"/>
      <c r="AF307" s="61">
        <f>IF(COUNTIF($B$5:B307,B307)=1,1,0)</f>
        <v/>
      </c>
      <c r="AG307" s="62" t="inlineStr">
        <is>
          <t>https://www.elespectador.com/colombia-20/paz-y-memoria/alerta-por-expansion-de-autodefensas-conquistadoras-y-guerra-con-eln-y-disidencias-en-maicao-y-la-guajira-segun-defensoria/</t>
        </is>
      </c>
    </row>
    <row r="308" ht="15" customHeight="1" s="31">
      <c r="A308" s="38" t="inlineStr">
        <is>
          <t>ART_037</t>
        </is>
      </c>
      <c r="B308" s="38" t="inlineStr">
        <is>
          <t>ART_037_S05</t>
        </is>
      </c>
      <c r="C308" s="38" t="inlineStr">
        <is>
          <t>El Espectador</t>
        </is>
      </c>
      <c r="D308" s="38" t="inlineStr">
        <is>
          <t>Seguridad y orden público</t>
        </is>
      </c>
      <c r="E308" s="38" t="inlineStr">
        <is>
          <t>Noticia dura</t>
        </is>
      </c>
      <c r="F308" s="38" t="inlineStr">
        <is>
          <t>Mon, 29 Jun 2026 18:35:06 +0000</t>
        </is>
      </c>
      <c r="G308"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H308" s="62" t="inlineStr">
        <is>
          <t>Según el documento, “la pretensión de consolidación de las Autodefensas Conquistadoras de la Sierra Nevada, la presencia del ELN y de las disidencias de las FARC-Segunda Marquetalia, así como el accionar de estructuras de criminalidad organizada, tanto transnacional como local, configuran un escenario de alto riesgo para la población civil”.</t>
        </is>
      </c>
      <c r="I308" s="62" t="inlineStr">
        <is>
          <t>Las Autodefensas Conquistadoras son parte de los grupos que están en la paz total de Gustavo Petro, pero esa mesa no ha tenido ningún avance.</t>
        </is>
      </c>
      <c r="J308" s="38" t="n"/>
      <c r="K308" s="62" t="n"/>
      <c r="L308" s="38" t="n"/>
      <c r="M308" s="62" t="n"/>
      <c r="N308" s="38" t="n"/>
      <c r="O308" s="62" t="n"/>
      <c r="P308" s="38" t="n"/>
      <c r="Q308" s="62" t="n"/>
      <c r="R308" s="38" t="n"/>
      <c r="S308" s="62" t="n"/>
      <c r="T308" s="38" t="n"/>
      <c r="U308" s="62" t="n"/>
      <c r="V308" s="38" t="n"/>
      <c r="W308" s="62" t="n"/>
      <c r="X308" s="38" t="n"/>
      <c r="Y308" s="62" t="n"/>
      <c r="Z308" s="38" t="n"/>
      <c r="AA308" s="62" t="n"/>
      <c r="AB308" s="38" t="n"/>
      <c r="AC308" s="62" t="n"/>
      <c r="AD308" s="38" t="n"/>
      <c r="AE308" s="38" t="n"/>
      <c r="AF308" s="61">
        <f>IF(COUNTIF($B$5:B308,B308)=1,1,0)</f>
        <v/>
      </c>
      <c r="AG308" s="62" t="inlineStr">
        <is>
          <t>https://www.elespectador.com/colombia-20/paz-y-memoria/alerta-por-expansion-de-autodefensas-conquistadoras-y-guerra-con-eln-y-disidencias-en-maicao-y-la-guajira-segun-defensoria/</t>
        </is>
      </c>
    </row>
    <row r="309" ht="15" customHeight="1" s="31">
      <c r="A309" s="38" t="inlineStr">
        <is>
          <t>ART_037</t>
        </is>
      </c>
      <c r="B309" s="38" t="inlineStr">
        <is>
          <t>ART_037_S06</t>
        </is>
      </c>
      <c r="C309" s="38" t="inlineStr">
        <is>
          <t>El Espectador</t>
        </is>
      </c>
      <c r="D309" s="38" t="inlineStr">
        <is>
          <t>Seguridad y orden público</t>
        </is>
      </c>
      <c r="E309" s="38" t="inlineStr">
        <is>
          <t>Noticia dura</t>
        </is>
      </c>
      <c r="F309" s="38" t="inlineStr">
        <is>
          <t>Mon, 29 Jun 2026 18:35:06 +0000</t>
        </is>
      </c>
      <c r="G309" s="62" t="inlineStr">
        <is>
          <t>Las Autodefensas Conquistadoras son parte de los grupos que están en la paz total de Gustavo Petro, pero esa mesa no ha tenido ningún avance.</t>
        </is>
      </c>
      <c r="H309" s="62" t="inlineStr">
        <is>
          <t>Para la Defensoría, el principal cambio en el escenario de seguridad es el proceso de expansión territorial de las ACSN, un grupo que hasta hace pocos años concentraba su presencia en la Sierra Nevada de Santa Marta y que ahora busca consolidar su influencia en uno de los corredores fronterizos más estratégicos del Caribe.</t>
        </is>
      </c>
      <c r="I309"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J309" s="38" t="n"/>
      <c r="K309" s="62" t="n"/>
      <c r="L309" s="38" t="n"/>
      <c r="M309" s="62" t="n"/>
      <c r="N309" s="38" t="n"/>
      <c r="O309" s="62" t="n"/>
      <c r="P309" s="38" t="n"/>
      <c r="Q309" s="62" t="n"/>
      <c r="R309" s="38" t="n"/>
      <c r="S309" s="62" t="n"/>
      <c r="T309" s="38" t="n"/>
      <c r="U309" s="62" t="n"/>
      <c r="V309" s="38" t="n"/>
      <c r="W309" s="62" t="n"/>
      <c r="X309" s="38" t="n"/>
      <c r="Y309" s="62" t="n"/>
      <c r="Z309" s="38" t="n"/>
      <c r="AA309" s="62" t="n"/>
      <c r="AB309" s="38" t="n"/>
      <c r="AC309" s="62" t="n"/>
      <c r="AD309" s="38" t="n"/>
      <c r="AE309" s="38" t="n"/>
      <c r="AF309" s="61">
        <f>IF(COUNTIF($B$5:B309,B309)=1,1,0)</f>
        <v/>
      </c>
      <c r="AG309" s="62" t="inlineStr">
        <is>
          <t>https://www.elespectador.com/colombia-20/paz-y-memoria/alerta-por-expansion-de-autodefensas-conquistadoras-y-guerra-con-eln-y-disidencias-en-maicao-y-la-guajira-segun-defensoria/</t>
        </is>
      </c>
    </row>
    <row r="310" ht="15" customHeight="1" s="31">
      <c r="A310" s="38" t="inlineStr">
        <is>
          <t>ART_037</t>
        </is>
      </c>
      <c r="B310" s="38" t="inlineStr">
        <is>
          <t>ART_037_S07</t>
        </is>
      </c>
      <c r="C310" s="38" t="inlineStr">
        <is>
          <t>El Espectador</t>
        </is>
      </c>
      <c r="D310" s="38" t="inlineStr">
        <is>
          <t>Seguridad y orden público</t>
        </is>
      </c>
      <c r="E310" s="38" t="inlineStr">
        <is>
          <t>Noticia dura</t>
        </is>
      </c>
      <c r="F310" s="38" t="inlineStr">
        <is>
          <t>Mon, 29 Jun 2026 18:35:06 +0000</t>
        </is>
      </c>
      <c r="G310"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H310" s="62" t="inlineStr">
        <is>
          <t>Las Autodefensas Conquistadoras son parte de los grupos que están en la paz total de Gustavo Petro, pero esa mesa no ha tenido ningún avance.</t>
        </is>
      </c>
      <c r="I310"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J310" s="38" t="n"/>
      <c r="K310" s="62" t="n"/>
      <c r="L310" s="38" t="n"/>
      <c r="M310" s="62" t="n"/>
      <c r="N310" s="38" t="n"/>
      <c r="O310" s="62" t="n"/>
      <c r="P310" s="38" t="n"/>
      <c r="Q310" s="62" t="n"/>
      <c r="R310" s="38" t="n"/>
      <c r="S310" s="62" t="n"/>
      <c r="T310" s="38" t="n"/>
      <c r="U310" s="62" t="n"/>
      <c r="V310" s="38" t="n"/>
      <c r="W310" s="62" t="n"/>
      <c r="X310" s="38" t="n"/>
      <c r="Y310" s="62" t="n"/>
      <c r="Z310" s="38" t="n"/>
      <c r="AA310" s="62" t="n"/>
      <c r="AB310" s="38" t="n"/>
      <c r="AC310" s="62" t="n"/>
      <c r="AD310" s="38" t="n"/>
      <c r="AE310" s="38" t="n"/>
      <c r="AF310" s="61">
        <f>IF(COUNTIF($B$5:B310,B310)=1,1,0)</f>
        <v/>
      </c>
      <c r="AG310" s="62" t="inlineStr">
        <is>
          <t>https://www.elespectador.com/colombia-20/paz-y-memoria/alerta-por-expansion-de-autodefensas-conquistadoras-y-guerra-con-eln-y-disidencias-en-maicao-y-la-guajira-segun-defensoria/</t>
        </is>
      </c>
    </row>
    <row r="311" ht="15" customHeight="1" s="31">
      <c r="A311" s="38" t="inlineStr">
        <is>
          <t>ART_037</t>
        </is>
      </c>
      <c r="B311" s="38" t="inlineStr">
        <is>
          <t>ART_037_S08</t>
        </is>
      </c>
      <c r="C311" s="38" t="inlineStr">
        <is>
          <t>El Espectador</t>
        </is>
      </c>
      <c r="D311" s="38" t="inlineStr">
        <is>
          <t>Seguridad y orden público</t>
        </is>
      </c>
      <c r="E311" s="38" t="inlineStr">
        <is>
          <t>Noticia dura</t>
        </is>
      </c>
      <c r="F311" s="38" t="inlineStr">
        <is>
          <t>Mon, 29 Jun 2026 18:35:06 +0000</t>
        </is>
      </c>
      <c r="G311"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H311" s="62" t="inlineStr">
        <is>
          <t>Según la alerta, las ACSN han fortalecido su presencia en el casco urbano y en corregimientos como Carraipía y Paraguachón, en desarrollo de una estrategia para controlar corredores de movilidad y economías ilícitas asociadas a la frontera con Venezuela.</t>
        </is>
      </c>
      <c r="I311" s="62" t="inlineStr">
        <is>
          <t>El organismo identifica cuatro dinámicas que hoy explican el riesgo en el municipio.</t>
        </is>
      </c>
      <c r="J311" s="38" t="n"/>
      <c r="K311" s="62" t="n"/>
      <c r="L311" s="38" t="n"/>
      <c r="M311" s="62" t="n"/>
      <c r="N311" s="38" t="n"/>
      <c r="O311" s="62" t="n"/>
      <c r="P311" s="38" t="n"/>
      <c r="Q311" s="62" t="n"/>
      <c r="R311" s="38" t="n"/>
      <c r="S311" s="62" t="n"/>
      <c r="T311" s="38" t="n"/>
      <c r="U311" s="62" t="n"/>
      <c r="V311" s="38" t="n"/>
      <c r="W311" s="62" t="n"/>
      <c r="X311" s="38" t="n"/>
      <c r="Y311" s="62" t="n"/>
      <c r="Z311" s="38" t="n"/>
      <c r="AA311" s="62" t="n"/>
      <c r="AB311" s="38" t="n"/>
      <c r="AC311" s="62" t="n"/>
      <c r="AD311" s="38" t="n"/>
      <c r="AE311" s="38" t="n"/>
      <c r="AF311" s="61">
        <f>IF(COUNTIF($B$5:B311,B311)=1,1,0)</f>
        <v/>
      </c>
      <c r="AG311" s="62" t="inlineStr">
        <is>
          <t>https://www.elespectador.com/colombia-20/paz-y-memoria/alerta-por-expansion-de-autodefensas-conquistadoras-y-guerra-con-eln-y-disidencias-en-maicao-y-la-guajira-segun-defensoria/</t>
        </is>
      </c>
    </row>
    <row r="312" ht="15" customHeight="1" s="31">
      <c r="A312" s="38" t="inlineStr">
        <is>
          <t>ART_037</t>
        </is>
      </c>
      <c r="B312" s="38" t="inlineStr">
        <is>
          <t>ART_037_S09</t>
        </is>
      </c>
      <c r="C312" s="38" t="inlineStr">
        <is>
          <t>El Espectador</t>
        </is>
      </c>
      <c r="D312" s="38" t="inlineStr">
        <is>
          <t>Seguridad y orden público</t>
        </is>
      </c>
      <c r="E312" s="38" t="inlineStr">
        <is>
          <t>Noticia dura</t>
        </is>
      </c>
      <c r="F312" s="38" t="inlineStr">
        <is>
          <t>Mon, 29 Jun 2026 18:35:06 +0000</t>
        </is>
      </c>
      <c r="G312" s="62" t="inlineStr">
        <is>
          <t>El organismo identifica cuatro dinámicas que hoy explican el riesgo en el municipio.</t>
        </is>
      </c>
      <c r="H312" s="62" t="inlineStr">
        <is>
          <t>“La incursión de las ACSN en territorios donde otros actores mantienen presencia e influencia incrementa las tensiones y eleva la probabilidad de confrontaciones armadas”, advierte la Defensoría, que también alerta sobre un posible aumento de homicidios, secuestros, amenazas, extorsiones y restricciones a la movilidad de la población civil.</t>
        </is>
      </c>
      <c r="I312" s="62" t="inlineStr">
        <is>
          <t>La primera corresponde al control histórico que ejerce el ELN sobre los corregimientos de Carraipía y La Majayura.</t>
        </is>
      </c>
      <c r="J312" s="38" t="n"/>
      <c r="K312" s="62" t="n"/>
      <c r="L312" s="38" t="n"/>
      <c r="M312" s="62" t="n"/>
      <c r="N312" s="38" t="n"/>
      <c r="O312" s="62" t="n"/>
      <c r="P312" s="38" t="n"/>
      <c r="Q312" s="62" t="n"/>
      <c r="R312" s="38" t="n"/>
      <c r="S312" s="62" t="n"/>
      <c r="T312" s="38" t="n"/>
      <c r="U312" s="62" t="n"/>
      <c r="V312" s="38" t="n"/>
      <c r="W312" s="62" t="n"/>
      <c r="X312" s="38" t="n"/>
      <c r="Y312" s="62" t="n"/>
      <c r="Z312" s="38" t="n"/>
      <c r="AA312" s="62" t="n"/>
      <c r="AB312" s="38" t="n"/>
      <c r="AC312" s="62" t="n"/>
      <c r="AD312" s="38" t="n"/>
      <c r="AE312" s="38" t="n"/>
      <c r="AF312" s="61">
        <f>IF(COUNTIF($B$5:B312,B312)=1,1,0)</f>
        <v/>
      </c>
      <c r="AG312" s="62" t="inlineStr">
        <is>
          <t>https://www.elespectador.com/colombia-20/paz-y-memoria/alerta-por-expansion-de-autodefensas-conquistadoras-y-guerra-con-eln-y-disidencias-en-maicao-y-la-guajira-segun-defensoria/</t>
        </is>
      </c>
    </row>
    <row r="313" ht="15" customHeight="1" s="31">
      <c r="A313" s="38" t="inlineStr">
        <is>
          <t>ART_037</t>
        </is>
      </c>
      <c r="B313" s="38" t="inlineStr">
        <is>
          <t>ART_037_S10</t>
        </is>
      </c>
      <c r="C313" s="38" t="inlineStr">
        <is>
          <t>El Espectador</t>
        </is>
      </c>
      <c r="D313" s="38" t="inlineStr">
        <is>
          <t>Seguridad y orden público</t>
        </is>
      </c>
      <c r="E313" s="38" t="inlineStr">
        <is>
          <t>Noticia dura</t>
        </is>
      </c>
      <c r="F313" s="38" t="inlineStr">
        <is>
          <t>Mon, 29 Jun 2026 18:35:06 +0000</t>
        </is>
      </c>
      <c r="G313" s="62" t="inlineStr">
        <is>
          <t>La primera corresponde al control histórico que ejerce el ELN sobre los corregimientos de Carraipía y La Majayura.</t>
        </is>
      </c>
      <c r="H313" s="62" t="inlineStr">
        <is>
          <t>El organismo identifica cuatro dinámicas que hoy explican el riesgo en el municipio.</t>
        </is>
      </c>
      <c r="I313"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J313" s="38" t="n"/>
      <c r="K313" s="62" t="n"/>
      <c r="L313" s="38" t="n"/>
      <c r="M313" s="62" t="n"/>
      <c r="N313" s="38" t="n"/>
      <c r="O313" s="62" t="n"/>
      <c r="P313" s="38" t="n"/>
      <c r="Q313" s="62" t="n"/>
      <c r="R313" s="38" t="n"/>
      <c r="S313" s="62" t="n"/>
      <c r="T313" s="38" t="n"/>
      <c r="U313" s="62" t="n"/>
      <c r="V313" s="38" t="n"/>
      <c r="W313" s="62" t="n"/>
      <c r="X313" s="38" t="n"/>
      <c r="Y313" s="62" t="n"/>
      <c r="Z313" s="38" t="n"/>
      <c r="AA313" s="62" t="n"/>
      <c r="AB313" s="38" t="n"/>
      <c r="AC313" s="62" t="n"/>
      <c r="AD313" s="38" t="n"/>
      <c r="AE313" s="38" t="n"/>
      <c r="AF313" s="61">
        <f>IF(COUNTIF($B$5:B313,B313)=1,1,0)</f>
        <v/>
      </c>
      <c r="AG313" s="62" t="inlineStr">
        <is>
          <t>https://www.elespectador.com/colombia-20/paz-y-memoria/alerta-por-expansion-de-autodefensas-conquistadoras-y-guerra-con-eln-y-disidencias-en-maicao-y-la-guajira-segun-defensoria/</t>
        </is>
      </c>
    </row>
    <row r="314" ht="15" customHeight="1" s="31">
      <c r="A314" s="38" t="inlineStr">
        <is>
          <t>ART_037</t>
        </is>
      </c>
      <c r="B314" s="38" t="inlineStr">
        <is>
          <t>ART_037_S11</t>
        </is>
      </c>
      <c r="C314" s="38" t="inlineStr">
        <is>
          <t>El Espectador</t>
        </is>
      </c>
      <c r="D314" s="38" t="inlineStr">
        <is>
          <t>Seguridad y orden público</t>
        </is>
      </c>
      <c r="E314" s="38" t="inlineStr">
        <is>
          <t>Noticia dura</t>
        </is>
      </c>
      <c r="F314" s="38" t="inlineStr">
        <is>
          <t>Mon, 29 Jun 2026 18:35:06 +0000</t>
        </is>
      </c>
      <c r="G314"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H314" s="62" t="inlineStr">
        <is>
          <t>La primera corresponde al control histórico que ejerce el ELN sobre los corregimientos de Carraipía y La Majayura.</t>
        </is>
      </c>
      <c r="I314" s="62" t="inlineStr">
        <is>
          <t>La tercera dinámica se desarrolla en el casco urbano, donde organizaciones como Los Rafita, Los Payasos y La Banda del Oso disputan el control de economías ilegales y sectores estratégicos del municipio.</t>
        </is>
      </c>
      <c r="J314" s="38" t="n"/>
      <c r="K314" s="62" t="n"/>
      <c r="L314" s="38" t="n"/>
      <c r="M314" s="62" t="n"/>
      <c r="N314" s="38" t="n"/>
      <c r="O314" s="62" t="n"/>
      <c r="P314" s="38" t="n"/>
      <c r="Q314" s="62" t="n"/>
      <c r="R314" s="38" t="n"/>
      <c r="S314" s="62" t="n"/>
      <c r="T314" s="38" t="n"/>
      <c r="U314" s="62" t="n"/>
      <c r="V314" s="38" t="n"/>
      <c r="W314" s="62" t="n"/>
      <c r="X314" s="38" t="n"/>
      <c r="Y314" s="62" t="n"/>
      <c r="Z314" s="38" t="n"/>
      <c r="AA314" s="62" t="n"/>
      <c r="AB314" s="38" t="n"/>
      <c r="AC314" s="62" t="n"/>
      <c r="AD314" s="38" t="n"/>
      <c r="AE314" s="38" t="n"/>
      <c r="AF314" s="61">
        <f>IF(COUNTIF($B$5:B314,B314)=1,1,0)</f>
        <v/>
      </c>
      <c r="AG314" s="62" t="inlineStr">
        <is>
          <t>https://www.elespectador.com/colombia-20/paz-y-memoria/alerta-por-expansion-de-autodefensas-conquistadoras-y-guerra-con-eln-y-disidencias-en-maicao-y-la-guajira-segun-defensoria/</t>
        </is>
      </c>
    </row>
    <row r="315" ht="15" customHeight="1" s="31">
      <c r="A315" s="38" t="inlineStr">
        <is>
          <t>ART_037</t>
        </is>
      </c>
      <c r="B315" s="38" t="inlineStr">
        <is>
          <t>ART_037_S12</t>
        </is>
      </c>
      <c r="C315" s="38" t="inlineStr">
        <is>
          <t>El Espectador</t>
        </is>
      </c>
      <c r="D315" s="38" t="inlineStr">
        <is>
          <t>Seguridad y orden público</t>
        </is>
      </c>
      <c r="E315" s="38" t="inlineStr">
        <is>
          <t>Noticia dura</t>
        </is>
      </c>
      <c r="F315" s="38" t="inlineStr">
        <is>
          <t>Mon, 29 Jun 2026 18:35:06 +0000</t>
        </is>
      </c>
      <c r="G315" s="62" t="inlineStr">
        <is>
          <t>La tercera dinámica se desarrolla en el casco urbano, donde organizaciones como Los Rafita, Los Payasos y La Banda del Oso disputan el control de economías ilegales y sectores estratégicos del municipio.</t>
        </is>
      </c>
      <c r="H315" s="62" t="inlineStr">
        <is>
          <t>La segunda ocurre en Paraguachón, donde esa guerrilla y la Segunda Marquetalia mantienen una coexistencia alrededor de los principales pasos ilegales hacia Venezuela, sin enfrentamientos abiertos, pero sí mediante mecanismos de regulación y control sobre las comunidades.</t>
        </is>
      </c>
      <c r="I315" s="62" t="n"/>
      <c r="J315" s="38" t="n"/>
      <c r="K315" s="62" t="n"/>
      <c r="L315" s="38" t="n"/>
      <c r="M315" s="62" t="n"/>
      <c r="N315" s="38" t="n"/>
      <c r="O315" s="62" t="n"/>
      <c r="P315" s="38" t="n"/>
      <c r="Q315" s="62" t="n"/>
      <c r="R315" s="38" t="n"/>
      <c r="S315" s="62" t="n"/>
      <c r="T315" s="38" t="n"/>
      <c r="U315" s="62" t="n"/>
      <c r="V315" s="38" t="n"/>
      <c r="W315" s="62" t="n"/>
      <c r="X315" s="38" t="n"/>
      <c r="Y315" s="62" t="n"/>
      <c r="Z315" s="38" t="n"/>
      <c r="AA315" s="62" t="n"/>
      <c r="AB315" s="38" t="n"/>
      <c r="AC315" s="62" t="n"/>
      <c r="AD315" s="38" t="n"/>
      <c r="AE315" s="38" t="n"/>
      <c r="AF315" s="61">
        <f>IF(COUNTIF($B$5:B315,B315)=1,1,0)</f>
        <v/>
      </c>
      <c r="AG315" s="62" t="inlineStr">
        <is>
          <t>https://www.elespectador.com/colombia-20/paz-y-memoria/alerta-por-expansion-de-autodefensas-conquistadoras-y-guerra-con-eln-y-disidencias-en-maicao-y-la-guajira-segun-defensoria/</t>
        </is>
      </c>
    </row>
    <row r="316" ht="15" customHeight="1" s="31">
      <c r="A316" s="38" t="inlineStr">
        <is>
          <t>ART_038</t>
        </is>
      </c>
      <c r="B316" s="38" t="inlineStr">
        <is>
          <t>ART_038_S01</t>
        </is>
      </c>
      <c r="C316" s="38" t="inlineStr">
        <is>
          <t>El Espectador</t>
        </is>
      </c>
      <c r="D316" s="38" t="inlineStr">
        <is>
          <t>Seguridad y orden público</t>
        </is>
      </c>
      <c r="E316" s="38" t="inlineStr">
        <is>
          <t>Noticia dura</t>
        </is>
      </c>
      <c r="F316" s="38" t="inlineStr">
        <is>
          <t>2024-08-06T18:06:44-05:00</t>
        </is>
      </c>
      <c r="G316" s="62" t="inlineStr">
        <is>
          <t>A través de un comunicado, el Ejército de Liberación Nacional (ELN) dio este martes un ultimátum al Gobierno para publicar el decreto que elimina a esa guerrilla de la lista de Grupos Armados Organizados (GAO) y así poder reanudar la mesa de diálogos.</t>
        </is>
      </c>
      <c r="H316" s="62" t="n"/>
      <c r="I316" s="62" t="inlineStr">
        <is>
          <t>“El Decreto Presidencial para retirar al ELN de la lista de los GAOs debería haberse emitido en junio de 2023, jamás hemos recibido explicación alguna de las razones de no haberlo hecho.</t>
        </is>
      </c>
      <c r="J316" s="38" t="n"/>
      <c r="K316" s="62" t="n"/>
      <c r="L316" s="38" t="n"/>
      <c r="M316" s="62" t="n"/>
      <c r="N316" s="38" t="n"/>
      <c r="O316" s="62" t="n"/>
      <c r="P316" s="38" t="n"/>
      <c r="Q316" s="62" t="n"/>
      <c r="R316" s="38" t="n"/>
      <c r="S316" s="62" t="n"/>
      <c r="T316" s="38" t="n"/>
      <c r="U316" s="62" t="n"/>
      <c r="V316" s="38" t="n"/>
      <c r="W316" s="62" t="n"/>
      <c r="X316" s="38" t="n"/>
      <c r="Y316" s="62" t="n"/>
      <c r="Z316" s="38" t="n"/>
      <c r="AA316" s="62" t="n"/>
      <c r="AB316" s="38" t="n"/>
      <c r="AC316" s="62" t="n"/>
      <c r="AD316" s="38" t="n"/>
      <c r="AE316" s="38" t="n"/>
      <c r="AF316" s="61">
        <f>IF(COUNTIF($B$5:B316,B316)=1,1,0)</f>
        <v/>
      </c>
      <c r="AG316" s="62" t="inlineStr">
        <is>
          <t>https://www.elespectador.com/colombia-20/paz-y-memoria/eln-da-la-gobierno-hasta-el-23-de-agosto-para-publicar-decreto-que-la-elimina-de-lista-grupo-armados-organizados/</t>
        </is>
      </c>
    </row>
    <row r="317" ht="15" customHeight="1" s="31">
      <c r="A317" s="38" t="inlineStr">
        <is>
          <t>ART_038</t>
        </is>
      </c>
      <c r="B317" s="38" t="inlineStr">
        <is>
          <t>ART_038_S02</t>
        </is>
      </c>
      <c r="C317" s="38" t="inlineStr">
        <is>
          <t>El Espectador</t>
        </is>
      </c>
      <c r="D317" s="38" t="inlineStr">
        <is>
          <t>Seguridad y orden público</t>
        </is>
      </c>
      <c r="E317" s="38" t="inlineStr">
        <is>
          <t>Noticia dura</t>
        </is>
      </c>
      <c r="F317" s="38" t="inlineStr">
        <is>
          <t>2024-08-06T18:06:44-05:00</t>
        </is>
      </c>
      <c r="G317" s="62" t="inlineStr">
        <is>
          <t>“El Decreto Presidencial para retirar al ELN de la lista de los GAOs debería haberse emitido en junio de 2023, jamás hemos recibido explicación alguna de las razones de no haberlo hecho.</t>
        </is>
      </c>
      <c r="H317" s="62" t="inlineStr">
        <is>
          <t>A través de un comunicado, el Ejército de Liberación Nacional (ELN) dio este martes un ultimátum al Gobierno para publicar el decreto que elimina a esa guerrilla de la lista de Grupos Armados Organizados (GAO) y así poder reanudar la mesa de diálogos.</t>
        </is>
      </c>
      <c r="I317" s="62" t="n"/>
      <c r="J317" s="38" t="n"/>
      <c r="K317" s="62" t="n"/>
      <c r="L317" s="38" t="n"/>
      <c r="M317" s="62" t="n"/>
      <c r="N317" s="38" t="n"/>
      <c r="O317" s="62" t="n"/>
      <c r="P317" s="38" t="n"/>
      <c r="Q317" s="62" t="n"/>
      <c r="R317" s="38" t="n"/>
      <c r="S317" s="62" t="n"/>
      <c r="T317" s="38" t="n"/>
      <c r="U317" s="62" t="n"/>
      <c r="V317" s="38" t="n"/>
      <c r="W317" s="62" t="n"/>
      <c r="X317" s="38" t="n"/>
      <c r="Y317" s="62" t="n"/>
      <c r="Z317" s="38" t="n"/>
      <c r="AA317" s="62" t="n"/>
      <c r="AB317" s="38" t="n"/>
      <c r="AC317" s="62" t="n"/>
      <c r="AD317" s="38" t="n"/>
      <c r="AE317" s="38" t="n"/>
      <c r="AF317" s="61">
        <f>IF(COUNTIF($B$5:B317,B317)=1,1,0)</f>
        <v/>
      </c>
      <c r="AG317" s="62" t="inlineStr">
        <is>
          <t>https://www.elespectador.com/colombia-20/paz-y-memoria/eln-da-la-gobierno-hasta-el-23-de-agosto-para-publicar-decreto-que-la-elimina-de-lista-grupo-armados-organizados/</t>
        </is>
      </c>
    </row>
    <row r="318" ht="15" customHeight="1" s="31">
      <c r="A318" s="38" t="inlineStr">
        <is>
          <t>ART_039</t>
        </is>
      </c>
      <c r="B318" s="38" t="inlineStr">
        <is>
          <t>ART_039_S01</t>
        </is>
      </c>
      <c r="C318" s="38" t="inlineStr">
        <is>
          <t>El Tiempo</t>
        </is>
      </c>
      <c r="D318" s="38" t="inlineStr">
        <is>
          <t>Respuesta a la emergencia del terremoto</t>
        </is>
      </c>
      <c r="E318" s="38" t="inlineStr">
        <is>
          <t>Noticia dura</t>
        </is>
      </c>
      <c r="F318" s="38" t="inlineStr">
        <is>
          <t>2026-09-05T21:05:00-05:00</t>
        </is>
      </c>
      <c r="G318" s="62" t="inlineStr">
        <is>
          <t>Al gobierno de Abelardo De La Espriella le quedan pocos días para superar la primera gran prueba de su nuevo Presupuesto General de la Nación (PGN) para el 2027.</t>
        </is>
      </c>
      <c r="H318" s="62" t="n"/>
      <c r="I318" s="62" t="n"/>
      <c r="J318" s="38" t="n"/>
      <c r="K318" s="62" t="n"/>
      <c r="L318" s="38" t="n"/>
      <c r="M318" s="62" t="n"/>
      <c r="N318" s="38" t="n"/>
      <c r="O318" s="62" t="n"/>
      <c r="P318" s="38" t="n"/>
      <c r="Q318" s="62" t="n"/>
      <c r="R318" s="38" t="n"/>
      <c r="S318" s="62" t="n"/>
      <c r="T318" s="38" t="n"/>
      <c r="U318" s="62" t="n"/>
      <c r="V318" s="38" t="n"/>
      <c r="W318" s="62" t="n"/>
      <c r="X318" s="38" t="n"/>
      <c r="Y318" s="62" t="n"/>
      <c r="Z318" s="38" t="n"/>
      <c r="AA318" s="62" t="n"/>
      <c r="AB318" s="38" t="n"/>
      <c r="AC318" s="62" t="n"/>
      <c r="AD318" s="38" t="n"/>
      <c r="AE318" s="38" t="n"/>
      <c r="AF318" s="61">
        <f>IF(COUNTIF($B$5:B318,B318)=1,1,0)</f>
        <v/>
      </c>
      <c r="AG318" s="62" t="inlineStr">
        <is>
          <t>https://www.eltiempo.com/economia/sectores/carrera-contra-el-reloj-del-gobierno-para-sacar-adelante-presupuesto-de-634-9-billones-estos-son-los-obstaculos-3583762</t>
        </is>
      </c>
    </row>
    <row r="319" ht="15" customHeight="1" s="31">
      <c r="A319" s="38" t="inlineStr">
        <is>
          <t>ART_040</t>
        </is>
      </c>
      <c r="B319" s="38" t="inlineStr">
        <is>
          <t>ART_040_S01</t>
        </is>
      </c>
      <c r="C319" s="38" t="inlineStr">
        <is>
          <t>La Silla Vacía</t>
        </is>
      </c>
      <c r="D319" s="38" t="inlineStr">
        <is>
          <t>Respuesta a la emergencia del terremoto</t>
        </is>
      </c>
      <c r="E319" s="38" t="inlineStr">
        <is>
          <t>Opinión-análisis</t>
        </is>
      </c>
      <c r="F319" s="38" t="inlineStr">
        <is>
          <t>Sat, 05 Sep 2026 23:48:18 +0000</t>
        </is>
      </c>
      <c r="G319" s="62" t="inlineStr">
        <is>
          <t>“Patria Milagro” es la expresión escogida por el presidente Abelardo de la Espriella para identificar su proyecto de gobierno.</t>
        </is>
      </c>
      <c r="H319" s="62" t="n"/>
      <c r="I319" s="62" t="n"/>
      <c r="J319" s="38" t="n"/>
      <c r="K319" s="62" t="n"/>
      <c r="L319" s="38" t="n"/>
      <c r="M319" s="62" t="n"/>
      <c r="N319" s="38" t="n"/>
      <c r="O319" s="62" t="n"/>
      <c r="P319" s="38" t="n"/>
      <c r="Q319" s="62" t="n"/>
      <c r="R319" s="38" t="n"/>
      <c r="S319" s="62" t="n"/>
      <c r="T319" s="38" t="n"/>
      <c r="U319" s="62" t="n"/>
      <c r="V319" s="38" t="n"/>
      <c r="W319" s="62" t="n"/>
      <c r="X319" s="38" t="n"/>
      <c r="Y319" s="62" t="n"/>
      <c r="Z319" s="38" t="n"/>
      <c r="AA319" s="62" t="n"/>
      <c r="AB319" s="38" t="n"/>
      <c r="AC319" s="62" t="n"/>
      <c r="AD319" s="38" t="n"/>
      <c r="AE319" s="38" t="n"/>
      <c r="AF319" s="61">
        <f>IF(COUNTIF($B$5:B319,B319)=1,1,0)</f>
        <v/>
      </c>
      <c r="AG319" s="62" t="inlineStr">
        <is>
          <t>https://www.lasillavacia.com/red-de-expertos/dios-proveera-sobre-la-idea-de-una-patria-milagro/</t>
        </is>
      </c>
    </row>
    <row r="320" ht="15" customHeight="1" s="31">
      <c r="A320" s="38" t="inlineStr">
        <is>
          <t>ART_041</t>
        </is>
      </c>
      <c r="B320" s="38" t="inlineStr">
        <is>
          <t>ART_041_S01</t>
        </is>
      </c>
      <c r="C320" s="38" t="inlineStr">
        <is>
          <t>La Silla Vacía</t>
        </is>
      </c>
      <c r="D320" s="38" t="inlineStr">
        <is>
          <t>Transición de gobierno y relación con la oposición</t>
        </is>
      </c>
      <c r="E320" s="38" t="inlineStr">
        <is>
          <t>Opinión-análisis</t>
        </is>
      </c>
      <c r="F320" s="38" t="inlineStr">
        <is>
          <t>Sat, 05 Sep 2026 19:00:00 +0000</t>
        </is>
      </c>
      <c r="G320" s="62" t="inlineStr">
        <is>
          <t>Durante la última semana causó revuelo la noticia divulgada por Caracol Radio, señalando la existencia de presuntas actas que develaban que el presidente De la Espriella habría ordenado a sus ministros no conceder ruedas de prensa ni entrevistas a medios de comunicación que no fueran ‘amigos’, salvo para temas estratégicos o con previa autorización.</t>
        </is>
      </c>
      <c r="H320" s="62" t="n"/>
      <c r="I320" s="62" t="n"/>
      <c r="J320" s="38" t="n"/>
      <c r="K320" s="62" t="n"/>
      <c r="L320" s="38" t="n"/>
      <c r="M320" s="62" t="n"/>
      <c r="N320" s="38" t="n"/>
      <c r="O320" s="62" t="n"/>
      <c r="P320" s="38" t="n"/>
      <c r="Q320" s="62" t="n"/>
      <c r="R320" s="38" t="n"/>
      <c r="S320" s="62" t="n"/>
      <c r="T320" s="38" t="n"/>
      <c r="U320" s="62" t="n"/>
      <c r="V320" s="38" t="n"/>
      <c r="W320" s="62" t="n"/>
      <c r="X320" s="38" t="n"/>
      <c r="Y320" s="62" t="n"/>
      <c r="Z320" s="38" t="n"/>
      <c r="AA320" s="62" t="n"/>
      <c r="AB320" s="38" t="n"/>
      <c r="AC320" s="62" t="n"/>
      <c r="AD320" s="38" t="n"/>
      <c r="AE320" s="38" t="n"/>
      <c r="AF320" s="61">
        <f>IF(COUNTIF($B$5:B320,B320)=1,1,0)</f>
        <v/>
      </c>
      <c r="AG320" s="62" t="inlineStr">
        <is>
          <t>https://www.lasillavacia.com/red-de-expertos/red-social/la-informacion-publica-no-se-restringe-a-medios-amigos/</t>
        </is>
      </c>
    </row>
    <row r="321" ht="15" customHeight="1" s="31">
      <c r="A321" s="38" t="inlineStr">
        <is>
          <t>ART_042</t>
        </is>
      </c>
      <c r="B321" s="38" t="inlineStr">
        <is>
          <t>ART_042_S01</t>
        </is>
      </c>
      <c r="C321" s="38" t="inlineStr">
        <is>
          <t>La Silla Vacía</t>
        </is>
      </c>
      <c r="D321" s="38" t="inlineStr">
        <is>
          <t>Seguridad y orden público</t>
        </is>
      </c>
      <c r="E321" s="38" t="inlineStr">
        <is>
          <t>Opinión-análisis</t>
        </is>
      </c>
      <c r="F321" s="38" t="inlineStr">
        <is>
          <t>Sat, 05 Sep 2026 16:33:03 +0000</t>
        </is>
      </c>
      <c r="G321" s="62" t="inlineStr">
        <is>
          <t>¿Operaciones sin Seguridad? Me preguntaba un amigo, que opinaba sobre las anunciadas operaciones militares en Chiribiquete.</t>
        </is>
      </c>
      <c r="H321" s="62" t="inlineStr"/>
      <c r="I321" s="62" t="inlineStr">
        <is>
          <t>Le respondí que era predecible y lógico.</t>
        </is>
      </c>
      <c r="J321" s="38" t="n"/>
      <c r="K321" s="62" t="n"/>
      <c r="L321" s="38" t="n"/>
      <c r="M321" s="62" t="n"/>
      <c r="N321" s="38" t="n"/>
      <c r="O321" s="62" t="n"/>
      <c r="P321" s="38" t="n"/>
      <c r="Q321" s="62" t="n"/>
      <c r="R321" s="38" t="n"/>
      <c r="S321" s="62" t="n"/>
      <c r="T321" s="38" t="n"/>
      <c r="U321" s="62" t="n"/>
      <c r="V321" s="38" t="n"/>
      <c r="W321" s="62" t="n"/>
      <c r="X321" s="38" t="n"/>
      <c r="Y321" s="62" t="n"/>
      <c r="Z321" s="38" t="n"/>
      <c r="AA321" s="62" t="n"/>
      <c r="AB321" s="38" t="n"/>
      <c r="AC321" s="62" t="n"/>
      <c r="AD321" s="38" t="n"/>
      <c r="AE321" s="38" t="n"/>
      <c r="AF321" s="61">
        <f>IF(COUNTIF($B$5:B321,B321)=1,1,0)</f>
        <v/>
      </c>
      <c r="AG321" s="62" t="inlineStr">
        <is>
          <t>https://www.lasillavacia.com/opinion/operaciones-sin-seguridad/</t>
        </is>
      </c>
    </row>
    <row r="322" ht="15" customHeight="1" s="31">
      <c r="A322" s="38" t="inlineStr">
        <is>
          <t>ART_043</t>
        </is>
      </c>
      <c r="B322" s="38" t="inlineStr">
        <is>
          <t>ART_043_S01</t>
        </is>
      </c>
      <c r="C322" s="38" t="inlineStr">
        <is>
          <t>La Silla Vacía</t>
        </is>
      </c>
      <c r="D322" s="38" t="inlineStr">
        <is>
          <t>Reformas sociales en disputa (pensional/tributaria)</t>
        </is>
      </c>
      <c r="E322" s="38" t="inlineStr">
        <is>
          <t>Opinión-análisis</t>
        </is>
      </c>
      <c r="F322" s="38" t="inlineStr">
        <is>
          <t>Mon, 31 Aug 2026 18:10:17 +0000</t>
        </is>
      </c>
      <c r="G322" s="62" t="inlineStr">
        <is>
          <t>Tras mantener suspendida su entrada en vigor cerca de dos años, la Corte Constitucional declaró exequible el grueso de la Ley 2381 de 2024 y difirió su vigencia al 1.º de abril de 2027.</t>
        </is>
      </c>
      <c r="H322" s="62" t="n"/>
      <c r="I322" s="62" t="n"/>
      <c r="J322" s="38" t="n"/>
      <c r="K322" s="62" t="n"/>
      <c r="L322" s="38" t="n"/>
      <c r="M322" s="62" t="n"/>
      <c r="N322" s="38" t="n"/>
      <c r="O322" s="62" t="n"/>
      <c r="P322" s="38" t="n"/>
      <c r="Q322" s="62" t="n"/>
      <c r="R322" s="38" t="n"/>
      <c r="S322" s="62" t="n"/>
      <c r="T322" s="38" t="n"/>
      <c r="U322" s="62" t="n"/>
      <c r="V322" s="38" t="n"/>
      <c r="W322" s="62" t="n"/>
      <c r="X322" s="38" t="n"/>
      <c r="Y322" s="62" t="n"/>
      <c r="Z322" s="38" t="n"/>
      <c r="AA322" s="62" t="n"/>
      <c r="AB322" s="38" t="n"/>
      <c r="AC322" s="62" t="n"/>
      <c r="AD322" s="38" t="n"/>
      <c r="AE322" s="38" t="n"/>
      <c r="AF322" s="61">
        <f>IF(COUNTIF($B$5:B322,B322)=1,1,0)</f>
        <v/>
      </c>
      <c r="AG322" s="62" t="inlineStr">
        <is>
          <t>https://www.lasillavacia.com/red-de-expertos/red-de-derecho-constitucional/ganadores-y-perdedores-de-la-reforma-pensional/</t>
        </is>
      </c>
    </row>
    <row r="323" ht="15" customHeight="1" s="31">
      <c r="A323" s="38" t="inlineStr">
        <is>
          <t>ART_044</t>
        </is>
      </c>
      <c r="B323" s="38" t="inlineStr">
        <is>
          <t>ART_044_S01</t>
        </is>
      </c>
      <c r="C323" s="38" t="inlineStr">
        <is>
          <t>La Silla Vacía</t>
        </is>
      </c>
      <c r="D323" s="38" t="inlineStr">
        <is>
          <t>Relación con Estados Unidos</t>
        </is>
      </c>
      <c r="E323" s="38" t="inlineStr">
        <is>
          <t>Opinión-análisis</t>
        </is>
      </c>
      <c r="F323" s="38" t="inlineStr">
        <is>
          <t>2025-04-05T05:05:00+00:00</t>
        </is>
      </c>
      <c r="G323" s="62" t="inlineStr">
        <is>
          <t>Se ha dicho que los aranceles del 10 % impuestos por Trump a Colombia tienen algunos efectos positivos y que el país salió relativamente bien librado.</t>
        </is>
      </c>
      <c r="H323" s="62" t="n"/>
      <c r="I323" s="62" t="n"/>
      <c r="J323" s="38" t="n"/>
      <c r="K323" s="62" t="n"/>
      <c r="L323" s="38" t="n"/>
      <c r="M323" s="62" t="n"/>
      <c r="N323" s="38" t="n"/>
      <c r="O323" s="62" t="n"/>
      <c r="P323" s="38" t="n"/>
      <c r="Q323" s="62" t="n"/>
      <c r="R323" s="38" t="n"/>
      <c r="S323" s="62" t="n"/>
      <c r="T323" s="38" t="n"/>
      <c r="U323" s="62" t="n"/>
      <c r="V323" s="38" t="n"/>
      <c r="W323" s="62" t="n"/>
      <c r="X323" s="38" t="n"/>
      <c r="Y323" s="62" t="n"/>
      <c r="Z323" s="38" t="n"/>
      <c r="AA323" s="62" t="n"/>
      <c r="AB323" s="38" t="n"/>
      <c r="AC323" s="62" t="n"/>
      <c r="AD323" s="38" t="n"/>
      <c r="AE323" s="38" t="n"/>
      <c r="AF323" s="61">
        <f>IF(COUNTIF($B$5:B323,B323)=1,1,0)</f>
        <v/>
      </c>
      <c r="AG323" s="62" t="inlineStr">
        <is>
          <t>https://www.lasillavacia.com/red-de-expertos/red-social/colombia-no-sale-tan-bien-librada-con-los-nuevos-aranceles-de-trump/</t>
        </is>
      </c>
    </row>
    <row r="324" ht="15" customHeight="1" s="31">
      <c r="A324" s="38" t="inlineStr">
        <is>
          <t>ART_045</t>
        </is>
      </c>
      <c r="B324" s="38" t="inlineStr">
        <is>
          <t>ART_045_S01</t>
        </is>
      </c>
      <c r="C324" s="38" t="inlineStr">
        <is>
          <t>La Silla Vacía</t>
        </is>
      </c>
      <c r="D324" s="38" t="inlineStr">
        <is>
          <t>Reformas sociales en disputa (pensional/tributaria)</t>
        </is>
      </c>
      <c r="E324" s="38" t="inlineStr">
        <is>
          <t>Opinión-análisis</t>
        </is>
      </c>
      <c r="F324" s="38" t="inlineStr">
        <is>
          <t>Thu, 27 Aug 2026 13:00:00 +0000</t>
        </is>
      </c>
      <c r="G324" s="62" t="inlineStr">
        <is>
          <t>La reforma pensional colombiana dejó de ser solamente una discusión sobre el futuro de los trabajadores y se convirtió también en un asunto de economía de empresa.</t>
        </is>
      </c>
      <c r="H324" s="62" t="n"/>
      <c r="I324" s="62" t="n"/>
      <c r="J324" s="38" t="n"/>
      <c r="K324" s="62" t="n"/>
      <c r="L324" s="38" t="n"/>
      <c r="M324" s="62" t="n"/>
      <c r="N324" s="38" t="n"/>
      <c r="O324" s="62" t="n"/>
      <c r="P324" s="38" t="n"/>
      <c r="Q324" s="62" t="n"/>
      <c r="R324" s="38" t="n"/>
      <c r="S324" s="62" t="n"/>
      <c r="T324" s="38" t="n"/>
      <c r="U324" s="62" t="n"/>
      <c r="V324" s="38" t="n"/>
      <c r="W324" s="62" t="n"/>
      <c r="X324" s="38" t="n"/>
      <c r="Y324" s="62" t="n"/>
      <c r="Z324" s="38" t="n"/>
      <c r="AA324" s="62" t="n"/>
      <c r="AB324" s="38" t="n"/>
      <c r="AC324" s="62" t="n"/>
      <c r="AD324" s="38" t="n"/>
      <c r="AE324" s="38" t="n"/>
      <c r="AF324" s="61">
        <f>IF(COUNTIF($B$5:B324,B324)=1,1,0)</f>
        <v/>
      </c>
      <c r="AG324" s="62" t="inlineStr">
        <is>
          <t>https://www.lasillavacia.com/red-de-expertos/red-social/pension-un-reto-economico-y-empresarial/</t>
        </is>
      </c>
    </row>
    <row r="325" ht="15" customHeight="1" s="31">
      <c r="A325" s="38" t="inlineStr">
        <is>
          <t>ART_046</t>
        </is>
      </c>
      <c r="B325" s="38" t="inlineStr">
        <is>
          <t>ART_046_S01</t>
        </is>
      </c>
      <c r="C325" s="38" t="inlineStr">
        <is>
          <t>La Silla Vacía</t>
        </is>
      </c>
      <c r="D325" s="38" t="inlineStr">
        <is>
          <t>Seguridad y orden público</t>
        </is>
      </c>
      <c r="E325" s="38" t="inlineStr">
        <is>
          <t>Opinión-análisis</t>
        </is>
      </c>
      <c r="F325" s="38" t="inlineStr">
        <is>
          <t>Tue, 23 Jun 2026 20:03:13 +0000</t>
        </is>
      </c>
      <c r="G325" s="62" t="inlineStr">
        <is>
          <t>El politólogo Guillermo O’Donnell advirtió que la democracia no se agota en las elecciones porque exige también que el Estado garantice el imperio de la ley en todo el territorio y que los ciudadanos puedan ejercer sus derechos sin coacción.</t>
        </is>
      </c>
      <c r="H325" s="62" t="n"/>
      <c r="I325" s="62" t="n"/>
      <c r="J325" s="38" t="n"/>
      <c r="K325" s="62" t="n"/>
      <c r="L325" s="38" t="n"/>
      <c r="M325" s="62" t="n"/>
      <c r="N325" s="38" t="n"/>
      <c r="O325" s="62" t="n"/>
      <c r="P325" s="38" t="n"/>
      <c r="Q325" s="62" t="n"/>
      <c r="R325" s="38" t="n"/>
      <c r="S325" s="62" t="n"/>
      <c r="T325" s="38" t="n"/>
      <c r="U325" s="62" t="n"/>
      <c r="V325" s="38" t="n"/>
      <c r="W325" s="62" t="n"/>
      <c r="X325" s="38" t="n"/>
      <c r="Y325" s="62" t="n"/>
      <c r="Z325" s="38" t="n"/>
      <c r="AA325" s="62" t="n"/>
      <c r="AB325" s="38" t="n"/>
      <c r="AC325" s="62" t="n"/>
      <c r="AD325" s="38" t="n"/>
      <c r="AE325" s="38" t="n"/>
      <c r="AF325" s="61">
        <f>IF(COUNTIF($B$5:B325,B325)=1,1,0)</f>
        <v/>
      </c>
      <c r="AG325" s="62" t="inlineStr">
        <is>
          <t>https://www.lasillavacia.com/red-de-expertos/red-de-la-paz/elecciones-y-crimen-organizado-una-reflexion-academica/</t>
        </is>
      </c>
    </row>
    <row r="326" ht="15" customHeight="1" s="31">
      <c r="A326" s="38" t="inlineStr">
        <is>
          <t>ART_047</t>
        </is>
      </c>
      <c r="B326" s="38" t="inlineStr">
        <is>
          <t>ART_047_S01</t>
        </is>
      </c>
      <c r="C326" s="38" t="inlineStr">
        <is>
          <t>La Silla Vacía</t>
        </is>
      </c>
      <c r="D326" s="38" t="inlineStr">
        <is>
          <t>Relación con Estados Unidos</t>
        </is>
      </c>
      <c r="E326" s="38" t="inlineStr">
        <is>
          <t>Opinión-análisis</t>
        </is>
      </c>
      <c r="F326" s="38" t="inlineStr">
        <is>
          <t>2025-03-24T15:29:59+00:00</t>
        </is>
      </c>
      <c r="G326" s="62" t="inlineStr">
        <is>
          <t>La guerra comercial que ha desatado el presidente Trump en varias zonas del planeta tiene a todos los países en alerta, debido a los posibles efectos negativos que esta puede generar en sus economías.</t>
        </is>
      </c>
      <c r="H326" s="62" t="n"/>
      <c r="I326" s="62" t="n"/>
      <c r="J326" s="38" t="n"/>
      <c r="K326" s="62" t="n"/>
      <c r="L326" s="38" t="n"/>
      <c r="M326" s="62" t="n"/>
      <c r="N326" s="38" t="n"/>
      <c r="O326" s="62" t="n"/>
      <c r="P326" s="38" t="n"/>
      <c r="Q326" s="62" t="n"/>
      <c r="R326" s="38" t="n"/>
      <c r="S326" s="62" t="n"/>
      <c r="T326" s="38" t="n"/>
      <c r="U326" s="62" t="n"/>
      <c r="V326" s="38" t="n"/>
      <c r="W326" s="62" t="n"/>
      <c r="X326" s="38" t="n"/>
      <c r="Y326" s="62" t="n"/>
      <c r="Z326" s="38" t="n"/>
      <c r="AA326" s="62" t="n"/>
      <c r="AB326" s="38" t="n"/>
      <c r="AC326" s="62" t="n"/>
      <c r="AD326" s="38" t="n"/>
      <c r="AE326" s="38" t="n"/>
      <c r="AF326" s="61">
        <f>IF(COUNTIF($B$5:B326,B326)=1,1,0)</f>
        <v/>
      </c>
      <c r="AG326" s="62" t="inlineStr">
        <is>
          <t>https://www.lasillavacia.com/red-de-expertos/red-social/guerra-comercial-de-trump-oportunidad-para-colombia/</t>
        </is>
      </c>
    </row>
    <row r="327" ht="15" customHeight="1" s="31">
      <c r="A327" s="38" t="inlineStr">
        <is>
          <t>ART_048</t>
        </is>
      </c>
      <c r="B327" s="38" t="inlineStr">
        <is>
          <t>ART_048_S01</t>
        </is>
      </c>
      <c r="C327" s="38" t="inlineStr">
        <is>
          <t>Infobae Colombia</t>
        </is>
      </c>
      <c r="D327" s="38" t="inlineStr">
        <is>
          <t>Relación con Estados Unidos</t>
        </is>
      </c>
      <c r="E327" s="38" t="inlineStr">
        <is>
          <t>Noticia dura</t>
        </is>
      </c>
      <c r="F327" s="38" t="inlineStr">
        <is>
          <t>2026-09-04T01:02:46Z</t>
        </is>
      </c>
      <c r="G327" s="62" t="inlineStr">
        <is>
          <t>Estados Unidos está cada vez más cerca de desmontar el arancel de 12,5% que aplica a productos colombianos.</t>
        </is>
      </c>
      <c r="H327" s="62" t="n"/>
      <c r="I327"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J327" s="38" t="n"/>
      <c r="K327" s="62" t="n"/>
      <c r="L327" s="38" t="n"/>
      <c r="M327" s="62" t="n"/>
      <c r="N327" s="38" t="n"/>
      <c r="O327" s="62" t="n"/>
      <c r="P327" s="38" t="n"/>
      <c r="Q327" s="62" t="n"/>
      <c r="R327" s="38" t="n"/>
      <c r="S327" s="62" t="n"/>
      <c r="T327" s="38" t="n"/>
      <c r="U327" s="62" t="n"/>
      <c r="V327" s="38" t="n"/>
      <c r="W327" s="62" t="n"/>
      <c r="X327" s="38" t="n"/>
      <c r="Y327" s="62" t="n"/>
      <c r="Z327" s="38" t="n"/>
      <c r="AA327" s="62" t="n"/>
      <c r="AB327" s="38" t="n"/>
      <c r="AC327" s="62" t="n"/>
      <c r="AD327" s="38" t="n"/>
      <c r="AE327" s="38" t="n"/>
      <c r="AF327" s="61">
        <f>IF(COUNTIF($B$5:B327,B327)=1,1,0)</f>
        <v/>
      </c>
      <c r="AG327" s="62" t="inlineStr">
        <is>
          <t>https://www.infobae.com/colombia/2026/09/04/arancel-que-impuso-estados-unidos-a-productos-colombianos-podria-ser-eliminado-dentro-de-poco-exportadores-revelaron-posible-fecha/</t>
        </is>
      </c>
    </row>
    <row r="328" ht="15" customHeight="1" s="31">
      <c r="A328" s="38" t="inlineStr">
        <is>
          <t>ART_048</t>
        </is>
      </c>
      <c r="B328" s="38" t="inlineStr">
        <is>
          <t>ART_048_S02</t>
        </is>
      </c>
      <c r="C328" s="38" t="inlineStr">
        <is>
          <t>Infobae Colombia</t>
        </is>
      </c>
      <c r="D328" s="38" t="inlineStr">
        <is>
          <t>Relación con Estados Unidos</t>
        </is>
      </c>
      <c r="E328" s="38" t="inlineStr">
        <is>
          <t>Noticia dura</t>
        </is>
      </c>
      <c r="F328" s="38" t="inlineStr">
        <is>
          <t>2026-09-04T01:02:46Z</t>
        </is>
      </c>
      <c r="G328"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H328" s="62" t="inlineStr">
        <is>
          <t>Estados Unidos está cada vez más cerca de desmontar el arancel de 12,5% que aplica a productos colombianos.</t>
        </is>
      </c>
      <c r="I328"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J328" s="38" t="n"/>
      <c r="K328" s="62" t="n"/>
      <c r="L328" s="38" t="n"/>
      <c r="M328" s="62" t="n"/>
      <c r="N328" s="38" t="n"/>
      <c r="O328" s="62" t="n"/>
      <c r="P328" s="38" t="n"/>
      <c r="Q328" s="62" t="n"/>
      <c r="R328" s="38" t="n"/>
      <c r="S328" s="62" t="n"/>
      <c r="T328" s="38" t="n"/>
      <c r="U328" s="62" t="n"/>
      <c r="V328" s="38" t="n"/>
      <c r="W328" s="62" t="n"/>
      <c r="X328" s="38" t="n"/>
      <c r="Y328" s="62" t="n"/>
      <c r="Z328" s="38" t="n"/>
      <c r="AA328" s="62" t="n"/>
      <c r="AB328" s="38" t="n"/>
      <c r="AC328" s="62" t="n"/>
      <c r="AD328" s="38" t="n"/>
      <c r="AE328" s="38" t="n"/>
      <c r="AF328" s="61">
        <f>IF(COUNTIF($B$5:B328,B328)=1,1,0)</f>
        <v/>
      </c>
      <c r="AG328" s="62" t="inlineStr">
        <is>
          <t>https://www.infobae.com/colombia/2026/09/04/arancel-que-impuso-estados-unidos-a-productos-colombianos-podria-ser-eliminado-dentro-de-poco-exportadores-revelaron-posible-fecha/</t>
        </is>
      </c>
    </row>
    <row r="329" ht="15" customHeight="1" s="31">
      <c r="A329" s="38" t="inlineStr">
        <is>
          <t>ART_048</t>
        </is>
      </c>
      <c r="B329" s="38" t="inlineStr">
        <is>
          <t>ART_048_S03</t>
        </is>
      </c>
      <c r="C329" s="38" t="inlineStr">
        <is>
          <t>Infobae Colombia</t>
        </is>
      </c>
      <c r="D329" s="38" t="inlineStr">
        <is>
          <t>Relación con Estados Unidos</t>
        </is>
      </c>
      <c r="E329" s="38" t="inlineStr">
        <is>
          <t>Noticia dura</t>
        </is>
      </c>
      <c r="F329" s="38" t="inlineStr">
        <is>
          <t>2026-09-04T01:02:46Z</t>
        </is>
      </c>
      <c r="G329"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H329" s="62" t="inlineStr">
        <is>
          <t>La medida podría concretarse en los próximos días, según anticipó el presidente de la Asociación Nacional de Comercio Exterior (Analdex), Javier Díaz, debido a la publicación para comentarios de un decreto regulatorio sobre bienes fabricados con trabajo forzoso.</t>
        </is>
      </c>
      <c r="I329" s="62" t="inlineStr">
        <is>
          <t>Según Díaz, la eliminación de este aliviaría a 1.751 empresas, sobre todo en sectores intensivos en mano de obra.</t>
        </is>
      </c>
      <c r="J329" s="38" t="n"/>
      <c r="K329" s="62" t="n"/>
      <c r="L329" s="38" t="n"/>
      <c r="M329" s="62" t="n"/>
      <c r="N329" s="38" t="n"/>
      <c r="O329" s="62" t="n"/>
      <c r="P329" s="38" t="n"/>
      <c r="Q329" s="62" t="n"/>
      <c r="R329" s="38" t="n"/>
      <c r="S329" s="62" t="n"/>
      <c r="T329" s="38" t="n"/>
      <c r="U329" s="62" t="n"/>
      <c r="V329" s="38" t="n"/>
      <c r="W329" s="62" t="n"/>
      <c r="X329" s="38" t="n"/>
      <c r="Y329" s="62" t="n"/>
      <c r="Z329" s="38" t="n"/>
      <c r="AA329" s="62" t="n"/>
      <c r="AB329" s="38" t="n"/>
      <c r="AC329" s="62" t="n"/>
      <c r="AD329" s="38" t="n"/>
      <c r="AE329" s="38" t="n"/>
      <c r="AF329" s="61">
        <f>IF(COUNTIF($B$5:B329,B329)=1,1,0)</f>
        <v/>
      </c>
      <c r="AG329" s="62" t="inlineStr">
        <is>
          <t>https://www.infobae.com/colombia/2026/09/04/arancel-que-impuso-estados-unidos-a-productos-colombianos-podria-ser-eliminado-dentro-de-poco-exportadores-revelaron-posible-fecha/</t>
        </is>
      </c>
    </row>
    <row r="330" ht="15" customHeight="1" s="31">
      <c r="A330" s="38" t="inlineStr">
        <is>
          <t>ART_048</t>
        </is>
      </c>
      <c r="B330" s="38" t="inlineStr">
        <is>
          <t>ART_048_S04</t>
        </is>
      </c>
      <c r="C330" s="38" t="inlineStr">
        <is>
          <t>Infobae Colombia</t>
        </is>
      </c>
      <c r="D330" s="38" t="inlineStr">
        <is>
          <t>Relación con Estados Unidos</t>
        </is>
      </c>
      <c r="E330" s="38" t="inlineStr">
        <is>
          <t>Noticia dura</t>
        </is>
      </c>
      <c r="F330" s="38" t="inlineStr">
        <is>
          <t>2026-09-04T01:02:46Z</t>
        </is>
      </c>
      <c r="G330" s="62" t="inlineStr">
        <is>
          <t>Según Díaz, la eliminación de este aliviaría a 1.751 empresas, sobre todo en sectores intensivos en mano de obra.</t>
        </is>
      </c>
      <c r="H330" s="62" t="inlineStr">
        <is>
          <t>Así las cosas, el país norteamericano podría bajar a 0% ese gravamen con el que le exigía a Colombia que adoptara un instrumento jurídico para impedir el ingreso de productos, materias primas e insumos elaborados con ese tipo de trabajo en otros países.</t>
        </is>
      </c>
      <c r="I330" s="62" t="inlineStr">
        <is>
          <t>Dijo en el 38° Congreso Nacional de Exportadores que “la información que tengo es que ese arancel del 12,5% podría bajar a cero”.</t>
        </is>
      </c>
      <c r="J330" s="38" t="n"/>
      <c r="K330" s="62" t="n"/>
      <c r="L330" s="38" t="n"/>
      <c r="M330" s="62" t="n"/>
      <c r="N330" s="38" t="n"/>
      <c r="O330" s="62" t="n"/>
      <c r="P330" s="38" t="n"/>
      <c r="Q330" s="62" t="n"/>
      <c r="R330" s="38" t="n"/>
      <c r="S330" s="62" t="n"/>
      <c r="T330" s="38" t="n"/>
      <c r="U330" s="62" t="n"/>
      <c r="V330" s="38" t="n"/>
      <c r="W330" s="62" t="n"/>
      <c r="X330" s="38" t="n"/>
      <c r="Y330" s="62" t="n"/>
      <c r="Z330" s="38" t="n"/>
      <c r="AA330" s="62" t="n"/>
      <c r="AB330" s="38" t="n"/>
      <c r="AC330" s="62" t="n"/>
      <c r="AD330" s="38" t="n"/>
      <c r="AE330" s="38" t="n"/>
      <c r="AF330" s="61">
        <f>IF(COUNTIF($B$5:B330,B330)=1,1,0)</f>
        <v/>
      </c>
      <c r="AG330" s="62" t="inlineStr">
        <is>
          <t>https://www.infobae.com/colombia/2026/09/04/arancel-que-impuso-estados-unidos-a-productos-colombianos-podria-ser-eliminado-dentro-de-poco-exportadores-revelaron-posible-fecha/</t>
        </is>
      </c>
    </row>
    <row r="331" ht="15" customHeight="1" s="31">
      <c r="A331" s="38" t="inlineStr">
        <is>
          <t>ART_048</t>
        </is>
      </c>
      <c r="B331" s="38" t="inlineStr">
        <is>
          <t>ART_048_S05</t>
        </is>
      </c>
      <c r="C331" s="38" t="inlineStr">
        <is>
          <t>Infobae Colombia</t>
        </is>
      </c>
      <c r="D331" s="38" t="inlineStr">
        <is>
          <t>Relación con Estados Unidos</t>
        </is>
      </c>
      <c r="E331" s="38" t="inlineStr">
        <is>
          <t>Noticia dura</t>
        </is>
      </c>
      <c r="F331" s="38" t="inlineStr">
        <is>
          <t>2026-09-04T01:02:46Z</t>
        </is>
      </c>
      <c r="G331" s="62" t="inlineStr">
        <is>
          <t>Dijo en el 38° Congreso Nacional de Exportadores que “la información que tengo es que ese arancel del 12,5% podría bajar a cero”.</t>
        </is>
      </c>
      <c r="H331" s="62" t="inlineStr">
        <is>
          <t>Según Díaz, la eliminación de este aliviaría a 1.751 empresas, sobre todo en sectores intensivos en mano de obra.</t>
        </is>
      </c>
      <c r="I331" s="62" t="inlineStr">
        <is>
          <t>Además, añadió que las conversaciones con Washington comenzaron incluso antes de la posesión del gobierno de Abelardo de la Espriella.</t>
        </is>
      </c>
      <c r="J331" s="38" t="n"/>
      <c r="K331" s="62" t="n"/>
      <c r="L331" s="38" t="n"/>
      <c r="M331" s="62" t="n"/>
      <c r="N331" s="38" t="n"/>
      <c r="O331" s="62" t="n"/>
      <c r="P331" s="38" t="n"/>
      <c r="Q331" s="62" t="n"/>
      <c r="R331" s="38" t="n"/>
      <c r="S331" s="62" t="n"/>
      <c r="T331" s="38" t="n"/>
      <c r="U331" s="62" t="n"/>
      <c r="V331" s="38" t="n"/>
      <c r="W331" s="62" t="n"/>
      <c r="X331" s="38" t="n"/>
      <c r="Y331" s="62" t="n"/>
      <c r="Z331" s="38" t="n"/>
      <c r="AA331" s="62" t="n"/>
      <c r="AB331" s="38" t="n"/>
      <c r="AC331" s="62" t="n"/>
      <c r="AD331" s="38" t="n"/>
      <c r="AE331" s="38" t="n"/>
      <c r="AF331" s="61">
        <f>IF(COUNTIF($B$5:B331,B331)=1,1,0)</f>
        <v/>
      </c>
      <c r="AG331" s="62" t="inlineStr">
        <is>
          <t>https://www.infobae.com/colombia/2026/09/04/arancel-que-impuso-estados-unidos-a-productos-colombianos-podria-ser-eliminado-dentro-de-poco-exportadores-revelaron-posible-fecha/</t>
        </is>
      </c>
    </row>
    <row r="332" ht="15" customHeight="1" s="31">
      <c r="A332" s="38" t="inlineStr">
        <is>
          <t>ART_048</t>
        </is>
      </c>
      <c r="B332" s="38" t="inlineStr">
        <is>
          <t>ART_048_S06</t>
        </is>
      </c>
      <c r="C332" s="38" t="inlineStr">
        <is>
          <t>Infobae Colombia</t>
        </is>
      </c>
      <c r="D332" s="38" t="inlineStr">
        <is>
          <t>Relación con Estados Unidos</t>
        </is>
      </c>
      <c r="E332" s="38" t="inlineStr">
        <is>
          <t>Noticia dura</t>
        </is>
      </c>
      <c r="F332" s="38" t="inlineStr">
        <is>
          <t>2026-09-04T01:02:46Z</t>
        </is>
      </c>
      <c r="G332" s="62" t="inlineStr">
        <is>
          <t>Además, añadió que las conversaciones con Washington comenzaron incluso antes de la posesión del gobierno de Abelardo de la Espriella.</t>
        </is>
      </c>
      <c r="H332" s="62" t="inlineStr">
        <is>
          <t>Dijo en el 38° Congreso Nacional de Exportadores que “la información que tengo es que ese arancel del 12,5% podría bajar a cero”.</t>
        </is>
      </c>
      <c r="I332" s="62" t="inlineStr">
        <is>
          <t>El dirigente anotó que desde hace meses la Casa Blanca había mostrado interés en dar a Colombia un trato preferencial.</t>
        </is>
      </c>
      <c r="J332" s="38" t="n"/>
      <c r="K332" s="62" t="n"/>
      <c r="L332" s="38" t="n"/>
      <c r="M332" s="62" t="n"/>
      <c r="N332" s="38" t="n"/>
      <c r="O332" s="62" t="n"/>
      <c r="P332" s="38" t="n"/>
      <c r="Q332" s="62" t="n"/>
      <c r="R332" s="38" t="n"/>
      <c r="S332" s="62" t="n"/>
      <c r="T332" s="38" t="n"/>
      <c r="U332" s="62" t="n"/>
      <c r="V332" s="38" t="n"/>
      <c r="W332" s="62" t="n"/>
      <c r="X332" s="38" t="n"/>
      <c r="Y332" s="62" t="n"/>
      <c r="Z332" s="38" t="n"/>
      <c r="AA332" s="62" t="n"/>
      <c r="AB332" s="38" t="n"/>
      <c r="AC332" s="62" t="n"/>
      <c r="AD332" s="38" t="n"/>
      <c r="AE332" s="38" t="n"/>
      <c r="AF332" s="61">
        <f>IF(COUNTIF($B$5:B332,B332)=1,1,0)</f>
        <v/>
      </c>
      <c r="AG332" s="62" t="inlineStr">
        <is>
          <t>https://www.infobae.com/colombia/2026/09/04/arancel-que-impuso-estados-unidos-a-productos-colombianos-podria-ser-eliminado-dentro-de-poco-exportadores-revelaron-posible-fecha/</t>
        </is>
      </c>
    </row>
    <row r="333" ht="15" customHeight="1" s="31">
      <c r="A333" s="38" t="inlineStr">
        <is>
          <t>ART_048</t>
        </is>
      </c>
      <c r="B333" s="38" t="inlineStr">
        <is>
          <t>ART_048_S07</t>
        </is>
      </c>
      <c r="C333" s="38" t="inlineStr">
        <is>
          <t>Infobae Colombia</t>
        </is>
      </c>
      <c r="D333" s="38" t="inlineStr">
        <is>
          <t>Relación con Estados Unidos</t>
        </is>
      </c>
      <c r="E333" s="38" t="inlineStr">
        <is>
          <t>Noticia dura</t>
        </is>
      </c>
      <c r="F333" s="38" t="inlineStr">
        <is>
          <t>2026-09-04T01:02:46Z</t>
        </is>
      </c>
      <c r="G333" s="62" t="inlineStr">
        <is>
          <t>El dirigente anotó que desde hace meses la Casa Blanca había mostrado interés en dar a Colombia un trato preferencial.</t>
        </is>
      </c>
      <c r="H333" s="62" t="inlineStr">
        <is>
          <t>Además, añadió que las conversaciones con Washington comenzaron incluso antes de la posesión del gobierno de Abelardo de la Espriella.</t>
        </is>
      </c>
      <c r="I333" s="62" t="inlineStr">
        <is>
          <t>De igual forma, explicó que la disposición partía de que en el país no hay prácticas directas de trabajo forzoso, aunque Estados Unidos pedía una regla local que cerrara el paso a bienes producidos bajo esas condiciones.</t>
        </is>
      </c>
      <c r="J333" s="38" t="n"/>
      <c r="K333" s="62" t="n"/>
      <c r="L333" s="38" t="n"/>
      <c r="M333" s="62" t="n"/>
      <c r="N333" s="38" t="n"/>
      <c r="O333" s="62" t="n"/>
      <c r="P333" s="38" t="n"/>
      <c r="Q333" s="62" t="n"/>
      <c r="R333" s="38" t="n"/>
      <c r="S333" s="62" t="n"/>
      <c r="T333" s="38" t="n"/>
      <c r="U333" s="62" t="n"/>
      <c r="V333" s="38" t="n"/>
      <c r="W333" s="62" t="n"/>
      <c r="X333" s="38" t="n"/>
      <c r="Y333" s="62" t="n"/>
      <c r="Z333" s="38" t="n"/>
      <c r="AA333" s="62" t="n"/>
      <c r="AB333" s="38" t="n"/>
      <c r="AC333" s="62" t="n"/>
      <c r="AD333" s="38" t="n"/>
      <c r="AE333" s="38" t="n"/>
      <c r="AF333" s="61">
        <f>IF(COUNTIF($B$5:B333,B333)=1,1,0)</f>
        <v/>
      </c>
      <c r="AG333" s="62" t="inlineStr">
        <is>
          <t>https://www.infobae.com/colombia/2026/09/04/arancel-que-impuso-estados-unidos-a-productos-colombianos-podria-ser-eliminado-dentro-de-poco-exportadores-revelaron-posible-fecha/</t>
        </is>
      </c>
    </row>
    <row r="334" ht="15" customHeight="1" s="31">
      <c r="A334" s="38" t="inlineStr">
        <is>
          <t>ART_048</t>
        </is>
      </c>
      <c r="B334" s="38" t="inlineStr">
        <is>
          <t>ART_048_S08</t>
        </is>
      </c>
      <c r="C334" s="38" t="inlineStr">
        <is>
          <t>Infobae Colombia</t>
        </is>
      </c>
      <c r="D334" s="38" t="inlineStr">
        <is>
          <t>Relación con Estados Unidos</t>
        </is>
      </c>
      <c r="E334" s="38" t="inlineStr">
        <is>
          <t>Noticia dura</t>
        </is>
      </c>
      <c r="F334" s="38" t="inlineStr">
        <is>
          <t>2026-09-04T01:02:46Z</t>
        </is>
      </c>
      <c r="G334" s="62" t="inlineStr">
        <is>
          <t>De igual forma, explicó que la disposición partía de que en el país no hay prácticas directas de trabajo forzoso, aunque Estados Unidos pedía una regla local que cerrara el paso a bienes producidos bajo esas condiciones.</t>
        </is>
      </c>
      <c r="H334" s="62" t="inlineStr">
        <is>
          <t>El dirigente anotó que desde hace meses la Casa Blanca había mostrado interés en dar a Colombia un trato preferencial.</t>
        </is>
      </c>
      <c r="I334" s="62" t="inlineStr">
        <is>
          <t>Condiciones para desmontar el gravamen</t>
        </is>
      </c>
      <c r="J334" s="38" t="n"/>
      <c r="K334" s="62" t="n"/>
      <c r="L334" s="38" t="n"/>
      <c r="M334" s="62" t="n"/>
      <c r="N334" s="38" t="n"/>
      <c r="O334" s="62" t="n"/>
      <c r="P334" s="38" t="n"/>
      <c r="Q334" s="62" t="n"/>
      <c r="R334" s="38" t="n"/>
      <c r="S334" s="62" t="n"/>
      <c r="T334" s="38" t="n"/>
      <c r="U334" s="62" t="n"/>
      <c r="V334" s="38" t="n"/>
      <c r="W334" s="62" t="n"/>
      <c r="X334" s="38" t="n"/>
      <c r="Y334" s="62" t="n"/>
      <c r="Z334" s="38" t="n"/>
      <c r="AA334" s="62" t="n"/>
      <c r="AB334" s="38" t="n"/>
      <c r="AC334" s="62" t="n"/>
      <c r="AD334" s="38" t="n"/>
      <c r="AE334" s="38" t="n"/>
      <c r="AF334" s="61">
        <f>IF(COUNTIF($B$5:B334,B334)=1,1,0)</f>
        <v/>
      </c>
      <c r="AG334" s="62" t="inlineStr">
        <is>
          <t>https://www.infobae.com/colombia/2026/09/04/arancel-que-impuso-estados-unidos-a-productos-colombianos-podria-ser-eliminado-dentro-de-poco-exportadores-revelaron-posible-fecha/</t>
        </is>
      </c>
    </row>
    <row r="335" ht="15" customHeight="1" s="31">
      <c r="A335" s="38" t="inlineStr">
        <is>
          <t>ART_048</t>
        </is>
      </c>
      <c r="B335" s="38" t="inlineStr">
        <is>
          <t>ART_048_S09</t>
        </is>
      </c>
      <c r="C335" s="38" t="inlineStr">
        <is>
          <t>Infobae Colombia</t>
        </is>
      </c>
      <c r="D335" s="38" t="inlineStr">
        <is>
          <t>Relación con Estados Unidos</t>
        </is>
      </c>
      <c r="E335" s="38" t="inlineStr">
        <is>
          <t>Noticia dura</t>
        </is>
      </c>
      <c r="F335" s="38" t="inlineStr">
        <is>
          <t>2026-09-04T01:02:46Z</t>
        </is>
      </c>
      <c r="G335" s="62" t="inlineStr">
        <is>
          <t>Condiciones para desmontar el gravamen</t>
        </is>
      </c>
      <c r="H335" s="62" t="inlineStr">
        <is>
          <t>De igual forma, explicó que la disposición partía de que en el país no hay prácticas directas de trabajo forzoso, aunque Estados Unidos pedía una regla local que cerrara el paso a bienes producidos bajo esas condiciones.</t>
        </is>
      </c>
      <c r="I335" s="62" t="inlineStr">
        <is>
          <t>Sobre ese punto, el líder gremial afirmó que “Colombia necesitaba sacar un instrumento jurídico que garantizara que productos, materias primas e insumos producidos en países con trabajo forzoso no entraran a territorio colombiano.</t>
        </is>
      </c>
      <c r="J335" s="38" t="n"/>
      <c r="K335" s="62" t="n"/>
      <c r="L335" s="38" t="n"/>
      <c r="M335" s="62" t="n"/>
      <c r="N335" s="38" t="n"/>
      <c r="O335" s="62" t="n"/>
      <c r="P335" s="38" t="n"/>
      <c r="Q335" s="62" t="n"/>
      <c r="R335" s="38" t="n"/>
      <c r="S335" s="62" t="n"/>
      <c r="T335" s="38" t="n"/>
      <c r="U335" s="62" t="n"/>
      <c r="V335" s="38" t="n"/>
      <c r="W335" s="62" t="n"/>
      <c r="X335" s="38" t="n"/>
      <c r="Y335" s="62" t="n"/>
      <c r="Z335" s="38" t="n"/>
      <c r="AA335" s="62" t="n"/>
      <c r="AB335" s="38" t="n"/>
      <c r="AC335" s="62" t="n"/>
      <c r="AD335" s="38" t="n"/>
      <c r="AE335" s="38" t="n"/>
      <c r="AF335" s="61">
        <f>IF(COUNTIF($B$5:B335,B335)=1,1,0)</f>
        <v/>
      </c>
      <c r="AG335" s="62" t="inlineStr">
        <is>
          <t>https://www.infobae.com/colombia/2026/09/04/arancel-que-impuso-estados-unidos-a-productos-colombianos-podria-ser-eliminado-dentro-de-poco-exportadores-revelaron-posible-fecha/</t>
        </is>
      </c>
    </row>
    <row r="336" ht="15" customHeight="1" s="31">
      <c r="A336" s="38" t="inlineStr">
        <is>
          <t>ART_048</t>
        </is>
      </c>
      <c r="B336" s="38" t="inlineStr">
        <is>
          <t>ART_048_S10</t>
        </is>
      </c>
      <c r="C336" s="38" t="inlineStr">
        <is>
          <t>Infobae Colombia</t>
        </is>
      </c>
      <c r="D336" s="38" t="inlineStr">
        <is>
          <t>Relación con Estados Unidos</t>
        </is>
      </c>
      <c r="E336" s="38" t="inlineStr">
        <is>
          <t>Noticia dura</t>
        </is>
      </c>
      <c r="F336" s="38" t="inlineStr">
        <is>
          <t>2026-09-04T01:02:46Z</t>
        </is>
      </c>
      <c r="G336" s="62" t="inlineStr">
        <is>
          <t>Sobre ese punto, el líder gremial afirmó que “Colombia necesitaba sacar un instrumento jurídico que garantizara que productos, materias primas e insumos producidos en países con trabajo forzoso no entraran a territorio colombiano.</t>
        </is>
      </c>
      <c r="H336" s="62" t="inlineStr">
        <is>
          <t>Condiciones para desmontar el gravamen</t>
        </is>
      </c>
      <c r="I336" s="62" t="inlineStr">
        <is>
          <t>También dejó claro que ”no es una prohibición absoluta, sino un sistema de gestión del riesgo”.</t>
        </is>
      </c>
      <c r="J336" s="38" t="n"/>
      <c r="K336" s="62" t="n"/>
      <c r="L336" s="38" t="n"/>
      <c r="M336" s="62" t="n"/>
      <c r="N336" s="38" t="n"/>
      <c r="O336" s="62" t="n"/>
      <c r="P336" s="38" t="n"/>
      <c r="Q336" s="62" t="n"/>
      <c r="R336" s="38" t="n"/>
      <c r="S336" s="62" t="n"/>
      <c r="T336" s="38" t="n"/>
      <c r="U336" s="62" t="n"/>
      <c r="V336" s="38" t="n"/>
      <c r="W336" s="62" t="n"/>
      <c r="X336" s="38" t="n"/>
      <c r="Y336" s="62" t="n"/>
      <c r="Z336" s="38" t="n"/>
      <c r="AA336" s="62" t="n"/>
      <c r="AB336" s="38" t="n"/>
      <c r="AC336" s="62" t="n"/>
      <c r="AD336" s="38" t="n"/>
      <c r="AE336" s="38" t="n"/>
      <c r="AF336" s="61">
        <f>IF(COUNTIF($B$5:B336,B336)=1,1,0)</f>
        <v/>
      </c>
      <c r="AG336" s="62" t="inlineStr">
        <is>
          <t>https://www.infobae.com/colombia/2026/09/04/arancel-que-impuso-estados-unidos-a-productos-colombianos-podria-ser-eliminado-dentro-de-poco-exportadores-revelaron-posible-fecha/</t>
        </is>
      </c>
    </row>
    <row r="337" ht="15" customHeight="1" s="31">
      <c r="A337" s="38" t="inlineStr">
        <is>
          <t>ART_048</t>
        </is>
      </c>
      <c r="B337" s="38" t="inlineStr">
        <is>
          <t>ART_048_S11</t>
        </is>
      </c>
      <c r="C337" s="38" t="inlineStr">
        <is>
          <t>Infobae Colombia</t>
        </is>
      </c>
      <c r="D337" s="38" t="inlineStr">
        <is>
          <t>Relación con Estados Unidos</t>
        </is>
      </c>
      <c r="E337" s="38" t="inlineStr">
        <is>
          <t>Noticia dura</t>
        </is>
      </c>
      <c r="F337" s="38" t="inlineStr">
        <is>
          <t>2026-09-04T01:02:46Z</t>
        </is>
      </c>
      <c r="G337" s="62" t="inlineStr">
        <is>
          <t>También dejó claro que ”no es una prohibición absoluta, sino un sistema de gestión del riesgo”.</t>
        </is>
      </c>
      <c r="H337" s="62" t="inlineStr">
        <is>
          <t>Sobre ese punto, el líder gremial afirmó que “Colombia necesitaba sacar un instrumento jurídico que garantizara que productos, materias primas e insumos producidos en países con trabajo forzoso no entraran a territorio colombiano.</t>
        </is>
      </c>
      <c r="I337" s="62" t="inlineStr">
        <is>
          <t>Por eso, cuestionó que ese marco no se hubiera expedido durante el gobierno de Gustavo Petro.</t>
        </is>
      </c>
      <c r="J337" s="38" t="n"/>
      <c r="K337" s="62" t="n"/>
      <c r="L337" s="38" t="n"/>
      <c r="M337" s="62" t="n"/>
      <c r="N337" s="38" t="n"/>
      <c r="O337" s="62" t="n"/>
      <c r="P337" s="38" t="n"/>
      <c r="Q337" s="62" t="n"/>
      <c r="R337" s="38" t="n"/>
      <c r="S337" s="62" t="n"/>
      <c r="T337" s="38" t="n"/>
      <c r="U337" s="62" t="n"/>
      <c r="V337" s="38" t="n"/>
      <c r="W337" s="62" t="n"/>
      <c r="X337" s="38" t="n"/>
      <c r="Y337" s="62" t="n"/>
      <c r="Z337" s="38" t="n"/>
      <c r="AA337" s="62" t="n"/>
      <c r="AB337" s="38" t="n"/>
      <c r="AC337" s="62" t="n"/>
      <c r="AD337" s="38" t="n"/>
      <c r="AE337" s="38" t="n"/>
      <c r="AF337" s="61">
        <f>IF(COUNTIF($B$5:B337,B337)=1,1,0)</f>
        <v/>
      </c>
      <c r="AG337" s="62" t="inlineStr">
        <is>
          <t>https://www.infobae.com/colombia/2026/09/04/arancel-que-impuso-estados-unidos-a-productos-colombianos-podria-ser-eliminado-dentro-de-poco-exportadores-revelaron-posible-fecha/</t>
        </is>
      </c>
    </row>
    <row r="338" ht="15" customHeight="1" s="31">
      <c r="A338" s="38" t="inlineStr">
        <is>
          <t>ART_048</t>
        </is>
      </c>
      <c r="B338" s="38" t="inlineStr">
        <is>
          <t>ART_048_S12</t>
        </is>
      </c>
      <c r="C338" s="38" t="inlineStr">
        <is>
          <t>Infobae Colombia</t>
        </is>
      </c>
      <c r="D338" s="38" t="inlineStr">
        <is>
          <t>Relación con Estados Unidos</t>
        </is>
      </c>
      <c r="E338" s="38" t="inlineStr">
        <is>
          <t>Noticia dura</t>
        </is>
      </c>
      <c r="F338" s="38" t="inlineStr">
        <is>
          <t>2026-09-04T01:02:46Z</t>
        </is>
      </c>
      <c r="G338" s="62" t="inlineStr">
        <is>
          <t>Por eso, cuestionó que ese marco no se hubiera expedido durante el gobierno de Gustavo Petro.</t>
        </is>
      </c>
      <c r="H338" s="62" t="inlineStr">
        <is>
          <t>También dejó claro que ”no es una prohibición absoluta, sino un sistema de gestión del riesgo”.</t>
        </is>
      </c>
      <c r="I338" s="62" t="n"/>
      <c r="J338" s="38" t="n"/>
      <c r="K338" s="62" t="n"/>
      <c r="L338" s="38" t="n"/>
      <c r="M338" s="62" t="n"/>
      <c r="N338" s="38" t="n"/>
      <c r="O338" s="62" t="n"/>
      <c r="P338" s="38" t="n"/>
      <c r="Q338" s="62" t="n"/>
      <c r="R338" s="38" t="n"/>
      <c r="S338" s="62" t="n"/>
      <c r="T338" s="38" t="n"/>
      <c r="U338" s="62" t="n"/>
      <c r="V338" s="38" t="n"/>
      <c r="W338" s="62" t="n"/>
      <c r="X338" s="38" t="n"/>
      <c r="Y338" s="62" t="n"/>
      <c r="Z338" s="38" t="n"/>
      <c r="AA338" s="62" t="n"/>
      <c r="AB338" s="38" t="n"/>
      <c r="AC338" s="62" t="n"/>
      <c r="AD338" s="38" t="n"/>
      <c r="AE338" s="38" t="n"/>
      <c r="AF338" s="61">
        <f>IF(COUNTIF($B$5:B338,B338)=1,1,0)</f>
        <v/>
      </c>
      <c r="AG338" s="62" t="inlineStr">
        <is>
          <t>https://www.infobae.com/colombia/2026/09/04/arancel-que-impuso-estados-unidos-a-productos-colombianos-podria-ser-eliminado-dentro-de-poco-exportadores-revelaron-posible-fecha/</t>
        </is>
      </c>
    </row>
    <row r="339" ht="15" customHeight="1" s="31">
      <c r="A339" s="38" t="inlineStr">
        <is>
          <t>ART_049</t>
        </is>
      </c>
      <c r="B339" s="38" t="inlineStr">
        <is>
          <t>ART_049_S01</t>
        </is>
      </c>
      <c r="C339" s="38" t="inlineStr">
        <is>
          <t>Infobae Colombia</t>
        </is>
      </c>
      <c r="D339" s="38" t="inlineStr">
        <is>
          <t>Relación con Estados Unidos</t>
        </is>
      </c>
      <c r="E339" s="38" t="inlineStr">
        <is>
          <t>Noticia dura</t>
        </is>
      </c>
      <c r="F339" s="38" t="inlineStr">
        <is>
          <t>2026-08-04T18:45:15Z</t>
        </is>
      </c>
      <c r="G339" s="62" t="inlineStr">
        <is>
          <t>El director de la Dirección de Impuestos y Aduanas Nacionales (Dian) Carlos Betancourt sostuvo que el aumento de aranceles de Estados Unidos a Colombia, que pasó de 10% a 12,5%, fue una decisión unilateral del gobierno de Donald Trump y no una consecuencia de incumplimientos del Estado colombiano, en un contexto marcado por la guerra comercial con China, la estrategia de Washington para fortalecer sus exportaciones y factores geopolíticos.</t>
        </is>
      </c>
      <c r="H339" s="62" t="n"/>
      <c r="I339" s="62" t="n"/>
      <c r="J339" s="38" t="n"/>
      <c r="K339" s="62" t="n"/>
      <c r="L339" s="38" t="n"/>
      <c r="M339" s="62" t="n"/>
      <c r="N339" s="38" t="n"/>
      <c r="O339" s="62" t="n"/>
      <c r="P339" s="38" t="n"/>
      <c r="Q339" s="62" t="n"/>
      <c r="R339" s="38" t="n"/>
      <c r="S339" s="62" t="n"/>
      <c r="T339" s="38" t="n"/>
      <c r="U339" s="62" t="n"/>
      <c r="V339" s="38" t="n"/>
      <c r="W339" s="62" t="n"/>
      <c r="X339" s="38" t="n"/>
      <c r="Y339" s="62" t="n"/>
      <c r="Z339" s="38" t="n"/>
      <c r="AA339" s="62" t="n"/>
      <c r="AB339" s="38" t="n"/>
      <c r="AC339" s="62" t="n"/>
      <c r="AD339" s="38" t="n"/>
      <c r="AE339" s="38" t="n"/>
      <c r="AF339" s="61">
        <f>IF(COUNTIF($B$5:B339,B339)=1,1,0)</f>
        <v/>
      </c>
      <c r="AG339" s="62" t="inlineStr">
        <is>
          <t>https://www.infobae.com/colombia/2026/08/04/el-director-de-la-dian-atribuyo-a-donald-trump-la-subida-de-aranceles-de-estados-unidos-a-colombia-es-una-decision-unilateral/</t>
        </is>
      </c>
    </row>
    <row r="340" ht="15" customHeight="1" s="31">
      <c r="A340" s="38" t="inlineStr">
        <is>
          <t>ART_050</t>
        </is>
      </c>
      <c r="B340" s="38" t="inlineStr">
        <is>
          <t>ART_050_S01</t>
        </is>
      </c>
      <c r="C340" s="38" t="inlineStr">
        <is>
          <t>Infobae Colombia</t>
        </is>
      </c>
      <c r="D340" s="38" t="inlineStr">
        <is>
          <t>Respuesta a la emergencia del terremoto</t>
        </is>
      </c>
      <c r="E340" s="38" t="inlineStr">
        <is>
          <t>Noticia dura</t>
        </is>
      </c>
      <c r="F340" s="38" t="inlineStr">
        <is>
          <t>2026-09-03T09:23:57Z</t>
        </is>
      </c>
      <c r="G340" s="62" t="inlineStr">
        <is>
          <t>La gobernadora del Valle del Cauca, Dilian Francisca Toro, anunció el inicio de la reconstrucción de 12.500 viviendas y 10 colegios afectados por el terremoto del pasado 10 de agosto, una emergencia que dejó fuertes daños en infraestructura educativa, hospitalaria, productiva y habitacional en el departamento.</t>
        </is>
      </c>
      <c r="H340" s="62" t="n"/>
      <c r="I340" s="62" t="inlineStr">
        <is>
          <t>De acuerdo con la información publicada por Blu Radio, la mandataria entregó un nuevo balance sobre el avance de la recuperación y confirmó que el plan incluye tanto viviendas nuevas como procesos de mejoramiento para familias damnificadas.</t>
        </is>
      </c>
      <c r="J340" s="38" t="n"/>
      <c r="K340" s="62" t="n"/>
      <c r="L340" s="38" t="n"/>
      <c r="M340" s="62" t="n"/>
      <c r="N340" s="38" t="n"/>
      <c r="O340" s="62" t="n"/>
      <c r="P340" s="38" t="n"/>
      <c r="Q340" s="62" t="n"/>
      <c r="R340" s="38" t="n"/>
      <c r="S340" s="62" t="n"/>
      <c r="T340" s="38" t="n"/>
      <c r="U340" s="62" t="n"/>
      <c r="V340" s="38" t="n"/>
      <c r="W340" s="62" t="n"/>
      <c r="X340" s="38" t="n"/>
      <c r="Y340" s="62" t="n"/>
      <c r="Z340" s="38" t="n"/>
      <c r="AA340" s="62" t="n"/>
      <c r="AB340" s="38" t="n"/>
      <c r="AC340" s="62" t="n"/>
      <c r="AD340" s="38" t="n"/>
      <c r="AE340" s="38" t="n"/>
      <c r="AF340" s="61">
        <f>IF(COUNTIF($B$5:B340,B340)=1,1,0)</f>
        <v/>
      </c>
      <c r="AG340" s="62" t="inlineStr">
        <is>
          <t>https://www.infobae.com/colombia/2026/09/03/valle-inicia-reconstruccion-de-12500-viviendas-y-10-colegios-tras-danos-por-terremoto/</t>
        </is>
      </c>
    </row>
    <row r="341" ht="15" customHeight="1" s="31">
      <c r="A341" s="38" t="inlineStr">
        <is>
          <t>ART_050</t>
        </is>
      </c>
      <c r="B341" s="38" t="inlineStr">
        <is>
          <t>ART_050_S02</t>
        </is>
      </c>
      <c r="C341" s="38" t="inlineStr">
        <is>
          <t>Infobae Colombia</t>
        </is>
      </c>
      <c r="D341" s="38" t="inlineStr">
        <is>
          <t>Respuesta a la emergencia del terremoto</t>
        </is>
      </c>
      <c r="E341" s="38" t="inlineStr">
        <is>
          <t>Noticia dura</t>
        </is>
      </c>
      <c r="F341" s="38" t="inlineStr">
        <is>
          <t>2026-09-03T09:23:57Z</t>
        </is>
      </c>
      <c r="G341" s="62" t="inlineStr">
        <is>
          <t>De acuerdo con la información publicada por Blu Radio, la mandataria entregó un nuevo balance sobre el avance de la recuperación y confirmó que el plan incluye tanto viviendas nuevas como procesos de mejoramiento para familias damnificadas.</t>
        </is>
      </c>
      <c r="H341" s="62" t="inlineStr">
        <is>
          <t>La gobernadora del Valle del Cauca, Dilian Francisca Toro, anunció el inicio de la reconstrucción de 12.500 viviendas y 10 colegios afectados por el terremoto del pasado 10 de agosto, una emergencia que dejó fuertes daños en infraestructura educativa, hospitalaria, productiva y habitacional en el departamento.</t>
        </is>
      </c>
      <c r="I341" s="62" t="inlineStr">
        <is>
          <t>El anuncio llega después de que el departamento reportara 72.000 viviendas averiadas y cerca de 20.000 colapsadas por el sismo.</t>
        </is>
      </c>
      <c r="J341" s="38" t="n"/>
      <c r="K341" s="62" t="n"/>
      <c r="L341" s="38" t="n"/>
      <c r="M341" s="62" t="n"/>
      <c r="N341" s="38" t="n"/>
      <c r="O341" s="62" t="n"/>
      <c r="P341" s="38" t="n"/>
      <c r="Q341" s="62" t="n"/>
      <c r="R341" s="38" t="n"/>
      <c r="S341" s="62" t="n"/>
      <c r="T341" s="38" t="n"/>
      <c r="U341" s="62" t="n"/>
      <c r="V341" s="38" t="n"/>
      <c r="W341" s="62" t="n"/>
      <c r="X341" s="38" t="n"/>
      <c r="Y341" s="62" t="n"/>
      <c r="Z341" s="38" t="n"/>
      <c r="AA341" s="62" t="n"/>
      <c r="AB341" s="38" t="n"/>
      <c r="AC341" s="62" t="n"/>
      <c r="AD341" s="38" t="n"/>
      <c r="AE341" s="38" t="n"/>
      <c r="AF341" s="61">
        <f>IF(COUNTIF($B$5:B341,B341)=1,1,0)</f>
        <v/>
      </c>
      <c r="AG341" s="62" t="inlineStr">
        <is>
          <t>https://www.infobae.com/colombia/2026/09/03/valle-inicia-reconstruccion-de-12500-viviendas-y-10-colegios-tras-danos-por-terremoto/</t>
        </is>
      </c>
    </row>
    <row r="342" ht="15" customHeight="1" s="31">
      <c r="A342" s="38" t="inlineStr">
        <is>
          <t>ART_050</t>
        </is>
      </c>
      <c r="B342" s="38" t="inlineStr">
        <is>
          <t>ART_050_S03</t>
        </is>
      </c>
      <c r="C342" s="38" t="inlineStr">
        <is>
          <t>Infobae Colombia</t>
        </is>
      </c>
      <c r="D342" s="38" t="inlineStr">
        <is>
          <t>Respuesta a la emergencia del terremoto</t>
        </is>
      </c>
      <c r="E342" s="38" t="inlineStr">
        <is>
          <t>Noticia dura</t>
        </is>
      </c>
      <c r="F342" s="38" t="inlineStr">
        <is>
          <t>2026-09-03T09:23:57Z</t>
        </is>
      </c>
      <c r="G342" s="62" t="inlineStr">
        <is>
          <t>El anuncio llega después de que el departamento reportara 72.000 viviendas averiadas y cerca de 20.000 colapsadas por el sismo.</t>
        </is>
      </c>
      <c r="H342" s="62" t="inlineStr">
        <is>
          <t>De acuerdo con la información publicada por Blu Radio, la mandataria entregó un nuevo balance sobre el avance de la recuperación y confirmó que el plan incluye tanto viviendas nuevas como procesos de mejoramiento para familias damnificadas.</t>
        </is>
      </c>
      <c r="I342" s="62" t="inlineStr">
        <is>
          <t>“Tenemos 220 colegios, 2 hospitales que también colapsaron, más el Hospital Universitario del Valle.</t>
        </is>
      </c>
      <c r="J342" s="38" t="n"/>
      <c r="K342" s="62" t="n"/>
      <c r="L342" s="38" t="n"/>
      <c r="M342" s="62" t="n"/>
      <c r="N342" s="38" t="n"/>
      <c r="O342" s="62" t="n"/>
      <c r="P342" s="38" t="n"/>
      <c r="Q342" s="62" t="n"/>
      <c r="R342" s="38" t="n"/>
      <c r="S342" s="62" t="n"/>
      <c r="T342" s="38" t="n"/>
      <c r="U342" s="62" t="n"/>
      <c r="V342" s="38" t="n"/>
      <c r="W342" s="62" t="n"/>
      <c r="X342" s="38" t="n"/>
      <c r="Y342" s="62" t="n"/>
      <c r="Z342" s="38" t="n"/>
      <c r="AA342" s="62" t="n"/>
      <c r="AB342" s="38" t="n"/>
      <c r="AC342" s="62" t="n"/>
      <c r="AD342" s="38" t="n"/>
      <c r="AE342" s="38" t="n"/>
      <c r="AF342" s="61">
        <f>IF(COUNTIF($B$5:B342,B342)=1,1,0)</f>
        <v/>
      </c>
      <c r="AG342" s="62" t="inlineStr">
        <is>
          <t>https://www.infobae.com/colombia/2026/09/03/valle-inicia-reconstruccion-de-12500-viviendas-y-10-colegios-tras-danos-por-terremoto/</t>
        </is>
      </c>
    </row>
    <row r="343" ht="15" customHeight="1" s="31">
      <c r="A343" s="38" t="inlineStr">
        <is>
          <t>ART_050</t>
        </is>
      </c>
      <c r="B343" s="38" t="inlineStr">
        <is>
          <t>ART_050_S04</t>
        </is>
      </c>
      <c r="C343" s="38" t="inlineStr">
        <is>
          <t>Infobae Colombia</t>
        </is>
      </c>
      <c r="D343" s="38" t="inlineStr">
        <is>
          <t>Respuesta a la emergencia del terremoto</t>
        </is>
      </c>
      <c r="E343" s="38" t="inlineStr">
        <is>
          <t>Noticia dura</t>
        </is>
      </c>
      <c r="F343" s="38" t="inlineStr">
        <is>
          <t>2026-09-03T09:23:57Z</t>
        </is>
      </c>
      <c r="G343" s="62" t="inlineStr">
        <is>
          <t>“Tenemos 220 colegios, 2 hospitales que también colapsaron, más el Hospital Universitario del Valle.</t>
        </is>
      </c>
      <c r="H343" s="62" t="inlineStr">
        <is>
          <t>El anuncio llega después de que el departamento reportara 72.000 viviendas averiadas y cerca de 20.000 colapsadas por el sismo.</t>
        </is>
      </c>
      <c r="I343" s="62" t="inlineStr">
        <is>
          <t>También estamos en la reconstrucción de colegios.</t>
        </is>
      </c>
      <c r="J343" s="38" t="n"/>
      <c r="K343" s="62" t="n"/>
      <c r="L343" s="38" t="n"/>
      <c r="M343" s="62" t="n"/>
      <c r="N343" s="38" t="n"/>
      <c r="O343" s="62" t="n"/>
      <c r="P343" s="38" t="n"/>
      <c r="Q343" s="62" t="n"/>
      <c r="R343" s="38" t="n"/>
      <c r="S343" s="62" t="n"/>
      <c r="T343" s="38" t="n"/>
      <c r="U343" s="62" t="n"/>
      <c r="V343" s="38" t="n"/>
      <c r="W343" s="62" t="n"/>
      <c r="X343" s="38" t="n"/>
      <c r="Y343" s="62" t="n"/>
      <c r="Z343" s="38" t="n"/>
      <c r="AA343" s="62" t="n"/>
      <c r="AB343" s="38" t="n"/>
      <c r="AC343" s="62" t="n"/>
      <c r="AD343" s="38" t="n"/>
      <c r="AE343" s="38" t="n"/>
      <c r="AF343" s="61">
        <f>IF(COUNTIF($B$5:B343,B343)=1,1,0)</f>
        <v/>
      </c>
      <c r="AG343" s="62" t="inlineStr">
        <is>
          <t>https://www.infobae.com/colombia/2026/09/03/valle-inicia-reconstruccion-de-12500-viviendas-y-10-colegios-tras-danos-por-terremoto/</t>
        </is>
      </c>
    </row>
    <row r="344" ht="15" customHeight="1" s="31">
      <c r="A344" s="38" t="inlineStr">
        <is>
          <t>ART_050</t>
        </is>
      </c>
      <c r="B344" s="38" t="inlineStr">
        <is>
          <t>ART_050_S05</t>
        </is>
      </c>
      <c r="C344" s="38" t="inlineStr">
        <is>
          <t>Infobae Colombia</t>
        </is>
      </c>
      <c r="D344" s="38" t="inlineStr">
        <is>
          <t>Respuesta a la emergencia del terremoto</t>
        </is>
      </c>
      <c r="E344" s="38" t="inlineStr">
        <is>
          <t>Noticia dura</t>
        </is>
      </c>
      <c r="F344" s="38" t="inlineStr">
        <is>
          <t>2026-09-03T09:23:57Z</t>
        </is>
      </c>
      <c r="G344" s="62" t="inlineStr">
        <is>
          <t>También estamos en la reconstrucción de colegios.</t>
        </is>
      </c>
      <c r="H344" s="62" t="inlineStr">
        <is>
          <t>“Tenemos 220 colegios, 2 hospitales que también colapsaron, más el Hospital Universitario del Valle.</t>
        </is>
      </c>
      <c r="I344" s="62" t="inlineStr">
        <is>
          <t>Vamos a arrancar con 9 colegios acá, un colegio en Buenaventura, y ya arrancamos con 12.500 viviendas nuevas y mejoramientos de vivienda en el departamento”, afirmó Toro.</t>
        </is>
      </c>
      <c r="J344" s="38" t="n"/>
      <c r="K344" s="62" t="n"/>
      <c r="L344" s="38" t="n"/>
      <c r="M344" s="62" t="n"/>
      <c r="N344" s="38" t="n"/>
      <c r="O344" s="62" t="n"/>
      <c r="P344" s="38" t="n"/>
      <c r="Q344" s="62" t="n"/>
      <c r="R344" s="38" t="n"/>
      <c r="S344" s="62" t="n"/>
      <c r="T344" s="38" t="n"/>
      <c r="U344" s="62" t="n"/>
      <c r="V344" s="38" t="n"/>
      <c r="W344" s="62" t="n"/>
      <c r="X344" s="38" t="n"/>
      <c r="Y344" s="62" t="n"/>
      <c r="Z344" s="38" t="n"/>
      <c r="AA344" s="62" t="n"/>
      <c r="AB344" s="38" t="n"/>
      <c r="AC344" s="62" t="n"/>
      <c r="AD344" s="38" t="n"/>
      <c r="AE344" s="38" t="n"/>
      <c r="AF344" s="61">
        <f>IF(COUNTIF($B$5:B344,B344)=1,1,0)</f>
        <v/>
      </c>
      <c r="AG344" s="62" t="inlineStr">
        <is>
          <t>https://www.infobae.com/colombia/2026/09/03/valle-inicia-reconstruccion-de-12500-viviendas-y-10-colegios-tras-danos-por-terremoto/</t>
        </is>
      </c>
    </row>
    <row r="345" ht="15" customHeight="1" s="31">
      <c r="A345" s="38" t="inlineStr">
        <is>
          <t>ART_050</t>
        </is>
      </c>
      <c r="B345" s="38" t="inlineStr">
        <is>
          <t>ART_050_S06</t>
        </is>
      </c>
      <c r="C345" s="38" t="inlineStr">
        <is>
          <t>Infobae Colombia</t>
        </is>
      </c>
      <c r="D345" s="38" t="inlineStr">
        <is>
          <t>Respuesta a la emergencia del terremoto</t>
        </is>
      </c>
      <c r="E345" s="38" t="inlineStr">
        <is>
          <t>Noticia dura</t>
        </is>
      </c>
      <c r="F345" s="38" t="inlineStr">
        <is>
          <t>2026-09-03T09:23:57Z</t>
        </is>
      </c>
      <c r="G345" s="62" t="inlineStr">
        <is>
          <t>Vamos a arrancar con 9 colegios acá, un colegio en Buenaventura, y ya arrancamos con 12.500 viviendas nuevas y mejoramientos de vivienda en el departamento”, afirmó Toro.</t>
        </is>
      </c>
      <c r="H345" s="62" t="inlineStr">
        <is>
          <t>También estamos en la reconstrucción de colegios.</t>
        </is>
      </c>
      <c r="I345" s="62" t="n"/>
      <c r="J345" s="38" t="n"/>
      <c r="K345" s="62" t="n"/>
      <c r="L345" s="38" t="n"/>
      <c r="M345" s="62" t="n"/>
      <c r="N345" s="38" t="n"/>
      <c r="O345" s="62" t="n"/>
      <c r="P345" s="38" t="n"/>
      <c r="Q345" s="62" t="n"/>
      <c r="R345" s="38" t="n"/>
      <c r="S345" s="62" t="n"/>
      <c r="T345" s="38" t="n"/>
      <c r="U345" s="62" t="n"/>
      <c r="V345" s="38" t="n"/>
      <c r="W345" s="62" t="n"/>
      <c r="X345" s="38" t="n"/>
      <c r="Y345" s="62" t="n"/>
      <c r="Z345" s="38" t="n"/>
      <c r="AA345" s="62" t="n"/>
      <c r="AB345" s="38" t="n"/>
      <c r="AC345" s="62" t="n"/>
      <c r="AD345" s="38" t="n"/>
      <c r="AE345" s="38" t="n"/>
      <c r="AF345" s="61">
        <f>IF(COUNTIF($B$5:B345,B345)=1,1,0)</f>
        <v/>
      </c>
      <c r="AG345" s="62" t="inlineStr">
        <is>
          <t>https://www.infobae.com/colombia/2026/09/03/valle-inicia-reconstruccion-de-12500-viviendas-y-10-colegios-tras-danos-por-terremoto/</t>
        </is>
      </c>
    </row>
    <row r="346" ht="15" customHeight="1" s="31">
      <c r="A346" s="38" t="inlineStr">
        <is>
          <t>ART_051</t>
        </is>
      </c>
      <c r="B346" s="38" t="inlineStr">
        <is>
          <t>ART_051_S01</t>
        </is>
      </c>
      <c r="C346" s="38" t="inlineStr">
        <is>
          <t>Infobae Colombia</t>
        </is>
      </c>
      <c r="D346" s="38" t="inlineStr">
        <is>
          <t>Reformas sociales en disputa (pensional/tributaria)</t>
        </is>
      </c>
      <c r="E346" s="38" t="inlineStr">
        <is>
          <t>Noticia dura</t>
        </is>
      </c>
      <c r="F346" s="38" t="inlineStr">
        <is>
          <t>2026-08-26T12:30:26Z</t>
        </is>
      </c>
      <c r="G346" s="62" t="inlineStr">
        <is>
          <t>El 25 de agosto de 2026, la Corte Constitucional avaló la reforma pensional y dejó en pie su estructura central, aunque devolvió nueve artículos al Congreso para corregir vicios de trámite; si ese ajuste supera la revisión final del tribunal, la Ley 2381 entrará en vigencia el 1 de abril de 2027.</t>
        </is>
      </c>
      <c r="H346" s="62" t="n"/>
      <c r="I346" s="62" t="inlineStr">
        <is>
          <t>La decisión preservó más del 90% del articulado y mantuvo, entre otros puntos, el artículo 76, que abrió la llamada “ventana de oportunidad” para cambiar de régimen.</t>
        </is>
      </c>
      <c r="J346" s="38" t="n"/>
      <c r="K346" s="62" t="n"/>
      <c r="L346" s="38" t="n"/>
      <c r="M346" s="62" t="n"/>
      <c r="N346" s="38" t="n"/>
      <c r="O346" s="62" t="n"/>
      <c r="P346" s="38" t="n"/>
      <c r="Q346" s="62" t="n"/>
      <c r="R346" s="38" t="n"/>
      <c r="S346" s="62" t="n"/>
      <c r="T346" s="38" t="n"/>
      <c r="U346" s="62" t="n"/>
      <c r="V346" s="38" t="n"/>
      <c r="W346" s="62" t="n"/>
      <c r="X346" s="38" t="n"/>
      <c r="Y346" s="62" t="n"/>
      <c r="Z346" s="38" t="n"/>
      <c r="AA346" s="62" t="n"/>
      <c r="AB346" s="38" t="n"/>
      <c r="AC346" s="62" t="n"/>
      <c r="AD346" s="38" t="n"/>
      <c r="AE346" s="38" t="n"/>
      <c r="AF346" s="61">
        <f>IF(COUNTIF($B$5:B346,B346)=1,1,0)</f>
        <v/>
      </c>
      <c r="AG346" s="62" t="inlineStr">
        <is>
          <t>https://www.infobae.com/colombia/2026/08/26/gustavo-petro-destaco-la-aprobacion-de-su-reforma-pensional-por-parte-de-la-corte-constitucional-un-triunfo-del-pueblo-trabajador/</t>
        </is>
      </c>
    </row>
    <row r="347" ht="15" customHeight="1" s="31">
      <c r="A347" s="38" t="inlineStr">
        <is>
          <t>ART_051</t>
        </is>
      </c>
      <c r="B347" s="38" t="inlineStr">
        <is>
          <t>ART_051_S02</t>
        </is>
      </c>
      <c r="C347" s="38" t="inlineStr">
        <is>
          <t>Infobae Colombia</t>
        </is>
      </c>
      <c r="D347" s="38" t="inlineStr">
        <is>
          <t>Reformas sociales en disputa (pensional/tributaria)</t>
        </is>
      </c>
      <c r="E347" s="38" t="inlineStr">
        <is>
          <t>Noticia dura</t>
        </is>
      </c>
      <c r="F347" s="38" t="inlineStr">
        <is>
          <t>2026-08-26T12:30:26Z</t>
        </is>
      </c>
      <c r="G347" s="62" t="inlineStr">
        <is>
          <t>La decisión preservó más del 90% del articulado y mantuvo, entre otros puntos, el artículo 76, que abrió la llamada “ventana de oportunidad” para cambiar de régimen.</t>
        </is>
      </c>
      <c r="H347" s="62" t="inlineStr">
        <is>
          <t>El 25 de agosto de 2026, la Corte Constitucional avaló la reforma pensional y dejó en pie su estructura central, aunque devolvió nueve artículos al Congreso para corregir vicios de trámite; si ese ajuste supera la revisión final del tribunal, la Ley 2381 entrará en vigencia el 1 de abril de 2027.</t>
        </is>
      </c>
      <c r="I347" s="62" t="inlineStr">
        <is>
          <t>Ese mecanismo cobija a más de 150.000 afiliados que se trasladaron desde 2024 hasta el 16 de julio pasado.</t>
        </is>
      </c>
      <c r="J347" s="38" t="n"/>
      <c r="K347" s="62" t="n"/>
      <c r="L347" s="38" t="n"/>
      <c r="M347" s="62" t="n"/>
      <c r="N347" s="38" t="n"/>
      <c r="O347" s="62" t="n"/>
      <c r="P347" s="38" t="n"/>
      <c r="Q347" s="62" t="n"/>
      <c r="R347" s="38" t="n"/>
      <c r="S347" s="62" t="n"/>
      <c r="T347" s="38" t="n"/>
      <c r="U347" s="62" t="n"/>
      <c r="V347" s="38" t="n"/>
      <c r="W347" s="62" t="n"/>
      <c r="X347" s="38" t="n"/>
      <c r="Y347" s="62" t="n"/>
      <c r="Z347" s="38" t="n"/>
      <c r="AA347" s="62" t="n"/>
      <c r="AB347" s="38" t="n"/>
      <c r="AC347" s="62" t="n"/>
      <c r="AD347" s="38" t="n"/>
      <c r="AE347" s="38" t="n"/>
      <c r="AF347" s="61">
        <f>IF(COUNTIF($B$5:B347,B347)=1,1,0)</f>
        <v/>
      </c>
      <c r="AG347" s="62" t="inlineStr">
        <is>
          <t>https://www.infobae.com/colombia/2026/08/26/gustavo-petro-destaco-la-aprobacion-de-su-reforma-pensional-por-parte-de-la-corte-constitucional-un-triunfo-del-pueblo-trabajador/</t>
        </is>
      </c>
    </row>
    <row r="348" ht="15" customHeight="1" s="31">
      <c r="A348" s="38" t="inlineStr">
        <is>
          <t>ART_051</t>
        </is>
      </c>
      <c r="B348" s="38" t="inlineStr">
        <is>
          <t>ART_051_S03</t>
        </is>
      </c>
      <c r="C348" s="38" t="inlineStr">
        <is>
          <t>Infobae Colombia</t>
        </is>
      </c>
      <c r="D348" s="38" t="inlineStr">
        <is>
          <t>Reformas sociales en disputa (pensional/tributaria)</t>
        </is>
      </c>
      <c r="E348" s="38" t="inlineStr">
        <is>
          <t>Noticia dura</t>
        </is>
      </c>
      <c r="F348" s="38" t="inlineStr">
        <is>
          <t>2026-08-26T12:30:26Z</t>
        </is>
      </c>
      <c r="G348" s="62" t="inlineStr">
        <is>
          <t>Ese mecanismo cobija a más de 150.000 afiliados que se trasladaron desde 2024 hasta el 16 de julio pasado.</t>
        </is>
      </c>
      <c r="H348" s="62" t="inlineStr">
        <is>
          <t>La decisión preservó más del 90% del articulado y mantuvo, entre otros puntos, el artículo 76, que abrió la llamada “ventana de oportunidad” para cambiar de régimen.</t>
        </is>
      </c>
      <c r="I348" s="62" t="inlineStr">
        <is>
          <t>La Cámara de Representantes tendrá 30 días contados desde la notificación de la sentencia, y no desde la comunicación, para subsanar los apartados objetados.</t>
        </is>
      </c>
      <c r="J348" s="38" t="n"/>
      <c r="K348" s="62" t="n"/>
      <c r="L348" s="38" t="n"/>
      <c r="M348" s="62" t="n"/>
      <c r="N348" s="38" t="n"/>
      <c r="O348" s="62" t="n"/>
      <c r="P348" s="38" t="n"/>
      <c r="Q348" s="62" t="n"/>
      <c r="R348" s="38" t="n"/>
      <c r="S348" s="62" t="n"/>
      <c r="T348" s="38" t="n"/>
      <c r="U348" s="62" t="n"/>
      <c r="V348" s="38" t="n"/>
      <c r="W348" s="62" t="n"/>
      <c r="X348" s="38" t="n"/>
      <c r="Y348" s="62" t="n"/>
      <c r="Z348" s="38" t="n"/>
      <c r="AA348" s="62" t="n"/>
      <c r="AB348" s="38" t="n"/>
      <c r="AC348" s="62" t="n"/>
      <c r="AD348" s="38" t="n"/>
      <c r="AE348" s="38" t="n"/>
      <c r="AF348" s="61">
        <f>IF(COUNTIF($B$5:B348,B348)=1,1,0)</f>
        <v/>
      </c>
      <c r="AG348" s="62" t="inlineStr">
        <is>
          <t>https://www.infobae.com/colombia/2026/08/26/gustavo-petro-destaco-la-aprobacion-de-su-reforma-pensional-por-parte-de-la-corte-constitucional-un-triunfo-del-pueblo-trabajador/</t>
        </is>
      </c>
    </row>
    <row r="349" ht="15" customHeight="1" s="31">
      <c r="A349" s="38" t="inlineStr">
        <is>
          <t>ART_051</t>
        </is>
      </c>
      <c r="B349" s="38" t="inlineStr">
        <is>
          <t>ART_051_S04</t>
        </is>
      </c>
      <c r="C349" s="38" t="inlineStr">
        <is>
          <t>Infobae Colombia</t>
        </is>
      </c>
      <c r="D349" s="38" t="inlineStr">
        <is>
          <t>Reformas sociales en disputa (pensional/tributaria)</t>
        </is>
      </c>
      <c r="E349" s="38" t="inlineStr">
        <is>
          <t>Noticia dura</t>
        </is>
      </c>
      <c r="F349" s="38" t="inlineStr">
        <is>
          <t>2026-08-26T12:30:26Z</t>
        </is>
      </c>
      <c r="G349" s="62" t="inlineStr">
        <is>
          <t>La Cámara de Representantes tendrá 30 días contados desde la notificación de la sentencia, y no desde la comunicación, para subsanar los apartados objetados.</t>
        </is>
      </c>
      <c r="H349" s="62" t="inlineStr">
        <is>
          <t>Ese mecanismo cobija a más de 150.000 afiliados que se trasladaron desde 2024 hasta el 16 de julio pasado.</t>
        </is>
      </c>
      <c r="I349" s="62" t="inlineStr">
        <is>
          <t>Después, el presidente de la corporación deberá remitir un informe sobre el cumplimiento de la orden y el máximo órgano de la Rama Judicial tendrá la decisión definitiva sobre la legalidad de esos artículos.</t>
        </is>
      </c>
      <c r="J349" s="38" t="n"/>
      <c r="K349" s="62" t="n"/>
      <c r="L349" s="38" t="n"/>
      <c r="M349" s="62" t="n"/>
      <c r="N349" s="38" t="n"/>
      <c r="O349" s="62" t="n"/>
      <c r="P349" s="38" t="n"/>
      <c r="Q349" s="62" t="n"/>
      <c r="R349" s="38" t="n"/>
      <c r="S349" s="62" t="n"/>
      <c r="T349" s="38" t="n"/>
      <c r="U349" s="62" t="n"/>
      <c r="V349" s="38" t="n"/>
      <c r="W349" s="62" t="n"/>
      <c r="X349" s="38" t="n"/>
      <c r="Y349" s="62" t="n"/>
      <c r="Z349" s="38" t="n"/>
      <c r="AA349" s="62" t="n"/>
      <c r="AB349" s="38" t="n"/>
      <c r="AC349" s="62" t="n"/>
      <c r="AD349" s="38" t="n"/>
      <c r="AE349" s="38" t="n"/>
      <c r="AF349" s="61">
        <f>IF(COUNTIF($B$5:B349,B349)=1,1,0)</f>
        <v/>
      </c>
      <c r="AG349" s="62" t="inlineStr">
        <is>
          <t>https://www.infobae.com/colombia/2026/08/26/gustavo-petro-destaco-la-aprobacion-de-su-reforma-pensional-por-parte-de-la-corte-constitucional-un-triunfo-del-pueblo-trabajador/</t>
        </is>
      </c>
    </row>
    <row r="350" ht="15" customHeight="1" s="31">
      <c r="A350" s="38" t="inlineStr">
        <is>
          <t>ART_051</t>
        </is>
      </c>
      <c r="B350" s="38" t="inlineStr">
        <is>
          <t>ART_051_S05</t>
        </is>
      </c>
      <c r="C350" s="38" t="inlineStr">
        <is>
          <t>Infobae Colombia</t>
        </is>
      </c>
      <c r="D350" s="38" t="inlineStr">
        <is>
          <t>Reformas sociales en disputa (pensional/tributaria)</t>
        </is>
      </c>
      <c r="E350" s="38" t="inlineStr">
        <is>
          <t>Noticia dura</t>
        </is>
      </c>
      <c r="F350" s="38" t="inlineStr">
        <is>
          <t>2026-08-26T12:30:26Z</t>
        </is>
      </c>
      <c r="G350" s="62" t="inlineStr">
        <is>
          <t>Después, el presidente de la corporación deberá remitir un informe sobre el cumplimiento de la orden y el máximo órgano de la Rama Judicial tendrá la decisión definitiva sobre la legalidad de esos artículos.</t>
        </is>
      </c>
      <c r="H350" s="62" t="inlineStr">
        <is>
          <t>La Cámara de Representantes tendrá 30 días contados desde la notificación de la sentencia, y no desde la comunicación, para subsanar los apartados objetados.</t>
        </is>
      </c>
      <c r="I350" s="62" t="inlineStr">
        <is>
          <t>Tras la decisión del alto tribunal, el expresidente de la República, Gustavo Petro, afirmó en redes sociales que la aprobación de gran parte del articulado de reforma al sistema pensional es una victoria para el pueblo colombiano.</t>
        </is>
      </c>
      <c r="J350" s="38" t="n"/>
      <c r="K350" s="62" t="n"/>
      <c r="L350" s="38" t="n"/>
      <c r="M350" s="62" t="n"/>
      <c r="N350" s="38" t="n"/>
      <c r="O350" s="62" t="n"/>
      <c r="P350" s="38" t="n"/>
      <c r="Q350" s="62" t="n"/>
      <c r="R350" s="38" t="n"/>
      <c r="S350" s="62" t="n"/>
      <c r="T350" s="38" t="n"/>
      <c r="U350" s="62" t="n"/>
      <c r="V350" s="38" t="n"/>
      <c r="W350" s="62" t="n"/>
      <c r="X350" s="38" t="n"/>
      <c r="Y350" s="62" t="n"/>
      <c r="Z350" s="38" t="n"/>
      <c r="AA350" s="62" t="n"/>
      <c r="AB350" s="38" t="n"/>
      <c r="AC350" s="62" t="n"/>
      <c r="AD350" s="38" t="n"/>
      <c r="AE350" s="38" t="n"/>
      <c r="AF350" s="61">
        <f>IF(COUNTIF($B$5:B350,B350)=1,1,0)</f>
        <v/>
      </c>
      <c r="AG350" s="62" t="inlineStr">
        <is>
          <t>https://www.infobae.com/colombia/2026/08/26/gustavo-petro-destaco-la-aprobacion-de-su-reforma-pensional-por-parte-de-la-corte-constitucional-un-triunfo-del-pueblo-trabajador/</t>
        </is>
      </c>
    </row>
    <row r="351" ht="15" customHeight="1" s="31">
      <c r="A351" s="38" t="inlineStr">
        <is>
          <t>ART_051</t>
        </is>
      </c>
      <c r="B351" s="38" t="inlineStr">
        <is>
          <t>ART_051_S06</t>
        </is>
      </c>
      <c r="C351" s="38" t="inlineStr">
        <is>
          <t>Infobae Colombia</t>
        </is>
      </c>
      <c r="D351" s="38" t="inlineStr">
        <is>
          <t>Reformas sociales en disputa (pensional/tributaria)</t>
        </is>
      </c>
      <c r="E351" s="38" t="inlineStr">
        <is>
          <t>Noticia dura</t>
        </is>
      </c>
      <c r="F351" s="38" t="inlineStr">
        <is>
          <t>2026-08-26T12:30:26Z</t>
        </is>
      </c>
      <c r="G351" s="62" t="inlineStr">
        <is>
          <t>Tras la decisión del alto tribunal, el expresidente de la República, Gustavo Petro, afirmó en redes sociales que la aprobación de gran parte del articulado de reforma al sistema pensional es una victoria para el pueblo colombiano.</t>
        </is>
      </c>
      <c r="H351" s="62" t="inlineStr">
        <is>
          <t>Después, el presidente de la corporación deberá remitir un informe sobre el cumplimiento de la orden y el máximo órgano de la Rama Judicial tendrá la decisión definitiva sobre la legalidad de esos artículos.</t>
        </is>
      </c>
      <c r="I351" s="62" t="n"/>
      <c r="J351" s="38" t="n"/>
      <c r="K351" s="62" t="n"/>
      <c r="L351" s="38" t="n"/>
      <c r="M351" s="62" t="n"/>
      <c r="N351" s="38" t="n"/>
      <c r="O351" s="62" t="n"/>
      <c r="P351" s="38" t="n"/>
      <c r="Q351" s="62" t="n"/>
      <c r="R351" s="38" t="n"/>
      <c r="S351" s="62" t="n"/>
      <c r="T351" s="38" t="n"/>
      <c r="U351" s="62" t="n"/>
      <c r="V351" s="38" t="n"/>
      <c r="W351" s="62" t="n"/>
      <c r="X351" s="38" t="n"/>
      <c r="Y351" s="62" t="n"/>
      <c r="Z351" s="38" t="n"/>
      <c r="AA351" s="62" t="n"/>
      <c r="AB351" s="38" t="n"/>
      <c r="AC351" s="62" t="n"/>
      <c r="AD351" s="38" t="n"/>
      <c r="AE351" s="38" t="n"/>
      <c r="AF351" s="61">
        <f>IF(COUNTIF($B$5:B351,B351)=1,1,0)</f>
        <v/>
      </c>
      <c r="AG351" s="62" t="inlineStr">
        <is>
          <t>https://www.infobae.com/colombia/2026/08/26/gustavo-petro-destaco-la-aprobacion-de-su-reforma-pensional-por-parte-de-la-corte-constitucional-un-triunfo-del-pueblo-trabajador/</t>
        </is>
      </c>
    </row>
    <row r="352" ht="15" customHeight="1" s="31">
      <c r="A352" s="38" t="inlineStr">
        <is>
          <t>ART_052</t>
        </is>
      </c>
      <c r="B352" s="38" t="inlineStr">
        <is>
          <t>ART_052_S01</t>
        </is>
      </c>
      <c r="C352" s="38" t="inlineStr">
        <is>
          <t>Semana</t>
        </is>
      </c>
      <c r="D352" s="38" t="inlineStr">
        <is>
          <t>Respuesta a la emergencia del terremoto</t>
        </is>
      </c>
      <c r="E352" s="38" t="inlineStr">
        <is>
          <t>Noticia dura</t>
        </is>
      </c>
      <c r="F352" s="38" t="inlineStr">
        <is>
          <t>2026-09-03T10:07:27-05:00</t>
        </is>
      </c>
      <c r="G352" s="62" t="inlineStr">
        <is>
          <t>El reporte con corte a este miércoles revela que la emergencia golpeó a 497 municipios de 16 departamentos.</t>
        </is>
      </c>
      <c r="H352" s="62" t="n"/>
      <c r="I352" s="62" t="inlineStr">
        <is>
          <t>La destrucción también alcanzó hospitales, colegios, vías, puentes y acueductos.</t>
        </is>
      </c>
      <c r="J352" s="38" t="n"/>
      <c r="K352" s="62" t="n"/>
      <c r="L352" s="38" t="n"/>
      <c r="M352" s="62" t="n"/>
      <c r="N352" s="38" t="n"/>
      <c r="O352" s="62" t="n"/>
      <c r="P352" s="38" t="n"/>
      <c r="Q352" s="62" t="n"/>
      <c r="R352" s="38" t="n"/>
      <c r="S352" s="62" t="n"/>
      <c r="T352" s="38" t="n"/>
      <c r="U352" s="62" t="n"/>
      <c r="V352" s="38" t="n"/>
      <c r="W352" s="62" t="n"/>
      <c r="X352" s="38" t="n"/>
      <c r="Y352" s="62" t="n"/>
      <c r="Z352" s="38" t="n"/>
      <c r="AA352" s="62" t="n"/>
      <c r="AB352" s="38" t="n"/>
      <c r="AC352" s="62" t="n"/>
      <c r="AD352" s="38" t="n"/>
      <c r="AE352" s="38" t="n"/>
      <c r="AF352" s="61">
        <f>IF(COUNTIF($B$5:B352,B352)=1,1,0)</f>
        <v/>
      </c>
      <c r="AG352" s="62" t="inlineStr">
        <is>
          <t>https://www.semana.com/nacion/articulo/colombia-intenta-levantarse-tras-el-terremoto-pero-las-nuevas-cifras-estremecen-al-pais-los-numeros-son-preocupantes/202641/</t>
        </is>
      </c>
    </row>
    <row r="353" ht="15" customHeight="1" s="31">
      <c r="A353" s="38" t="inlineStr">
        <is>
          <t>ART_052</t>
        </is>
      </c>
      <c r="B353" s="38" t="inlineStr">
        <is>
          <t>ART_052_S02</t>
        </is>
      </c>
      <c r="C353" s="38" t="inlineStr">
        <is>
          <t>Semana</t>
        </is>
      </c>
      <c r="D353" s="38" t="inlineStr">
        <is>
          <t>Respuesta a la emergencia del terremoto</t>
        </is>
      </c>
      <c r="E353" s="38" t="inlineStr">
        <is>
          <t>Noticia dura</t>
        </is>
      </c>
      <c r="F353" s="38" t="inlineStr">
        <is>
          <t>2026-09-03T10:07:27-05:00</t>
        </is>
      </c>
      <c r="G353" s="62" t="inlineStr">
        <is>
          <t>La destrucción también alcanzó hospitales, colegios, vías, puentes y acueductos.</t>
        </is>
      </c>
      <c r="H353" s="62" t="inlineStr">
        <is>
          <t>El reporte con corte a este miércoles revela que la emergencia golpeó a 497 municipios de 16 departamentos.</t>
        </is>
      </c>
      <c r="I353" s="62" t="inlineStr">
        <is>
          <t>El terremoto que sacudió a Colombia el pasado 10 de agosto continúa dejando una factura cada vez más difícil de dimensionar.</t>
        </is>
      </c>
      <c r="J353" s="38" t="n"/>
      <c r="K353" s="62" t="n"/>
      <c r="L353" s="38" t="n"/>
      <c r="M353" s="62" t="n"/>
      <c r="N353" s="38" t="n"/>
      <c r="O353" s="62" t="n"/>
      <c r="P353" s="38" t="n"/>
      <c r="Q353" s="62" t="n"/>
      <c r="R353" s="38" t="n"/>
      <c r="S353" s="62" t="n"/>
      <c r="T353" s="38" t="n"/>
      <c r="U353" s="62" t="n"/>
      <c r="V353" s="38" t="n"/>
      <c r="W353" s="62" t="n"/>
      <c r="X353" s="38" t="n"/>
      <c r="Y353" s="62" t="n"/>
      <c r="Z353" s="38" t="n"/>
      <c r="AA353" s="62" t="n"/>
      <c r="AB353" s="38" t="n"/>
      <c r="AC353" s="62" t="n"/>
      <c r="AD353" s="38" t="n"/>
      <c r="AE353" s="38" t="n"/>
      <c r="AF353" s="61">
        <f>IF(COUNTIF($B$5:B353,B353)=1,1,0)</f>
        <v/>
      </c>
      <c r="AG353" s="62" t="inlineStr">
        <is>
          <t>https://www.semana.com/nacion/articulo/colombia-intenta-levantarse-tras-el-terremoto-pero-las-nuevas-cifras-estremecen-al-pais-los-numeros-son-preocupantes/202641/</t>
        </is>
      </c>
    </row>
    <row r="354" ht="15" customHeight="1" s="31">
      <c r="A354" s="38" t="inlineStr">
        <is>
          <t>ART_052</t>
        </is>
      </c>
      <c r="B354" s="38" t="inlineStr">
        <is>
          <t>ART_052_S03</t>
        </is>
      </c>
      <c r="C354" s="38" t="inlineStr">
        <is>
          <t>Semana</t>
        </is>
      </c>
      <c r="D354" s="38" t="inlineStr">
        <is>
          <t>Respuesta a la emergencia del terremoto</t>
        </is>
      </c>
      <c r="E354" s="38" t="inlineStr">
        <is>
          <t>Noticia dura</t>
        </is>
      </c>
      <c r="F354" s="38" t="inlineStr">
        <is>
          <t>2026-09-03T10:07:27-05:00</t>
        </is>
      </c>
      <c r="G354" s="62" t="inlineStr">
        <is>
          <t>El terremoto que sacudió a Colombia el pasado 10 de agosto continúa dejando una factura cada vez más difícil de dimensionar.</t>
        </is>
      </c>
      <c r="H354" s="62" t="inlineStr">
        <is>
          <t>La destrucción también alcanzó hospitales, colegios, vías, puentes y acueductos.</t>
        </is>
      </c>
      <c r="I354" s="62" t="inlineStr">
        <is>
          <t>El nuevo balance de la emergencia ya contabiliza 331 personas fallecidas, 4.519 heridas y 136 desaparecidas, mientras el número de afectados asciende a 466.606 personas.</t>
        </is>
      </c>
      <c r="J354" s="38" t="n"/>
      <c r="K354" s="62" t="n"/>
      <c r="L354" s="38" t="n"/>
      <c r="M354" s="62" t="n"/>
      <c r="N354" s="38" t="n"/>
      <c r="O354" s="62" t="n"/>
      <c r="P354" s="38" t="n"/>
      <c r="Q354" s="62" t="n"/>
      <c r="R354" s="38" t="n"/>
      <c r="S354" s="62" t="n"/>
      <c r="T354" s="38" t="n"/>
      <c r="U354" s="62" t="n"/>
      <c r="V354" s="38" t="n"/>
      <c r="W354" s="62" t="n"/>
      <c r="X354" s="38" t="n"/>
      <c r="Y354" s="62" t="n"/>
      <c r="Z354" s="38" t="n"/>
      <c r="AA354" s="62" t="n"/>
      <c r="AB354" s="38" t="n"/>
      <c r="AC354" s="62" t="n"/>
      <c r="AD354" s="38" t="n"/>
      <c r="AE354" s="38" t="n"/>
      <c r="AF354" s="61">
        <f>IF(COUNTIF($B$5:B354,B354)=1,1,0)</f>
        <v/>
      </c>
      <c r="AG354" s="62" t="inlineStr">
        <is>
          <t>https://www.semana.com/nacion/articulo/colombia-intenta-levantarse-tras-el-terremoto-pero-las-nuevas-cifras-estremecen-al-pais-los-numeros-son-preocupantes/202641/</t>
        </is>
      </c>
    </row>
    <row r="355" ht="15" customHeight="1" s="31">
      <c r="A355" s="38" t="inlineStr">
        <is>
          <t>ART_052</t>
        </is>
      </c>
      <c r="B355" s="38" t="inlineStr">
        <is>
          <t>ART_052_S04</t>
        </is>
      </c>
      <c r="C355" s="38" t="inlineStr">
        <is>
          <t>Semana</t>
        </is>
      </c>
      <c r="D355" s="38" t="inlineStr">
        <is>
          <t>Respuesta a la emergencia del terremoto</t>
        </is>
      </c>
      <c r="E355" s="38" t="inlineStr">
        <is>
          <t>Noticia dura</t>
        </is>
      </c>
      <c r="F355" s="38" t="inlineStr">
        <is>
          <t>2026-09-03T10:07:27-05:00</t>
        </is>
      </c>
      <c r="G355" s="62" t="inlineStr">
        <is>
          <t>El nuevo balance de la emergencia ya contabiliza 331 personas fallecidas, 4.519 heridas y 136 desaparecidas, mientras el número de afectados asciende a 466.606 personas.</t>
        </is>
      </c>
      <c r="H355" s="62" t="inlineStr">
        <is>
          <t>El terremoto que sacudió a Colombia el pasado 10 de agosto continúa dejando una factura cada vez más difícil de dimensionar.</t>
        </is>
      </c>
      <c r="I355" s="62" t="inlineStr">
        <is>
          <t>Los datos corresponden a la actualización con corte a las 6:30 de la mañana de este miércoles 2 de septiembre de 2026, relacionada con el sismo de 7,4 Mw registrado en San José del Palmar, Chocó.</t>
        </is>
      </c>
      <c r="J355" s="38" t="n"/>
      <c r="K355" s="62" t="n"/>
      <c r="L355" s="38" t="n"/>
      <c r="M355" s="62" t="n"/>
      <c r="N355" s="38" t="n"/>
      <c r="O355" s="62" t="n"/>
      <c r="P355" s="38" t="n"/>
      <c r="Q355" s="62" t="n"/>
      <c r="R355" s="38" t="n"/>
      <c r="S355" s="62" t="n"/>
      <c r="T355" s="38" t="n"/>
      <c r="U355" s="62" t="n"/>
      <c r="V355" s="38" t="n"/>
      <c r="W355" s="62" t="n"/>
      <c r="X355" s="38" t="n"/>
      <c r="Y355" s="62" t="n"/>
      <c r="Z355" s="38" t="n"/>
      <c r="AA355" s="62" t="n"/>
      <c r="AB355" s="38" t="n"/>
      <c r="AC355" s="62" t="n"/>
      <c r="AD355" s="38" t="n"/>
      <c r="AE355" s="38" t="n"/>
      <c r="AF355" s="61">
        <f>IF(COUNTIF($B$5:B355,B355)=1,1,0)</f>
        <v/>
      </c>
      <c r="AG355" s="62" t="inlineStr">
        <is>
          <t>https://www.semana.com/nacion/articulo/colombia-intenta-levantarse-tras-el-terremoto-pero-las-nuevas-cifras-estremecen-al-pais-los-numeros-son-preocupantes/202641/</t>
        </is>
      </c>
    </row>
    <row r="356" ht="15" customHeight="1" s="31">
      <c r="A356" s="38" t="inlineStr">
        <is>
          <t>ART_052</t>
        </is>
      </c>
      <c r="B356" s="38" t="inlineStr">
        <is>
          <t>ART_052_S05</t>
        </is>
      </c>
      <c r="C356" s="38" t="inlineStr">
        <is>
          <t>Semana</t>
        </is>
      </c>
      <c r="D356" s="38" t="inlineStr">
        <is>
          <t>Respuesta a la emergencia del terremoto</t>
        </is>
      </c>
      <c r="E356" s="38" t="inlineStr">
        <is>
          <t>Noticia dura</t>
        </is>
      </c>
      <c r="F356" s="38" t="inlineStr">
        <is>
          <t>2026-09-03T10:07:27-05:00</t>
        </is>
      </c>
      <c r="G356" s="62" t="inlineStr">
        <is>
          <t>Los datos corresponden a la actualización con corte a las 6:30 de la mañana de este miércoles 2 de septiembre de 2026, relacionada con el sismo de 7,4 Mw registrado en San José del Palmar, Chocó.</t>
        </is>
      </c>
      <c r="H356" s="62" t="inlineStr">
        <is>
          <t>El nuevo balance de la emergencia ya contabiliza 331 personas fallecidas, 4.519 heridas y 136 desaparecidas, mientras el número de afectados asciende a 466.606 personas.</t>
        </is>
      </c>
      <c r="I356" s="62" t="inlineStr">
        <is>
          <t>Detrás de cada cifra aparece una emergencia que se extiende mucho más allá del punto donde ocurrió el movimiento telúrico.</t>
        </is>
      </c>
      <c r="J356" s="38" t="n"/>
      <c r="K356" s="62" t="n"/>
      <c r="L356" s="38" t="n"/>
      <c r="M356" s="62" t="n"/>
      <c r="N356" s="38" t="n"/>
      <c r="O356" s="62" t="n"/>
      <c r="P356" s="38" t="n"/>
      <c r="Q356" s="62" t="n"/>
      <c r="R356" s="38" t="n"/>
      <c r="S356" s="62" t="n"/>
      <c r="T356" s="38" t="n"/>
      <c r="U356" s="62" t="n"/>
      <c r="V356" s="38" t="n"/>
      <c r="W356" s="62" t="n"/>
      <c r="X356" s="38" t="n"/>
      <c r="Y356" s="62" t="n"/>
      <c r="Z356" s="38" t="n"/>
      <c r="AA356" s="62" t="n"/>
      <c r="AB356" s="38" t="n"/>
      <c r="AC356" s="62" t="n"/>
      <c r="AD356" s="38" t="n"/>
      <c r="AE356" s="38" t="n"/>
      <c r="AF356" s="61">
        <f>IF(COUNTIF($B$5:B356,B356)=1,1,0)</f>
        <v/>
      </c>
      <c r="AG356" s="62" t="inlineStr">
        <is>
          <t>https://www.semana.com/nacion/articulo/colombia-intenta-levantarse-tras-el-terremoto-pero-las-nuevas-cifras-estremecen-al-pais-los-numeros-son-preocupantes/202641/</t>
        </is>
      </c>
    </row>
    <row r="357" ht="15" customHeight="1" s="31">
      <c r="A357" s="38" t="inlineStr">
        <is>
          <t>ART_052</t>
        </is>
      </c>
      <c r="B357" s="38" t="inlineStr">
        <is>
          <t>ART_052_S06</t>
        </is>
      </c>
      <c r="C357" s="38" t="inlineStr">
        <is>
          <t>Semana</t>
        </is>
      </c>
      <c r="D357" s="38" t="inlineStr">
        <is>
          <t>Respuesta a la emergencia del terremoto</t>
        </is>
      </c>
      <c r="E357" s="38" t="inlineStr">
        <is>
          <t>Noticia dura</t>
        </is>
      </c>
      <c r="F357" s="38" t="inlineStr">
        <is>
          <t>2026-09-03T10:07:27-05:00</t>
        </is>
      </c>
      <c r="G357" s="62" t="inlineStr">
        <is>
          <t>Detrás de cada cifra aparece una emergencia que se extiende mucho más allá del punto donde ocurrió el movimiento telúrico.</t>
        </is>
      </c>
      <c r="H357" s="62" t="inlineStr">
        <is>
          <t>Los datos corresponden a la actualización con corte a las 6:30 de la mañana de este miércoles 2 de septiembre de 2026, relacionada con el sismo de 7,4 Mw registrado en San José del Palmar, Chocó.</t>
        </is>
      </c>
      <c r="I357" s="62" t="inlineStr">
        <is>
          <t>De acuerdo con el reporte, 16 departamentos y 497 municipios han resultado afectados.</t>
        </is>
      </c>
      <c r="J357" s="38" t="n"/>
      <c r="K357" s="62" t="n"/>
      <c r="L357" s="38" t="n"/>
      <c r="M357" s="62" t="n"/>
      <c r="N357" s="38" t="n"/>
      <c r="O357" s="62" t="n"/>
      <c r="P357" s="38" t="n"/>
      <c r="Q357" s="62" t="n"/>
      <c r="R357" s="38" t="n"/>
      <c r="S357" s="62" t="n"/>
      <c r="T357" s="38" t="n"/>
      <c r="U357" s="62" t="n"/>
      <c r="V357" s="38" t="n"/>
      <c r="W357" s="62" t="n"/>
      <c r="X357" s="38" t="n"/>
      <c r="Y357" s="62" t="n"/>
      <c r="Z357" s="38" t="n"/>
      <c r="AA357" s="62" t="n"/>
      <c r="AB357" s="38" t="n"/>
      <c r="AC357" s="62" t="n"/>
      <c r="AD357" s="38" t="n"/>
      <c r="AE357" s="38" t="n"/>
      <c r="AF357" s="61">
        <f>IF(COUNTIF($B$5:B357,B357)=1,1,0)</f>
        <v/>
      </c>
      <c r="AG357" s="62" t="inlineStr">
        <is>
          <t>https://www.semana.com/nacion/articulo/colombia-intenta-levantarse-tras-el-terremoto-pero-las-nuevas-cifras-estremecen-al-pais-los-numeros-son-preocupantes/202641/</t>
        </is>
      </c>
    </row>
    <row r="358" ht="15" customHeight="1" s="31">
      <c r="A358" s="38" t="inlineStr">
        <is>
          <t>ART_052</t>
        </is>
      </c>
      <c r="B358" s="38" t="inlineStr">
        <is>
          <t>ART_052_S07</t>
        </is>
      </c>
      <c r="C358" s="38" t="inlineStr">
        <is>
          <t>Semana</t>
        </is>
      </c>
      <c r="D358" s="38" t="inlineStr">
        <is>
          <t>Respuesta a la emergencia del terremoto</t>
        </is>
      </c>
      <c r="E358" s="38" t="inlineStr">
        <is>
          <t>Noticia dura</t>
        </is>
      </c>
      <c r="F358" s="38" t="inlineStr">
        <is>
          <t>2026-09-03T10:07:27-05:00</t>
        </is>
      </c>
      <c r="G358" s="62" t="inlineStr">
        <is>
          <t>De acuerdo con el reporte, 16 departamentos y 497 municipios han resultado afectados.</t>
        </is>
      </c>
      <c r="H358" s="62" t="inlineStr">
        <is>
          <t>Detrás de cada cifra aparece una emergencia que se extiende mucho más allá del punto donde ocurrió el movimiento telúrico.</t>
        </is>
      </c>
      <c r="I358" s="62" t="inlineStr">
        <is>
          <t>En total, hay 293.743 familias incluidas dentro del balance oficial.</t>
        </is>
      </c>
      <c r="J358" s="38" t="n"/>
      <c r="K358" s="62" t="n"/>
      <c r="L358" s="38" t="n"/>
      <c r="M358" s="62" t="n"/>
      <c r="N358" s="38" t="n"/>
      <c r="O358" s="62" t="n"/>
      <c r="P358" s="38" t="n"/>
      <c r="Q358" s="62" t="n"/>
      <c r="R358" s="38" t="n"/>
      <c r="S358" s="62" t="n"/>
      <c r="T358" s="38" t="n"/>
      <c r="U358" s="62" t="n"/>
      <c r="V358" s="38" t="n"/>
      <c r="W358" s="62" t="n"/>
      <c r="X358" s="38" t="n"/>
      <c r="Y358" s="62" t="n"/>
      <c r="Z358" s="38" t="n"/>
      <c r="AA358" s="62" t="n"/>
      <c r="AB358" s="38" t="n"/>
      <c r="AC358" s="62" t="n"/>
      <c r="AD358" s="38" t="n"/>
      <c r="AE358" s="38" t="n"/>
      <c r="AF358" s="61">
        <f>IF(COUNTIF($B$5:B358,B358)=1,1,0)</f>
        <v/>
      </c>
      <c r="AG358" s="62" t="inlineStr">
        <is>
          <t>https://www.semana.com/nacion/articulo/colombia-intenta-levantarse-tras-el-terremoto-pero-las-nuevas-cifras-estremecen-al-pais-los-numeros-son-preocupantes/202641/</t>
        </is>
      </c>
    </row>
    <row r="359" ht="15" customHeight="1" s="31">
      <c r="A359" s="38" t="inlineStr">
        <is>
          <t>ART_052</t>
        </is>
      </c>
      <c r="B359" s="38" t="inlineStr">
        <is>
          <t>ART_052_S08</t>
        </is>
      </c>
      <c r="C359" s="38" t="inlineStr">
        <is>
          <t>Semana</t>
        </is>
      </c>
      <c r="D359" s="38" t="inlineStr">
        <is>
          <t>Respuesta a la emergencia del terremoto</t>
        </is>
      </c>
      <c r="E359" s="38" t="inlineStr">
        <is>
          <t>Noticia dura</t>
        </is>
      </c>
      <c r="F359" s="38" t="inlineStr">
        <is>
          <t>2026-09-03T10:07:27-05:00</t>
        </is>
      </c>
      <c r="G359" s="62" t="inlineStr">
        <is>
          <t>En total, hay 293.743 familias incluidas dentro del balance oficial.</t>
        </is>
      </c>
      <c r="H359" s="62" t="inlineStr">
        <is>
          <t>De acuerdo con el reporte, 16 departamentos y 497 municipios han resultado afectados.</t>
        </is>
      </c>
      <c r="I359" s="62" t="inlineStr">
        <is>
          <t>La vivienda concentra una de las cifras que mejor permite dimensionar el impacto de la tragedia.</t>
        </is>
      </c>
      <c r="J359" s="38" t="n"/>
      <c r="K359" s="62" t="n"/>
      <c r="L359" s="38" t="n"/>
      <c r="M359" s="62" t="n"/>
      <c r="N359" s="38" t="n"/>
      <c r="O359" s="62" t="n"/>
      <c r="P359" s="38" t="n"/>
      <c r="Q359" s="62" t="n"/>
      <c r="R359" s="38" t="n"/>
      <c r="S359" s="62" t="n"/>
      <c r="T359" s="38" t="n"/>
      <c r="U359" s="62" t="n"/>
      <c r="V359" s="38" t="n"/>
      <c r="W359" s="62" t="n"/>
      <c r="X359" s="38" t="n"/>
      <c r="Y359" s="62" t="n"/>
      <c r="Z359" s="38" t="n"/>
      <c r="AA359" s="62" t="n"/>
      <c r="AB359" s="38" t="n"/>
      <c r="AC359" s="62" t="n"/>
      <c r="AD359" s="38" t="n"/>
      <c r="AE359" s="38" t="n"/>
      <c r="AF359" s="61">
        <f>IF(COUNTIF($B$5:B359,B359)=1,1,0)</f>
        <v/>
      </c>
      <c r="AG359" s="62" t="inlineStr">
        <is>
          <t>https://www.semana.com/nacion/articulo/colombia-intenta-levantarse-tras-el-terremoto-pero-las-nuevas-cifras-estremecen-al-pais-los-numeros-son-preocupantes/202641/</t>
        </is>
      </c>
    </row>
    <row r="360" ht="15" customHeight="1" s="31">
      <c r="A360" s="38" t="inlineStr">
        <is>
          <t>ART_052</t>
        </is>
      </c>
      <c r="B360" s="38" t="inlineStr">
        <is>
          <t>ART_052_S09</t>
        </is>
      </c>
      <c r="C360" s="38" t="inlineStr">
        <is>
          <t>Semana</t>
        </is>
      </c>
      <c r="D360" s="38" t="inlineStr">
        <is>
          <t>Respuesta a la emergencia del terremoto</t>
        </is>
      </c>
      <c r="E360" s="38" t="inlineStr">
        <is>
          <t>Noticia dura</t>
        </is>
      </c>
      <c r="F360" s="38" t="inlineStr">
        <is>
          <t>2026-09-03T10:07:27-05:00</t>
        </is>
      </c>
      <c r="G360" s="62" t="inlineStr">
        <is>
          <t>La vivienda concentra una de las cifras que mejor permite dimensionar el impacto de la tragedia.</t>
        </is>
      </c>
      <c r="H360" s="62" t="inlineStr">
        <is>
          <t>En total, hay 293.743 familias incluidas dentro del balance oficial.</t>
        </is>
      </c>
      <c r="I360" s="62" t="inlineStr">
        <is>
          <t>Hasta ahora se contabilizan 201.005 viviendas averiadas y otras 36.336 completamente destruidas.</t>
        </is>
      </c>
      <c r="J360" s="38" t="n"/>
      <c r="K360" s="62" t="n"/>
      <c r="L360" s="38" t="n"/>
      <c r="M360" s="62" t="n"/>
      <c r="N360" s="38" t="n"/>
      <c r="O360" s="62" t="n"/>
      <c r="P360" s="38" t="n"/>
      <c r="Q360" s="62" t="n"/>
      <c r="R360" s="38" t="n"/>
      <c r="S360" s="62" t="n"/>
      <c r="T360" s="38" t="n"/>
      <c r="U360" s="62" t="n"/>
      <c r="V360" s="38" t="n"/>
      <c r="W360" s="62" t="n"/>
      <c r="X360" s="38" t="n"/>
      <c r="Y360" s="62" t="n"/>
      <c r="Z360" s="38" t="n"/>
      <c r="AA360" s="62" t="n"/>
      <c r="AB360" s="38" t="n"/>
      <c r="AC360" s="62" t="n"/>
      <c r="AD360" s="38" t="n"/>
      <c r="AE360" s="38" t="n"/>
      <c r="AF360" s="61">
        <f>IF(COUNTIF($B$5:B360,B360)=1,1,0)</f>
        <v/>
      </c>
      <c r="AG360" s="62" t="inlineStr">
        <is>
          <t>https://www.semana.com/nacion/articulo/colombia-intenta-levantarse-tras-el-terremoto-pero-las-nuevas-cifras-estremecen-al-pais-los-numeros-son-preocupantes/202641/</t>
        </is>
      </c>
    </row>
    <row r="361" ht="15" customHeight="1" s="31">
      <c r="A361" s="38" t="inlineStr">
        <is>
          <t>ART_052</t>
        </is>
      </c>
      <c r="B361" s="38" t="inlineStr">
        <is>
          <t>ART_052_S10</t>
        </is>
      </c>
      <c r="C361" s="38" t="inlineStr">
        <is>
          <t>Semana</t>
        </is>
      </c>
      <c r="D361" s="38" t="inlineStr">
        <is>
          <t>Respuesta a la emergencia del terremoto</t>
        </is>
      </c>
      <c r="E361" s="38" t="inlineStr">
        <is>
          <t>Noticia dura</t>
        </is>
      </c>
      <c r="F361" s="38" t="inlineStr">
        <is>
          <t>2026-09-03T10:07:27-05:00</t>
        </is>
      </c>
      <c r="G361" s="62" t="inlineStr">
        <is>
          <t>Hasta ahora se contabilizan 201.005 viviendas averiadas y otras 36.336 completamente destruidas.</t>
        </is>
      </c>
      <c r="H361" s="62" t="inlineStr">
        <is>
          <t>La vivienda concentra una de las cifras que mejor permite dimensionar el impacto de la tragedia.</t>
        </is>
      </c>
      <c r="I361" s="62" t="n"/>
      <c r="J361" s="38" t="n"/>
      <c r="K361" s="62" t="n"/>
      <c r="L361" s="38" t="n"/>
      <c r="M361" s="62" t="n"/>
      <c r="N361" s="38" t="n"/>
      <c r="O361" s="62" t="n"/>
      <c r="P361" s="38" t="n"/>
      <c r="Q361" s="62" t="n"/>
      <c r="R361" s="38" t="n"/>
      <c r="S361" s="62" t="n"/>
      <c r="T361" s="38" t="n"/>
      <c r="U361" s="62" t="n"/>
      <c r="V361" s="38" t="n"/>
      <c r="W361" s="62" t="n"/>
      <c r="X361" s="38" t="n"/>
      <c r="Y361" s="62" t="n"/>
      <c r="Z361" s="38" t="n"/>
      <c r="AA361" s="62" t="n"/>
      <c r="AB361" s="38" t="n"/>
      <c r="AC361" s="62" t="n"/>
      <c r="AD361" s="38" t="n"/>
      <c r="AE361" s="38" t="n"/>
      <c r="AF361" s="61">
        <f>IF(COUNTIF($B$5:B361,B361)=1,1,0)</f>
        <v/>
      </c>
      <c r="AG361" s="62" t="inlineStr">
        <is>
          <t>https://www.semana.com/nacion/articulo/colombia-intenta-levantarse-tras-el-terremoto-pero-las-nuevas-cifras-estremecen-al-pais-los-numeros-son-preocupantes/202641/</t>
        </is>
      </c>
    </row>
    <row r="362" ht="15" customHeight="1" s="31">
      <c r="A362" s="38" t="inlineStr">
        <is>
          <t>ART_053</t>
        </is>
      </c>
      <c r="B362" s="38" t="inlineStr">
        <is>
          <t>ART_053_S01</t>
        </is>
      </c>
      <c r="C362" s="38" t="inlineStr">
        <is>
          <t>Infobae Colombia</t>
        </is>
      </c>
      <c r="D362" s="38" t="inlineStr">
        <is>
          <t>Relación con Estados Unidos</t>
        </is>
      </c>
      <c r="E362" s="38" t="inlineStr">
        <is>
          <t>Noticia dura</t>
        </is>
      </c>
      <c r="F362" s="38" t="inlineStr">
        <is>
          <t>2026-07-23T23:10:16Z</t>
        </is>
      </c>
      <c r="G362" s="62" t="inlineStr">
        <is>
          <t>La administración del presidente Donald Trump confirmó el jueves 23 de julio de 2026 un nuevo paquete de aranceles para las importaciones provenientes de decenas de países, entre ellos Colombia, decisión que fija un gravamen del 12,5% para los productos colombianos que ingresen al mercado estadounidense.</t>
        </is>
      </c>
      <c r="H362" s="62" t="n"/>
      <c r="I362" s="62" t="n"/>
      <c r="J362" s="38" t="n"/>
      <c r="K362" s="62" t="n"/>
      <c r="L362" s="38" t="n"/>
      <c r="M362" s="62" t="n"/>
      <c r="N362" s="38" t="n"/>
      <c r="O362" s="62" t="n"/>
      <c r="P362" s="38" t="n"/>
      <c r="Q362" s="62" t="n"/>
      <c r="R362" s="38" t="n"/>
      <c r="S362" s="62" t="n"/>
      <c r="T362" s="38" t="n"/>
      <c r="U362" s="62" t="n"/>
      <c r="V362" s="38" t="n"/>
      <c r="W362" s="62" t="n"/>
      <c r="X362" s="38" t="n"/>
      <c r="Y362" s="62" t="n"/>
      <c r="Z362" s="38" t="n"/>
      <c r="AA362" s="62" t="n"/>
      <c r="AB362" s="38" t="n"/>
      <c r="AC362" s="62" t="n"/>
      <c r="AD362" s="38" t="n"/>
      <c r="AE362" s="38" t="n"/>
      <c r="AF362" s="61">
        <f>IF(COUNTIF($B$5:B362,B362)=1,1,0)</f>
        <v/>
      </c>
      <c r="AG362" s="62" t="inlineStr">
        <is>
          <t>https://www.infobae.com/colombia/2026/07/23/estados-unidos-endurecio-los-aranceles-para-colombia-exportaciones-pagaran-un-gravamen-del-125/</t>
        </is>
      </c>
    </row>
    <row r="363" ht="15" customHeight="1" s="31">
      <c r="A363" s="38" t="inlineStr">
        <is>
          <t>ART_054</t>
        </is>
      </c>
      <c r="B363" s="38" t="inlineStr">
        <is>
          <t>ART_054_S01</t>
        </is>
      </c>
      <c r="C363" s="38" t="inlineStr">
        <is>
          <t>El Tiempo</t>
        </is>
      </c>
      <c r="D363" s="38" t="inlineStr">
        <is>
          <t>Reformas sociales en disputa (pensional/tributaria)</t>
        </is>
      </c>
      <c r="E363" s="38" t="inlineStr">
        <is>
          <t>Opinión-análisis</t>
        </is>
      </c>
      <c r="F363" s="38" t="inlineStr">
        <is>
          <t>2023-06-17T21:42:33-05:00</t>
        </is>
      </c>
      <c r="G363" s="62" t="inlineStr">
        <is>
          <t>Celebro la aprobación de la reforma pensional en primer debate en el Senado de la República.</t>
        </is>
      </c>
      <c r="H363" s="62" t="n"/>
      <c r="I363" s="62" t="inlineStr">
        <is>
          <t>Entre las tres reformas sociales, es la más viable de ser aprobada por el Congreso.</t>
        </is>
      </c>
      <c r="J363" s="38" t="n"/>
      <c r="K363" s="62" t="n"/>
      <c r="L363" s="38" t="n"/>
      <c r="M363" s="62" t="n"/>
      <c r="N363" s="38" t="n"/>
      <c r="O363" s="62" t="n"/>
      <c r="P363" s="38" t="n"/>
      <c r="Q363" s="62" t="n"/>
      <c r="R363" s="38" t="n"/>
      <c r="S363" s="62" t="n"/>
      <c r="T363" s="38" t="n"/>
      <c r="U363" s="62" t="n"/>
      <c r="V363" s="38" t="n"/>
      <c r="W363" s="62" t="n"/>
      <c r="X363" s="38" t="n"/>
      <c r="Y363" s="62" t="n"/>
      <c r="Z363" s="38" t="n"/>
      <c r="AA363" s="62" t="n"/>
      <c r="AB363" s="38" t="n"/>
      <c r="AC363" s="62" t="n"/>
      <c r="AD363" s="38" t="n"/>
      <c r="AE363" s="38" t="n"/>
      <c r="AF363" s="61">
        <f>IF(COUNTIF($B$5:B363,B363)=1,1,0)</f>
        <v/>
      </c>
      <c r="AG363" s="62" t="inlineStr">
        <is>
          <t>https://www.eltiempo.com/opinion/columnistas/jose-antonio-ocampo/columna-de-jose-antonio-ocampo-la-reforma-pensional-778686</t>
        </is>
      </c>
    </row>
    <row r="364" ht="15" customHeight="1" s="31">
      <c r="A364" s="38" t="inlineStr">
        <is>
          <t>ART_054</t>
        </is>
      </c>
      <c r="B364" s="38" t="inlineStr">
        <is>
          <t>ART_054_S02</t>
        </is>
      </c>
      <c r="C364" s="38" t="inlineStr">
        <is>
          <t>El Tiempo</t>
        </is>
      </c>
      <c r="D364" s="38" t="inlineStr">
        <is>
          <t>Reformas sociales en disputa (pensional/tributaria)</t>
        </is>
      </c>
      <c r="E364" s="38" t="inlineStr">
        <is>
          <t>Opinión-análisis</t>
        </is>
      </c>
      <c r="F364" s="38" t="inlineStr">
        <is>
          <t>2023-06-17T21:42:33-05:00</t>
        </is>
      </c>
      <c r="G364" s="62" t="inlineStr">
        <is>
          <t>Entre las tres reformas sociales, es la más viable de ser aprobada por el Congreso.</t>
        </is>
      </c>
      <c r="H364" s="62" t="inlineStr">
        <is>
          <t>Celebro la aprobación de la reforma pensional en primer debate en el Senado de la República.</t>
        </is>
      </c>
      <c r="I364" s="62" t="inlineStr">
        <is>
          <t>Además, el proyecto original resultó de un excelente trabajo conjunto entre el Ministerio del Trabajo y el Ministerio de Hacienda.</t>
        </is>
      </c>
      <c r="J364" s="38" t="n"/>
      <c r="K364" s="62" t="n"/>
      <c r="L364" s="38" t="n"/>
      <c r="M364" s="62" t="n"/>
      <c r="N364" s="38" t="n"/>
      <c r="O364" s="62" t="n"/>
      <c r="P364" s="38" t="n"/>
      <c r="Q364" s="62" t="n"/>
      <c r="R364" s="38" t="n"/>
      <c r="S364" s="62" t="n"/>
      <c r="T364" s="38" t="n"/>
      <c r="U364" s="62" t="n"/>
      <c r="V364" s="38" t="n"/>
      <c r="W364" s="62" t="n"/>
      <c r="X364" s="38" t="n"/>
      <c r="Y364" s="62" t="n"/>
      <c r="Z364" s="38" t="n"/>
      <c r="AA364" s="62" t="n"/>
      <c r="AB364" s="38" t="n"/>
      <c r="AC364" s="62" t="n"/>
      <c r="AD364" s="38" t="n"/>
      <c r="AE364" s="38" t="n"/>
      <c r="AF364" s="61">
        <f>IF(COUNTIF($B$5:B364,B364)=1,1,0)</f>
        <v/>
      </c>
      <c r="AG364" s="62" t="inlineStr">
        <is>
          <t>https://www.eltiempo.com/opinion/columnistas/jose-antonio-ocampo/columna-de-jose-antonio-ocampo-la-reforma-pensional-778686</t>
        </is>
      </c>
    </row>
    <row r="365" ht="15" customHeight="1" s="31">
      <c r="A365" s="38" t="inlineStr">
        <is>
          <t>ART_054</t>
        </is>
      </c>
      <c r="B365" s="38" t="inlineStr">
        <is>
          <t>ART_054_S03</t>
        </is>
      </c>
      <c r="C365" s="38" t="inlineStr">
        <is>
          <t>El Tiempo</t>
        </is>
      </c>
      <c r="D365" s="38" t="inlineStr">
        <is>
          <t>Reformas sociales en disputa (pensional/tributaria)</t>
        </is>
      </c>
      <c r="E365" s="38" t="inlineStr">
        <is>
          <t>Opinión-análisis</t>
        </is>
      </c>
      <c r="F365" s="38" t="inlineStr">
        <is>
          <t>2023-06-17T21:42:33-05:00</t>
        </is>
      </c>
      <c r="G365" s="62" t="inlineStr">
        <is>
          <t>Además, el proyecto original resultó de un excelente trabajo conjunto entre el Ministerio del Trabajo y el Ministerio de Hacienda.</t>
        </is>
      </c>
      <c r="H365" s="62" t="inlineStr">
        <is>
          <t>Entre las tres reformas sociales, es la más viable de ser aprobada por el Congreso.</t>
        </is>
      </c>
      <c r="I365" s="62" t="inlineStr">
        <is>
          <t>La propuesta tiene tres virtudes fundamentales.</t>
        </is>
      </c>
      <c r="J365" s="38" t="n"/>
      <c r="K365" s="62" t="n"/>
      <c r="L365" s="38" t="n"/>
      <c r="M365" s="62" t="n"/>
      <c r="N365" s="38" t="n"/>
      <c r="O365" s="62" t="n"/>
      <c r="P365" s="38" t="n"/>
      <c r="Q365" s="62" t="n"/>
      <c r="R365" s="38" t="n"/>
      <c r="S365" s="62" t="n"/>
      <c r="T365" s="38" t="n"/>
      <c r="U365" s="62" t="n"/>
      <c r="V365" s="38" t="n"/>
      <c r="W365" s="62" t="n"/>
      <c r="X365" s="38" t="n"/>
      <c r="Y365" s="62" t="n"/>
      <c r="Z365" s="38" t="n"/>
      <c r="AA365" s="62" t="n"/>
      <c r="AB365" s="38" t="n"/>
      <c r="AC365" s="62" t="n"/>
      <c r="AD365" s="38" t="n"/>
      <c r="AE365" s="38" t="n"/>
      <c r="AF365" s="61">
        <f>IF(COUNTIF($B$5:B365,B365)=1,1,0)</f>
        <v/>
      </c>
      <c r="AG365" s="62" t="inlineStr">
        <is>
          <t>https://www.eltiempo.com/opinion/columnistas/jose-antonio-ocampo/columna-de-jose-antonio-ocampo-la-reforma-pensional-778686</t>
        </is>
      </c>
    </row>
    <row r="366" ht="15" customHeight="1" s="31">
      <c r="A366" s="38" t="inlineStr">
        <is>
          <t>ART_054</t>
        </is>
      </c>
      <c r="B366" s="38" t="inlineStr">
        <is>
          <t>ART_054_S04</t>
        </is>
      </c>
      <c r="C366" s="38" t="inlineStr">
        <is>
          <t>El Tiempo</t>
        </is>
      </c>
      <c r="D366" s="38" t="inlineStr">
        <is>
          <t>Reformas sociales en disputa (pensional/tributaria)</t>
        </is>
      </c>
      <c r="E366" s="38" t="inlineStr">
        <is>
          <t>Opinión-análisis</t>
        </is>
      </c>
      <c r="F366" s="38" t="inlineStr">
        <is>
          <t>2023-06-17T21:42:33-05:00</t>
        </is>
      </c>
      <c r="G366" s="62" t="inlineStr">
        <is>
          <t>La propuesta tiene tres virtudes fundamentales.</t>
        </is>
      </c>
      <c r="H366" s="62" t="inlineStr">
        <is>
          <t>Además, el proyecto original resultó de un excelente trabajo conjunto entre el Ministerio del Trabajo y el Ministerio de Hacienda.</t>
        </is>
      </c>
      <c r="I366" s="62" t="inlineStr">
        <is>
          <t>Primero, apoya a las personas mayores sin pensión a través de un mecanismo solidario que supera con creces el programa Adulto Mayor.</t>
        </is>
      </c>
      <c r="J366" s="38" t="n"/>
      <c r="K366" s="62" t="n"/>
      <c r="L366" s="38" t="n"/>
      <c r="M366" s="62" t="n"/>
      <c r="N366" s="38" t="n"/>
      <c r="O366" s="62" t="n"/>
      <c r="P366" s="38" t="n"/>
      <c r="Q366" s="62" t="n"/>
      <c r="R366" s="38" t="n"/>
      <c r="S366" s="62" t="n"/>
      <c r="T366" s="38" t="n"/>
      <c r="U366" s="62" t="n"/>
      <c r="V366" s="38" t="n"/>
      <c r="W366" s="62" t="n"/>
      <c r="X366" s="38" t="n"/>
      <c r="Y366" s="62" t="n"/>
      <c r="Z366" s="38" t="n"/>
      <c r="AA366" s="62" t="n"/>
      <c r="AB366" s="38" t="n"/>
      <c r="AC366" s="62" t="n"/>
      <c r="AD366" s="38" t="n"/>
      <c r="AE366" s="38" t="n"/>
      <c r="AF366" s="61">
        <f>IF(COUNTIF($B$5:B366,B366)=1,1,0)</f>
        <v/>
      </c>
      <c r="AG366" s="62" t="inlineStr">
        <is>
          <t>https://www.eltiempo.com/opinion/columnistas/jose-antonio-ocampo/columna-de-jose-antonio-ocampo-la-reforma-pensional-778686</t>
        </is>
      </c>
    </row>
    <row r="367" ht="15" customHeight="1" s="31">
      <c r="A367" s="38" t="inlineStr">
        <is>
          <t>ART_054</t>
        </is>
      </c>
      <c r="B367" s="38" t="inlineStr">
        <is>
          <t>ART_054_S05</t>
        </is>
      </c>
      <c r="C367" s="38" t="inlineStr">
        <is>
          <t>El Tiempo</t>
        </is>
      </c>
      <c r="D367" s="38" t="inlineStr">
        <is>
          <t>Reformas sociales en disputa (pensional/tributaria)</t>
        </is>
      </c>
      <c r="E367" s="38" t="inlineStr">
        <is>
          <t>Opinión-análisis</t>
        </is>
      </c>
      <c r="F367" s="38" t="inlineStr">
        <is>
          <t>2023-06-17T21:42:33-05:00</t>
        </is>
      </c>
      <c r="G367" s="62" t="inlineStr">
        <is>
          <t>Primero, apoya a las personas mayores sin pensión a través de un mecanismo solidario que supera con creces el programa Adulto Mayor.</t>
        </is>
      </c>
      <c r="H367" s="62" t="inlineStr">
        <is>
          <t>La propuesta tiene tres virtudes fundamentales.</t>
        </is>
      </c>
      <c r="I367" s="62" t="inlineStr">
        <is>
          <t>Segundo, elimina un error básico de la Ley 100 de 1993: el haber dejado a Colpensiones en competencia con los fondos privados de pensiones en vez de como complementos, como en otros países del mundo.</t>
        </is>
      </c>
      <c r="J367" s="38" t="n"/>
      <c r="K367" s="62" t="n"/>
      <c r="L367" s="38" t="n"/>
      <c r="M367" s="62" t="n"/>
      <c r="N367" s="38" t="n"/>
      <c r="O367" s="62" t="n"/>
      <c r="P367" s="38" t="n"/>
      <c r="Q367" s="62" t="n"/>
      <c r="R367" s="38" t="n"/>
      <c r="S367" s="62" t="n"/>
      <c r="T367" s="38" t="n"/>
      <c r="U367" s="62" t="n"/>
      <c r="V367" s="38" t="n"/>
      <c r="W367" s="62" t="n"/>
      <c r="X367" s="38" t="n"/>
      <c r="Y367" s="62" t="n"/>
      <c r="Z367" s="38" t="n"/>
      <c r="AA367" s="62" t="n"/>
      <c r="AB367" s="38" t="n"/>
      <c r="AC367" s="62" t="n"/>
      <c r="AD367" s="38" t="n"/>
      <c r="AE367" s="38" t="n"/>
      <c r="AF367" s="61">
        <f>IF(COUNTIF($B$5:B367,B367)=1,1,0)</f>
        <v/>
      </c>
      <c r="AG367" s="62" t="inlineStr">
        <is>
          <t>https://www.eltiempo.com/opinion/columnistas/jose-antonio-ocampo/columna-de-jose-antonio-ocampo-la-reforma-pensional-778686</t>
        </is>
      </c>
    </row>
    <row r="368" ht="15" customHeight="1" s="31">
      <c r="A368" s="38" t="inlineStr">
        <is>
          <t>ART_054</t>
        </is>
      </c>
      <c r="B368" s="38" t="inlineStr">
        <is>
          <t>ART_054_S06</t>
        </is>
      </c>
      <c r="C368" s="38" t="inlineStr">
        <is>
          <t>El Tiempo</t>
        </is>
      </c>
      <c r="D368" s="38" t="inlineStr">
        <is>
          <t>Reformas sociales en disputa (pensional/tributaria)</t>
        </is>
      </c>
      <c r="E368" s="38" t="inlineStr">
        <is>
          <t>Opinión-análisis</t>
        </is>
      </c>
      <c r="F368" s="38" t="inlineStr">
        <is>
          <t>2023-06-17T21:42:33-05:00</t>
        </is>
      </c>
      <c r="G368" s="62" t="inlineStr">
        <is>
          <t>Segundo, elimina un error básico de la Ley 100 de 1993: el haber dejado a Colpensiones en competencia con los fondos privados de pensiones en vez de como complementos, como en otros países del mundo.</t>
        </is>
      </c>
      <c r="H368" s="62" t="inlineStr">
        <is>
          <t>Primero, apoya a las personas mayores sin pensión a través de un mecanismo solidario que supera con creces el programa Adulto Mayor.</t>
        </is>
      </c>
      <c r="I368" s="62" t="n"/>
      <c r="J368" s="38" t="n"/>
      <c r="K368" s="62" t="n"/>
      <c r="L368" s="38" t="n"/>
      <c r="M368" s="62" t="n"/>
      <c r="N368" s="38" t="n"/>
      <c r="O368" s="62" t="n"/>
      <c r="P368" s="38" t="n"/>
      <c r="Q368" s="62" t="n"/>
      <c r="R368" s="38" t="n"/>
      <c r="S368" s="62" t="n"/>
      <c r="T368" s="38" t="n"/>
      <c r="U368" s="62" t="n"/>
      <c r="V368" s="38" t="n"/>
      <c r="W368" s="62" t="n"/>
      <c r="X368" s="38" t="n"/>
      <c r="Y368" s="62" t="n"/>
      <c r="Z368" s="38" t="n"/>
      <c r="AA368" s="62" t="n"/>
      <c r="AB368" s="38" t="n"/>
      <c r="AC368" s="62" t="n"/>
      <c r="AD368" s="38" t="n"/>
      <c r="AE368" s="38" t="n"/>
      <c r="AF368" s="61">
        <f>IF(COUNTIF($B$5:B368,B368)=1,1,0)</f>
        <v/>
      </c>
      <c r="AG368" s="62" t="inlineStr">
        <is>
          <t>https://www.eltiempo.com/opinion/columnistas/jose-antonio-ocampo/columna-de-jose-antonio-ocampo-la-reforma-pensional-778686</t>
        </is>
      </c>
    </row>
    <row r="369" ht="15" customHeight="1" s="31">
      <c r="A369" s="38" t="inlineStr">
        <is>
          <t>ART_055</t>
        </is>
      </c>
      <c r="B369" s="38" t="inlineStr">
        <is>
          <t>ART_055_S01</t>
        </is>
      </c>
      <c r="C369" s="38" t="inlineStr">
        <is>
          <t>El Tiempo</t>
        </is>
      </c>
      <c r="D369" s="38" t="inlineStr">
        <is>
          <t>Seguridad y orden público</t>
        </is>
      </c>
      <c r="E369" s="38" t="inlineStr">
        <is>
          <t>Opinión-análisis</t>
        </is>
      </c>
      <c r="F369" s="38" t="inlineStr">
        <is>
          <t>2026-05-02T23:45:00-05:00</t>
        </is>
      </c>
      <c r="G369" s="62" t="inlineStr">
        <is>
          <t>Las 37 acciones terroristas del pasado fin de semana ejecutadas por las disidencias de alias Mordisco, el accionar criminal de alias Calarcá, la consolidación del Eln en varias regiones y en especial en el Catatumbo, la expansión nacional del ‘clan del Golfo’, el crecimiento de ‘los Pachenca’ en Magdalena, Cesar y La Guajira, al igual que ‘los Costeños’ y ‘los Pepes’ en Barranquilla y Atlántico y ‘los Chotas’ y ‘los Espartanos’ en Buenaventura y el Valle y el accionar de otros grupos criminales organizados en ciudades y municipios no solo ponen en evidencia el fracaso de la Paz Total, sino la dramática situación de orden público y de seguridad ciudadana que va a tener que asumir el nuevo gobierno.</t>
        </is>
      </c>
      <c r="H369" s="62" t="n"/>
      <c r="I369"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J369" s="38" t="n"/>
      <c r="K369" s="62" t="n"/>
      <c r="L369" s="38" t="n"/>
      <c r="M369" s="62" t="n"/>
      <c r="N369" s="38" t="n"/>
      <c r="O369" s="62" t="n"/>
      <c r="P369" s="38" t="n"/>
      <c r="Q369" s="62" t="n"/>
      <c r="R369" s="38" t="n"/>
      <c r="S369" s="62" t="n"/>
      <c r="T369" s="38" t="n"/>
      <c r="U369" s="62" t="n"/>
      <c r="V369" s="38" t="n"/>
      <c r="W369" s="62" t="n"/>
      <c r="X369" s="38" t="n"/>
      <c r="Y369" s="62" t="n"/>
      <c r="Z369" s="38" t="n"/>
      <c r="AA369" s="62" t="n"/>
      <c r="AB369" s="38" t="n"/>
      <c r="AC369" s="62" t="n"/>
      <c r="AD369" s="38" t="n"/>
      <c r="AE369" s="38" t="n"/>
      <c r="AF369" s="61">
        <f>IF(COUNTIF($B$5:B369,B369)=1,1,0)</f>
        <v/>
      </c>
      <c r="AG369" s="62" t="inlineStr">
        <is>
          <t>https://www.eltiempo.com/opinion/columnistas/inseguridad-y-gobernanza-criminal-3552659</t>
        </is>
      </c>
    </row>
    <row r="370" ht="15" customHeight="1" s="31">
      <c r="A370" s="38" t="inlineStr">
        <is>
          <t>ART_055</t>
        </is>
      </c>
      <c r="B370" s="38" t="inlineStr">
        <is>
          <t>ART_055_S02</t>
        </is>
      </c>
      <c r="C370" s="38" t="inlineStr">
        <is>
          <t>El Tiempo</t>
        </is>
      </c>
      <c r="D370" s="38" t="inlineStr">
        <is>
          <t>Seguridad y orden público</t>
        </is>
      </c>
      <c r="E370" s="38" t="inlineStr">
        <is>
          <t>Opinión-análisis</t>
        </is>
      </c>
      <c r="F370" s="38" t="inlineStr">
        <is>
          <t>2026-05-02T23:45:00-05:00</t>
        </is>
      </c>
      <c r="G370"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H370" s="62" t="inlineStr">
        <is>
          <t>Las 37 acciones terroristas del pasado fin de semana ejecutadas por las disidencias de alias Mordisco, el accionar criminal de alias Calarcá, la consolidación del Eln en varias regiones y en especial en el Catatumbo, la expansión nacional del ‘clan del Golfo’, el crecimiento de ‘los Pachenca’ en Magdalena, Cesar y La Guajira, al igual que ‘los Costeños’ y ‘los Pepes’ en Barranquilla y Atlántico y ‘los Chotas’ y ‘los Espartanos’ en Buenaventura y el Valle y el accionar de otros grupos criminales organizados en ciudades y municipios no solo ponen en evidencia el fracaso de la Paz Total, sino la dramática situación de orden público y de seguridad ciudadana que va a tener que asumir el nuevo gobierno.</t>
        </is>
      </c>
      <c r="I370" s="62" t="inlineStr">
        <is>
          <t>Pero también recibió una Fuerza Pública fortalecida que venía a la ofensiva en contra de las Farc, después del fracaso de la paz del Caguán, con recursos del Plan Colombia y con un país que lo apoyó en la tarea de recuperar la seguridad.</t>
        </is>
      </c>
      <c r="J370" s="38" t="n"/>
      <c r="K370" s="62" t="n"/>
      <c r="L370" s="38" t="n"/>
      <c r="M370" s="62" t="n"/>
      <c r="N370" s="38" t="n"/>
      <c r="O370" s="62" t="n"/>
      <c r="P370" s="38" t="n"/>
      <c r="Q370" s="62" t="n"/>
      <c r="R370" s="38" t="n"/>
      <c r="S370" s="62" t="n"/>
      <c r="T370" s="38" t="n"/>
      <c r="U370" s="62" t="n"/>
      <c r="V370" s="38" t="n"/>
      <c r="W370" s="62" t="n"/>
      <c r="X370" s="38" t="n"/>
      <c r="Y370" s="62" t="n"/>
      <c r="Z370" s="38" t="n"/>
      <c r="AA370" s="62" t="n"/>
      <c r="AB370" s="38" t="n"/>
      <c r="AC370" s="62" t="n"/>
      <c r="AD370" s="38" t="n"/>
      <c r="AE370" s="38" t="n"/>
      <c r="AF370" s="61">
        <f>IF(COUNTIF($B$5:B370,B370)=1,1,0)</f>
        <v/>
      </c>
      <c r="AG370" s="62" t="inlineStr">
        <is>
          <t>https://www.eltiempo.com/opinion/columnistas/inseguridad-y-gobernanza-criminal-3552659</t>
        </is>
      </c>
    </row>
    <row r="371" ht="15" customHeight="1" s="31">
      <c r="A371" s="38" t="inlineStr">
        <is>
          <t>ART_055</t>
        </is>
      </c>
      <c r="B371" s="38" t="inlineStr">
        <is>
          <t>ART_055_S03</t>
        </is>
      </c>
      <c r="C371" s="38" t="inlineStr">
        <is>
          <t>El Tiempo</t>
        </is>
      </c>
      <c r="D371" s="38" t="inlineStr">
        <is>
          <t>Seguridad y orden público</t>
        </is>
      </c>
      <c r="E371" s="38" t="inlineStr">
        <is>
          <t>Opinión-análisis</t>
        </is>
      </c>
      <c r="F371" s="38" t="inlineStr">
        <is>
          <t>2026-05-02T23:45:00-05:00</t>
        </is>
      </c>
      <c r="G371" s="62" t="inlineStr">
        <is>
          <t>Pero también recibió una Fuerza Pública fortalecida que venía a la ofensiva en contra de las Farc, después del fracaso de la paz del Caguán, con recursos del Plan Colombia y con un país que lo apoyó en la tarea de recuperar la seguridad.</t>
        </is>
      </c>
      <c r="H371" s="62" t="inlineStr">
        <is>
          <t>La situación actual es más difícil que la que tuvo que enfrentar el presidente Álvaro Uribe en 2002, cuando recibió un país secuestrado por las ‘pescas milagrosas’, con acciones crecientes de paramilitares y guerrillas y con una violencia homicida que había vuelto a crecer de 23.093 en 1997 a 27.829 en 2002.</t>
        </is>
      </c>
      <c r="I371"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J371" s="38" t="n"/>
      <c r="K371" s="62" t="n"/>
      <c r="L371" s="38" t="n"/>
      <c r="M371" s="62" t="n"/>
      <c r="N371" s="38" t="n"/>
      <c r="O371" s="62" t="n"/>
      <c r="P371" s="38" t="n"/>
      <c r="Q371" s="62" t="n"/>
      <c r="R371" s="38" t="n"/>
      <c r="S371" s="62" t="n"/>
      <c r="T371" s="38" t="n"/>
      <c r="U371" s="62" t="n"/>
      <c r="V371" s="38" t="n"/>
      <c r="W371" s="62" t="n"/>
      <c r="X371" s="38" t="n"/>
      <c r="Y371" s="62" t="n"/>
      <c r="Z371" s="38" t="n"/>
      <c r="AA371" s="62" t="n"/>
      <c r="AB371" s="38" t="n"/>
      <c r="AC371" s="62" t="n"/>
      <c r="AD371" s="38" t="n"/>
      <c r="AE371" s="38" t="n"/>
      <c r="AF371" s="61">
        <f>IF(COUNTIF($B$5:B371,B371)=1,1,0)</f>
        <v/>
      </c>
      <c r="AG371" s="62" t="inlineStr">
        <is>
          <t>https://www.eltiempo.com/opinion/columnistas/inseguridad-y-gobernanza-criminal-3552659</t>
        </is>
      </c>
    </row>
    <row r="372" ht="15" customHeight="1" s="31">
      <c r="A372" s="38" t="inlineStr">
        <is>
          <t>ART_055</t>
        </is>
      </c>
      <c r="B372" s="38" t="inlineStr">
        <is>
          <t>ART_055_S04</t>
        </is>
      </c>
      <c r="C372" s="38" t="inlineStr">
        <is>
          <t>El Tiempo</t>
        </is>
      </c>
      <c r="D372" s="38" t="inlineStr">
        <is>
          <t>Seguridad y orden público</t>
        </is>
      </c>
      <c r="E372" s="38" t="inlineStr">
        <is>
          <t>Opinión-análisis</t>
        </is>
      </c>
      <c r="F372" s="38" t="inlineStr">
        <is>
          <t>2026-05-02T23:45:00-05:00</t>
        </is>
      </c>
      <c r="G372"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H372" s="62" t="inlineStr">
        <is>
          <t>Pero también recibió una Fuerza Pública fortalecida que venía a la ofensiva en contra de las Farc, después del fracaso de la paz del Caguán, con recursos del Plan Colombia y con un país que lo apoyó en la tarea de recuperar la seguridad.</t>
        </is>
      </c>
      <c r="I372"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J372" s="38" t="n"/>
      <c r="K372" s="62" t="n"/>
      <c r="L372" s="38" t="n"/>
      <c r="M372" s="62" t="n"/>
      <c r="N372" s="38" t="n"/>
      <c r="O372" s="62" t="n"/>
      <c r="P372" s="38" t="n"/>
      <c r="Q372" s="62" t="n"/>
      <c r="R372" s="38" t="n"/>
      <c r="S372" s="62" t="n"/>
      <c r="T372" s="38" t="n"/>
      <c r="U372" s="62" t="n"/>
      <c r="V372" s="38" t="n"/>
      <c r="W372" s="62" t="n"/>
      <c r="X372" s="38" t="n"/>
      <c r="Y372" s="62" t="n"/>
      <c r="Z372" s="38" t="n"/>
      <c r="AA372" s="62" t="n"/>
      <c r="AB372" s="38" t="n"/>
      <c r="AC372" s="62" t="n"/>
      <c r="AD372" s="38" t="n"/>
      <c r="AE372" s="38" t="n"/>
      <c r="AF372" s="61">
        <f>IF(COUNTIF($B$5:B372,B372)=1,1,0)</f>
        <v/>
      </c>
      <c r="AG372" s="62" t="inlineStr">
        <is>
          <t>https://www.eltiempo.com/opinion/columnistas/inseguridad-y-gobernanza-criminal-3552659</t>
        </is>
      </c>
    </row>
    <row r="373" ht="15" customHeight="1" s="31">
      <c r="A373" s="38" t="inlineStr">
        <is>
          <t>ART_055</t>
        </is>
      </c>
      <c r="B373" s="38" t="inlineStr">
        <is>
          <t>ART_055_S05</t>
        </is>
      </c>
      <c r="C373" s="38" t="inlineStr">
        <is>
          <t>El Tiempo</t>
        </is>
      </c>
      <c r="D373" s="38" t="inlineStr">
        <is>
          <t>Seguridad y orden público</t>
        </is>
      </c>
      <c r="E373" s="38" t="inlineStr">
        <is>
          <t>Opinión-análisis</t>
        </is>
      </c>
      <c r="F373" s="38" t="inlineStr">
        <is>
          <t>2026-05-02T23:45:00-05:00</t>
        </is>
      </c>
      <c r="G373"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H373" s="62" t="inlineStr">
        <is>
          <t>Al contrario de esto, el nuevo gobierno va a encontrar una Fuerza Pública debilitada en su operatividad técnica y humana por “el descabezamiento” de generales y almirantes, coroneles y oficiales experimentados, por el debilitamiento e instrumentalización política de la inteligencia, no se cuenta con el Plan Colombia, ni va a haber otro plan II, no hay recursos, no existe trabajo en equipo entre el Presidente, las instituciones de seguridad, justicia, los gobernadores y alcaldes y en general, el país está dividido entre los que quieren continuar con la Paz Total y los que pretenden regresar a la guerra total.</t>
        </is>
      </c>
      <c r="I373" s="62" t="inlineStr">
        <is>
          <t>Gobernanza criminal territorial y poblacional donde la autoridad y el control del Estado brillan por su ausencia, como bien lo plantea Luis Fernando Trejos en ‘La Silla Vacía’.</t>
        </is>
      </c>
      <c r="J373" s="38" t="n"/>
      <c r="K373" s="62" t="n"/>
      <c r="L373" s="38" t="n"/>
      <c r="M373" s="62" t="n"/>
      <c r="N373" s="38" t="n"/>
      <c r="O373" s="62" t="n"/>
      <c r="P373" s="38" t="n"/>
      <c r="Q373" s="62" t="n"/>
      <c r="R373" s="38" t="n"/>
      <c r="S373" s="62" t="n"/>
      <c r="T373" s="38" t="n"/>
      <c r="U373" s="62" t="n"/>
      <c r="V373" s="38" t="n"/>
      <c r="W373" s="62" t="n"/>
      <c r="X373" s="38" t="n"/>
      <c r="Y373" s="62" t="n"/>
      <c r="Z373" s="38" t="n"/>
      <c r="AA373" s="62" t="n"/>
      <c r="AB373" s="38" t="n"/>
      <c r="AC373" s="62" t="n"/>
      <c r="AD373" s="38" t="n"/>
      <c r="AE373" s="38" t="n"/>
      <c r="AF373" s="61">
        <f>IF(COUNTIF($B$5:B373,B373)=1,1,0)</f>
        <v/>
      </c>
      <c r="AG373" s="62" t="inlineStr">
        <is>
          <t>https://www.eltiempo.com/opinion/columnistas/inseguridad-y-gobernanza-criminal-3552659</t>
        </is>
      </c>
    </row>
    <row r="374" ht="15" customHeight="1" s="31">
      <c r="A374" s="38" t="inlineStr">
        <is>
          <t>ART_055</t>
        </is>
      </c>
      <c r="B374" s="38" t="inlineStr">
        <is>
          <t>ART_055_S06</t>
        </is>
      </c>
      <c r="C374" s="38" t="inlineStr">
        <is>
          <t>El Tiempo</t>
        </is>
      </c>
      <c r="D374" s="38" t="inlineStr">
        <is>
          <t>Seguridad y orden público</t>
        </is>
      </c>
      <c r="E374" s="38" t="inlineStr">
        <is>
          <t>Opinión-análisis</t>
        </is>
      </c>
      <c r="F374" s="38" t="inlineStr">
        <is>
          <t>2026-05-02T23:45:00-05:00</t>
        </is>
      </c>
      <c r="G374" s="62" t="inlineStr">
        <is>
          <t>Gobernanza criminal territorial y poblacional donde la autoridad y el control del Estado brillan por su ausencia, como bien lo plantea Luis Fernando Trejos en ‘La Silla Vacía’.</t>
        </is>
      </c>
      <c r="H374" s="62" t="inlineStr">
        <is>
          <t>Hoy, los grupos armados ilegales no solo crecieron y se fortalecieron en los últimos 10 años, porque el Estado, en especial los últimos tres gobiernos, no coparon los territorios dejados por las Farc, sino que pasaron a controlar y gobernar municipios y territorios enteros.</t>
        </is>
      </c>
      <c r="I374" s="62" t="n"/>
      <c r="J374" s="38" t="n"/>
      <c r="K374" s="62" t="n"/>
      <c r="L374" s="38" t="n"/>
      <c r="M374" s="62" t="n"/>
      <c r="N374" s="38" t="n"/>
      <c r="O374" s="62" t="n"/>
      <c r="P374" s="38" t="n"/>
      <c r="Q374" s="62" t="n"/>
      <c r="R374" s="38" t="n"/>
      <c r="S374" s="62" t="n"/>
      <c r="T374" s="38" t="n"/>
      <c r="U374" s="62" t="n"/>
      <c r="V374" s="38" t="n"/>
      <c r="W374" s="62" t="n"/>
      <c r="X374" s="38" t="n"/>
      <c r="Y374" s="62" t="n"/>
      <c r="Z374" s="38" t="n"/>
      <c r="AA374" s="62" t="n"/>
      <c r="AB374" s="38" t="n"/>
      <c r="AC374" s="62" t="n"/>
      <c r="AD374" s="38" t="n"/>
      <c r="AE374" s="38" t="n"/>
      <c r="AF374" s="61">
        <f>IF(COUNTIF($B$5:B374,B374)=1,1,0)</f>
        <v/>
      </c>
      <c r="AG374" s="62" t="inlineStr">
        <is>
          <t>https://www.eltiempo.com/opinion/columnistas/inseguridad-y-gobernanza-criminal-3552659</t>
        </is>
      </c>
    </row>
    <row r="375" ht="15" customHeight="1" s="31">
      <c r="A375" s="38" t="inlineStr">
        <is>
          <t>ART_056</t>
        </is>
      </c>
      <c r="B375" s="38" t="inlineStr">
        <is>
          <t>ART_056_S01</t>
        </is>
      </c>
      <c r="C375" s="38" t="inlineStr">
        <is>
          <t>El Tiempo</t>
        </is>
      </c>
      <c r="D375" s="38" t="inlineStr">
        <is>
          <t>Transición de gobierno y relación con la oposición</t>
        </is>
      </c>
      <c r="E375" s="38" t="inlineStr">
        <is>
          <t>Opinión-análisis</t>
        </is>
      </c>
      <c r="F375" s="38" t="inlineStr">
        <is>
          <t>2026-05-16T23:45:00-05:00</t>
        </is>
      </c>
      <c r="G375"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H375" s="62" t="n"/>
      <c r="I375" s="62" t="inlineStr">
        <is>
          <t>Si los demás candidatos han quedado rezagados, ha sido en buena medida porque fueron incapaces de usar, con intensidad y eficacia, esas tecnologías.</t>
        </is>
      </c>
      <c r="J375" s="38" t="n"/>
      <c r="K375" s="62" t="n"/>
      <c r="L375" s="38" t="n"/>
      <c r="M375" s="62" t="n"/>
      <c r="N375" s="38" t="n"/>
      <c r="O375" s="62" t="n"/>
      <c r="P375" s="38" t="n"/>
      <c r="Q375" s="62" t="n"/>
      <c r="R375" s="38" t="n"/>
      <c r="S375" s="62" t="n"/>
      <c r="T375" s="38" t="n"/>
      <c r="U375" s="62" t="n"/>
      <c r="V375" s="38" t="n"/>
      <c r="W375" s="62" t="n"/>
      <c r="X375" s="38" t="n"/>
      <c r="Y375" s="62" t="n"/>
      <c r="Z375" s="38" t="n"/>
      <c r="AA375" s="62" t="n"/>
      <c r="AB375" s="38" t="n"/>
      <c r="AC375" s="62" t="n"/>
      <c r="AD375" s="38" t="n"/>
      <c r="AE375" s="38" t="n"/>
      <c r="AF375" s="61">
        <f>IF(COUNTIF($B$5:B375,B375)=1,1,0)</f>
        <v/>
      </c>
      <c r="AG375" s="62" t="inlineStr">
        <is>
          <t>https://www.eltiempo.com/opinion/columnistas/una-batalla-sin-partidos-3556318</t>
        </is>
      </c>
    </row>
    <row r="376" ht="15" customHeight="1" s="31">
      <c r="A376" s="38" t="inlineStr">
        <is>
          <t>ART_056</t>
        </is>
      </c>
      <c r="B376" s="38" t="inlineStr">
        <is>
          <t>ART_056_S02</t>
        </is>
      </c>
      <c r="C376" s="38" t="inlineStr">
        <is>
          <t>El Tiempo</t>
        </is>
      </c>
      <c r="D376" s="38" t="inlineStr">
        <is>
          <t>Transición de gobierno y relación con la oposición</t>
        </is>
      </c>
      <c r="E376" s="38" t="inlineStr">
        <is>
          <t>Opinión-análisis</t>
        </is>
      </c>
      <c r="F376" s="38" t="inlineStr">
        <is>
          <t>2026-05-16T23:45:00-05:00</t>
        </is>
      </c>
      <c r="G376" s="62" t="inlineStr">
        <is>
          <t>Si los demás candidatos han quedado rezagados, ha sido en buena medida porque fueron incapaces de usar, con intensidad y eficacia, esas tecnologías.</t>
        </is>
      </c>
      <c r="H376"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I376" s="62" t="inlineStr">
        <is>
          <t>Las redes seguirán jugando un papel clave en esta recta final.</t>
        </is>
      </c>
      <c r="J376" s="38" t="n"/>
      <c r="K376" s="62" t="n"/>
      <c r="L376" s="38" t="n"/>
      <c r="M376" s="62" t="n"/>
      <c r="N376" s="38" t="n"/>
      <c r="O376" s="62" t="n"/>
      <c r="P376" s="38" t="n"/>
      <c r="Q376" s="62" t="n"/>
      <c r="R376" s="38" t="n"/>
      <c r="S376" s="62" t="n"/>
      <c r="T376" s="38" t="n"/>
      <c r="U376" s="62" t="n"/>
      <c r="V376" s="38" t="n"/>
      <c r="W376" s="62" t="n"/>
      <c r="X376" s="38" t="n"/>
      <c r="Y376" s="62" t="n"/>
      <c r="Z376" s="38" t="n"/>
      <c r="AA376" s="62" t="n"/>
      <c r="AB376" s="38" t="n"/>
      <c r="AC376" s="62" t="n"/>
      <c r="AD376" s="38" t="n"/>
      <c r="AE376" s="38" t="n"/>
      <c r="AF376" s="61">
        <f>IF(COUNTIF($B$5:B376,B376)=1,1,0)</f>
        <v/>
      </c>
      <c r="AG376" s="62" t="inlineStr">
        <is>
          <t>https://www.eltiempo.com/opinion/columnistas/una-batalla-sin-partidos-3556318</t>
        </is>
      </c>
    </row>
    <row r="377" ht="15" customHeight="1" s="31">
      <c r="A377" s="38" t="inlineStr">
        <is>
          <t>ART_056</t>
        </is>
      </c>
      <c r="B377" s="38" t="inlineStr">
        <is>
          <t>ART_056_S03</t>
        </is>
      </c>
      <c r="C377" s="38" t="inlineStr">
        <is>
          <t>El Tiempo</t>
        </is>
      </c>
      <c r="D377" s="38" t="inlineStr">
        <is>
          <t>Transición de gobierno y relación con la oposición</t>
        </is>
      </c>
      <c r="E377" s="38" t="inlineStr">
        <is>
          <t>Opinión-análisis</t>
        </is>
      </c>
      <c r="F377" s="38" t="inlineStr">
        <is>
          <t>2026-05-16T23:45:00-05:00</t>
        </is>
      </c>
      <c r="G377" s="62" t="inlineStr">
        <is>
          <t>Las redes seguirán jugando un papel clave en esta recta final.</t>
        </is>
      </c>
      <c r="H377" s="62" t="inlineStr">
        <is>
          <t>Si los demás candidatos han quedado rezagados, ha sido en buena medida porque fueron incapaces de usar, con intensidad y eficacia, esas tecnologías.</t>
        </is>
      </c>
      <c r="I377" s="62" t="inlineStr">
        <is>
          <t>Pero ahora, a dos semanas de la primera vuelta y cinco de la segunda, la batalla electoral ha aterrizado en la cruda realidad de las calles de ciudades, y de pueblos medianos y pequeños.</t>
        </is>
      </c>
      <c r="J377" s="38" t="n"/>
      <c r="K377" s="62" t="n"/>
      <c r="L377" s="38" t="n"/>
      <c r="M377" s="62" t="n"/>
      <c r="N377" s="38" t="n"/>
      <c r="O377" s="62" t="n"/>
      <c r="P377" s="38" t="n"/>
      <c r="Q377" s="62" t="n"/>
      <c r="R377" s="38" t="n"/>
      <c r="S377" s="62" t="n"/>
      <c r="T377" s="38" t="n"/>
      <c r="U377" s="62" t="n"/>
      <c r="V377" s="38" t="n"/>
      <c r="W377" s="62" t="n"/>
      <c r="X377" s="38" t="n"/>
      <c r="Y377" s="62" t="n"/>
      <c r="Z377" s="38" t="n"/>
      <c r="AA377" s="62" t="n"/>
      <c r="AB377" s="38" t="n"/>
      <c r="AC377" s="62" t="n"/>
      <c r="AD377" s="38" t="n"/>
      <c r="AE377" s="38" t="n"/>
      <c r="AF377" s="61">
        <f>IF(COUNTIF($B$5:B377,B377)=1,1,0)</f>
        <v/>
      </c>
      <c r="AG377" s="62" t="inlineStr">
        <is>
          <t>https://www.eltiempo.com/opinion/columnistas/una-batalla-sin-partidos-3556318</t>
        </is>
      </c>
    </row>
    <row r="378" ht="15" customHeight="1" s="31">
      <c r="A378" s="38" t="inlineStr">
        <is>
          <t>ART_056</t>
        </is>
      </c>
      <c r="B378" s="38" t="inlineStr">
        <is>
          <t>ART_056_S04</t>
        </is>
      </c>
      <c r="C378" s="38" t="inlineStr">
        <is>
          <t>El Tiempo</t>
        </is>
      </c>
      <c r="D378" s="38" t="inlineStr">
        <is>
          <t>Transición de gobierno y relación con la oposición</t>
        </is>
      </c>
      <c r="E378" s="38" t="inlineStr">
        <is>
          <t>Opinión-análisis</t>
        </is>
      </c>
      <c r="F378" s="38" t="inlineStr">
        <is>
          <t>2026-05-16T23:45:00-05:00</t>
        </is>
      </c>
      <c r="G378" s="62" t="inlineStr">
        <is>
          <t>Pero ahora, a dos semanas de la primera vuelta y cinco de la segunda, la batalla electoral ha aterrizado en la cruda realidad de las calles de ciudades, y de pueblos medianos y pequeños.</t>
        </is>
      </c>
      <c r="H378" s="62" t="inlineStr">
        <is>
          <t>Las redes seguirán jugando un papel clave en esta recta final.</t>
        </is>
      </c>
      <c r="I378" s="62" t="inlineStr">
        <is>
          <t>La chequera del régimen petrista ha regado cientos de municipios con miles y miles de millones de pesos en contratos de obras y servicios, así como en órdenes de trabajo individuales.</t>
        </is>
      </c>
      <c r="J378" s="38" t="n"/>
      <c r="K378" s="62" t="n"/>
      <c r="L378" s="38" t="n"/>
      <c r="M378" s="62" t="n"/>
      <c r="N378" s="38" t="n"/>
      <c r="O378" s="62" t="n"/>
      <c r="P378" s="38" t="n"/>
      <c r="Q378" s="62" t="n"/>
      <c r="R378" s="38" t="n"/>
      <c r="S378" s="62" t="n"/>
      <c r="T378" s="38" t="n"/>
      <c r="U378" s="62" t="n"/>
      <c r="V378" s="38" t="n"/>
      <c r="W378" s="62" t="n"/>
      <c r="X378" s="38" t="n"/>
      <c r="Y378" s="62" t="n"/>
      <c r="Z378" s="38" t="n"/>
      <c r="AA378" s="62" t="n"/>
      <c r="AB378" s="38" t="n"/>
      <c r="AC378" s="62" t="n"/>
      <c r="AD378" s="38" t="n"/>
      <c r="AE378" s="38" t="n"/>
      <c r="AF378" s="61">
        <f>IF(COUNTIF($B$5:B378,B378)=1,1,0)</f>
        <v/>
      </c>
      <c r="AG378" s="62" t="inlineStr">
        <is>
          <t>https://www.eltiempo.com/opinion/columnistas/una-batalla-sin-partidos-3556318</t>
        </is>
      </c>
    </row>
    <row r="379" ht="15" customHeight="1" s="31">
      <c r="A379" s="38" t="inlineStr">
        <is>
          <t>ART_056</t>
        </is>
      </c>
      <c r="B379" s="38" t="inlineStr">
        <is>
          <t>ART_056_S05</t>
        </is>
      </c>
      <c r="C379" s="38" t="inlineStr">
        <is>
          <t>El Tiempo</t>
        </is>
      </c>
      <c r="D379" s="38" t="inlineStr">
        <is>
          <t>Transición de gobierno y relación con la oposición</t>
        </is>
      </c>
      <c r="E379" s="38" t="inlineStr">
        <is>
          <t>Opinión-análisis</t>
        </is>
      </c>
      <c r="F379" s="38" t="inlineStr">
        <is>
          <t>2026-05-16T23:45:00-05:00</t>
        </is>
      </c>
      <c r="G379" s="62" t="inlineStr">
        <is>
          <t>La chequera del régimen petrista ha regado cientos de municipios con miles y miles de millones de pesos en contratos de obras y servicios, así como en órdenes de trabajo individuales.</t>
        </is>
      </c>
      <c r="H379" s="62" t="inlineStr">
        <is>
          <t>Pero ahora, a dos semanas de la primera vuelta y cinco de la segunda, la batalla electoral ha aterrizado en la cruda realidad de las calles de ciudades, y de pueblos medianos y pequeños.</t>
        </is>
      </c>
      <c r="I379" s="62" t="inlineStr">
        <is>
          <t>A ello se suma el apoyo de las bandas armadas que saben que con Cepeda seguirían gozando de la escandalosa impunidad que Petro les ha garantizado.</t>
        </is>
      </c>
      <c r="J379" s="38" t="n"/>
      <c r="K379" s="62" t="n"/>
      <c r="L379" s="38" t="n"/>
      <c r="M379" s="62" t="n"/>
      <c r="N379" s="38" t="n"/>
      <c r="O379" s="62" t="n"/>
      <c r="P379" s="38" t="n"/>
      <c r="Q379" s="62" t="n"/>
      <c r="R379" s="38" t="n"/>
      <c r="S379" s="62" t="n"/>
      <c r="T379" s="38" t="n"/>
      <c r="U379" s="62" t="n"/>
      <c r="V379" s="38" t="n"/>
      <c r="W379" s="62" t="n"/>
      <c r="X379" s="38" t="n"/>
      <c r="Y379" s="62" t="n"/>
      <c r="Z379" s="38" t="n"/>
      <c r="AA379" s="62" t="n"/>
      <c r="AB379" s="38" t="n"/>
      <c r="AC379" s="62" t="n"/>
      <c r="AD379" s="38" t="n"/>
      <c r="AE379" s="38" t="n"/>
      <c r="AF379" s="61">
        <f>IF(COUNTIF($B$5:B379,B379)=1,1,0)</f>
        <v/>
      </c>
      <c r="AG379" s="62" t="inlineStr">
        <is>
          <t>https://www.eltiempo.com/opinion/columnistas/una-batalla-sin-partidos-3556318</t>
        </is>
      </c>
    </row>
    <row r="380" ht="15" customHeight="1" s="31">
      <c r="A380" s="38" t="inlineStr">
        <is>
          <t>ART_056</t>
        </is>
      </c>
      <c r="B380" s="38" t="inlineStr">
        <is>
          <t>ART_056_S06</t>
        </is>
      </c>
      <c r="C380" s="38" t="inlineStr">
        <is>
          <t>El Tiempo</t>
        </is>
      </c>
      <c r="D380" s="38" t="inlineStr">
        <is>
          <t>Transición de gobierno y relación con la oposición</t>
        </is>
      </c>
      <c r="E380" s="38" t="inlineStr">
        <is>
          <t>Opinión-análisis</t>
        </is>
      </c>
      <c r="F380" s="38" t="inlineStr">
        <is>
          <t>2026-05-16T23:45:00-05:00</t>
        </is>
      </c>
      <c r="G380" s="62" t="inlineStr">
        <is>
          <t>A ello se suma el apoyo de las bandas armadas que saben que con Cepeda seguirían gozando de la escandalosa impunidad que Petro les ha garantizado.</t>
        </is>
      </c>
      <c r="H380" s="62" t="inlineStr">
        <is>
          <t>La chequera del régimen petrista ha regado cientos de municipios con miles y miles de millones de pesos en contratos de obras y servicios, así como en órdenes de trabajo individuales.</t>
        </is>
      </c>
      <c r="I380" s="62" t="n"/>
      <c r="J380" s="38" t="n"/>
      <c r="K380" s="62" t="n"/>
      <c r="L380" s="38" t="n"/>
      <c r="M380" s="62" t="n"/>
      <c r="N380" s="38" t="n"/>
      <c r="O380" s="62" t="n"/>
      <c r="P380" s="38" t="n"/>
      <c r="Q380" s="62" t="n"/>
      <c r="R380" s="38" t="n"/>
      <c r="S380" s="62" t="n"/>
      <c r="T380" s="38" t="n"/>
      <c r="U380" s="62" t="n"/>
      <c r="V380" s="38" t="n"/>
      <c r="W380" s="62" t="n"/>
      <c r="X380" s="38" t="n"/>
      <c r="Y380" s="62" t="n"/>
      <c r="Z380" s="38" t="n"/>
      <c r="AA380" s="62" t="n"/>
      <c r="AB380" s="38" t="n"/>
      <c r="AC380" s="62" t="n"/>
      <c r="AD380" s="38" t="n"/>
      <c r="AE380" s="38" t="n"/>
      <c r="AF380" s="61">
        <f>IF(COUNTIF($B$5:B380,B380)=1,1,0)</f>
        <v/>
      </c>
      <c r="AG380" s="62" t="inlineStr">
        <is>
          <t>https://www.eltiempo.com/opinion/columnistas/una-batalla-sin-partidos-3556318</t>
        </is>
      </c>
    </row>
    <row r="381" ht="15" customHeight="1" s="31">
      <c r="A381" s="38" t="inlineStr">
        <is>
          <t>ART_057</t>
        </is>
      </c>
      <c r="B381" s="38" t="inlineStr">
        <is>
          <t>ART_057_S01</t>
        </is>
      </c>
      <c r="C381" s="38" t="inlineStr">
        <is>
          <t>El Espectador</t>
        </is>
      </c>
      <c r="D381" s="38" t="inlineStr">
        <is>
          <t>Reformas sociales en disputa (pensional/tributaria)</t>
        </is>
      </c>
      <c r="E381" s="38" t="inlineStr">
        <is>
          <t>Noticia dura</t>
        </is>
      </c>
      <c r="F381" s="38" t="inlineStr">
        <is>
          <t>2026-05-12T19:11:23-05:00</t>
        </is>
      </c>
      <c r="G381" s="62" t="inlineStr">
        <is>
          <t>Las pensiones son, por lo general, un tema que, aunque vital, no suele generar muchos titulares en la vida nacional.</t>
        </is>
      </c>
      <c r="H381" s="62" t="n"/>
      <c r="I381" s="62" t="inlineStr">
        <is>
          <t>Suceden en un rimo casi que automático: manejan billones de pesos que involucran el bienestar de millones de personas, pero nadie parece reparar mucho en ellas.</t>
        </is>
      </c>
      <c r="J381" s="38" t="n"/>
      <c r="K381" s="62" t="n"/>
      <c r="L381" s="38" t="n"/>
      <c r="M381" s="62" t="n"/>
      <c r="N381" s="38" t="n"/>
      <c r="O381" s="62" t="n"/>
      <c r="P381" s="38" t="n"/>
      <c r="Q381" s="62" t="n"/>
      <c r="R381" s="38" t="n"/>
      <c r="S381" s="62" t="n"/>
      <c r="T381" s="38" t="n"/>
      <c r="U381" s="62" t="n"/>
      <c r="V381" s="38" t="n"/>
      <c r="W381" s="62" t="n"/>
      <c r="X381" s="38" t="n"/>
      <c r="Y381" s="62" t="n"/>
      <c r="Z381" s="38" t="n"/>
      <c r="AA381" s="62" t="n"/>
      <c r="AB381" s="38" t="n"/>
      <c r="AC381" s="62" t="n"/>
      <c r="AD381" s="38" t="n"/>
      <c r="AE381" s="38" t="n"/>
      <c r="AF381" s="61">
        <f>IF(COUNTIF($B$5:B381,B381)=1,1,0)</f>
        <v/>
      </c>
      <c r="AG381" s="62" t="inlineStr">
        <is>
          <t>https://www.elespectador.com/economia/macroeconomia/pensiones-en-colombia-2026-la-historia-del-enredo-entre-la-reforma-la-corte-constitucional-y-los-fondos-privados/</t>
        </is>
      </c>
    </row>
    <row r="382" ht="15" customHeight="1" s="31">
      <c r="A382" s="38" t="inlineStr">
        <is>
          <t>ART_057</t>
        </is>
      </c>
      <c r="B382" s="38" t="inlineStr">
        <is>
          <t>ART_057_S02</t>
        </is>
      </c>
      <c r="C382" s="38" t="inlineStr">
        <is>
          <t>El Espectador</t>
        </is>
      </c>
      <c r="D382" s="38" t="inlineStr">
        <is>
          <t>Reformas sociales en disputa (pensional/tributaria)</t>
        </is>
      </c>
      <c r="E382" s="38" t="inlineStr">
        <is>
          <t>Noticia dura</t>
        </is>
      </c>
      <c r="F382" s="38" t="inlineStr">
        <is>
          <t>2026-05-12T19:11:23-05:00</t>
        </is>
      </c>
      <c r="G382" s="62" t="inlineStr">
        <is>
          <t>Suceden en un rimo casi que automático: manejan billones de pesos que involucran el bienestar de millones de personas, pero nadie parece reparar mucho en ellas.</t>
        </is>
      </c>
      <c r="H382" s="62" t="inlineStr">
        <is>
          <t>Las pensiones son, por lo general, un tema que, aunque vital, no suele generar muchos titulares en la vida nacional.</t>
        </is>
      </c>
      <c r="I382"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J382" s="38" t="n"/>
      <c r="K382" s="62" t="n"/>
      <c r="L382" s="38" t="n"/>
      <c r="M382" s="62" t="n"/>
      <c r="N382" s="38" t="n"/>
      <c r="O382" s="62" t="n"/>
      <c r="P382" s="38" t="n"/>
      <c r="Q382" s="62" t="n"/>
      <c r="R382" s="38" t="n"/>
      <c r="S382" s="62" t="n"/>
      <c r="T382" s="38" t="n"/>
      <c r="U382" s="62" t="n"/>
      <c r="V382" s="38" t="n"/>
      <c r="W382" s="62" t="n"/>
      <c r="X382" s="38" t="n"/>
      <c r="Y382" s="62" t="n"/>
      <c r="Z382" s="38" t="n"/>
      <c r="AA382" s="62" t="n"/>
      <c r="AB382" s="38" t="n"/>
      <c r="AC382" s="62" t="n"/>
      <c r="AD382" s="38" t="n"/>
      <c r="AE382" s="38" t="n"/>
      <c r="AF382" s="61">
        <f>IF(COUNTIF($B$5:B382,B382)=1,1,0)</f>
        <v/>
      </c>
      <c r="AG382" s="62" t="inlineStr">
        <is>
          <t>https://www.elespectador.com/economia/macroeconomia/pensiones-en-colombia-2026-la-historia-del-enredo-entre-la-reforma-la-corte-constitucional-y-los-fondos-privados/</t>
        </is>
      </c>
    </row>
    <row r="383" ht="15" customHeight="1" s="31">
      <c r="A383" s="38" t="inlineStr">
        <is>
          <t>ART_057</t>
        </is>
      </c>
      <c r="B383" s="38" t="inlineStr">
        <is>
          <t>ART_057_S03</t>
        </is>
      </c>
      <c r="C383" s="38" t="inlineStr">
        <is>
          <t>El Espectador</t>
        </is>
      </c>
      <c r="D383" s="38" t="inlineStr">
        <is>
          <t>Reformas sociales en disputa (pensional/tributaria)</t>
        </is>
      </c>
      <c r="E383" s="38" t="inlineStr">
        <is>
          <t>Noticia dura</t>
        </is>
      </c>
      <c r="F383" s="38" t="inlineStr">
        <is>
          <t>2026-05-12T19:11:23-05:00</t>
        </is>
      </c>
      <c r="G383"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H383" s="62" t="inlineStr">
        <is>
          <t>Suceden en un rimo casi que automático: manejan billones de pesos que involucran el bienestar de millones de personas, pero nadie parece reparar mucho en ellas.</t>
        </is>
      </c>
      <c r="I383" s="62" t="inlineStr">
        <is>
          <t>Esto, en voz de expertos y analistas, en directa contravía con lo dispuestos en uno de los dos artículos de la reforma pensional que siguen activos mientras el resto de la iniciativa sigue bajo la lupa de la Corte Constitucional.</t>
        </is>
      </c>
      <c r="J383" s="38" t="n"/>
      <c r="K383" s="62" t="n"/>
      <c r="L383" s="38" t="n"/>
      <c r="M383" s="62" t="n"/>
      <c r="N383" s="38" t="n"/>
      <c r="O383" s="62" t="n"/>
      <c r="P383" s="38" t="n"/>
      <c r="Q383" s="62" t="n"/>
      <c r="R383" s="38" t="n"/>
      <c r="S383" s="62" t="n"/>
      <c r="T383" s="38" t="n"/>
      <c r="U383" s="62" t="n"/>
      <c r="V383" s="38" t="n"/>
      <c r="W383" s="62" t="n"/>
      <c r="X383" s="38" t="n"/>
      <c r="Y383" s="62" t="n"/>
      <c r="Z383" s="38" t="n"/>
      <c r="AA383" s="62" t="n"/>
      <c r="AB383" s="38" t="n"/>
      <c r="AC383" s="62" t="n"/>
      <c r="AD383" s="38" t="n"/>
      <c r="AE383" s="38" t="n"/>
      <c r="AF383" s="61">
        <f>IF(COUNTIF($B$5:B383,B383)=1,1,0)</f>
        <v/>
      </c>
      <c r="AG383" s="62" t="inlineStr">
        <is>
          <t>https://www.elespectador.com/economia/macroeconomia/pensiones-en-colombia-2026-la-historia-del-enredo-entre-la-reforma-la-corte-constitucional-y-los-fondos-privados/</t>
        </is>
      </c>
    </row>
    <row r="384" ht="15" customHeight="1" s="31">
      <c r="A384" s="38" t="inlineStr">
        <is>
          <t>ART_057</t>
        </is>
      </c>
      <c r="B384" s="38" t="inlineStr">
        <is>
          <t>ART_057_S04</t>
        </is>
      </c>
      <c r="C384" s="38" t="inlineStr">
        <is>
          <t>El Espectador</t>
        </is>
      </c>
      <c r="D384" s="38" t="inlineStr">
        <is>
          <t>Reformas sociales en disputa (pensional/tributaria)</t>
        </is>
      </c>
      <c r="E384" s="38" t="inlineStr">
        <is>
          <t>Noticia dura</t>
        </is>
      </c>
      <c r="F384" s="38" t="inlineStr">
        <is>
          <t>2026-05-12T19:11:23-05:00</t>
        </is>
      </c>
      <c r="G384" s="62" t="inlineStr">
        <is>
          <t>Esto, en voz de expertos y analistas, en directa contravía con lo dispuestos en uno de los dos artículos de la reforma pensional que siguen activos mientras el resto de la iniciativa sigue bajo la lupa de la Corte Constitucional.</t>
        </is>
      </c>
      <c r="H384"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I384"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J384" s="38" t="n"/>
      <c r="K384" s="62" t="n"/>
      <c r="L384" s="38" t="n"/>
      <c r="M384" s="62" t="n"/>
      <c r="N384" s="38" t="n"/>
      <c r="O384" s="62" t="n"/>
      <c r="P384" s="38" t="n"/>
      <c r="Q384" s="62" t="n"/>
      <c r="R384" s="38" t="n"/>
      <c r="S384" s="62" t="n"/>
      <c r="T384" s="38" t="n"/>
      <c r="U384" s="62" t="n"/>
      <c r="V384" s="38" t="n"/>
      <c r="W384" s="62" t="n"/>
      <c r="X384" s="38" t="n"/>
      <c r="Y384" s="62" t="n"/>
      <c r="Z384" s="38" t="n"/>
      <c r="AA384" s="62" t="n"/>
      <c r="AB384" s="38" t="n"/>
      <c r="AC384" s="62" t="n"/>
      <c r="AD384" s="38" t="n"/>
      <c r="AE384" s="38" t="n"/>
      <c r="AF384" s="61">
        <f>IF(COUNTIF($B$5:B384,B384)=1,1,0)</f>
        <v/>
      </c>
      <c r="AG384" s="62" t="inlineStr">
        <is>
          <t>https://www.elespectador.com/economia/macroeconomia/pensiones-en-colombia-2026-la-historia-del-enredo-entre-la-reforma-la-corte-constitucional-y-los-fondos-privados/</t>
        </is>
      </c>
    </row>
    <row r="385" ht="15" customHeight="1" s="31">
      <c r="A385" s="38" t="inlineStr">
        <is>
          <t>ART_057</t>
        </is>
      </c>
      <c r="B385" s="38" t="inlineStr">
        <is>
          <t>ART_057_S05</t>
        </is>
      </c>
      <c r="C385" s="38" t="inlineStr">
        <is>
          <t>El Espectador</t>
        </is>
      </c>
      <c r="D385" s="38" t="inlineStr">
        <is>
          <t>Reformas sociales en disputa (pensional/tributaria)</t>
        </is>
      </c>
      <c r="E385" s="38" t="inlineStr">
        <is>
          <t>Noticia dura</t>
        </is>
      </c>
      <c r="F385" s="38" t="inlineStr">
        <is>
          <t>2026-05-12T19:11:23-05:00</t>
        </is>
      </c>
      <c r="G385"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H385" s="62" t="inlineStr">
        <is>
          <t>Esto, en voz de expertos y analistas, en directa contravía con lo dispuestos en uno de los dos artículos de la reforma pensional que siguen activos mientras el resto de la iniciativa sigue bajo la lupa de la Corte Constitucional.</t>
        </is>
      </c>
      <c r="I385" s="62" t="inlineStr">
        <is>
          <t>Entonces, ¿por qué es que no tenemos claras las reglas sobre pensiones para este punto?</t>
        </is>
      </c>
      <c r="J385" s="38" t="n"/>
      <c r="K385" s="62" t="n"/>
      <c r="L385" s="38" t="n"/>
      <c r="M385" s="62" t="n"/>
      <c r="N385" s="38" t="n"/>
      <c r="O385" s="62" t="n"/>
      <c r="P385" s="38" t="n"/>
      <c r="Q385" s="62" t="n"/>
      <c r="R385" s="38" t="n"/>
      <c r="S385" s="62" t="n"/>
      <c r="T385" s="38" t="n"/>
      <c r="U385" s="62" t="n"/>
      <c r="V385" s="38" t="n"/>
      <c r="W385" s="62" t="n"/>
      <c r="X385" s="38" t="n"/>
      <c r="Y385" s="62" t="n"/>
      <c r="Z385" s="38" t="n"/>
      <c r="AA385" s="62" t="n"/>
      <c r="AB385" s="38" t="n"/>
      <c r="AC385" s="62" t="n"/>
      <c r="AD385" s="38" t="n"/>
      <c r="AE385" s="38" t="n"/>
      <c r="AF385" s="61">
        <f>IF(COUNTIF($B$5:B385,B385)=1,1,0)</f>
        <v/>
      </c>
      <c r="AG385" s="62" t="inlineStr">
        <is>
          <t>https://www.elespectador.com/economia/macroeconomia/pensiones-en-colombia-2026-la-historia-del-enredo-entre-la-reforma-la-corte-constitucional-y-los-fondos-privados/</t>
        </is>
      </c>
    </row>
    <row r="386" ht="15" customHeight="1" s="31">
      <c r="A386" s="38" t="inlineStr">
        <is>
          <t>ART_057</t>
        </is>
      </c>
      <c r="B386" s="38" t="inlineStr">
        <is>
          <t>ART_057_S06</t>
        </is>
      </c>
      <c r="C386" s="38" t="inlineStr">
        <is>
          <t>El Espectador</t>
        </is>
      </c>
      <c r="D386" s="38" t="inlineStr">
        <is>
          <t>Reformas sociales en disputa (pensional/tributaria)</t>
        </is>
      </c>
      <c r="E386" s="38" t="inlineStr">
        <is>
          <t>Noticia dura</t>
        </is>
      </c>
      <c r="F386" s="38" t="inlineStr">
        <is>
          <t>2026-05-12T19:11:23-05:00</t>
        </is>
      </c>
      <c r="G386" s="62" t="inlineStr">
        <is>
          <t>Entonces, ¿por qué es que no tenemos claras las reglas sobre pensiones para este punto?</t>
        </is>
      </c>
      <c r="H386"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I386" s="62" t="n"/>
      <c r="J386" s="38" t="n"/>
      <c r="K386" s="62" t="n"/>
      <c r="L386" s="38" t="n"/>
      <c r="M386" s="62" t="n"/>
      <c r="N386" s="38" t="n"/>
      <c r="O386" s="62" t="n"/>
      <c r="P386" s="38" t="n"/>
      <c r="Q386" s="62" t="n"/>
      <c r="R386" s="38" t="n"/>
      <c r="S386" s="62" t="n"/>
      <c r="T386" s="38" t="n"/>
      <c r="U386" s="62" t="n"/>
      <c r="V386" s="38" t="n"/>
      <c r="W386" s="62" t="n"/>
      <c r="X386" s="38" t="n"/>
      <c r="Y386" s="62" t="n"/>
      <c r="Z386" s="38" t="n"/>
      <c r="AA386" s="62" t="n"/>
      <c r="AB386" s="38" t="n"/>
      <c r="AC386" s="62" t="n"/>
      <c r="AD386" s="38" t="n"/>
      <c r="AE386" s="38" t="n"/>
      <c r="AF386" s="61">
        <f>IF(COUNTIF($B$5:B386,B386)=1,1,0)</f>
        <v/>
      </c>
      <c r="AG386" s="62" t="inlineStr">
        <is>
          <t>https://www.elespectador.com/economia/macroeconomia/pensiones-en-colombia-2026-la-historia-del-enredo-entre-la-reforma-la-corte-constitucional-y-los-fondos-privados/</t>
        </is>
      </c>
    </row>
    <row r="387" ht="15" customHeight="1" s="31">
      <c r="A387" s="38" t="inlineStr">
        <is>
          <t>ART_058</t>
        </is>
      </c>
      <c r="B387" s="38" t="inlineStr">
        <is>
          <t>ART_058_S01</t>
        </is>
      </c>
      <c r="C387" s="38" t="inlineStr">
        <is>
          <t>El Espectador</t>
        </is>
      </c>
      <c r="D387" s="38" t="inlineStr">
        <is>
          <t>Respuesta a la emergencia del terremoto</t>
        </is>
      </c>
      <c r="E387" s="38" t="inlineStr">
        <is>
          <t>Noticia dura</t>
        </is>
      </c>
      <c r="F387" s="38" t="inlineStr">
        <is>
          <t>2026-09-02T13:33:50-05:00</t>
        </is>
      </c>
      <c r="G387" s="62" t="inlineStr">
        <is>
          <t>Este miércoles 2 de septiembre, el ministro de Vivienda, Jaime Andrés Beltrán, compareció ante la Comisión Séptima del Senado en un debate de control político sobre la reconstrucción del país tras el terremoto del 10 de agosto de 2026.</t>
        </is>
      </c>
      <c r="H387" s="62" t="n"/>
      <c r="I387" s="62" t="inlineStr">
        <is>
          <t>La sesión ocurrió, además, después de la polémica generada por las imágenes del ministro durante un puente festivo en Santa Marta con su familia, apenas cinco días después de la emergencia.</t>
        </is>
      </c>
      <c r="J387" s="38" t="n"/>
      <c r="K387" s="62" t="n"/>
      <c r="L387" s="38" t="n"/>
      <c r="M387" s="62" t="n"/>
      <c r="N387" s="38" t="n"/>
      <c r="O387" s="62" t="n"/>
      <c r="P387" s="38" t="n"/>
      <c r="Q387" s="62" t="n"/>
      <c r="R387" s="38" t="n"/>
      <c r="S387" s="62" t="n"/>
      <c r="T387" s="38" t="n"/>
      <c r="U387" s="62" t="n"/>
      <c r="V387" s="38" t="n"/>
      <c r="W387" s="62" t="n"/>
      <c r="X387" s="38" t="n"/>
      <c r="Y387" s="62" t="n"/>
      <c r="Z387" s="38" t="n"/>
      <c r="AA387" s="62" t="n"/>
      <c r="AB387" s="38" t="n"/>
      <c r="AC387" s="62" t="n"/>
      <c r="AD387" s="38" t="n"/>
      <c r="AE387" s="38" t="n"/>
      <c r="AF387" s="61">
        <f>IF(COUNTIF($B$5:B387,B387)=1,1,0)</f>
        <v/>
      </c>
      <c r="AG387" s="62" t="inlineStr">
        <is>
          <t>https://www.elespectador.com/economia/como-va-la-reconstruccion-en-colombia-tras-el-terremoto-esto-dijo-minvivienda-en-debate-de-control-en-el-senado/</t>
        </is>
      </c>
    </row>
    <row r="388" ht="15" customHeight="1" s="31">
      <c r="A388" s="38" t="inlineStr">
        <is>
          <t>ART_058</t>
        </is>
      </c>
      <c r="B388" s="38" t="inlineStr">
        <is>
          <t>ART_058_S02</t>
        </is>
      </c>
      <c r="C388" s="38" t="inlineStr">
        <is>
          <t>El Espectador</t>
        </is>
      </c>
      <c r="D388" s="38" t="inlineStr">
        <is>
          <t>Respuesta a la emergencia del terremoto</t>
        </is>
      </c>
      <c r="E388" s="38" t="inlineStr">
        <is>
          <t>Noticia dura</t>
        </is>
      </c>
      <c r="F388" s="38" t="inlineStr">
        <is>
          <t>2026-09-02T13:33:50-05:00</t>
        </is>
      </c>
      <c r="G388" s="62" t="inlineStr">
        <is>
          <t>La sesión ocurrió, además, después de la polémica generada por las imágenes del ministro durante un puente festivo en Santa Marta con su familia, apenas cinco días después de la emergencia.</t>
        </is>
      </c>
      <c r="H388" s="62" t="inlineStr">
        <is>
          <t>Este miércoles 2 de septiembre, el ministro de Vivienda, Jaime Andrés Beltrán, compareció ante la Comisión Séptima del Senado en un debate de control político sobre la reconstrucción del país tras el terremoto del 10 de agosto de 2026.</t>
        </is>
      </c>
      <c r="I388" s="62" t="inlineStr">
        <is>
          <t>Beltrán pidió disculpas a las familias que se sintieron afectadas por su decisión, pero durante su intervención esquivó las críticas e insistió en que el debate debía concentrarse en las soluciones para la reconstrucción.</t>
        </is>
      </c>
      <c r="J388" s="38" t="n"/>
      <c r="K388" s="62" t="n"/>
      <c r="L388" s="38" t="n"/>
      <c r="M388" s="62" t="n"/>
      <c r="N388" s="38" t="n"/>
      <c r="O388" s="62" t="n"/>
      <c r="P388" s="38" t="n"/>
      <c r="Q388" s="62" t="n"/>
      <c r="R388" s="38" t="n"/>
      <c r="S388" s="62" t="n"/>
      <c r="T388" s="38" t="n"/>
      <c r="U388" s="62" t="n"/>
      <c r="V388" s="38" t="n"/>
      <c r="W388" s="62" t="n"/>
      <c r="X388" s="38" t="n"/>
      <c r="Y388" s="62" t="n"/>
      <c r="Z388" s="38" t="n"/>
      <c r="AA388" s="62" t="n"/>
      <c r="AB388" s="38" t="n"/>
      <c r="AC388" s="62" t="n"/>
      <c r="AD388" s="38" t="n"/>
      <c r="AE388" s="38" t="n"/>
      <c r="AF388" s="61">
        <f>IF(COUNTIF($B$5:B388,B388)=1,1,0)</f>
        <v/>
      </c>
      <c r="AG388" s="62" t="inlineStr">
        <is>
          <t>https://www.elespectador.com/economia/como-va-la-reconstruccion-en-colombia-tras-el-terremoto-esto-dijo-minvivienda-en-debate-de-control-en-el-senado/</t>
        </is>
      </c>
    </row>
    <row r="389" ht="15" customHeight="1" s="31">
      <c r="A389" s="38" t="inlineStr">
        <is>
          <t>ART_058</t>
        </is>
      </c>
      <c r="B389" s="38" t="inlineStr">
        <is>
          <t>ART_058_S03</t>
        </is>
      </c>
      <c r="C389" s="38" t="inlineStr">
        <is>
          <t>El Espectador</t>
        </is>
      </c>
      <c r="D389" s="38" t="inlineStr">
        <is>
          <t>Respuesta a la emergencia del terremoto</t>
        </is>
      </c>
      <c r="E389" s="38" t="inlineStr">
        <is>
          <t>Noticia dura</t>
        </is>
      </c>
      <c r="F389" s="38" t="inlineStr">
        <is>
          <t>2026-09-02T13:33:50-05:00</t>
        </is>
      </c>
      <c r="G389" s="62" t="inlineStr">
        <is>
          <t>Beltrán pidió disculpas a las familias que se sintieron afectadas por su decisión, pero durante su intervención esquivó las críticas e insistió en que el debate debía concentrarse en las soluciones para la reconstrucción.</t>
        </is>
      </c>
      <c r="H389" s="62" t="inlineStr">
        <is>
          <t>La sesión ocurrió, además, después de la polémica generada por las imágenes del ministro durante un puente festivo en Santa Marta con su familia, apenas cinco días después de la emergencia.</t>
        </is>
      </c>
      <c r="I389" s="62" t="inlineStr">
        <is>
          <t>“La riqueza de este debate no debe ser en función de la persona y la acción del Ministerio, sino en torno a las acciones que tenemos sobre la mesa”, dijo el ministro.</t>
        </is>
      </c>
      <c r="J389" s="38" t="n"/>
      <c r="K389" s="62" t="n"/>
      <c r="L389" s="38" t="n"/>
      <c r="M389" s="62" t="n"/>
      <c r="N389" s="38" t="n"/>
      <c r="O389" s="62" t="n"/>
      <c r="P389" s="38" t="n"/>
      <c r="Q389" s="62" t="n"/>
      <c r="R389" s="38" t="n"/>
      <c r="S389" s="62" t="n"/>
      <c r="T389" s="38" t="n"/>
      <c r="U389" s="62" t="n"/>
      <c r="V389" s="38" t="n"/>
      <c r="W389" s="62" t="n"/>
      <c r="X389" s="38" t="n"/>
      <c r="Y389" s="62" t="n"/>
      <c r="Z389" s="38" t="n"/>
      <c r="AA389" s="62" t="n"/>
      <c r="AB389" s="38" t="n"/>
      <c r="AC389" s="62" t="n"/>
      <c r="AD389" s="38" t="n"/>
      <c r="AE389" s="38" t="n"/>
      <c r="AF389" s="61">
        <f>IF(COUNTIF($B$5:B389,B389)=1,1,0)</f>
        <v/>
      </c>
      <c r="AG389" s="62" t="inlineStr">
        <is>
          <t>https://www.elespectador.com/economia/como-va-la-reconstruccion-en-colombia-tras-el-terremoto-esto-dijo-minvivienda-en-debate-de-control-en-el-senado/</t>
        </is>
      </c>
    </row>
    <row r="390" ht="15" customHeight="1" s="31">
      <c r="A390" s="38" t="inlineStr">
        <is>
          <t>ART_058</t>
        </is>
      </c>
      <c r="B390" s="38" t="inlineStr">
        <is>
          <t>ART_058_S04</t>
        </is>
      </c>
      <c r="C390" s="38" t="inlineStr">
        <is>
          <t>El Espectador</t>
        </is>
      </c>
      <c r="D390" s="38" t="inlineStr">
        <is>
          <t>Respuesta a la emergencia del terremoto</t>
        </is>
      </c>
      <c r="E390" s="38" t="inlineStr">
        <is>
          <t>Noticia dura</t>
        </is>
      </c>
      <c r="F390" s="38" t="inlineStr">
        <is>
          <t>2026-09-02T13:33:50-05:00</t>
        </is>
      </c>
      <c r="G390" s="62" t="inlineStr">
        <is>
          <t>“La riqueza de este debate no debe ser en función de la persona y la acción del Ministerio, sino en torno a las acciones que tenemos sobre la mesa”, dijo el ministro.</t>
        </is>
      </c>
      <c r="H390" s="62" t="inlineStr">
        <is>
          <t>Beltrán pidió disculpas a las familias que se sintieron afectadas por su decisión, pero durante su intervención esquivó las críticas e insistió en que el debate debía concentrarse en las soluciones para la reconstrucción.</t>
        </is>
      </c>
      <c r="I390" s="62" t="inlineStr">
        <is>
          <t>Le puede interesar: Reconstruir lejos de las ciudades: el reto que le espera a Colombia.</t>
        </is>
      </c>
      <c r="J390" s="38" t="n"/>
      <c r="K390" s="62" t="n"/>
      <c r="L390" s="38" t="n"/>
      <c r="M390" s="62" t="n"/>
      <c r="N390" s="38" t="n"/>
      <c r="O390" s="62" t="n"/>
      <c r="P390" s="38" t="n"/>
      <c r="Q390" s="62" t="n"/>
      <c r="R390" s="38" t="n"/>
      <c r="S390" s="62" t="n"/>
      <c r="T390" s="38" t="n"/>
      <c r="U390" s="62" t="n"/>
      <c r="V390" s="38" t="n"/>
      <c r="W390" s="62" t="n"/>
      <c r="X390" s="38" t="n"/>
      <c r="Y390" s="62" t="n"/>
      <c r="Z390" s="38" t="n"/>
      <c r="AA390" s="62" t="n"/>
      <c r="AB390" s="38" t="n"/>
      <c r="AC390" s="62" t="n"/>
      <c r="AD390" s="38" t="n"/>
      <c r="AE390" s="38" t="n"/>
      <c r="AF390" s="61">
        <f>IF(COUNTIF($B$5:B390,B390)=1,1,0)</f>
        <v/>
      </c>
      <c r="AG390" s="62" t="inlineStr">
        <is>
          <t>https://www.elespectador.com/economia/como-va-la-reconstruccion-en-colombia-tras-el-terremoto-esto-dijo-minvivienda-en-debate-de-control-en-el-senado/</t>
        </is>
      </c>
    </row>
    <row r="391" ht="15" customHeight="1" s="31">
      <c r="A391" s="38" t="inlineStr">
        <is>
          <t>ART_058</t>
        </is>
      </c>
      <c r="B391" s="38" t="inlineStr">
        <is>
          <t>ART_058_S05</t>
        </is>
      </c>
      <c r="C391" s="38" t="inlineStr">
        <is>
          <t>El Espectador</t>
        </is>
      </c>
      <c r="D391" s="38" t="inlineStr">
        <is>
          <t>Respuesta a la emergencia del terremoto</t>
        </is>
      </c>
      <c r="E391" s="38" t="inlineStr">
        <is>
          <t>Noticia dura</t>
        </is>
      </c>
      <c r="F391" s="38" t="inlineStr">
        <is>
          <t>2026-09-02T13:33:50-05:00</t>
        </is>
      </c>
      <c r="G391" s="62" t="inlineStr">
        <is>
          <t>Le puede interesar: Reconstruir lejos de las ciudades: el reto que le espera a Colombia.</t>
        </is>
      </c>
      <c r="H391" s="62" t="inlineStr">
        <is>
          <t>“La riqueza de este debate no debe ser en función de la persona y la acción del Ministerio, sino en torno a las acciones que tenemos sobre la mesa”, dijo el ministro.</t>
        </is>
      </c>
      <c r="I391" s="62" t="inlineStr">
        <is>
          <t>El principal problema para calcular el costo de la reconstrucción es que el Gobierno aún no termina de establecer la dimensión de los daños.</t>
        </is>
      </c>
      <c r="J391" s="38" t="n"/>
      <c r="K391" s="62" t="n"/>
      <c r="L391" s="38" t="n"/>
      <c r="M391" s="62" t="n"/>
      <c r="N391" s="38" t="n"/>
      <c r="O391" s="62" t="n"/>
      <c r="P391" s="38" t="n"/>
      <c r="Q391" s="62" t="n"/>
      <c r="R391" s="38" t="n"/>
      <c r="S391" s="62" t="n"/>
      <c r="T391" s="38" t="n"/>
      <c r="U391" s="62" t="n"/>
      <c r="V391" s="38" t="n"/>
      <c r="W391" s="62" t="n"/>
      <c r="X391" s="38" t="n"/>
      <c r="Y391" s="62" t="n"/>
      <c r="Z391" s="38" t="n"/>
      <c r="AA391" s="62" t="n"/>
      <c r="AB391" s="38" t="n"/>
      <c r="AC391" s="62" t="n"/>
      <c r="AD391" s="38" t="n"/>
      <c r="AE391" s="38" t="n"/>
      <c r="AF391" s="61">
        <f>IF(COUNTIF($B$5:B391,B391)=1,1,0)</f>
        <v/>
      </c>
      <c r="AG391" s="62" t="inlineStr">
        <is>
          <t>https://www.elespectador.com/economia/como-va-la-reconstruccion-en-colombia-tras-el-terremoto-esto-dijo-minvivienda-en-debate-de-control-en-el-senado/</t>
        </is>
      </c>
    </row>
    <row r="392" ht="15" customHeight="1" s="31">
      <c r="A392" s="38" t="inlineStr">
        <is>
          <t>ART_058</t>
        </is>
      </c>
      <c r="B392" s="38" t="inlineStr">
        <is>
          <t>ART_058_S06</t>
        </is>
      </c>
      <c r="C392" s="38" t="inlineStr">
        <is>
          <t>El Espectador</t>
        </is>
      </c>
      <c r="D392" s="38" t="inlineStr">
        <is>
          <t>Respuesta a la emergencia del terremoto</t>
        </is>
      </c>
      <c r="E392" s="38" t="inlineStr">
        <is>
          <t>Noticia dura</t>
        </is>
      </c>
      <c r="F392" s="38" t="inlineStr">
        <is>
          <t>2026-09-02T13:33:50-05:00</t>
        </is>
      </c>
      <c r="G392" s="62" t="inlineStr">
        <is>
          <t>El principal problema para calcular el costo de la reconstrucción es que el Gobierno aún no termina de establecer la dimensión de los daños.</t>
        </is>
      </c>
      <c r="H392" s="62" t="inlineStr">
        <is>
          <t>Le puede interesar: Reconstruir lejos de las ciudades: el reto que le espera a Colombia.</t>
        </is>
      </c>
      <c r="I392" s="62" t="n"/>
      <c r="J392" s="38" t="n"/>
      <c r="K392" s="62" t="n"/>
      <c r="L392" s="38" t="n"/>
      <c r="M392" s="62" t="n"/>
      <c r="N392" s="38" t="n"/>
      <c r="O392" s="62" t="n"/>
      <c r="P392" s="38" t="n"/>
      <c r="Q392" s="62" t="n"/>
      <c r="R392" s="38" t="n"/>
      <c r="S392" s="62" t="n"/>
      <c r="T392" s="38" t="n"/>
      <c r="U392" s="62" t="n"/>
      <c r="V392" s="38" t="n"/>
      <c r="W392" s="62" t="n"/>
      <c r="X392" s="38" t="n"/>
      <c r="Y392" s="62" t="n"/>
      <c r="Z392" s="38" t="n"/>
      <c r="AA392" s="62" t="n"/>
      <c r="AB392" s="38" t="n"/>
      <c r="AC392" s="62" t="n"/>
      <c r="AD392" s="38" t="n"/>
      <c r="AE392" s="38" t="n"/>
      <c r="AF392" s="61">
        <f>IF(COUNTIF($B$5:B392,B392)=1,1,0)</f>
        <v/>
      </c>
      <c r="AG392" s="62" t="inlineStr">
        <is>
          <t>https://www.elespectador.com/economia/como-va-la-reconstruccion-en-colombia-tras-el-terremoto-esto-dijo-minvivienda-en-debate-de-control-en-el-senado/</t>
        </is>
      </c>
    </row>
    <row r="393" ht="15" customHeight="1" s="31">
      <c r="A393" s="38" t="inlineStr">
        <is>
          <t>ART_059</t>
        </is>
      </c>
      <c r="B393" s="38" t="inlineStr">
        <is>
          <t>ART_059_S01</t>
        </is>
      </c>
      <c r="C393" s="38" t="inlineStr">
        <is>
          <t>El Tiempo</t>
        </is>
      </c>
      <c r="D393" s="38" t="inlineStr">
        <is>
          <t>Relación con Estados Unidos</t>
        </is>
      </c>
      <c r="E393" s="38" t="inlineStr">
        <is>
          <t>Noticia dura</t>
        </is>
      </c>
      <c r="F393" s="38" t="inlineStr">
        <is>
          <t>2026-07-23T16:34:40-05:00</t>
        </is>
      </c>
      <c r="G393" s="62" t="inlineStr">
        <is>
          <t>La administración del presidente Donald Trump confirmó este jueves un nuevo paquete de aranceles a las importaciones de decenas de países, entre ellos Colombia, en una decisión que impone un gravamen del 12,5 por ciento a los productos originarios del país que ingresen al mercado estadounidense.</t>
        </is>
      </c>
      <c r="H393" s="62" t="n"/>
      <c r="I393" s="62" t="inlineStr">
        <is>
          <t>La medida, adoptada al amparo de la Sección 301 de la Ley de Comercio de 1974, entrará en vigor a las 12:01 a. m. de este viernes 24 de julio.</t>
        </is>
      </c>
      <c r="J393" s="38" t="n"/>
      <c r="K393" s="62" t="n"/>
      <c r="L393" s="38" t="n"/>
      <c r="M393" s="62" t="n"/>
      <c r="N393" s="38" t="n"/>
      <c r="O393" s="62" t="n"/>
      <c r="P393" s="38" t="n"/>
      <c r="Q393" s="62" t="n"/>
      <c r="R393" s="38" t="n"/>
      <c r="S393" s="62" t="n"/>
      <c r="T393" s="38" t="n"/>
      <c r="U393" s="62" t="n"/>
      <c r="V393" s="38" t="n"/>
      <c r="W393" s="62" t="n"/>
      <c r="X393" s="38" t="n"/>
      <c r="Y393" s="62" t="n"/>
      <c r="Z393" s="38" t="n"/>
      <c r="AA393" s="62" t="n"/>
      <c r="AB393" s="38" t="n"/>
      <c r="AC393" s="62" t="n"/>
      <c r="AD393" s="38" t="n"/>
      <c r="AE393" s="38" t="n"/>
      <c r="AF393" s="61">
        <f>IF(COUNTIF($B$5:B393,B393)=1,1,0)</f>
        <v/>
      </c>
      <c r="AG393" s="62" t="inlineStr">
        <is>
          <t>https://www.eltiempo.com/mundo/eeuu-y-canada/estados-unidos-anuncia-un-nuevo-regimen-de-aranceles-para-colombia-y-fija-el-gravamen-en-12-5-que-cambia-para-los-exportadores-3573311</t>
        </is>
      </c>
    </row>
    <row r="394" ht="15" customHeight="1" s="31">
      <c r="A394" s="38" t="inlineStr">
        <is>
          <t>ART_059</t>
        </is>
      </c>
      <c r="B394" s="38" t="inlineStr">
        <is>
          <t>ART_059_S02</t>
        </is>
      </c>
      <c r="C394" s="38" t="inlineStr">
        <is>
          <t>El Tiempo</t>
        </is>
      </c>
      <c r="D394" s="38" t="inlineStr">
        <is>
          <t>Relación con Estados Unidos</t>
        </is>
      </c>
      <c r="E394" s="38" t="inlineStr">
        <is>
          <t>Noticia dura</t>
        </is>
      </c>
      <c r="F394" s="38" t="inlineStr">
        <is>
          <t>2026-07-23T16:34:40-05:00</t>
        </is>
      </c>
      <c r="G394" s="62" t="inlineStr">
        <is>
          <t>La medida, adoptada al amparo de la Sección 301 de la Ley de Comercio de 1974, entrará en vigor a las 12:01 a. m. de este viernes 24 de julio.</t>
        </is>
      </c>
      <c r="H394" s="62" t="inlineStr">
        <is>
          <t>La administración del presidente Donald Trump confirmó este jueves un nuevo paquete de aranceles a las importaciones de decenas de países, entre ellos Colombia, en una decisión que impone un gravamen del 12,5 por ciento a los productos originarios del país que ingresen al mercado estadounidense.</t>
        </is>
      </c>
      <c r="I394"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J394" s="38" t="n"/>
      <c r="K394" s="62" t="n"/>
      <c r="L394" s="38" t="n"/>
      <c r="M394" s="62" t="n"/>
      <c r="N394" s="38" t="n"/>
      <c r="O394" s="62" t="n"/>
      <c r="P394" s="38" t="n"/>
      <c r="Q394" s="62" t="n"/>
      <c r="R394" s="38" t="n"/>
      <c r="S394" s="62" t="n"/>
      <c r="T394" s="38" t="n"/>
      <c r="U394" s="62" t="n"/>
      <c r="V394" s="38" t="n"/>
      <c r="W394" s="62" t="n"/>
      <c r="X394" s="38" t="n"/>
      <c r="Y394" s="62" t="n"/>
      <c r="Z394" s="38" t="n"/>
      <c r="AA394" s="62" t="n"/>
      <c r="AB394" s="38" t="n"/>
      <c r="AC394" s="62" t="n"/>
      <c r="AD394" s="38" t="n"/>
      <c r="AE394" s="38" t="n"/>
      <c r="AF394" s="61">
        <f>IF(COUNTIF($B$5:B394,B394)=1,1,0)</f>
        <v/>
      </c>
      <c r="AG394" s="62" t="inlineStr">
        <is>
          <t>https://www.eltiempo.com/mundo/eeuu-y-canada/estados-unidos-anuncia-un-nuevo-regimen-de-aranceles-para-colombia-y-fija-el-gravamen-en-12-5-que-cambia-para-los-exportadores-3573311</t>
        </is>
      </c>
    </row>
    <row r="395" ht="15" customHeight="1" s="31">
      <c r="A395" s="38" t="inlineStr">
        <is>
          <t>ART_059</t>
        </is>
      </c>
      <c r="B395" s="38" t="inlineStr">
        <is>
          <t>ART_059_S03</t>
        </is>
      </c>
      <c r="C395" s="38" t="inlineStr">
        <is>
          <t>El Tiempo</t>
        </is>
      </c>
      <c r="D395" s="38" t="inlineStr">
        <is>
          <t>Relación con Estados Unidos</t>
        </is>
      </c>
      <c r="E395" s="38" t="inlineStr">
        <is>
          <t>Noticia dura</t>
        </is>
      </c>
      <c r="F395" s="38" t="inlineStr">
        <is>
          <t>2026-07-23T16:34:40-05:00</t>
        </is>
      </c>
      <c r="G395"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H395" s="62" t="inlineStr">
        <is>
          <t>La medida, adoptada al amparo de la Sección 301 de la Ley de Comercio de 1974, entrará en vigor a las 12:01 a. m. de este viernes 24 de julio.</t>
        </is>
      </c>
      <c r="I395" s="62" t="inlineStr">
        <is>
          <t>“El presidente Trump reconoce que décadas de persuasión moral no han erradicado el trabajo forzoso de las cadenas de suministro globales.</t>
        </is>
      </c>
      <c r="J395" s="38" t="n"/>
      <c r="K395" s="62" t="n"/>
      <c r="L395" s="38" t="n"/>
      <c r="M395" s="62" t="n"/>
      <c r="N395" s="38" t="n"/>
      <c r="O395" s="62" t="n"/>
      <c r="P395" s="38" t="n"/>
      <c r="Q395" s="62" t="n"/>
      <c r="R395" s="38" t="n"/>
      <c r="S395" s="62" t="n"/>
      <c r="T395" s="38" t="n"/>
      <c r="U395" s="62" t="n"/>
      <c r="V395" s="38" t="n"/>
      <c r="W395" s="62" t="n"/>
      <c r="X395" s="38" t="n"/>
      <c r="Y395" s="62" t="n"/>
      <c r="Z395" s="38" t="n"/>
      <c r="AA395" s="62" t="n"/>
      <c r="AB395" s="38" t="n"/>
      <c r="AC395" s="62" t="n"/>
      <c r="AD395" s="38" t="n"/>
      <c r="AE395" s="38" t="n"/>
      <c r="AF395" s="61">
        <f>IF(COUNTIF($B$5:B395,B395)=1,1,0)</f>
        <v/>
      </c>
      <c r="AG395" s="62" t="inlineStr">
        <is>
          <t>https://www.eltiempo.com/mundo/eeuu-y-canada/estados-unidos-anuncia-un-nuevo-regimen-de-aranceles-para-colombia-y-fija-el-gravamen-en-12-5-que-cambia-para-los-exportadores-3573311</t>
        </is>
      </c>
    </row>
    <row r="396" ht="15" customHeight="1" s="31">
      <c r="A396" s="38" t="inlineStr">
        <is>
          <t>ART_059</t>
        </is>
      </c>
      <c r="B396" s="38" t="inlineStr">
        <is>
          <t>ART_059_S04</t>
        </is>
      </c>
      <c r="C396" s="38" t="inlineStr">
        <is>
          <t>El Tiempo</t>
        </is>
      </c>
      <c r="D396" s="38" t="inlineStr">
        <is>
          <t>Relación con Estados Unidos</t>
        </is>
      </c>
      <c r="E396" s="38" t="inlineStr">
        <is>
          <t>Noticia dura</t>
        </is>
      </c>
      <c r="F396" s="38" t="inlineStr">
        <is>
          <t>2026-07-23T16:34:40-05:00</t>
        </is>
      </c>
      <c r="G396" s="62" t="inlineStr">
        <is>
          <t>“El presidente Trump reconoce que décadas de persuasión moral no han erradicado el trabajo forzoso de las cadenas de suministro globales.</t>
        </is>
      </c>
      <c r="H396" s="62" t="inlineStr">
        <is>
          <t>Así lo confirmó el representante comercial de Estados Unidos, Jamieson Greer, quien oficializó la adopción de las medidas tras concluir una investigación sobre las políticas de 54 economías respecto a la importación de bienes producidos con trabajo forzoso.</t>
        </is>
      </c>
      <c r="I396" s="62" t="inlineStr">
        <is>
          <t>Estados Unidos mantiene una prohibición de importación de productos elaborados con trabajo forzoso desde hace casi un siglo y la aplica rigurosamente; ya es hora de que nuestros socios comerciales hagan lo mismo”, señaló Greer.</t>
        </is>
      </c>
      <c r="J396" s="38" t="n"/>
      <c r="K396" s="62" t="n"/>
      <c r="L396" s="38" t="n"/>
      <c r="M396" s="62" t="n"/>
      <c r="N396" s="38" t="n"/>
      <c r="O396" s="62" t="n"/>
      <c r="P396" s="38" t="n"/>
      <c r="Q396" s="62" t="n"/>
      <c r="R396" s="38" t="n"/>
      <c r="S396" s="62" t="n"/>
      <c r="T396" s="38" t="n"/>
      <c r="U396" s="62" t="n"/>
      <c r="V396" s="38" t="n"/>
      <c r="W396" s="62" t="n"/>
      <c r="X396" s="38" t="n"/>
      <c r="Y396" s="62" t="n"/>
      <c r="Z396" s="38" t="n"/>
      <c r="AA396" s="62" t="n"/>
      <c r="AB396" s="38" t="n"/>
      <c r="AC396" s="62" t="n"/>
      <c r="AD396" s="38" t="n"/>
      <c r="AE396" s="38" t="n"/>
      <c r="AF396" s="61">
        <f>IF(COUNTIF($B$5:B396,B396)=1,1,0)</f>
        <v/>
      </c>
      <c r="AG396" s="62" t="inlineStr">
        <is>
          <t>https://www.eltiempo.com/mundo/eeuu-y-canada/estados-unidos-anuncia-un-nuevo-regimen-de-aranceles-para-colombia-y-fija-el-gravamen-en-12-5-que-cambia-para-los-exportadores-3573311</t>
        </is>
      </c>
    </row>
    <row r="397" ht="15" customHeight="1" s="31">
      <c r="A397" s="38" t="inlineStr">
        <is>
          <t>ART_059</t>
        </is>
      </c>
      <c r="B397" s="38" t="inlineStr">
        <is>
          <t>ART_059_S05</t>
        </is>
      </c>
      <c r="C397" s="38" t="inlineStr">
        <is>
          <t>El Tiempo</t>
        </is>
      </c>
      <c r="D397" s="38" t="inlineStr">
        <is>
          <t>Relación con Estados Unidos</t>
        </is>
      </c>
      <c r="E397" s="38" t="inlineStr">
        <is>
          <t>Noticia dura</t>
        </is>
      </c>
      <c r="F397" s="38" t="inlineStr">
        <is>
          <t>2026-07-23T16:34:40-05:00</t>
        </is>
      </c>
      <c r="G397" s="62" t="inlineStr">
        <is>
          <t>Estados Unidos mantiene una prohibición de importación de productos elaborados con trabajo forzoso desde hace casi un siglo y la aplica rigurosamente; ya es hora de que nuestros socios comerciales hagan lo mismo”, señaló Greer.</t>
        </is>
      </c>
      <c r="H397" s="62" t="inlineStr">
        <is>
          <t>“El presidente Trump reconoce que décadas de persuasión moral no han erradicado el trabajo forzoso de las cadenas de suministro globales.</t>
        </is>
      </c>
      <c r="I397" s="62" t="inlineStr">
        <is>
          <t>Desde comienzos de este año, la Casa Blanca había impuesto un arancel general del 10 por ciento (amparado en la Sección 122 de la Ley de Comercio) a la mayoría de las importaciones que llegan al país para reemplazar los gravámenes (impuestos bajo la Ley de Poderes Económicos de Emergencia Internacional) que fueron anulados por la Corte Suprema de Estados Unidos.</t>
        </is>
      </c>
      <c r="J397" s="38" t="n"/>
      <c r="K397" s="62" t="n"/>
      <c r="L397" s="38" t="n"/>
      <c r="M397" s="62" t="n"/>
      <c r="N397" s="38" t="n"/>
      <c r="O397" s="62" t="n"/>
      <c r="P397" s="38" t="n"/>
      <c r="Q397" s="62" t="n"/>
      <c r="R397" s="38" t="n"/>
      <c r="S397" s="62" t="n"/>
      <c r="T397" s="38" t="n"/>
      <c r="U397" s="62" t="n"/>
      <c r="V397" s="38" t="n"/>
      <c r="W397" s="62" t="n"/>
      <c r="X397" s="38" t="n"/>
      <c r="Y397" s="62" t="n"/>
      <c r="Z397" s="38" t="n"/>
      <c r="AA397" s="62" t="n"/>
      <c r="AB397" s="38" t="n"/>
      <c r="AC397" s="62" t="n"/>
      <c r="AD397" s="38" t="n"/>
      <c r="AE397" s="38" t="n"/>
      <c r="AF397" s="61">
        <f>IF(COUNTIF($B$5:B397,B397)=1,1,0)</f>
        <v/>
      </c>
      <c r="AG397" s="62" t="inlineStr">
        <is>
          <t>https://www.eltiempo.com/mundo/eeuu-y-canada/estados-unidos-anuncia-un-nuevo-regimen-de-aranceles-para-colombia-y-fija-el-gravamen-en-12-5-que-cambia-para-los-exportadores-3573311</t>
        </is>
      </c>
    </row>
    <row r="398" ht="15" customHeight="1" s="31">
      <c r="A398" s="38" t="inlineStr">
        <is>
          <t>ART_059</t>
        </is>
      </c>
      <c r="B398" s="38" t="inlineStr">
        <is>
          <t>ART_059_S06</t>
        </is>
      </c>
      <c r="C398" s="38" t="inlineStr">
        <is>
          <t>El Tiempo</t>
        </is>
      </c>
      <c r="D398" s="38" t="inlineStr">
        <is>
          <t>Relación con Estados Unidos</t>
        </is>
      </c>
      <c r="E398" s="38" t="inlineStr">
        <is>
          <t>Noticia dura</t>
        </is>
      </c>
      <c r="F398" s="38" t="inlineStr">
        <is>
          <t>2026-07-23T16:34:40-05:00</t>
        </is>
      </c>
      <c r="G398" s="62" t="inlineStr">
        <is>
          <t>Desde comienzos de este año, la Casa Blanca había impuesto un arancel general del 10 por ciento (amparado en la Sección 122 de la Ley de Comercio) a la mayoría de las importaciones que llegan al país para reemplazar los gravámenes (impuestos bajo la Ley de Poderes Económicos de Emergencia Internacional) que fueron anulados por la Corte Suprema de Estados Unidos.</t>
        </is>
      </c>
      <c r="H398" s="62" t="inlineStr">
        <is>
          <t>Estados Unidos mantiene una prohibición de importación de productos elaborados con trabajo forzoso desde hace casi un siglo y la aplica rigurosamente; ya es hora de que nuestros socios comerciales hagan lo mismo”, señaló Greer.</t>
        </is>
      </c>
      <c r="I398" s="62" t="n"/>
      <c r="J398" s="38" t="n"/>
      <c r="K398" s="62" t="n"/>
      <c r="L398" s="38" t="n"/>
      <c r="M398" s="62" t="n"/>
      <c r="N398" s="38" t="n"/>
      <c r="O398" s="62" t="n"/>
      <c r="P398" s="38" t="n"/>
      <c r="Q398" s="62" t="n"/>
      <c r="R398" s="38" t="n"/>
      <c r="S398" s="62" t="n"/>
      <c r="T398" s="38" t="n"/>
      <c r="U398" s="62" t="n"/>
      <c r="V398" s="38" t="n"/>
      <c r="W398" s="62" t="n"/>
      <c r="X398" s="38" t="n"/>
      <c r="Y398" s="62" t="n"/>
      <c r="Z398" s="38" t="n"/>
      <c r="AA398" s="62" t="n"/>
      <c r="AB398" s="38" t="n"/>
      <c r="AC398" s="62" t="n"/>
      <c r="AD398" s="38" t="n"/>
      <c r="AE398" s="38" t="n"/>
      <c r="AF398" s="61">
        <f>IF(COUNTIF($B$5:B398,B398)=1,1,0)</f>
        <v/>
      </c>
      <c r="AG398" s="62" t="inlineStr">
        <is>
          <t>https://www.eltiempo.com/mundo/eeuu-y-canada/estados-unidos-anuncia-un-nuevo-regimen-de-aranceles-para-colombia-y-fija-el-gravamen-en-12-5-que-cambia-para-los-exportadores-3573311</t>
        </is>
      </c>
    </row>
    <row r="399" ht="15" customHeight="1" s="31">
      <c r="A399" s="38" t="inlineStr">
        <is>
          <t>ART_060</t>
        </is>
      </c>
      <c r="B399" s="38" t="inlineStr">
        <is>
          <t>ART_060_S01</t>
        </is>
      </c>
      <c r="C399" s="38" t="inlineStr">
        <is>
          <t>Infobae Colombia</t>
        </is>
      </c>
      <c r="D399" s="38" t="inlineStr">
        <is>
          <t>Respuesta a la emergencia del terremoto</t>
        </is>
      </c>
      <c r="E399" s="38" t="inlineStr">
        <is>
          <t>Noticia dura</t>
        </is>
      </c>
      <c r="F399" s="38" t="inlineStr">
        <is>
          <t>2026-09-02T22:25:03Z</t>
        </is>
      </c>
      <c r="G399" s="62" t="inlineStr">
        <is>
          <t>El ministro de Vivienda, Jaime Andrés Beltrán, solicitó una adición de $4 billones al Ministerio de Hacienda para atender la reconstrucción por los daños del terremoto del 10 de agosto de 2026, al advertir ante la Comisión Séptima del Senado que los $700.000 millones previstos hasta ahora no bastan.</t>
        </is>
      </c>
      <c r="H399" s="62" t="n"/>
      <c r="I399" s="62" t="inlineStr">
        <is>
          <t>“$700.000 millones no es absolutamente nada para hablar de un proceso de reconstrucción”, afirmó durante la intervención que hizo, el 2 de septiembre, en la Comisión Séptima del Senado para presentar los avances del Gobierno en atención a los afectados por el evento sismico.</t>
        </is>
      </c>
      <c r="J399" s="38" t="n"/>
      <c r="K399" s="62" t="n"/>
      <c r="L399" s="38" t="n"/>
      <c r="M399" s="62" t="n"/>
      <c r="N399" s="38" t="n"/>
      <c r="O399" s="62" t="n"/>
      <c r="P399" s="38" t="n"/>
      <c r="Q399" s="62" t="n"/>
      <c r="R399" s="38" t="n"/>
      <c r="S399" s="62" t="n"/>
      <c r="T399" s="38" t="n"/>
      <c r="U399" s="62" t="n"/>
      <c r="V399" s="38" t="n"/>
      <c r="W399" s="62" t="n"/>
      <c r="X399" s="38" t="n"/>
      <c r="Y399" s="62" t="n"/>
      <c r="Z399" s="38" t="n"/>
      <c r="AA399" s="62" t="n"/>
      <c r="AB399" s="38" t="n"/>
      <c r="AC399" s="62" t="n"/>
      <c r="AD399" s="38" t="n"/>
      <c r="AE399" s="38" t="n"/>
      <c r="AF399" s="61">
        <f>IF(COUNTIF($B$5:B399,B399)=1,1,0)</f>
        <v/>
      </c>
      <c r="AG399" s="62" t="inlineStr">
        <is>
          <t>https://www.infobae.com/colombia/2026/09/02/al-ministerio-de-vivienda-no-le-alcanza-la-plata-para-atender-a-los-afectados-por-el-terremoto-700000-millones-no-es-absolutamente-nada/</t>
        </is>
      </c>
    </row>
    <row r="400" ht="15" customHeight="1" s="31">
      <c r="A400" s="38" t="inlineStr">
        <is>
          <t>ART_060</t>
        </is>
      </c>
      <c r="B400" s="38" t="inlineStr">
        <is>
          <t>ART_060_S02</t>
        </is>
      </c>
      <c r="C400" s="38" t="inlineStr">
        <is>
          <t>Infobae Colombia</t>
        </is>
      </c>
      <c r="D400" s="38" t="inlineStr">
        <is>
          <t>Respuesta a la emergencia del terremoto</t>
        </is>
      </c>
      <c r="E400" s="38" t="inlineStr">
        <is>
          <t>Noticia dura</t>
        </is>
      </c>
      <c r="F400" s="38" t="inlineStr">
        <is>
          <t>2026-09-02T22:25:03Z</t>
        </is>
      </c>
      <c r="G400" s="62" t="inlineStr">
        <is>
          <t>“$700.000 millones no es absolutamente nada para hablar de un proceso de reconstrucción”, afirmó durante la intervención que hizo, el 2 de septiembre, en la Comisión Séptima del Senado para presentar los avances del Gobierno en atención a los afectados por el evento sismico.</t>
        </is>
      </c>
      <c r="H400" s="62" t="inlineStr">
        <is>
          <t>El ministro de Vivienda, Jaime Andrés Beltrán, solicitó una adición de $4 billones al Ministerio de Hacienda para atender la reconstrucción por los daños del terremoto del 10 de agosto de 2026, al advertir ante la Comisión Séptima del Senado que los $700.000 millones previstos hasta ahora no bastan.</t>
        </is>
      </c>
      <c r="I400" s="62" t="inlineStr">
        <is>
          <t>Beltrán pidió recursos adicionales para financiar acciones de vivienda y desarrollo en las zonas afectadas por el sismo.</t>
        </is>
      </c>
      <c r="J400" s="38" t="n"/>
      <c r="K400" s="62" t="n"/>
      <c r="L400" s="38" t="n"/>
      <c r="M400" s="62" t="n"/>
      <c r="N400" s="38" t="n"/>
      <c r="O400" s="62" t="n"/>
      <c r="P400" s="38" t="n"/>
      <c r="Q400" s="62" t="n"/>
      <c r="R400" s="38" t="n"/>
      <c r="S400" s="62" t="n"/>
      <c r="T400" s="38" t="n"/>
      <c r="U400" s="62" t="n"/>
      <c r="V400" s="38" t="n"/>
      <c r="W400" s="62" t="n"/>
      <c r="X400" s="38" t="n"/>
      <c r="Y400" s="62" t="n"/>
      <c r="Z400" s="38" t="n"/>
      <c r="AA400" s="62" t="n"/>
      <c r="AB400" s="38" t="n"/>
      <c r="AC400" s="62" t="n"/>
      <c r="AD400" s="38" t="n"/>
      <c r="AE400" s="38" t="n"/>
      <c r="AF400" s="61">
        <f>IF(COUNTIF($B$5:B400,B400)=1,1,0)</f>
        <v/>
      </c>
      <c r="AG400" s="62" t="inlineStr">
        <is>
          <t>https://www.infobae.com/colombia/2026/09/02/al-ministerio-de-vivienda-no-le-alcanza-la-plata-para-atender-a-los-afectados-por-el-terremoto-700000-millones-no-es-absolutamente-nada/</t>
        </is>
      </c>
    </row>
    <row r="401" ht="15" customHeight="1" s="31">
      <c r="A401" s="38" t="inlineStr">
        <is>
          <t>ART_060</t>
        </is>
      </c>
      <c r="B401" s="38" t="inlineStr">
        <is>
          <t>ART_060_S03</t>
        </is>
      </c>
      <c r="C401" s="38" t="inlineStr">
        <is>
          <t>Infobae Colombia</t>
        </is>
      </c>
      <c r="D401" s="38" t="inlineStr">
        <is>
          <t>Respuesta a la emergencia del terremoto</t>
        </is>
      </c>
      <c r="E401" s="38" t="inlineStr">
        <is>
          <t>Noticia dura</t>
        </is>
      </c>
      <c r="F401" s="38" t="inlineStr">
        <is>
          <t>2026-09-02T22:25:03Z</t>
        </is>
      </c>
      <c r="G401" s="62" t="inlineStr">
        <is>
          <t>Beltrán pidió recursos adicionales para financiar acciones de vivienda y desarrollo en las zonas afectadas por el sismo.</t>
        </is>
      </c>
      <c r="H401" s="62" t="inlineStr">
        <is>
          <t>“$700.000 millones no es absolutamente nada para hablar de un proceso de reconstrucción”, afirmó durante la intervención que hizo, el 2 de septiembre, en la Comisión Séptima del Senado para presentar los avances del Gobierno en atención a los afectados por el evento sismico.</t>
        </is>
      </c>
      <c r="I401" s="62" t="inlineStr">
        <is>
          <t>La solicitud formal se presentará en los próximos 15 días y el Gobierno plantea una reconstrucción con mejoramientos, vivienda nueva y recuperación de los territorios.</t>
        </is>
      </c>
      <c r="J401" s="38" t="n"/>
      <c r="K401" s="62" t="n"/>
      <c r="L401" s="38" t="n"/>
      <c r="M401" s="62" t="n"/>
      <c r="N401" s="38" t="n"/>
      <c r="O401" s="62" t="n"/>
      <c r="P401" s="38" t="n"/>
      <c r="Q401" s="62" t="n"/>
      <c r="R401" s="38" t="n"/>
      <c r="S401" s="62" t="n"/>
      <c r="T401" s="38" t="n"/>
      <c r="U401" s="62" t="n"/>
      <c r="V401" s="38" t="n"/>
      <c r="W401" s="62" t="n"/>
      <c r="X401" s="38" t="n"/>
      <c r="Y401" s="62" t="n"/>
      <c r="Z401" s="38" t="n"/>
      <c r="AA401" s="62" t="n"/>
      <c r="AB401" s="38" t="n"/>
      <c r="AC401" s="62" t="n"/>
      <c r="AD401" s="38" t="n"/>
      <c r="AE401" s="38" t="n"/>
      <c r="AF401" s="61">
        <f>IF(COUNTIF($B$5:B401,B401)=1,1,0)</f>
        <v/>
      </c>
      <c r="AG401" s="62" t="inlineStr">
        <is>
          <t>https://www.infobae.com/colombia/2026/09/02/al-ministerio-de-vivienda-no-le-alcanza-la-plata-para-atender-a-los-afectados-por-el-terremoto-700000-millones-no-es-absolutamente-nada/</t>
        </is>
      </c>
    </row>
    <row r="402" ht="15" customHeight="1" s="31">
      <c r="A402" s="38" t="inlineStr">
        <is>
          <t>ART_060</t>
        </is>
      </c>
      <c r="B402" s="38" t="inlineStr">
        <is>
          <t>ART_060_S04</t>
        </is>
      </c>
      <c r="C402" s="38" t="inlineStr">
        <is>
          <t>Infobae Colombia</t>
        </is>
      </c>
      <c r="D402" s="38" t="inlineStr">
        <is>
          <t>Respuesta a la emergencia del terremoto</t>
        </is>
      </c>
      <c r="E402" s="38" t="inlineStr">
        <is>
          <t>Noticia dura</t>
        </is>
      </c>
      <c r="F402" s="38" t="inlineStr">
        <is>
          <t>2026-09-02T22:25:03Z</t>
        </is>
      </c>
      <c r="G402" s="62" t="inlineStr">
        <is>
          <t>La solicitud formal se presentará en los próximos 15 días y el Gobierno plantea una reconstrucción con mejoramientos, vivienda nueva y recuperación de los territorios.</t>
        </is>
      </c>
      <c r="H402" s="62" t="inlineStr">
        <is>
          <t>Beltrán pidió recursos adicionales para financiar acciones de vivienda y desarrollo en las zonas afectadas por el sismo.</t>
        </is>
      </c>
      <c r="I402" s="62" t="inlineStr">
        <is>
          <t>El funcionario dijo que la petición ya se presentó al ministro de Hacienda, Miguel Gómez Martínez, para que la incluye en la discusión del Presupuesto General de la Nación (PGN) de 2027.</t>
        </is>
      </c>
      <c r="J402" s="38" t="n"/>
      <c r="K402" s="62" t="n"/>
      <c r="L402" s="38" t="n"/>
      <c r="M402" s="62" t="n"/>
      <c r="N402" s="38" t="n"/>
      <c r="O402" s="62" t="n"/>
      <c r="P402" s="38" t="n"/>
      <c r="Q402" s="62" t="n"/>
      <c r="R402" s="38" t="n"/>
      <c r="S402" s="62" t="n"/>
      <c r="T402" s="38" t="n"/>
      <c r="U402" s="62" t="n"/>
      <c r="V402" s="38" t="n"/>
      <c r="W402" s="62" t="n"/>
      <c r="X402" s="38" t="n"/>
      <c r="Y402" s="62" t="n"/>
      <c r="Z402" s="38" t="n"/>
      <c r="AA402" s="62" t="n"/>
      <c r="AB402" s="38" t="n"/>
      <c r="AC402" s="62" t="n"/>
      <c r="AD402" s="38" t="n"/>
      <c r="AE402" s="38" t="n"/>
      <c r="AF402" s="61">
        <f>IF(COUNTIF($B$5:B402,B402)=1,1,0)</f>
        <v/>
      </c>
      <c r="AG402" s="62" t="inlineStr">
        <is>
          <t>https://www.infobae.com/colombia/2026/09/02/al-ministerio-de-vivienda-no-le-alcanza-la-plata-para-atender-a-los-afectados-por-el-terremoto-700000-millones-no-es-absolutamente-nada/</t>
        </is>
      </c>
    </row>
    <row r="403" ht="15" customHeight="1" s="31">
      <c r="A403" s="38" t="inlineStr">
        <is>
          <t>ART_060</t>
        </is>
      </c>
      <c r="B403" s="38" t="inlineStr">
        <is>
          <t>ART_060_S05</t>
        </is>
      </c>
      <c r="C403" s="38" t="inlineStr">
        <is>
          <t>Infobae Colombia</t>
        </is>
      </c>
      <c r="D403" s="38" t="inlineStr">
        <is>
          <t>Respuesta a la emergencia del terremoto</t>
        </is>
      </c>
      <c r="E403" s="38" t="inlineStr">
        <is>
          <t>Noticia dura</t>
        </is>
      </c>
      <c r="F403" s="38" t="inlineStr">
        <is>
          <t>2026-09-02T22:25:03Z</t>
        </is>
      </c>
      <c r="G403" s="62" t="inlineStr">
        <is>
          <t>El funcionario dijo que la petición ya se presentó al ministro de Hacienda, Miguel Gómez Martínez, para que la incluye en la discusión del Presupuesto General de la Nación (PGN) de 2027.</t>
        </is>
      </c>
      <c r="H403" s="62" t="inlineStr">
        <is>
          <t>La solicitud formal se presentará en los próximos 15 días y el Gobierno plantea una reconstrucción con mejoramientos, vivienda nueva y recuperación de los territorios.</t>
        </is>
      </c>
      <c r="I403" s="62" t="inlineStr">
        <is>
          <t>“Nosotros le pedimos al Ministro de Hacienda $4 billones adicionales para hablar de un proceso de reconstrucción”, precisó.</t>
        </is>
      </c>
      <c r="J403" s="38" t="n"/>
      <c r="K403" s="62" t="n"/>
      <c r="L403" s="38" t="n"/>
      <c r="M403" s="62" t="n"/>
      <c r="N403" s="38" t="n"/>
      <c r="O403" s="62" t="n"/>
      <c r="P403" s="38" t="n"/>
      <c r="Q403" s="62" t="n"/>
      <c r="R403" s="38" t="n"/>
      <c r="S403" s="62" t="n"/>
      <c r="T403" s="38" t="n"/>
      <c r="U403" s="62" t="n"/>
      <c r="V403" s="38" t="n"/>
      <c r="W403" s="62" t="n"/>
      <c r="X403" s="38" t="n"/>
      <c r="Y403" s="62" t="n"/>
      <c r="Z403" s="38" t="n"/>
      <c r="AA403" s="62" t="n"/>
      <c r="AB403" s="38" t="n"/>
      <c r="AC403" s="62" t="n"/>
      <c r="AD403" s="38" t="n"/>
      <c r="AE403" s="38" t="n"/>
      <c r="AF403" s="61">
        <f>IF(COUNTIF($B$5:B403,B403)=1,1,0)</f>
        <v/>
      </c>
      <c r="AG403" s="62" t="inlineStr">
        <is>
          <t>https://www.infobae.com/colombia/2026/09/02/al-ministerio-de-vivienda-no-le-alcanza-la-plata-para-atender-a-los-afectados-por-el-terremoto-700000-millones-no-es-absolutamente-nada/</t>
        </is>
      </c>
    </row>
    <row r="404" ht="15" customHeight="1" s="31">
      <c r="A404" s="38" t="inlineStr">
        <is>
          <t>ART_060</t>
        </is>
      </c>
      <c r="B404" s="38" t="inlineStr">
        <is>
          <t>ART_060_S06</t>
        </is>
      </c>
      <c r="C404" s="38" t="inlineStr">
        <is>
          <t>Infobae Colombia</t>
        </is>
      </c>
      <c r="D404" s="38" t="inlineStr">
        <is>
          <t>Respuesta a la emergencia del terremoto</t>
        </is>
      </c>
      <c r="E404" s="38" t="inlineStr">
        <is>
          <t>Noticia dura</t>
        </is>
      </c>
      <c r="F404" s="38" t="inlineStr">
        <is>
          <t>2026-09-02T22:25:03Z</t>
        </is>
      </c>
      <c r="G404" s="62" t="inlineStr">
        <is>
          <t>“Nosotros le pedimos al Ministro de Hacienda $4 billones adicionales para hablar de un proceso de reconstrucción”, precisó.</t>
        </is>
      </c>
      <c r="H404" s="62" t="inlineStr">
        <is>
          <t>El funcionario dijo que la petición ya se presentó al ministro de Hacienda, Miguel Gómez Martínez, para que la incluye en la discusión del Presupuesto General de la Nación (PGN) de 2027.</t>
        </is>
      </c>
      <c r="I404" s="62" t="inlineStr">
        <is>
          <t>También pidió acompañamiento político y del sector privado para sostener el plan de reconstrucción.</t>
        </is>
      </c>
      <c r="J404" s="38" t="n"/>
      <c r="K404" s="62" t="n"/>
      <c r="L404" s="38" t="n"/>
      <c r="M404" s="62" t="n"/>
      <c r="N404" s="38" t="n"/>
      <c r="O404" s="62" t="n"/>
      <c r="P404" s="38" t="n"/>
      <c r="Q404" s="62" t="n"/>
      <c r="R404" s="38" t="n"/>
      <c r="S404" s="62" t="n"/>
      <c r="T404" s="38" t="n"/>
      <c r="U404" s="62" t="n"/>
      <c r="V404" s="38" t="n"/>
      <c r="W404" s="62" t="n"/>
      <c r="X404" s="38" t="n"/>
      <c r="Y404" s="62" t="n"/>
      <c r="Z404" s="38" t="n"/>
      <c r="AA404" s="62" t="n"/>
      <c r="AB404" s="38" t="n"/>
      <c r="AC404" s="62" t="n"/>
      <c r="AD404" s="38" t="n"/>
      <c r="AE404" s="38" t="n"/>
      <c r="AF404" s="61">
        <f>IF(COUNTIF($B$5:B404,B404)=1,1,0)</f>
        <v/>
      </c>
      <c r="AG404" s="62" t="inlineStr">
        <is>
          <t>https://www.infobae.com/colombia/2026/09/02/al-ministerio-de-vivienda-no-le-alcanza-la-plata-para-atender-a-los-afectados-por-el-terremoto-700000-millones-no-es-absolutamente-nada/</t>
        </is>
      </c>
    </row>
    <row r="405" ht="15" customHeight="1" s="31">
      <c r="A405" s="38" t="inlineStr">
        <is>
          <t>ART_060</t>
        </is>
      </c>
      <c r="B405" s="38" t="inlineStr">
        <is>
          <t>ART_060_S07</t>
        </is>
      </c>
      <c r="C405" s="38" t="inlineStr">
        <is>
          <t>Infobae Colombia</t>
        </is>
      </c>
      <c r="D405" s="38" t="inlineStr">
        <is>
          <t>Respuesta a la emergencia del terremoto</t>
        </is>
      </c>
      <c r="E405" s="38" t="inlineStr">
        <is>
          <t>Noticia dura</t>
        </is>
      </c>
      <c r="F405" s="38" t="inlineStr">
        <is>
          <t>2026-09-02T22:25:03Z</t>
        </is>
      </c>
      <c r="G405" s="62" t="inlineStr">
        <is>
          <t>También pidió acompañamiento político y del sector privado para sostener el plan de reconstrucción.</t>
        </is>
      </c>
      <c r="H405" s="62" t="inlineStr">
        <is>
          <t>“Nosotros le pedimos al Ministro de Hacienda $4 billones adicionales para hablar de un proceso de reconstrucción”, precisó.</t>
        </is>
      </c>
      <c r="I405" s="62" t="inlineStr">
        <is>
          <t>“Entiendo y comprendo las diferencias ideológicas y políticas que se puedan sentar sobre la mesa, pero hoy el llamado no es a pensar en el actor que está ahí sentado al frente, es a pensar en la familia que nos está esperando en el territorio”, anotó.</t>
        </is>
      </c>
      <c r="J405" s="38" t="n"/>
      <c r="K405" s="62" t="n"/>
      <c r="L405" s="38" t="n"/>
      <c r="M405" s="62" t="n"/>
      <c r="N405" s="38" t="n"/>
      <c r="O405" s="62" t="n"/>
      <c r="P405" s="38" t="n"/>
      <c r="Q405" s="62" t="n"/>
      <c r="R405" s="38" t="n"/>
      <c r="S405" s="62" t="n"/>
      <c r="T405" s="38" t="n"/>
      <c r="U405" s="62" t="n"/>
      <c r="V405" s="38" t="n"/>
      <c r="W405" s="62" t="n"/>
      <c r="X405" s="38" t="n"/>
      <c r="Y405" s="62" t="n"/>
      <c r="Z405" s="38" t="n"/>
      <c r="AA405" s="62" t="n"/>
      <c r="AB405" s="38" t="n"/>
      <c r="AC405" s="62" t="n"/>
      <c r="AD405" s="38" t="n"/>
      <c r="AE405" s="38" t="n"/>
      <c r="AF405" s="61">
        <f>IF(COUNTIF($B$5:B405,B405)=1,1,0)</f>
        <v/>
      </c>
      <c r="AG405" s="62" t="inlineStr">
        <is>
          <t>https://www.infobae.com/colombia/2026/09/02/al-ministerio-de-vivienda-no-le-alcanza-la-plata-para-atender-a-los-afectados-por-el-terremoto-700000-millones-no-es-absolutamente-nada/</t>
        </is>
      </c>
    </row>
    <row r="406" ht="15" customHeight="1" s="31">
      <c r="A406" s="38" t="inlineStr">
        <is>
          <t>ART_060</t>
        </is>
      </c>
      <c r="B406" s="38" t="inlineStr">
        <is>
          <t>ART_060_S08</t>
        </is>
      </c>
      <c r="C406" s="38" t="inlineStr">
        <is>
          <t>Infobae Colombia</t>
        </is>
      </c>
      <c r="D406" s="38" t="inlineStr">
        <is>
          <t>Respuesta a la emergencia del terremoto</t>
        </is>
      </c>
      <c r="E406" s="38" t="inlineStr">
        <is>
          <t>Noticia dura</t>
        </is>
      </c>
      <c r="F406" s="38" t="inlineStr">
        <is>
          <t>2026-09-02T22:25:03Z</t>
        </is>
      </c>
      <c r="G406" s="62" t="inlineStr">
        <is>
          <t>“Entiendo y comprendo las diferencias ideológicas y políticas que se puedan sentar sobre la mesa, pero hoy el llamado no es a pensar en el actor que está ahí sentado al frente, es a pensar en la familia que nos está esperando en el territorio”, anotó.</t>
        </is>
      </c>
      <c r="H406" s="62" t="inlineStr">
        <is>
          <t>También pidió acompañamiento político y del sector privado para sostener el plan de reconstrucción.</t>
        </is>
      </c>
      <c r="I406" s="62" t="inlineStr">
        <is>
          <t>Cali concentra los daños y expone vacíos para los estratos medios y altos</t>
        </is>
      </c>
      <c r="J406" s="38" t="n"/>
      <c r="K406" s="62" t="n"/>
      <c r="L406" s="38" t="n"/>
      <c r="M406" s="62" t="n"/>
      <c r="N406" s="38" t="n"/>
      <c r="O406" s="62" t="n"/>
      <c r="P406" s="38" t="n"/>
      <c r="Q406" s="62" t="n"/>
      <c r="R406" s="38" t="n"/>
      <c r="S406" s="62" t="n"/>
      <c r="T406" s="38" t="n"/>
      <c r="U406" s="62" t="n"/>
      <c r="V406" s="38" t="n"/>
      <c r="W406" s="62" t="n"/>
      <c r="X406" s="38" t="n"/>
      <c r="Y406" s="62" t="n"/>
      <c r="Z406" s="38" t="n"/>
      <c r="AA406" s="62" t="n"/>
      <c r="AB406" s="38" t="n"/>
      <c r="AC406" s="62" t="n"/>
      <c r="AD406" s="38" t="n"/>
      <c r="AE406" s="38" t="n"/>
      <c r="AF406" s="61">
        <f>IF(COUNTIF($B$5:B406,B406)=1,1,0)</f>
        <v/>
      </c>
      <c r="AG406" s="62" t="inlineStr">
        <is>
          <t>https://www.infobae.com/colombia/2026/09/02/al-ministerio-de-vivienda-no-le-alcanza-la-plata-para-atender-a-los-afectados-por-el-terremoto-700000-millones-no-es-absolutamente-nada/</t>
        </is>
      </c>
    </row>
    <row r="407" ht="15" customHeight="1" s="31">
      <c r="A407" s="38" t="inlineStr">
        <is>
          <t>ART_060</t>
        </is>
      </c>
      <c r="B407" s="38" t="inlineStr">
        <is>
          <t>ART_060_S09</t>
        </is>
      </c>
      <c r="C407" s="38" t="inlineStr">
        <is>
          <t>Infobae Colombia</t>
        </is>
      </c>
      <c r="D407" s="38" t="inlineStr">
        <is>
          <t>Respuesta a la emergencia del terremoto</t>
        </is>
      </c>
      <c r="E407" s="38" t="inlineStr">
        <is>
          <t>Noticia dura</t>
        </is>
      </c>
      <c r="F407" s="38" t="inlineStr">
        <is>
          <t>2026-09-02T22:25:03Z</t>
        </is>
      </c>
      <c r="G407" s="62" t="inlineStr">
        <is>
          <t>Cali concentra los daños y expone vacíos para los estratos medios y altos</t>
        </is>
      </c>
      <c r="H407" s="62" t="inlineStr">
        <is>
          <t>“Entiendo y comprendo las diferencias ideológicas y políticas que se puedan sentar sobre la mesa, pero hoy el llamado no es a pensar en el actor que está ahí sentado al frente, es a pensar en la familia que nos está esperando en el territorio”, anotó.</t>
        </is>
      </c>
      <c r="I407" s="62" t="inlineStr">
        <is>
          <t>Cali fue señalada por el ministro como el punto de mayor presión dentro del balance presentado ante la Comisión.</t>
        </is>
      </c>
      <c r="J407" s="38" t="n"/>
      <c r="K407" s="62" t="n"/>
      <c r="L407" s="38" t="n"/>
      <c r="M407" s="62" t="n"/>
      <c r="N407" s="38" t="n"/>
      <c r="O407" s="62" t="n"/>
      <c r="P407" s="38" t="n"/>
      <c r="Q407" s="62" t="n"/>
      <c r="R407" s="38" t="n"/>
      <c r="S407" s="62" t="n"/>
      <c r="T407" s="38" t="n"/>
      <c r="U407" s="62" t="n"/>
      <c r="V407" s="38" t="n"/>
      <c r="W407" s="62" t="n"/>
      <c r="X407" s="38" t="n"/>
      <c r="Y407" s="62" t="n"/>
      <c r="Z407" s="38" t="n"/>
      <c r="AA407" s="62" t="n"/>
      <c r="AB407" s="38" t="n"/>
      <c r="AC407" s="62" t="n"/>
      <c r="AD407" s="38" t="n"/>
      <c r="AE407" s="38" t="n"/>
      <c r="AF407" s="61">
        <f>IF(COUNTIF($B$5:B407,B407)=1,1,0)</f>
        <v/>
      </c>
      <c r="AG407" s="62" t="inlineStr">
        <is>
          <t>https://www.infobae.com/colombia/2026/09/02/al-ministerio-de-vivienda-no-le-alcanza-la-plata-para-atender-a-los-afectados-por-el-terremoto-700000-millones-no-es-absolutamente-nada/</t>
        </is>
      </c>
    </row>
    <row r="408" ht="15" customHeight="1" s="31">
      <c r="A408" s="38" t="inlineStr">
        <is>
          <t>ART_060</t>
        </is>
      </c>
      <c r="B408" s="38" t="inlineStr">
        <is>
          <t>ART_060_S10</t>
        </is>
      </c>
      <c r="C408" s="38" t="inlineStr">
        <is>
          <t>Infobae Colombia</t>
        </is>
      </c>
      <c r="D408" s="38" t="inlineStr">
        <is>
          <t>Respuesta a la emergencia del terremoto</t>
        </is>
      </c>
      <c r="E408" s="38" t="inlineStr">
        <is>
          <t>Noticia dura</t>
        </is>
      </c>
      <c r="F408" s="38" t="inlineStr">
        <is>
          <t>2026-09-02T22:25:03Z</t>
        </is>
      </c>
      <c r="G408" s="62" t="inlineStr">
        <is>
          <t>Cali fue señalada por el ministro como el punto de mayor presión dentro del balance presentado ante la Comisión.</t>
        </is>
      </c>
      <c r="H408" s="62" t="inlineStr">
        <is>
          <t>Cali concentra los daños y expone vacíos para los estratos medios y altos</t>
        </is>
      </c>
      <c r="I408" s="62" t="inlineStr">
        <is>
          <t>“Fue Cali, con uno de los daños más profundos que ha tenido en la historia.</t>
        </is>
      </c>
      <c r="J408" s="38" t="n"/>
      <c r="K408" s="62" t="n"/>
      <c r="L408" s="38" t="n"/>
      <c r="M408" s="62" t="n"/>
      <c r="N408" s="38" t="n"/>
      <c r="O408" s="62" t="n"/>
      <c r="P408" s="38" t="n"/>
      <c r="Q408" s="62" t="n"/>
      <c r="R408" s="38" t="n"/>
      <c r="S408" s="62" t="n"/>
      <c r="T408" s="38" t="n"/>
      <c r="U408" s="62" t="n"/>
      <c r="V408" s="38" t="n"/>
      <c r="W408" s="62" t="n"/>
      <c r="X408" s="38" t="n"/>
      <c r="Y408" s="62" t="n"/>
      <c r="Z408" s="38" t="n"/>
      <c r="AA408" s="62" t="n"/>
      <c r="AB408" s="38" t="n"/>
      <c r="AC408" s="62" t="n"/>
      <c r="AD408" s="38" t="n"/>
      <c r="AE408" s="38" t="n"/>
      <c r="AF408" s="61">
        <f>IF(COUNTIF($B$5:B408,B408)=1,1,0)</f>
        <v/>
      </c>
      <c r="AG408" s="62" t="inlineStr">
        <is>
          <t>https://www.infobae.com/colombia/2026/09/02/al-ministerio-de-vivienda-no-le-alcanza-la-plata-para-atender-a-los-afectados-por-el-terremoto-700000-millones-no-es-absolutamente-nada/</t>
        </is>
      </c>
    </row>
    <row r="409" ht="15" customHeight="1" s="31">
      <c r="A409" s="38" t="inlineStr">
        <is>
          <t>ART_060</t>
        </is>
      </c>
      <c r="B409" s="38" t="inlineStr">
        <is>
          <t>ART_060_S11</t>
        </is>
      </c>
      <c r="C409" s="38" t="inlineStr">
        <is>
          <t>Infobae Colombia</t>
        </is>
      </c>
      <c r="D409" s="38" t="inlineStr">
        <is>
          <t>Respuesta a la emergencia del terremoto</t>
        </is>
      </c>
      <c r="E409" s="38" t="inlineStr">
        <is>
          <t>Noticia dura</t>
        </is>
      </c>
      <c r="F409" s="38" t="inlineStr">
        <is>
          <t>2026-09-02T22:25:03Z</t>
        </is>
      </c>
      <c r="G409" s="62" t="inlineStr">
        <is>
          <t>“Fue Cali, con uno de los daños más profundos que ha tenido en la historia.</t>
        </is>
      </c>
      <c r="H409" s="62" t="inlineStr">
        <is>
          <t>Cali fue señalada por el ministro como el punto de mayor presión dentro del balance presentado ante la Comisión.</t>
        </is>
      </c>
      <c r="I409" s="62" t="inlineStr">
        <is>
          <t>13.051 viviendas destruidas, 53.000 averiadas”, precisó.</t>
        </is>
      </c>
      <c r="J409" s="38" t="n"/>
      <c r="K409" s="62" t="n"/>
      <c r="L409" s="38" t="n"/>
      <c r="M409" s="62" t="n"/>
      <c r="N409" s="38" t="n"/>
      <c r="O409" s="62" t="n"/>
      <c r="P409" s="38" t="n"/>
      <c r="Q409" s="62" t="n"/>
      <c r="R409" s="38" t="n"/>
      <c r="S409" s="62" t="n"/>
      <c r="T409" s="38" t="n"/>
      <c r="U409" s="62" t="n"/>
      <c r="V409" s="38" t="n"/>
      <c r="W409" s="62" t="n"/>
      <c r="X409" s="38" t="n"/>
      <c r="Y409" s="62" t="n"/>
      <c r="Z409" s="38" t="n"/>
      <c r="AA409" s="62" t="n"/>
      <c r="AB409" s="38" t="n"/>
      <c r="AC409" s="62" t="n"/>
      <c r="AD409" s="38" t="n"/>
      <c r="AE409" s="38" t="n"/>
      <c r="AF409" s="61">
        <f>IF(COUNTIF($B$5:B409,B409)=1,1,0)</f>
        <v/>
      </c>
      <c r="AG409" s="62" t="inlineStr">
        <is>
          <t>https://www.infobae.com/colombia/2026/09/02/al-ministerio-de-vivienda-no-le-alcanza-la-plata-para-atender-a-los-afectados-por-el-terremoto-700000-millones-no-es-absolutamente-nada/</t>
        </is>
      </c>
    </row>
    <row r="410" ht="15" customHeight="1" s="31">
      <c r="A410" s="38" t="inlineStr">
        <is>
          <t>ART_060</t>
        </is>
      </c>
      <c r="B410" s="38" t="inlineStr">
        <is>
          <t>ART_060_S12</t>
        </is>
      </c>
      <c r="C410" s="38" t="inlineStr">
        <is>
          <t>Infobae Colombia</t>
        </is>
      </c>
      <c r="D410" s="38" t="inlineStr">
        <is>
          <t>Respuesta a la emergencia del terremoto</t>
        </is>
      </c>
      <c r="E410" s="38" t="inlineStr">
        <is>
          <t>Noticia dura</t>
        </is>
      </c>
      <c r="F410" s="38" t="inlineStr">
        <is>
          <t>2026-09-02T22:25:03Z</t>
        </is>
      </c>
      <c r="G410" s="62" t="inlineStr">
        <is>
          <t>13.051 viviendas destruidas, 53.000 averiadas”, precisó.</t>
        </is>
      </c>
      <c r="H410" s="62" t="inlineStr">
        <is>
          <t>“Fue Cali, con uno de los daños más profundos que ha tenido en la historia.</t>
        </is>
      </c>
      <c r="I410" s="62" t="n"/>
      <c r="J410" s="38" t="n"/>
      <c r="K410" s="62" t="n"/>
      <c r="L410" s="38" t="n"/>
      <c r="M410" s="62" t="n"/>
      <c r="N410" s="38" t="n"/>
      <c r="O410" s="62" t="n"/>
      <c r="P410" s="38" t="n"/>
      <c r="Q410" s="62" t="n"/>
      <c r="R410" s="38" t="n"/>
      <c r="S410" s="62" t="n"/>
      <c r="T410" s="38" t="n"/>
      <c r="U410" s="62" t="n"/>
      <c r="V410" s="38" t="n"/>
      <c r="W410" s="62" t="n"/>
      <c r="X410" s="38" t="n"/>
      <c r="Y410" s="62" t="n"/>
      <c r="Z410" s="38" t="n"/>
      <c r="AA410" s="62" t="n"/>
      <c r="AB410" s="38" t="n"/>
      <c r="AC410" s="62" t="n"/>
      <c r="AD410" s="38" t="n"/>
      <c r="AE410" s="38" t="n"/>
      <c r="AF410" s="61">
        <f>IF(COUNTIF($B$5:B410,B410)=1,1,0)</f>
        <v/>
      </c>
      <c r="AG410" s="62" t="inlineStr">
        <is>
          <t>https://www.infobae.com/colombia/2026/09/02/al-ministerio-de-vivienda-no-le-alcanza-la-plata-para-atender-a-los-afectados-por-el-terremoto-700000-millones-no-es-absolutamente-nada/</t>
        </is>
      </c>
    </row>
    <row r="411" ht="15" customHeight="1" s="31">
      <c r="A411" s="38" t="inlineStr">
        <is>
          <t>ART_061</t>
        </is>
      </c>
      <c r="B411" s="38" t="inlineStr">
        <is>
          <t>ART_061_S01</t>
        </is>
      </c>
      <c r="C411" s="38" t="inlineStr">
        <is>
          <t>Infobae Colombia</t>
        </is>
      </c>
      <c r="D411" s="38" t="inlineStr">
        <is>
          <t>Respuesta a la emergencia del terremoto</t>
        </is>
      </c>
      <c r="E411" s="38" t="inlineStr">
        <is>
          <t>Noticia dura</t>
        </is>
      </c>
      <c r="F411" s="38" t="inlineStr">
        <is>
          <t>2026-09-01T15:12:58Z</t>
        </is>
      </c>
      <c r="G411" s="62" t="inlineStr">
        <is>
          <t>Cali evalúa demoliciones tras el terremoto de 7,4 que dejó cerca de 12.000 viviendas afectadas con daños de distinta gravedad, según el censo preliminar de Camacol Valle (Cámara Colombiana de la Construcción).</t>
        </is>
      </c>
      <c r="H411" s="62" t="n"/>
      <c r="I411" s="62" t="inlineStr">
        <is>
          <t>Ingenieros estructurales y arquitectos revisarán cuáles presentan problemas complejos y cuáles podrían requerir demolición.</t>
        </is>
      </c>
      <c r="J411" s="38" t="n"/>
      <c r="K411" s="62" t="n"/>
      <c r="L411" s="38" t="n"/>
      <c r="M411" s="62" t="n"/>
      <c r="N411" s="38" t="n"/>
      <c r="O411" s="62" t="n"/>
      <c r="P411" s="38" t="n"/>
      <c r="Q411" s="62" t="n"/>
      <c r="R411" s="38" t="n"/>
      <c r="S411" s="62" t="n"/>
      <c r="T411" s="38" t="n"/>
      <c r="U411" s="62" t="n"/>
      <c r="V411" s="38" t="n"/>
      <c r="W411" s="62" t="n"/>
      <c r="X411" s="38" t="n"/>
      <c r="Y411" s="62" t="n"/>
      <c r="Z411" s="38" t="n"/>
      <c r="AA411" s="62" t="n"/>
      <c r="AB411" s="38" t="n"/>
      <c r="AC411" s="62" t="n"/>
      <c r="AD411" s="38" t="n"/>
      <c r="AE411" s="38" t="n"/>
      <c r="AF411" s="61">
        <f>IF(COUNTIF($B$5:B411,B411)=1,1,0)</f>
        <v/>
      </c>
      <c r="AG411" s="62" t="inlineStr">
        <is>
          <t>https://www.infobae.com/colombia/2026/09/01/camacol-hizo-balance-de-las-viviendas-afectadas-por-el-terremoto-en-cali-explico-por-que-tantos-edificios-colapsaron-en-esa-ciudad/</t>
        </is>
      </c>
    </row>
    <row r="412" ht="15" customHeight="1" s="31">
      <c r="A412" s="38" t="inlineStr">
        <is>
          <t>ART_061</t>
        </is>
      </c>
      <c r="B412" s="38" t="inlineStr">
        <is>
          <t>ART_061_S02</t>
        </is>
      </c>
      <c r="C412" s="38" t="inlineStr">
        <is>
          <t>Infobae Colombia</t>
        </is>
      </c>
      <c r="D412" s="38" t="inlineStr">
        <is>
          <t>Respuesta a la emergencia del terremoto</t>
        </is>
      </c>
      <c r="E412" s="38" t="inlineStr">
        <is>
          <t>Noticia dura</t>
        </is>
      </c>
      <c r="F412" s="38" t="inlineStr">
        <is>
          <t>2026-09-01T15:12:58Z</t>
        </is>
      </c>
      <c r="G412" s="62" t="inlineStr">
        <is>
          <t>Ingenieros estructurales y arquitectos revisarán cuáles presentan problemas complejos y cuáles podrían requerir demolición.</t>
        </is>
      </c>
      <c r="H412" s="62" t="inlineStr">
        <is>
          <t>Cali evalúa demoliciones tras el terremoto de 7,4 que dejó cerca de 12.000 viviendas afectadas con daños de distinta gravedad, según el censo preliminar de Camacol Valle (Cámara Colombiana de la Construcción).</t>
        </is>
      </c>
      <c r="I412" s="62" t="n"/>
      <c r="J412" s="38" t="n"/>
      <c r="K412" s="62" t="n"/>
      <c r="L412" s="38" t="n"/>
      <c r="M412" s="62" t="n"/>
      <c r="N412" s="38" t="n"/>
      <c r="O412" s="62" t="n"/>
      <c r="P412" s="38" t="n"/>
      <c r="Q412" s="62" t="n"/>
      <c r="R412" s="38" t="n"/>
      <c r="S412" s="62" t="n"/>
      <c r="T412" s="38" t="n"/>
      <c r="U412" s="62" t="n"/>
      <c r="V412" s="38" t="n"/>
      <c r="W412" s="62" t="n"/>
      <c r="X412" s="38" t="n"/>
      <c r="Y412" s="62" t="n"/>
      <c r="Z412" s="38" t="n"/>
      <c r="AA412" s="62" t="n"/>
      <c r="AB412" s="38" t="n"/>
      <c r="AC412" s="62" t="n"/>
      <c r="AD412" s="38" t="n"/>
      <c r="AE412" s="38" t="n"/>
      <c r="AF412" s="61">
        <f>IF(COUNTIF($B$5:B412,B412)=1,1,0)</f>
        <v/>
      </c>
      <c r="AG412" s="62" t="inlineStr">
        <is>
          <t>https://www.infobae.com/colombia/2026/09/01/camacol-hizo-balance-de-las-viviendas-afectadas-por-el-terremoto-en-cali-explico-por-que-tantos-edificios-colapsaron-en-esa-ciudad/</t>
        </is>
      </c>
    </row>
    <row r="413" ht="15" customHeight="1" s="31">
      <c r="A413" s="38" t="inlineStr">
        <is>
          <t>ART_062</t>
        </is>
      </c>
      <c r="B413" s="38" t="inlineStr">
        <is>
          <t>ART_062_S01</t>
        </is>
      </c>
      <c r="C413" s="38" t="inlineStr">
        <is>
          <t>Infobae Colombia</t>
        </is>
      </c>
      <c r="D413" s="38" t="inlineStr">
        <is>
          <t>Reformas sociales en disputa (pensional/tributaria)</t>
        </is>
      </c>
      <c r="E413" s="38" t="inlineStr">
        <is>
          <t>Noticia dura</t>
        </is>
      </c>
      <c r="F413" s="38" t="inlineStr">
        <is>
          <t>2026-08-26T12:31:03Z</t>
        </is>
      </c>
      <c r="G413" s="62" t="inlineStr">
        <is>
          <t>El martes 25 de agosto de 2026, la Corte Constitucional avaló la reforma pensional promovida durante el gobierno del expresidente Gustavo Petro, aunque devolvió al menos nueve artículos al Congreso de la República para que sean corregidos.</t>
        </is>
      </c>
      <c r="H413" s="62" t="n"/>
      <c r="I413" s="62" t="inlineStr">
        <is>
          <t>La decisión generó diversas reacciones en el sector político.</t>
        </is>
      </c>
      <c r="J413" s="38" t="n"/>
      <c r="K413" s="62" t="n"/>
      <c r="L413" s="38" t="n"/>
      <c r="M413" s="62" t="n"/>
      <c r="N413" s="38" t="n"/>
      <c r="O413" s="62" t="n"/>
      <c r="P413" s="38" t="n"/>
      <c r="Q413" s="62" t="n"/>
      <c r="R413" s="38" t="n"/>
      <c r="S413" s="62" t="n"/>
      <c r="T413" s="38" t="n"/>
      <c r="U413" s="62" t="n"/>
      <c r="V413" s="38" t="n"/>
      <c r="W413" s="62" t="n"/>
      <c r="X413" s="38" t="n"/>
      <c r="Y413" s="62" t="n"/>
      <c r="Z413" s="38" t="n"/>
      <c r="AA413" s="62" t="n"/>
      <c r="AB413" s="38" t="n"/>
      <c r="AC413" s="62" t="n"/>
      <c r="AD413" s="38" t="n"/>
      <c r="AE413" s="38" t="n"/>
      <c r="AF413" s="61">
        <f>IF(COUNTIF($B$5:B413,B413)=1,1,0)</f>
        <v/>
      </c>
      <c r="AG413" s="62" t="inlineStr">
        <is>
          <t>https://www.infobae.com/colombia/2026/08/26/la-corte-constitucional-aprobo-la-reforma-pensional-de-petro-y-asi-reacciono-el-pais-politico-preocupante/</t>
        </is>
      </c>
    </row>
    <row r="414" ht="15" customHeight="1" s="31">
      <c r="A414" s="38" t="inlineStr">
        <is>
          <t>ART_062</t>
        </is>
      </c>
      <c r="B414" s="38" t="inlineStr">
        <is>
          <t>ART_062_S02</t>
        </is>
      </c>
      <c r="C414" s="38" t="inlineStr">
        <is>
          <t>Infobae Colombia</t>
        </is>
      </c>
      <c r="D414" s="38" t="inlineStr">
        <is>
          <t>Reformas sociales en disputa (pensional/tributaria)</t>
        </is>
      </c>
      <c r="E414" s="38" t="inlineStr">
        <is>
          <t>Noticia dura</t>
        </is>
      </c>
      <c r="F414" s="38" t="inlineStr">
        <is>
          <t>2026-08-26T12:31:03Z</t>
        </is>
      </c>
      <c r="G414" s="62" t="inlineStr">
        <is>
          <t>La decisión generó diversas reacciones en el sector político.</t>
        </is>
      </c>
      <c r="H414" s="62" t="inlineStr">
        <is>
          <t>El martes 25 de agosto de 2026, la Corte Constitucional avaló la reforma pensional promovida durante el gobierno del expresidente Gustavo Petro, aunque devolvió al menos nueve artículos al Congreso de la República para que sean corregidos.</t>
        </is>
      </c>
      <c r="I414" s="62" t="inlineStr">
        <is>
          <t>María Clara Posada, senadora del Centro Democrático, anunció que presentará un proyecto de ley para “modificar los dos aspectos más críticos del proyecto”, según sus declaraciones.</t>
        </is>
      </c>
      <c r="J414" s="38" t="n"/>
      <c r="K414" s="62" t="n"/>
      <c r="L414" s="38" t="n"/>
      <c r="M414" s="62" t="n"/>
      <c r="N414" s="38" t="n"/>
      <c r="O414" s="62" t="n"/>
      <c r="P414" s="38" t="n"/>
      <c r="Q414" s="62" t="n"/>
      <c r="R414" s="38" t="n"/>
      <c r="S414" s="62" t="n"/>
      <c r="T414" s="38" t="n"/>
      <c r="U414" s="62" t="n"/>
      <c r="V414" s="38" t="n"/>
      <c r="W414" s="62" t="n"/>
      <c r="X414" s="38" t="n"/>
      <c r="Y414" s="62" t="n"/>
      <c r="Z414" s="38" t="n"/>
      <c r="AA414" s="62" t="n"/>
      <c r="AB414" s="38" t="n"/>
      <c r="AC414" s="62" t="n"/>
      <c r="AD414" s="38" t="n"/>
      <c r="AE414" s="38" t="n"/>
      <c r="AF414" s="61">
        <f>IF(COUNTIF($B$5:B414,B414)=1,1,0)</f>
        <v/>
      </c>
      <c r="AG414" s="62" t="inlineStr">
        <is>
          <t>https://www.infobae.com/colombia/2026/08/26/la-corte-constitucional-aprobo-la-reforma-pensional-de-petro-y-asi-reacciono-el-pais-politico-preocupante/</t>
        </is>
      </c>
    </row>
    <row r="415" ht="15" customHeight="1" s="31">
      <c r="A415" s="38" t="inlineStr">
        <is>
          <t>ART_062</t>
        </is>
      </c>
      <c r="B415" s="38" t="inlineStr">
        <is>
          <t>ART_062_S03</t>
        </is>
      </c>
      <c r="C415" s="38" t="inlineStr">
        <is>
          <t>Infobae Colombia</t>
        </is>
      </c>
      <c r="D415" s="38" t="inlineStr">
        <is>
          <t>Reformas sociales en disputa (pensional/tributaria)</t>
        </is>
      </c>
      <c r="E415" s="38" t="inlineStr">
        <is>
          <t>Noticia dura</t>
        </is>
      </c>
      <c r="F415" s="38" t="inlineStr">
        <is>
          <t>2026-08-26T12:31:03Z</t>
        </is>
      </c>
      <c r="G415" s="62" t="inlineStr">
        <is>
          <t>María Clara Posada, senadora del Centro Democrático, anunció que presentará un proyecto de ley para “modificar los dos aspectos más críticos del proyecto”, según sus declaraciones.</t>
        </is>
      </c>
      <c r="H415" s="62" t="inlineStr">
        <is>
          <t>La decisión generó diversas reacciones en el sector político.</t>
        </is>
      </c>
      <c r="I415" s="62" t="inlineStr">
        <is>
          <t>“1.</t>
        </is>
      </c>
      <c r="J415" s="38" t="n"/>
      <c r="K415" s="62" t="n"/>
      <c r="L415" s="38" t="n"/>
      <c r="M415" s="62" t="n"/>
      <c r="N415" s="38" t="n"/>
      <c r="O415" s="62" t="n"/>
      <c r="P415" s="38" t="n"/>
      <c r="Q415" s="62" t="n"/>
      <c r="R415" s="38" t="n"/>
      <c r="S415" s="62" t="n"/>
      <c r="T415" s="38" t="n"/>
      <c r="U415" s="62" t="n"/>
      <c r="V415" s="38" t="n"/>
      <c r="W415" s="62" t="n"/>
      <c r="X415" s="38" t="n"/>
      <c r="Y415" s="62" t="n"/>
      <c r="Z415" s="38" t="n"/>
      <c r="AA415" s="62" t="n"/>
      <c r="AB415" s="38" t="n"/>
      <c r="AC415" s="62" t="n"/>
      <c r="AD415" s="38" t="n"/>
      <c r="AE415" s="38" t="n"/>
      <c r="AF415" s="61">
        <f>IF(COUNTIF($B$5:B415,B415)=1,1,0)</f>
        <v/>
      </c>
      <c r="AG415" s="62" t="inlineStr">
        <is>
          <t>https://www.infobae.com/colombia/2026/08/26/la-corte-constitucional-aprobo-la-reforma-pensional-de-petro-y-asi-reacciono-el-pais-politico-preocupante/</t>
        </is>
      </c>
    </row>
    <row r="416" ht="15" customHeight="1" s="31">
      <c r="A416" s="38" t="inlineStr">
        <is>
          <t>ART_062</t>
        </is>
      </c>
      <c r="B416" s="38" t="inlineStr">
        <is>
          <t>ART_062_S04</t>
        </is>
      </c>
      <c r="C416" s="38" t="inlineStr">
        <is>
          <t>Infobae Colombia</t>
        </is>
      </c>
      <c r="D416" s="38" t="inlineStr">
        <is>
          <t>Reformas sociales en disputa (pensional/tributaria)</t>
        </is>
      </c>
      <c r="E416" s="38" t="inlineStr">
        <is>
          <t>Noticia dura</t>
        </is>
      </c>
      <c r="F416" s="38" t="inlineStr">
        <is>
          <t>2026-08-26T12:31:03Z</t>
        </is>
      </c>
      <c r="G416" s="62" t="inlineStr">
        <is>
          <t>“1.</t>
        </is>
      </c>
      <c r="H416" s="62" t="inlineStr">
        <is>
          <t>María Clara Posada, senadora del Centro Democrático, anunció que presentará un proyecto de ley para “modificar los dos aspectos más críticos del proyecto”, según sus declaraciones.</t>
        </is>
      </c>
      <c r="I416" s="62" t="inlineStr">
        <is>
          <t>Se le debe devolver el ahorro a las personas que no logran cumplir los requisitos para pensionarse.</t>
        </is>
      </c>
      <c r="J416" s="38" t="n"/>
      <c r="K416" s="62" t="n"/>
      <c r="L416" s="38" t="n"/>
      <c r="M416" s="62" t="n"/>
      <c r="N416" s="38" t="n"/>
      <c r="O416" s="62" t="n"/>
      <c r="P416" s="38" t="n"/>
      <c r="Q416" s="62" t="n"/>
      <c r="R416" s="38" t="n"/>
      <c r="S416" s="62" t="n"/>
      <c r="T416" s="38" t="n"/>
      <c r="U416" s="62" t="n"/>
      <c r="V416" s="38" t="n"/>
      <c r="W416" s="62" t="n"/>
      <c r="X416" s="38" t="n"/>
      <c r="Y416" s="62" t="n"/>
      <c r="Z416" s="38" t="n"/>
      <c r="AA416" s="62" t="n"/>
      <c r="AB416" s="38" t="n"/>
      <c r="AC416" s="62" t="n"/>
      <c r="AD416" s="38" t="n"/>
      <c r="AE416" s="38" t="n"/>
      <c r="AF416" s="61">
        <f>IF(COUNTIF($B$5:B416,B416)=1,1,0)</f>
        <v/>
      </c>
      <c r="AG416" s="62" t="inlineStr">
        <is>
          <t>https://www.infobae.com/colombia/2026/08/26/la-corte-constitucional-aprobo-la-reforma-pensional-de-petro-y-asi-reacciono-el-pais-politico-preocupante/</t>
        </is>
      </c>
    </row>
    <row r="417" ht="15" customHeight="1" s="31">
      <c r="A417" s="38" t="inlineStr">
        <is>
          <t>ART_062</t>
        </is>
      </c>
      <c r="B417" s="38" t="inlineStr">
        <is>
          <t>ART_062_S05</t>
        </is>
      </c>
      <c r="C417" s="38" t="inlineStr">
        <is>
          <t>Infobae Colombia</t>
        </is>
      </c>
      <c r="D417" s="38" t="inlineStr">
        <is>
          <t>Reformas sociales en disputa (pensional/tributaria)</t>
        </is>
      </c>
      <c r="E417" s="38" t="inlineStr">
        <is>
          <t>Noticia dura</t>
        </is>
      </c>
      <c r="F417" s="38" t="inlineStr">
        <is>
          <t>2026-08-26T12:31:03Z</t>
        </is>
      </c>
      <c r="G417" s="62" t="inlineStr">
        <is>
          <t>Se le debe devolver el ahorro a las personas que no logran cumplir los requisitos para pensionarse.</t>
        </is>
      </c>
      <c r="H417" s="62" t="inlineStr">
        <is>
          <t>“1.</t>
        </is>
      </c>
      <c r="I417" s="62" t="inlineStr">
        <is>
          <t>Actualmente funciona así, pero la Reforma le roba los recursos y lo cambia por un subsidio mínimo.</t>
        </is>
      </c>
      <c r="J417" s="38" t="n"/>
      <c r="K417" s="62" t="n"/>
      <c r="L417" s="38" t="n"/>
      <c r="M417" s="62" t="n"/>
      <c r="N417" s="38" t="n"/>
      <c r="O417" s="62" t="n"/>
      <c r="P417" s="38" t="n"/>
      <c r="Q417" s="62" t="n"/>
      <c r="R417" s="38" t="n"/>
      <c r="S417" s="62" t="n"/>
      <c r="T417" s="38" t="n"/>
      <c r="U417" s="62" t="n"/>
      <c r="V417" s="38" t="n"/>
      <c r="W417" s="62" t="n"/>
      <c r="X417" s="38" t="n"/>
      <c r="Y417" s="62" t="n"/>
      <c r="Z417" s="38" t="n"/>
      <c r="AA417" s="62" t="n"/>
      <c r="AB417" s="38" t="n"/>
      <c r="AC417" s="62" t="n"/>
      <c r="AD417" s="38" t="n"/>
      <c r="AE417" s="38" t="n"/>
      <c r="AF417" s="61">
        <f>IF(COUNTIF($B$5:B417,B417)=1,1,0)</f>
        <v/>
      </c>
      <c r="AG417" s="62" t="inlineStr">
        <is>
          <t>https://www.infobae.com/colombia/2026/08/26/la-corte-constitucional-aprobo-la-reforma-pensional-de-petro-y-asi-reacciono-el-pais-politico-preocupante/</t>
        </is>
      </c>
    </row>
    <row r="418" ht="15" customHeight="1" s="31">
      <c r="A418" s="38" t="inlineStr">
        <is>
          <t>ART_062</t>
        </is>
      </c>
      <c r="B418" s="38" t="inlineStr">
        <is>
          <t>ART_062_S06</t>
        </is>
      </c>
      <c r="C418" s="38" t="inlineStr">
        <is>
          <t>Infobae Colombia</t>
        </is>
      </c>
      <c r="D418" s="38" t="inlineStr">
        <is>
          <t>Reformas sociales en disputa (pensional/tributaria)</t>
        </is>
      </c>
      <c r="E418" s="38" t="inlineStr">
        <is>
          <t>Noticia dura</t>
        </is>
      </c>
      <c r="F418" s="38" t="inlineStr">
        <is>
          <t>2026-08-26T12:31:03Z</t>
        </is>
      </c>
      <c r="G418" s="62" t="inlineStr">
        <is>
          <t>Actualmente funciona así, pero la Reforma le roba los recursos y lo cambia por un subsidio mínimo.</t>
        </is>
      </c>
      <c r="H418" s="62" t="inlineStr">
        <is>
          <t>Se le debe devolver el ahorro a las personas que no logran cumplir los requisitos para pensionarse.</t>
        </is>
      </c>
      <c r="I418" s="62" t="inlineStr">
        <is>
          <t>2. ⁠El umbral mínimo de cotización en Colpensiones debe ser de 1 salario mínimo.</t>
        </is>
      </c>
      <c r="J418" s="38" t="n"/>
      <c r="K418" s="62" t="n"/>
      <c r="L418" s="38" t="n"/>
      <c r="M418" s="62" t="n"/>
      <c r="N418" s="38" t="n"/>
      <c r="O418" s="62" t="n"/>
      <c r="P418" s="38" t="n"/>
      <c r="Q418" s="62" t="n"/>
      <c r="R418" s="38" t="n"/>
      <c r="S418" s="62" t="n"/>
      <c r="T418" s="38" t="n"/>
      <c r="U418" s="62" t="n"/>
      <c r="V418" s="38" t="n"/>
      <c r="W418" s="62" t="n"/>
      <c r="X418" s="38" t="n"/>
      <c r="Y418" s="62" t="n"/>
      <c r="Z418" s="38" t="n"/>
      <c r="AA418" s="62" t="n"/>
      <c r="AB418" s="38" t="n"/>
      <c r="AC418" s="62" t="n"/>
      <c r="AD418" s="38" t="n"/>
      <c r="AE418" s="38" t="n"/>
      <c r="AF418" s="61">
        <f>IF(COUNTIF($B$5:B418,B418)=1,1,0)</f>
        <v/>
      </c>
      <c r="AG418" s="62" t="inlineStr">
        <is>
          <t>https://www.infobae.com/colombia/2026/08/26/la-corte-constitucional-aprobo-la-reforma-pensional-de-petro-y-asi-reacciono-el-pais-politico-preocupante/</t>
        </is>
      </c>
    </row>
    <row r="419" ht="15" customHeight="1" s="31">
      <c r="A419" s="38" t="inlineStr">
        <is>
          <t>ART_062</t>
        </is>
      </c>
      <c r="B419" s="38" t="inlineStr">
        <is>
          <t>ART_062_S07</t>
        </is>
      </c>
      <c r="C419" s="38" t="inlineStr">
        <is>
          <t>Infobae Colombia</t>
        </is>
      </c>
      <c r="D419" s="38" t="inlineStr">
        <is>
          <t>Reformas sociales en disputa (pensional/tributaria)</t>
        </is>
      </c>
      <c r="E419" s="38" t="inlineStr">
        <is>
          <t>Noticia dura</t>
        </is>
      </c>
      <c r="F419" s="38" t="inlineStr">
        <is>
          <t>2026-08-26T12:31:03Z</t>
        </is>
      </c>
      <c r="G419" s="62" t="inlineStr">
        <is>
          <t>2. ⁠El umbral mínimo de cotización en Colpensiones debe ser de 1 salario mínimo.</t>
        </is>
      </c>
      <c r="H419" s="62" t="inlineStr">
        <is>
          <t>Actualmente funciona así, pero la Reforma le roba los recursos y lo cambia por un subsidio mínimo.</t>
        </is>
      </c>
      <c r="I419" s="62" t="inlineStr">
        <is>
          <t>Los recursos del Estado deben enfocarse en garantizar los recursos para los más vulnerables (sic)“, explicó la senadora.</t>
        </is>
      </c>
      <c r="J419" s="38" t="n"/>
      <c r="K419" s="62" t="n"/>
      <c r="L419" s="38" t="n"/>
      <c r="M419" s="62" t="n"/>
      <c r="N419" s="38" t="n"/>
      <c r="O419" s="62" t="n"/>
      <c r="P419" s="38" t="n"/>
      <c r="Q419" s="62" t="n"/>
      <c r="R419" s="38" t="n"/>
      <c r="S419" s="62" t="n"/>
      <c r="T419" s="38" t="n"/>
      <c r="U419" s="62" t="n"/>
      <c r="V419" s="38" t="n"/>
      <c r="W419" s="62" t="n"/>
      <c r="X419" s="38" t="n"/>
      <c r="Y419" s="62" t="n"/>
      <c r="Z419" s="38" t="n"/>
      <c r="AA419" s="62" t="n"/>
      <c r="AB419" s="38" t="n"/>
      <c r="AC419" s="62" t="n"/>
      <c r="AD419" s="38" t="n"/>
      <c r="AE419" s="38" t="n"/>
      <c r="AF419" s="61">
        <f>IF(COUNTIF($B$5:B419,B419)=1,1,0)</f>
        <v/>
      </c>
      <c r="AG419" s="62" t="inlineStr">
        <is>
          <t>https://www.infobae.com/colombia/2026/08/26/la-corte-constitucional-aprobo-la-reforma-pensional-de-petro-y-asi-reacciono-el-pais-politico-preocupante/</t>
        </is>
      </c>
    </row>
    <row r="420" ht="15" customHeight="1" s="31">
      <c r="A420" s="38" t="inlineStr">
        <is>
          <t>ART_062</t>
        </is>
      </c>
      <c r="B420" s="38" t="inlineStr">
        <is>
          <t>ART_062_S08</t>
        </is>
      </c>
      <c r="C420" s="38" t="inlineStr">
        <is>
          <t>Infobae Colombia</t>
        </is>
      </c>
      <c r="D420" s="38" t="inlineStr">
        <is>
          <t>Reformas sociales en disputa (pensional/tributaria)</t>
        </is>
      </c>
      <c r="E420" s="38" t="inlineStr">
        <is>
          <t>Noticia dura</t>
        </is>
      </c>
      <c r="F420" s="38" t="inlineStr">
        <is>
          <t>2026-08-26T12:31:03Z</t>
        </is>
      </c>
      <c r="G420" s="62" t="inlineStr">
        <is>
          <t>Los recursos del Estado deben enfocarse en garantizar los recursos para los más vulnerables (sic)“, explicó la senadora.</t>
        </is>
      </c>
      <c r="H420" s="62" t="inlineStr">
        <is>
          <t>2. ⁠El umbral mínimo de cotización en Colpensiones debe ser de 1 salario mínimo.</t>
        </is>
      </c>
      <c r="I420" s="62" t="inlineStr">
        <is>
          <t>Andrés Camacho, exministro de Minas y Energía, celebró la decisión de la Corte Constitucional y la calificó como un “triunfo” para los trabajadores del país.</t>
        </is>
      </c>
      <c r="J420" s="38" t="n"/>
      <c r="K420" s="62" t="n"/>
      <c r="L420" s="38" t="n"/>
      <c r="M420" s="62" t="n"/>
      <c r="N420" s="38" t="n"/>
      <c r="O420" s="62" t="n"/>
      <c r="P420" s="38" t="n"/>
      <c r="Q420" s="62" t="n"/>
      <c r="R420" s="38" t="n"/>
      <c r="S420" s="62" t="n"/>
      <c r="T420" s="38" t="n"/>
      <c r="U420" s="62" t="n"/>
      <c r="V420" s="38" t="n"/>
      <c r="W420" s="62" t="n"/>
      <c r="X420" s="38" t="n"/>
      <c r="Y420" s="62" t="n"/>
      <c r="Z420" s="38" t="n"/>
      <c r="AA420" s="62" t="n"/>
      <c r="AB420" s="38" t="n"/>
      <c r="AC420" s="62" t="n"/>
      <c r="AD420" s="38" t="n"/>
      <c r="AE420" s="38" t="n"/>
      <c r="AF420" s="61">
        <f>IF(COUNTIF($B$5:B420,B420)=1,1,0)</f>
        <v/>
      </c>
      <c r="AG420" s="62" t="inlineStr">
        <is>
          <t>https://www.infobae.com/colombia/2026/08/26/la-corte-constitucional-aprobo-la-reforma-pensional-de-petro-y-asi-reacciono-el-pais-politico-preocupante/</t>
        </is>
      </c>
    </row>
    <row r="421" ht="15" customHeight="1" s="31">
      <c r="A421" s="38" t="inlineStr">
        <is>
          <t>ART_062</t>
        </is>
      </c>
      <c r="B421" s="38" t="inlineStr">
        <is>
          <t>ART_062_S09</t>
        </is>
      </c>
      <c r="C421" s="38" t="inlineStr">
        <is>
          <t>Infobae Colombia</t>
        </is>
      </c>
      <c r="D421" s="38" t="inlineStr">
        <is>
          <t>Reformas sociales en disputa (pensional/tributaria)</t>
        </is>
      </c>
      <c r="E421" s="38" t="inlineStr">
        <is>
          <t>Noticia dura</t>
        </is>
      </c>
      <c r="F421" s="38" t="inlineStr">
        <is>
          <t>2026-08-26T12:31:03Z</t>
        </is>
      </c>
      <c r="G421" s="62" t="inlineStr">
        <is>
          <t>Andrés Camacho, exministro de Minas y Energía, celebró la decisión de la Corte Constitucional y la calificó como un “triunfo” para los trabajadores del país.</t>
        </is>
      </c>
      <c r="H421" s="62" t="inlineStr">
        <is>
          <t>Los recursos del Estado deben enfocarse en garantizar los recursos para los más vulnerables (sic)“, explicó la senadora.</t>
        </is>
      </c>
      <c r="I421" s="62" t="inlineStr">
        <is>
          <t>“Un enorme triunfo para el país, la aprobación de la Reforma Pensional por parte de la Corte Constitucional deja en firme una de las grandes transformaciones del Presidente Gustavo Petro.</t>
        </is>
      </c>
      <c r="J421" s="38" t="n"/>
      <c r="K421" s="62" t="n"/>
      <c r="L421" s="38" t="n"/>
      <c r="M421" s="62" t="n"/>
      <c r="N421" s="38" t="n"/>
      <c r="O421" s="62" t="n"/>
      <c r="P421" s="38" t="n"/>
      <c r="Q421" s="62" t="n"/>
      <c r="R421" s="38" t="n"/>
      <c r="S421" s="62" t="n"/>
      <c r="T421" s="38" t="n"/>
      <c r="U421" s="62" t="n"/>
      <c r="V421" s="38" t="n"/>
      <c r="W421" s="62" t="n"/>
      <c r="X421" s="38" t="n"/>
      <c r="Y421" s="62" t="n"/>
      <c r="Z421" s="38" t="n"/>
      <c r="AA421" s="62" t="n"/>
      <c r="AB421" s="38" t="n"/>
      <c r="AC421" s="62" t="n"/>
      <c r="AD421" s="38" t="n"/>
      <c r="AE421" s="38" t="n"/>
      <c r="AF421" s="61">
        <f>IF(COUNTIF($B$5:B421,B421)=1,1,0)</f>
        <v/>
      </c>
      <c r="AG421" s="62" t="inlineStr">
        <is>
          <t>https://www.infobae.com/colombia/2026/08/26/la-corte-constitucional-aprobo-la-reforma-pensional-de-petro-y-asi-reacciono-el-pais-politico-preocupante/</t>
        </is>
      </c>
    </row>
    <row r="422" ht="15" customHeight="1" s="31">
      <c r="A422" s="38" t="inlineStr">
        <is>
          <t>ART_062</t>
        </is>
      </c>
      <c r="B422" s="38" t="inlineStr">
        <is>
          <t>ART_062_S10</t>
        </is>
      </c>
      <c r="C422" s="38" t="inlineStr">
        <is>
          <t>Infobae Colombia</t>
        </is>
      </c>
      <c r="D422" s="38" t="inlineStr">
        <is>
          <t>Reformas sociales en disputa (pensional/tributaria)</t>
        </is>
      </c>
      <c r="E422" s="38" t="inlineStr">
        <is>
          <t>Noticia dura</t>
        </is>
      </c>
      <c r="F422" s="38" t="inlineStr">
        <is>
          <t>2026-08-26T12:31:03Z</t>
        </is>
      </c>
      <c r="G422" s="62" t="inlineStr">
        <is>
          <t>“Un enorme triunfo para el país, la aprobación de la Reforma Pensional por parte de la Corte Constitucional deja en firme una de las grandes transformaciones del Presidente Gustavo Petro.</t>
        </is>
      </c>
      <c r="H422" s="62" t="inlineStr">
        <is>
          <t>Andrés Camacho, exministro de Minas y Energía, celebró la decisión de la Corte Constitucional y la calificó como un “triunfo” para los trabajadores del país.</t>
        </is>
      </c>
      <c r="I422" s="62" t="inlineStr">
        <is>
          <t>Sin duda es un triunfo para los y las trabajadoras de Colombia, para nuestros abuelos y abuelas (sic)”, indicó Camacho.</t>
        </is>
      </c>
      <c r="J422" s="38" t="n"/>
      <c r="K422" s="62" t="n"/>
      <c r="L422" s="38" t="n"/>
      <c r="M422" s="62" t="n"/>
      <c r="N422" s="38" t="n"/>
      <c r="O422" s="62" t="n"/>
      <c r="P422" s="38" t="n"/>
      <c r="Q422" s="62" t="n"/>
      <c r="R422" s="38" t="n"/>
      <c r="S422" s="62" t="n"/>
      <c r="T422" s="38" t="n"/>
      <c r="U422" s="62" t="n"/>
      <c r="V422" s="38" t="n"/>
      <c r="W422" s="62" t="n"/>
      <c r="X422" s="38" t="n"/>
      <c r="Y422" s="62" t="n"/>
      <c r="Z422" s="38" t="n"/>
      <c r="AA422" s="62" t="n"/>
      <c r="AB422" s="38" t="n"/>
      <c r="AC422" s="62" t="n"/>
      <c r="AD422" s="38" t="n"/>
      <c r="AE422" s="38" t="n"/>
      <c r="AF422" s="61">
        <f>IF(COUNTIF($B$5:B422,B422)=1,1,0)</f>
        <v/>
      </c>
      <c r="AG422" s="62" t="inlineStr">
        <is>
          <t>https://www.infobae.com/colombia/2026/08/26/la-corte-constitucional-aprobo-la-reforma-pensional-de-petro-y-asi-reacciono-el-pais-politico-preocupante/</t>
        </is>
      </c>
    </row>
    <row r="423" ht="15" customHeight="1" s="31">
      <c r="A423" s="38" t="inlineStr">
        <is>
          <t>ART_062</t>
        </is>
      </c>
      <c r="B423" s="38" t="inlineStr">
        <is>
          <t>ART_062_S11</t>
        </is>
      </c>
      <c r="C423" s="38" t="inlineStr">
        <is>
          <t>Infobae Colombia</t>
        </is>
      </c>
      <c r="D423" s="38" t="inlineStr">
        <is>
          <t>Reformas sociales en disputa (pensional/tributaria)</t>
        </is>
      </c>
      <c r="E423" s="38" t="inlineStr">
        <is>
          <t>Noticia dura</t>
        </is>
      </c>
      <c r="F423" s="38" t="inlineStr">
        <is>
          <t>2026-08-26T12:31:03Z</t>
        </is>
      </c>
      <c r="G423" s="62" t="inlineStr">
        <is>
          <t>Sin duda es un triunfo para los y las trabajadoras de Colombia, para nuestros abuelos y abuelas (sic)”, indicó Camacho.</t>
        </is>
      </c>
      <c r="H423" s="62" t="inlineStr">
        <is>
          <t>“Un enorme triunfo para el país, la aprobación de la Reforma Pensional por parte de la Corte Constitucional deja en firme una de las grandes transformaciones del Presidente Gustavo Petro.</t>
        </is>
      </c>
      <c r="I423" s="62" t="inlineStr">
        <is>
          <t>El exministro del Trabajo, Antonio Sanguino, también celebró la decisión de alto tribunal y aseguró que es un “triunfo de la clase trabajadora y del Gobierno del cambio”.</t>
        </is>
      </c>
      <c r="J423" s="38" t="n"/>
      <c r="K423" s="62" t="n"/>
      <c r="L423" s="38" t="n"/>
      <c r="M423" s="62" t="n"/>
      <c r="N423" s="38" t="n"/>
      <c r="O423" s="62" t="n"/>
      <c r="P423" s="38" t="n"/>
      <c r="Q423" s="62" t="n"/>
      <c r="R423" s="38" t="n"/>
      <c r="S423" s="62" t="n"/>
      <c r="T423" s="38" t="n"/>
      <c r="U423" s="62" t="n"/>
      <c r="V423" s="38" t="n"/>
      <c r="W423" s="62" t="n"/>
      <c r="X423" s="38" t="n"/>
      <c r="Y423" s="62" t="n"/>
      <c r="Z423" s="38" t="n"/>
      <c r="AA423" s="62" t="n"/>
      <c r="AB423" s="38" t="n"/>
      <c r="AC423" s="62" t="n"/>
      <c r="AD423" s="38" t="n"/>
      <c r="AE423" s="38" t="n"/>
      <c r="AF423" s="61">
        <f>IF(COUNTIF($B$5:B423,B423)=1,1,0)</f>
        <v/>
      </c>
      <c r="AG423" s="62" t="inlineStr">
        <is>
          <t>https://www.infobae.com/colombia/2026/08/26/la-corte-constitucional-aprobo-la-reforma-pensional-de-petro-y-asi-reacciono-el-pais-politico-preocupante/</t>
        </is>
      </c>
    </row>
    <row r="424" ht="15" customHeight="1" s="31">
      <c r="A424" s="38" t="inlineStr">
        <is>
          <t>ART_062</t>
        </is>
      </c>
      <c r="B424" s="38" t="inlineStr">
        <is>
          <t>ART_062_S12</t>
        </is>
      </c>
      <c r="C424" s="38" t="inlineStr">
        <is>
          <t>Infobae Colombia</t>
        </is>
      </c>
      <c r="D424" s="38" t="inlineStr">
        <is>
          <t>Reformas sociales en disputa (pensional/tributaria)</t>
        </is>
      </c>
      <c r="E424" s="38" t="inlineStr">
        <is>
          <t>Noticia dura</t>
        </is>
      </c>
      <c r="F424" s="38" t="inlineStr">
        <is>
          <t>2026-08-26T12:31:03Z</t>
        </is>
      </c>
      <c r="G424" s="62" t="inlineStr">
        <is>
          <t>El exministro del Trabajo, Antonio Sanguino, también celebró la decisión de alto tribunal y aseguró que es un “triunfo de la clase trabajadora y del Gobierno del cambio”.</t>
        </is>
      </c>
      <c r="H424" s="62" t="inlineStr">
        <is>
          <t>Sin duda es un triunfo para los y las trabajadoras de Colombia, para nuestros abuelos y abuelas (sic)”, indicó Camacho.</t>
        </is>
      </c>
      <c r="I424" s="62" t="n"/>
      <c r="J424" s="38" t="n"/>
      <c r="K424" s="62" t="n"/>
      <c r="L424" s="38" t="n"/>
      <c r="M424" s="62" t="n"/>
      <c r="N424" s="38" t="n"/>
      <c r="O424" s="62" t="n"/>
      <c r="P424" s="38" t="n"/>
      <c r="Q424" s="62" t="n"/>
      <c r="R424" s="38" t="n"/>
      <c r="S424" s="62" t="n"/>
      <c r="T424" s="38" t="n"/>
      <c r="U424" s="62" t="n"/>
      <c r="V424" s="38" t="n"/>
      <c r="W424" s="62" t="n"/>
      <c r="X424" s="38" t="n"/>
      <c r="Y424" s="62" t="n"/>
      <c r="Z424" s="38" t="n"/>
      <c r="AA424" s="62" t="n"/>
      <c r="AB424" s="38" t="n"/>
      <c r="AC424" s="62" t="n"/>
      <c r="AD424" s="38" t="n"/>
      <c r="AE424" s="38" t="n"/>
      <c r="AF424" s="61">
        <f>IF(COUNTIF($B$5:B424,B424)=1,1,0)</f>
        <v/>
      </c>
      <c r="AG424" s="62" t="inlineStr">
        <is>
          <t>https://www.infobae.com/colombia/2026/08/26/la-corte-constitucional-aprobo-la-reforma-pensional-de-petro-y-asi-reacciono-el-pais-politico-preocupante/</t>
        </is>
      </c>
    </row>
    <row r="425" ht="15" customHeight="1" s="31">
      <c r="A425" s="38" t="inlineStr">
        <is>
          <t>ART_063</t>
        </is>
      </c>
      <c r="B425" s="38" t="inlineStr">
        <is>
          <t>ART_063_S01</t>
        </is>
      </c>
      <c r="C425" s="38" t="inlineStr">
        <is>
          <t>Infobae Colombia</t>
        </is>
      </c>
      <c r="D425" s="38" t="inlineStr">
        <is>
          <t>Reformas sociales en disputa (pensional/tributaria)</t>
        </is>
      </c>
      <c r="E425" s="38" t="inlineStr">
        <is>
          <t>Noticia dura</t>
        </is>
      </c>
      <c r="F425" s="38" t="inlineStr">
        <is>
          <t>2026-09-07T01:06:46Z</t>
        </is>
      </c>
      <c r="G425" s="62"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H425" s="62" t="n"/>
      <c r="I425" s="62" t="inlineStr">
        <is>
          <t>El exfuncionario dijo que el sistema tendrá costos altos desde 2067, cuando se agoten los recursos de un fondo especial.</t>
        </is>
      </c>
      <c r="J425" s="38" t="n"/>
      <c r="K425" s="62" t="n"/>
      <c r="L425" s="38" t="n"/>
      <c r="M425" s="62" t="n"/>
      <c r="N425" s="38" t="n"/>
      <c r="O425" s="62" t="n"/>
      <c r="P425" s="38" t="n"/>
      <c r="Q425" s="62" t="n"/>
      <c r="R425" s="38" t="n"/>
      <c r="S425" s="62" t="n"/>
      <c r="T425" s="38" t="n"/>
      <c r="U425" s="62" t="n"/>
      <c r="V425" s="38" t="n"/>
      <c r="W425" s="62" t="n"/>
      <c r="X425" s="38" t="n"/>
      <c r="Y425" s="62" t="n"/>
      <c r="Z425" s="38" t="n"/>
      <c r="AA425" s="62" t="n"/>
      <c r="AB425" s="38" t="n"/>
      <c r="AC425" s="62" t="n"/>
      <c r="AD425" s="38" t="n"/>
      <c r="AE425" s="38" t="n"/>
      <c r="AF425" s="61">
        <f>IF(COUNTIF($B$5:B425,B425)=1,1,0)</f>
        <v/>
      </c>
      <c r="AG425" s="62" t="inlineStr">
        <is>
          <t>https://www.infobae.com/colombia/2026/09/07/reforma-pensional-confirman-en-que-ano-se-acabara-el-ahorro-de-los-trabajadores-colombianos-y-cuando-colapsara-colpensiones/</t>
        </is>
      </c>
    </row>
    <row r="426" ht="15" customHeight="1" s="31">
      <c r="A426" s="38" t="inlineStr">
        <is>
          <t>ART_063</t>
        </is>
      </c>
      <c r="B426" s="38" t="inlineStr">
        <is>
          <t>ART_063_S02</t>
        </is>
      </c>
      <c r="C426" s="38" t="inlineStr">
        <is>
          <t>Infobae Colombia</t>
        </is>
      </c>
      <c r="D426" s="38" t="inlineStr">
        <is>
          <t>Reformas sociales en disputa (pensional/tributaria)</t>
        </is>
      </c>
      <c r="E426" s="38" t="inlineStr">
        <is>
          <t>Noticia dura</t>
        </is>
      </c>
      <c r="F426" s="38" t="inlineStr">
        <is>
          <t>2026-09-07T01:06:46Z</t>
        </is>
      </c>
      <c r="G426" s="62" t="inlineStr">
        <is>
          <t>El exfuncionario dijo que el sistema tendrá costos altos desde 2067, cuando se agoten los recursos de un fondo especial.</t>
        </is>
      </c>
      <c r="H426" s="62"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I426" s="62" t="n"/>
      <c r="J426" s="38" t="n"/>
      <c r="K426" s="62" t="n"/>
      <c r="L426" s="38" t="n"/>
      <c r="M426" s="62" t="n"/>
      <c r="N426" s="38" t="n"/>
      <c r="O426" s="62" t="n"/>
      <c r="P426" s="38" t="n"/>
      <c r="Q426" s="62" t="n"/>
      <c r="R426" s="38" t="n"/>
      <c r="S426" s="62" t="n"/>
      <c r="T426" s="38" t="n"/>
      <c r="U426" s="62" t="n"/>
      <c r="V426" s="38" t="n"/>
      <c r="W426" s="62" t="n"/>
      <c r="X426" s="38" t="n"/>
      <c r="Y426" s="62" t="n"/>
      <c r="Z426" s="38" t="n"/>
      <c r="AA426" s="62" t="n"/>
      <c r="AB426" s="38" t="n"/>
      <c r="AC426" s="62" t="n"/>
      <c r="AD426" s="38" t="n"/>
      <c r="AE426" s="38" t="n"/>
      <c r="AF426" s="61">
        <f>IF(COUNTIF($B$5:B426,B426)=1,1,0)</f>
        <v/>
      </c>
      <c r="AG426" s="62" t="inlineStr">
        <is>
          <t>https://www.infobae.com/colombia/2026/09/07/reforma-pensional-confirman-en-que-ano-se-acabara-el-ahorro-de-los-trabajadores-colombianos-y-cuando-colapsara-colpensiones/</t>
        </is>
      </c>
    </row>
    <row r="427" ht="15" customHeight="1" s="31">
      <c r="A427" s="38" t="inlineStr">
        <is>
          <t>ART_064</t>
        </is>
      </c>
      <c r="B427" s="38" t="inlineStr">
        <is>
          <t>ART_064_S01</t>
        </is>
      </c>
      <c r="C427" s="38" t="inlineStr">
        <is>
          <t>El Tiempo</t>
        </is>
      </c>
      <c r="D427" s="38" t="inlineStr">
        <is>
          <t>Respuesta a la emergencia del terremoto</t>
        </is>
      </c>
      <c r="E427" s="38" t="inlineStr">
        <is>
          <t>Noticia dura</t>
        </is>
      </c>
      <c r="F427" s="38" t="inlineStr">
        <is>
          <t>2026-09-06T04:06:38-05:00</t>
        </is>
      </c>
      <c r="G427" s="62" t="inlineStr">
        <is>
          <t>El presidente Abelardo De La Espriella anunció el sábado 5 de septiembre una serie de medidas para atender las consecuencias del terremoto ocurrido el pasado 10 de agosto en Cali y el departamento del Valle del Cauca, con acciones dirigidas a la recuperación de viviendas, la actividad productiva y el bienestar emocional de las familias afectadas.</t>
        </is>
      </c>
      <c r="H427" s="62" t="n"/>
      <c r="I427" s="62" t="inlineStr">
        <is>
          <t>El anuncio se produjo durante una jornada de trabajo con habitantes de Cuarto de Legua, en Cali, en la que participaron el Gobierno Nacional, la Alcaldía de Cali y la Gobernación del Valle del Cauca.</t>
        </is>
      </c>
      <c r="J427" s="38" t="n"/>
      <c r="K427" s="62" t="n"/>
      <c r="L427" s="38" t="n"/>
      <c r="M427" s="62" t="n"/>
      <c r="N427" s="38" t="n"/>
      <c r="O427" s="62" t="n"/>
      <c r="P427" s="38" t="n"/>
      <c r="Q427" s="62" t="n"/>
      <c r="R427" s="38" t="n"/>
      <c r="S427" s="62" t="n"/>
      <c r="T427" s="38" t="n"/>
      <c r="U427" s="62" t="n"/>
      <c r="V427" s="38" t="n"/>
      <c r="W427" s="62" t="n"/>
      <c r="X427" s="38" t="n"/>
      <c r="Y427" s="62" t="n"/>
      <c r="Z427" s="38" t="n"/>
      <c r="AA427" s="62" t="n"/>
      <c r="AB427" s="38" t="n"/>
      <c r="AC427" s="62" t="n"/>
      <c r="AD427" s="38" t="n"/>
      <c r="AE427" s="38" t="n"/>
      <c r="AF427" s="61">
        <f>IF(COUNTIF($B$5:B427,B427)=1,1,0)</f>
        <v/>
      </c>
      <c r="AG427" s="62" t="inlineStr">
        <is>
          <t>https://www.eltiempo.com/colombia/cali/abelardo-de-la-espriella-anuncio-medidas-para-acelerar-la-reconstruccion-de-cali-tras-el-terremoto-con-acciones-en-vivienda-empleo-y-economia-3583937</t>
        </is>
      </c>
    </row>
    <row r="428" ht="15" customHeight="1" s="31">
      <c r="A428" s="38" t="inlineStr">
        <is>
          <t>ART_064</t>
        </is>
      </c>
      <c r="B428" s="38" t="inlineStr">
        <is>
          <t>ART_064_S02</t>
        </is>
      </c>
      <c r="C428" s="38" t="inlineStr">
        <is>
          <t>El Tiempo</t>
        </is>
      </c>
      <c r="D428" s="38" t="inlineStr">
        <is>
          <t>Respuesta a la emergencia del terremoto</t>
        </is>
      </c>
      <c r="E428" s="38" t="inlineStr">
        <is>
          <t>Noticia dura</t>
        </is>
      </c>
      <c r="F428" s="38" t="inlineStr">
        <is>
          <t>2026-09-06T04:06:38-05:00</t>
        </is>
      </c>
      <c r="G428" s="62" t="inlineStr">
        <is>
          <t>El anuncio se produjo durante una jornada de trabajo con habitantes de Cuarto de Legua, en Cali, en la que participaron el Gobierno Nacional, la Alcaldía de Cali y la Gobernación del Valle del Cauca.</t>
        </is>
      </c>
      <c r="H428" s="62" t="inlineStr">
        <is>
          <t>El presidente Abelardo De La Espriella anunció el sábado 5 de septiembre una serie de medidas para atender las consecuencias del terremoto ocurrido el pasado 10 de agosto en Cali y el departamento del Valle del Cauca, con acciones dirigidas a la recuperación de viviendas, la actividad productiva y el bienestar emocional de las familias afectadas.</t>
        </is>
      </c>
      <c r="I428" s="62" t="inlineStr">
        <is>
          <t>A través de su cuenta oficial de X, el mandatario informó que su administración respaldará el plan piloto de reconstrucción público-privada liderado por la Alcaldía.</t>
        </is>
      </c>
      <c r="J428" s="38" t="n"/>
      <c r="K428" s="62" t="n"/>
      <c r="L428" s="38" t="n"/>
      <c r="M428" s="62" t="n"/>
      <c r="N428" s="38" t="n"/>
      <c r="O428" s="62" t="n"/>
      <c r="P428" s="38" t="n"/>
      <c r="Q428" s="62" t="n"/>
      <c r="R428" s="38" t="n"/>
      <c r="S428" s="62" t="n"/>
      <c r="T428" s="38" t="n"/>
      <c r="U428" s="62" t="n"/>
      <c r="V428" s="38" t="n"/>
      <c r="W428" s="62" t="n"/>
      <c r="X428" s="38" t="n"/>
      <c r="Y428" s="62" t="n"/>
      <c r="Z428" s="38" t="n"/>
      <c r="AA428" s="62" t="n"/>
      <c r="AB428" s="38" t="n"/>
      <c r="AC428" s="62" t="n"/>
      <c r="AD428" s="38" t="n"/>
      <c r="AE428" s="38" t="n"/>
      <c r="AF428" s="61">
        <f>IF(COUNTIF($B$5:B428,B428)=1,1,0)</f>
        <v/>
      </c>
      <c r="AG428" s="62" t="inlineStr">
        <is>
          <t>https://www.eltiempo.com/colombia/cali/abelardo-de-la-espriella-anuncio-medidas-para-acelerar-la-reconstruccion-de-cali-tras-el-terremoto-con-acciones-en-vivienda-empleo-y-economia-3583937</t>
        </is>
      </c>
    </row>
    <row r="429" ht="15" customHeight="1" s="31">
      <c r="A429" s="38" t="inlineStr">
        <is>
          <t>ART_064</t>
        </is>
      </c>
      <c r="B429" s="38" t="inlineStr">
        <is>
          <t>ART_064_S03</t>
        </is>
      </c>
      <c r="C429" s="38" t="inlineStr">
        <is>
          <t>El Tiempo</t>
        </is>
      </c>
      <c r="D429" s="38" t="inlineStr">
        <is>
          <t>Respuesta a la emergencia del terremoto</t>
        </is>
      </c>
      <c r="E429" s="38" t="inlineStr">
        <is>
          <t>Noticia dura</t>
        </is>
      </c>
      <c r="F429" s="38" t="inlineStr">
        <is>
          <t>2026-09-06T04:06:38-05:00</t>
        </is>
      </c>
      <c r="G429" s="62" t="inlineStr">
        <is>
          <t>A través de su cuenta oficial de X, el mandatario informó que su administración respaldará el plan piloto de reconstrucción público-privada liderado por la Alcaldía.</t>
        </is>
      </c>
      <c r="H429" s="62" t="inlineStr">
        <is>
          <t>El anuncio se produjo durante una jornada de trabajo con habitantes de Cuarto de Legua, en Cali, en la que participaron el Gobierno Nacional, la Alcaldía de Cali y la Gobernación del Valle del Cauca.</t>
        </is>
      </c>
      <c r="I429" s="62" t="inlineStr">
        <is>
          <t>Durante un video, De La Espriella explicó que la iniciativa busca avanzar sin que los trámites o las diferencias entre instituciones retrasen las soluciones.</t>
        </is>
      </c>
      <c r="J429" s="38" t="n"/>
      <c r="K429" s="62" t="n"/>
      <c r="L429" s="38" t="n"/>
      <c r="M429" s="62" t="n"/>
      <c r="N429" s="38" t="n"/>
      <c r="O429" s="62" t="n"/>
      <c r="P429" s="38" t="n"/>
      <c r="Q429" s="62" t="n"/>
      <c r="R429" s="38" t="n"/>
      <c r="S429" s="62" t="n"/>
      <c r="T429" s="38" t="n"/>
      <c r="U429" s="62" t="n"/>
      <c r="V429" s="38" t="n"/>
      <c r="W429" s="62" t="n"/>
      <c r="X429" s="38" t="n"/>
      <c r="Y429" s="62" t="n"/>
      <c r="Z429" s="38" t="n"/>
      <c r="AA429" s="62" t="n"/>
      <c r="AB429" s="38" t="n"/>
      <c r="AC429" s="62" t="n"/>
      <c r="AD429" s="38" t="n"/>
      <c r="AE429" s="38" t="n"/>
      <c r="AF429" s="61">
        <f>IF(COUNTIF($B$5:B429,B429)=1,1,0)</f>
        <v/>
      </c>
      <c r="AG429" s="62" t="inlineStr">
        <is>
          <t>https://www.eltiempo.com/colombia/cali/abelardo-de-la-espriella-anuncio-medidas-para-acelerar-la-reconstruccion-de-cali-tras-el-terremoto-con-acciones-en-vivienda-empleo-y-economia-3583937</t>
        </is>
      </c>
    </row>
    <row r="430" ht="15" customHeight="1" s="31">
      <c r="A430" s="38" t="inlineStr">
        <is>
          <t>ART_064</t>
        </is>
      </c>
      <c r="B430" s="38" t="inlineStr">
        <is>
          <t>ART_064_S04</t>
        </is>
      </c>
      <c r="C430" s="38" t="inlineStr">
        <is>
          <t>El Tiempo</t>
        </is>
      </c>
      <c r="D430" s="38" t="inlineStr">
        <is>
          <t>Respuesta a la emergencia del terremoto</t>
        </is>
      </c>
      <c r="E430" s="38" t="inlineStr">
        <is>
          <t>Noticia dura</t>
        </is>
      </c>
      <c r="F430" s="38" t="inlineStr">
        <is>
          <t>2026-09-06T04:06:38-05:00</t>
        </is>
      </c>
      <c r="G430" s="62" t="inlineStr">
        <is>
          <t>Durante un video, De La Espriella explicó que la iniciativa busca avanzar sin que los trámites o las diferencias entre instituciones retrasen las soluciones.</t>
        </is>
      </c>
      <c r="H430" s="62" t="inlineStr">
        <is>
          <t>A través de su cuenta oficial de X, el mandatario informó que su administración respaldará el plan piloto de reconstrucción público-privada liderado por la Alcaldía.</t>
        </is>
      </c>
      <c r="I430" s="62" t="inlineStr">
        <is>
          <t>"Este piloto que es una propuesta maravillosa de la alcaldía de Cali y que nosotros queremos ayudar a que avance como corresponde con la celeridad que se requiere".</t>
        </is>
      </c>
      <c r="J430" s="38" t="n"/>
      <c r="K430" s="62" t="n"/>
      <c r="L430" s="38" t="n"/>
      <c r="M430" s="62" t="n"/>
      <c r="N430" s="38" t="n"/>
      <c r="O430" s="62" t="n"/>
      <c r="P430" s="38" t="n"/>
      <c r="Q430" s="62" t="n"/>
      <c r="R430" s="38" t="n"/>
      <c r="S430" s="62" t="n"/>
      <c r="T430" s="38" t="n"/>
      <c r="U430" s="62" t="n"/>
      <c r="V430" s="38" t="n"/>
      <c r="W430" s="62" t="n"/>
      <c r="X430" s="38" t="n"/>
      <c r="Y430" s="62" t="n"/>
      <c r="Z430" s="38" t="n"/>
      <c r="AA430" s="62" t="n"/>
      <c r="AB430" s="38" t="n"/>
      <c r="AC430" s="62" t="n"/>
      <c r="AD430" s="38" t="n"/>
      <c r="AE430" s="38" t="n"/>
      <c r="AF430" s="61">
        <f>IF(COUNTIF($B$5:B430,B430)=1,1,0)</f>
        <v/>
      </c>
      <c r="AG430" s="62" t="inlineStr">
        <is>
          <t>https://www.eltiempo.com/colombia/cali/abelardo-de-la-espriella-anuncio-medidas-para-acelerar-la-reconstruccion-de-cali-tras-el-terremoto-con-acciones-en-vivienda-empleo-y-economia-3583937</t>
        </is>
      </c>
    </row>
    <row r="431" ht="15" customHeight="1" s="31">
      <c r="A431" s="38" t="inlineStr">
        <is>
          <t>ART_064</t>
        </is>
      </c>
      <c r="B431" s="38" t="inlineStr">
        <is>
          <t>ART_064_S05</t>
        </is>
      </c>
      <c r="C431" s="38" t="inlineStr">
        <is>
          <t>El Tiempo</t>
        </is>
      </c>
      <c r="D431" s="38" t="inlineStr">
        <is>
          <t>Respuesta a la emergencia del terremoto</t>
        </is>
      </c>
      <c r="E431" s="38" t="inlineStr">
        <is>
          <t>Noticia dura</t>
        </is>
      </c>
      <c r="F431" s="38" t="inlineStr">
        <is>
          <t>2026-09-06T04:06:38-05:00</t>
        </is>
      </c>
      <c r="G431" s="62" t="inlineStr">
        <is>
          <t>"Este piloto que es una propuesta maravillosa de la alcaldía de Cali y que nosotros queremos ayudar a que avance como corresponde con la celeridad que se requiere".</t>
        </is>
      </c>
      <c r="H431" s="62" t="inlineStr">
        <is>
          <t>Durante un video, De La Espriella explicó que la iniciativa busca avanzar sin que los trámites o las diferencias entre instituciones retrasen las soluciones.</t>
        </is>
      </c>
      <c r="I431" s="62" t="inlineStr">
        <is>
          <t>El jefe de Estado también hizo un llamado a concentrar los esfuerzos en la atención de la emergencia.</t>
        </is>
      </c>
      <c r="J431" s="38" t="n"/>
      <c r="K431" s="62" t="n"/>
      <c r="L431" s="38" t="n"/>
      <c r="M431" s="62" t="n"/>
      <c r="N431" s="38" t="n"/>
      <c r="O431" s="62" t="n"/>
      <c r="P431" s="38" t="n"/>
      <c r="Q431" s="62" t="n"/>
      <c r="R431" s="38" t="n"/>
      <c r="S431" s="62" t="n"/>
      <c r="T431" s="38" t="n"/>
      <c r="U431" s="62" t="n"/>
      <c r="V431" s="38" t="n"/>
      <c r="W431" s="62" t="n"/>
      <c r="X431" s="38" t="n"/>
      <c r="Y431" s="62" t="n"/>
      <c r="Z431" s="38" t="n"/>
      <c r="AA431" s="62" t="n"/>
      <c r="AB431" s="38" t="n"/>
      <c r="AC431" s="62" t="n"/>
      <c r="AD431" s="38" t="n"/>
      <c r="AE431" s="38" t="n"/>
      <c r="AF431" s="61">
        <f>IF(COUNTIF($B$5:B431,B431)=1,1,0)</f>
        <v/>
      </c>
      <c r="AG431" s="62" t="inlineStr">
        <is>
          <t>https://www.eltiempo.com/colombia/cali/abelardo-de-la-espriella-anuncio-medidas-para-acelerar-la-reconstruccion-de-cali-tras-el-terremoto-con-acciones-en-vivienda-empleo-y-economia-3583937</t>
        </is>
      </c>
    </row>
    <row r="432" ht="15" customHeight="1" s="31">
      <c r="A432" s="38" t="inlineStr">
        <is>
          <t>ART_064</t>
        </is>
      </c>
      <c r="B432" s="38" t="inlineStr">
        <is>
          <t>ART_064_S06</t>
        </is>
      </c>
      <c r="C432" s="38" t="inlineStr">
        <is>
          <t>El Tiempo</t>
        </is>
      </c>
      <c r="D432" s="38" t="inlineStr">
        <is>
          <t>Respuesta a la emergencia del terremoto</t>
        </is>
      </c>
      <c r="E432" s="38" t="inlineStr">
        <is>
          <t>Noticia dura</t>
        </is>
      </c>
      <c r="F432" s="38" t="inlineStr">
        <is>
          <t>2026-09-06T04:06:38-05:00</t>
        </is>
      </c>
      <c r="G432" s="62" t="inlineStr">
        <is>
          <t>El jefe de Estado también hizo un llamado a concentrar los esfuerzos en la atención de la emergencia.</t>
        </is>
      </c>
      <c r="H432" s="62" t="inlineStr">
        <is>
          <t>"Este piloto que es una propuesta maravillosa de la alcaldía de Cali y que nosotros queremos ayudar a que avance como corresponde con la celeridad que se requiere".</t>
        </is>
      </c>
      <c r="I432" s="62" t="inlineStr">
        <is>
          <t>"En una emergencia de esta magnitud, queridos compatriotas, no podemos perder tiempo ni en disputas institucionales ni en discusiones que no lleven a nada.</t>
        </is>
      </c>
      <c r="J432" s="38" t="n"/>
      <c r="K432" s="62" t="n"/>
      <c r="L432" s="38" t="n"/>
      <c r="M432" s="62" t="n"/>
      <c r="N432" s="38" t="n"/>
      <c r="O432" s="62" t="n"/>
      <c r="P432" s="38" t="n"/>
      <c r="Q432" s="62" t="n"/>
      <c r="R432" s="38" t="n"/>
      <c r="S432" s="62" t="n"/>
      <c r="T432" s="38" t="n"/>
      <c r="U432" s="62" t="n"/>
      <c r="V432" s="38" t="n"/>
      <c r="W432" s="62" t="n"/>
      <c r="X432" s="38" t="n"/>
      <c r="Y432" s="62" t="n"/>
      <c r="Z432" s="38" t="n"/>
      <c r="AA432" s="62" t="n"/>
      <c r="AB432" s="38" t="n"/>
      <c r="AC432" s="62" t="n"/>
      <c r="AD432" s="38" t="n"/>
      <c r="AE432" s="38" t="n"/>
      <c r="AF432" s="61">
        <f>IF(COUNTIF($B$5:B432,B432)=1,1,0)</f>
        <v/>
      </c>
      <c r="AG432" s="62" t="inlineStr">
        <is>
          <t>https://www.eltiempo.com/colombia/cali/abelardo-de-la-espriella-anuncio-medidas-para-acelerar-la-reconstruccion-de-cali-tras-el-terremoto-con-acciones-en-vivienda-empleo-y-economia-3583937</t>
        </is>
      </c>
    </row>
    <row r="433" ht="15" customHeight="1" s="31">
      <c r="A433" s="38" t="inlineStr">
        <is>
          <t>ART_064</t>
        </is>
      </c>
      <c r="B433" s="38" t="inlineStr">
        <is>
          <t>ART_064_S07</t>
        </is>
      </c>
      <c r="C433" s="38" t="inlineStr">
        <is>
          <t>El Tiempo</t>
        </is>
      </c>
      <c r="D433" s="38" t="inlineStr">
        <is>
          <t>Respuesta a la emergencia del terremoto</t>
        </is>
      </c>
      <c r="E433" s="38" t="inlineStr">
        <is>
          <t>Noticia dura</t>
        </is>
      </c>
      <c r="F433" s="38" t="inlineStr">
        <is>
          <t>2026-09-06T04:06:38-05:00</t>
        </is>
      </c>
      <c r="G433" s="62" t="inlineStr">
        <is>
          <t>"En una emergencia de esta magnitud, queridos compatriotas, no podemos perder tiempo ni en disputas institucionales ni en discusiones que no lleven a nada.</t>
        </is>
      </c>
      <c r="H433" s="62" t="inlineStr">
        <is>
          <t>El jefe de Estado también hizo un llamado a concentrar los esfuerzos en la atención de la emergencia.</t>
        </is>
      </c>
      <c r="I433" s="62" t="inlineStr">
        <is>
          <t>Tenemos que ponernos manos a la obra y así lo hemos hecho desde el primer momento".</t>
        </is>
      </c>
      <c r="J433" s="38" t="n"/>
      <c r="K433" s="62" t="n"/>
      <c r="L433" s="38" t="n"/>
      <c r="M433" s="62" t="n"/>
      <c r="N433" s="38" t="n"/>
      <c r="O433" s="62" t="n"/>
      <c r="P433" s="38" t="n"/>
      <c r="Q433" s="62" t="n"/>
      <c r="R433" s="38" t="n"/>
      <c r="S433" s="62" t="n"/>
      <c r="T433" s="38" t="n"/>
      <c r="U433" s="62" t="n"/>
      <c r="V433" s="38" t="n"/>
      <c r="W433" s="62" t="n"/>
      <c r="X433" s="38" t="n"/>
      <c r="Y433" s="62" t="n"/>
      <c r="Z433" s="38" t="n"/>
      <c r="AA433" s="62" t="n"/>
      <c r="AB433" s="38" t="n"/>
      <c r="AC433" s="62" t="n"/>
      <c r="AD433" s="38" t="n"/>
      <c r="AE433" s="38" t="n"/>
      <c r="AF433" s="61">
        <f>IF(COUNTIF($B$5:B433,B433)=1,1,0)</f>
        <v/>
      </c>
      <c r="AG433" s="62" t="inlineStr">
        <is>
          <t>https://www.eltiempo.com/colombia/cali/abelardo-de-la-espriella-anuncio-medidas-para-acelerar-la-reconstruccion-de-cali-tras-el-terremoto-con-acciones-en-vivienda-empleo-y-economia-3583937</t>
        </is>
      </c>
    </row>
    <row r="434" ht="15" customHeight="1" s="31">
      <c r="A434" s="38" t="inlineStr">
        <is>
          <t>ART_064</t>
        </is>
      </c>
      <c r="B434" s="38" t="inlineStr">
        <is>
          <t>ART_064_S08</t>
        </is>
      </c>
      <c r="C434" s="38" t="inlineStr">
        <is>
          <t>El Tiempo</t>
        </is>
      </c>
      <c r="D434" s="38" t="inlineStr">
        <is>
          <t>Respuesta a la emergencia del terremoto</t>
        </is>
      </c>
      <c r="E434" s="38" t="inlineStr">
        <is>
          <t>Noticia dura</t>
        </is>
      </c>
      <c r="F434" s="38" t="inlineStr">
        <is>
          <t>2026-09-06T04:06:38-05:00</t>
        </is>
      </c>
      <c r="G434" s="62" t="inlineStr">
        <is>
          <t>Tenemos que ponernos manos a la obra y así lo hemos hecho desde el primer momento".</t>
        </is>
      </c>
      <c r="H434" s="62" t="inlineStr">
        <is>
          <t>"En una emergencia de esta magnitud, queridos compatriotas, no podemos perder tiempo ni en disputas institucionales ni en discusiones que no lleven a nada.</t>
        </is>
      </c>
      <c r="I434" s="62" t="inlineStr">
        <is>
          <t>Una de las estrategias anunciadas contempla cambios en las condiciones de construcción de las zonas afectadas.</t>
        </is>
      </c>
      <c r="J434" s="38" t="n"/>
      <c r="K434" s="62" t="n"/>
      <c r="L434" s="38" t="n"/>
      <c r="M434" s="62" t="n"/>
      <c r="N434" s="38" t="n"/>
      <c r="O434" s="62" t="n"/>
      <c r="P434" s="38" t="n"/>
      <c r="Q434" s="62" t="n"/>
      <c r="R434" s="38" t="n"/>
      <c r="S434" s="62" t="n"/>
      <c r="T434" s="38" t="n"/>
      <c r="U434" s="62" t="n"/>
      <c r="V434" s="38" t="n"/>
      <c r="W434" s="62" t="n"/>
      <c r="X434" s="38" t="n"/>
      <c r="Y434" s="62" t="n"/>
      <c r="Z434" s="38" t="n"/>
      <c r="AA434" s="62" t="n"/>
      <c r="AB434" s="38" t="n"/>
      <c r="AC434" s="62" t="n"/>
      <c r="AD434" s="38" t="n"/>
      <c r="AE434" s="38" t="n"/>
      <c r="AF434" s="61">
        <f>IF(COUNTIF($B$5:B434,B434)=1,1,0)</f>
        <v/>
      </c>
      <c r="AG434" s="62" t="inlineStr">
        <is>
          <t>https://www.eltiempo.com/colombia/cali/abelardo-de-la-espriella-anuncio-medidas-para-acelerar-la-reconstruccion-de-cali-tras-el-terremoto-con-acciones-en-vivienda-empleo-y-economia-3583937</t>
        </is>
      </c>
    </row>
    <row r="435" ht="15" customHeight="1" s="31">
      <c r="A435" s="38" t="inlineStr">
        <is>
          <t>ART_064</t>
        </is>
      </c>
      <c r="B435" s="38" t="inlineStr">
        <is>
          <t>ART_064_S09</t>
        </is>
      </c>
      <c r="C435" s="38" t="inlineStr">
        <is>
          <t>El Tiempo</t>
        </is>
      </c>
      <c r="D435" s="38" t="inlineStr">
        <is>
          <t>Respuesta a la emergencia del terremoto</t>
        </is>
      </c>
      <c r="E435" s="38" t="inlineStr">
        <is>
          <t>Noticia dura</t>
        </is>
      </c>
      <c r="F435" s="38" t="inlineStr">
        <is>
          <t>2026-09-06T04:06:38-05:00</t>
        </is>
      </c>
      <c r="G435" s="62" t="inlineStr">
        <is>
          <t>Una de las estrategias anunciadas contempla cambios en las condiciones de construcción de las zonas afectadas.</t>
        </is>
      </c>
      <c r="H435" s="62" t="inlineStr">
        <is>
          <t>Tenemos que ponernos manos a la obra y así lo hemos hecho desde el primer momento".</t>
        </is>
      </c>
      <c r="I435" s="62" t="inlineStr">
        <is>
          <t>El Ministerio de Vivienda avanza en una reglamentación que permitirá una mayor densificación urbana y establecerá mecanismos de compensación para propietarios de estratos medios y altos que perdieron parte de su patrimonio.</t>
        </is>
      </c>
      <c r="J435" s="38" t="n"/>
      <c r="K435" s="62" t="n"/>
      <c r="L435" s="38" t="n"/>
      <c r="M435" s="62" t="n"/>
      <c r="N435" s="38" t="n"/>
      <c r="O435" s="62" t="n"/>
      <c r="P435" s="38" t="n"/>
      <c r="Q435" s="62" t="n"/>
      <c r="R435" s="38" t="n"/>
      <c r="S435" s="62" t="n"/>
      <c r="T435" s="38" t="n"/>
      <c r="U435" s="62" t="n"/>
      <c r="V435" s="38" t="n"/>
      <c r="W435" s="62" t="n"/>
      <c r="X435" s="38" t="n"/>
      <c r="Y435" s="62" t="n"/>
      <c r="Z435" s="38" t="n"/>
      <c r="AA435" s="62" t="n"/>
      <c r="AB435" s="38" t="n"/>
      <c r="AC435" s="62" t="n"/>
      <c r="AD435" s="38" t="n"/>
      <c r="AE435" s="38" t="n"/>
      <c r="AF435" s="61">
        <f>IF(COUNTIF($B$5:B435,B435)=1,1,0)</f>
        <v/>
      </c>
      <c r="AG435" s="62" t="inlineStr">
        <is>
          <t>https://www.eltiempo.com/colombia/cali/abelardo-de-la-espriella-anuncio-medidas-para-acelerar-la-reconstruccion-de-cali-tras-el-terremoto-con-acciones-en-vivienda-empleo-y-economia-3583937</t>
        </is>
      </c>
    </row>
    <row r="436" ht="15" customHeight="1" s="31">
      <c r="A436" s="38" t="inlineStr">
        <is>
          <t>ART_064</t>
        </is>
      </c>
      <c r="B436" s="38" t="inlineStr">
        <is>
          <t>ART_064_S10</t>
        </is>
      </c>
      <c r="C436" s="38" t="inlineStr">
        <is>
          <t>El Tiempo</t>
        </is>
      </c>
      <c r="D436" s="38" t="inlineStr">
        <is>
          <t>Respuesta a la emergencia del terremoto</t>
        </is>
      </c>
      <c r="E436" s="38" t="inlineStr">
        <is>
          <t>Noticia dura</t>
        </is>
      </c>
      <c r="F436" s="38" t="inlineStr">
        <is>
          <t>2026-09-06T04:06:38-05:00</t>
        </is>
      </c>
      <c r="G436" s="62" t="inlineStr">
        <is>
          <t>El Ministerio de Vivienda avanza en una reglamentación que permitirá una mayor densificación urbana y establecerá mecanismos de compensación para propietarios de estratos medios y altos que perdieron parte de su patrimonio.</t>
        </is>
      </c>
      <c r="H436" s="62" t="inlineStr">
        <is>
          <t>Una de las estrategias anunciadas contempla cambios en las condiciones de construcción de las zonas afectadas.</t>
        </is>
      </c>
      <c r="I436" s="62" t="inlineStr">
        <is>
          <t>El presidente explicó que la medida busca atender a quienes, pese a pertenecer a estos estratos, no cuentan necesariamente con recursos suficientes para afrontar una pérdida de esta magnitud.</t>
        </is>
      </c>
      <c r="J436" s="38" t="n"/>
      <c r="K436" s="62" t="n"/>
      <c r="L436" s="38" t="n"/>
      <c r="M436" s="62" t="n"/>
      <c r="N436" s="38" t="n"/>
      <c r="O436" s="62" t="n"/>
      <c r="P436" s="38" t="n"/>
      <c r="Q436" s="62" t="n"/>
      <c r="R436" s="38" t="n"/>
      <c r="S436" s="62" t="n"/>
      <c r="T436" s="38" t="n"/>
      <c r="U436" s="62" t="n"/>
      <c r="V436" s="38" t="n"/>
      <c r="W436" s="62" t="n"/>
      <c r="X436" s="38" t="n"/>
      <c r="Y436" s="62" t="n"/>
      <c r="Z436" s="38" t="n"/>
      <c r="AA436" s="62" t="n"/>
      <c r="AB436" s="38" t="n"/>
      <c r="AC436" s="62" t="n"/>
      <c r="AD436" s="38" t="n"/>
      <c r="AE436" s="38" t="n"/>
      <c r="AF436" s="61">
        <f>IF(COUNTIF($B$5:B436,B436)=1,1,0)</f>
        <v/>
      </c>
      <c r="AG436" s="62" t="inlineStr">
        <is>
          <t>https://www.eltiempo.com/colombia/cali/abelardo-de-la-espriella-anuncio-medidas-para-acelerar-la-reconstruccion-de-cali-tras-el-terremoto-con-acciones-en-vivienda-empleo-y-economia-3583937</t>
        </is>
      </c>
    </row>
    <row r="437" ht="15" customHeight="1" s="31">
      <c r="A437" s="38" t="inlineStr">
        <is>
          <t>ART_064</t>
        </is>
      </c>
      <c r="B437" s="38" t="inlineStr">
        <is>
          <t>ART_064_S11</t>
        </is>
      </c>
      <c r="C437" s="38" t="inlineStr">
        <is>
          <t>El Tiempo</t>
        </is>
      </c>
      <c r="D437" s="38" t="inlineStr">
        <is>
          <t>Respuesta a la emergencia del terremoto</t>
        </is>
      </c>
      <c r="E437" s="38" t="inlineStr">
        <is>
          <t>Noticia dura</t>
        </is>
      </c>
      <c r="F437" s="38" t="inlineStr">
        <is>
          <t>2026-09-06T04:06:38-05:00</t>
        </is>
      </c>
      <c r="G437" s="62" t="inlineStr">
        <is>
          <t>El presidente explicó que la medida busca atender a quienes, pese a pertenecer a estos estratos, no cuentan necesariamente con recursos suficientes para afrontar una pérdida de esta magnitud.</t>
        </is>
      </c>
      <c r="H437" s="62" t="inlineStr">
        <is>
          <t>El Ministerio de Vivienda avanza en una reglamentación que permitirá una mayor densificación urbana y establecerá mecanismos de compensación para propietarios de estratos medios y altos que perdieron parte de su patrimonio.</t>
        </is>
      </c>
      <c r="I437" s="62" t="n"/>
      <c r="J437" s="38" t="n"/>
      <c r="K437" s="62" t="n"/>
      <c r="L437" s="38" t="n"/>
      <c r="M437" s="62" t="n"/>
      <c r="N437" s="38" t="n"/>
      <c r="O437" s="62" t="n"/>
      <c r="P437" s="38" t="n"/>
      <c r="Q437" s="62" t="n"/>
      <c r="R437" s="38" t="n"/>
      <c r="S437" s="62" t="n"/>
      <c r="T437" s="38" t="n"/>
      <c r="U437" s="62" t="n"/>
      <c r="V437" s="38" t="n"/>
      <c r="W437" s="62" t="n"/>
      <c r="X437" s="38" t="n"/>
      <c r="Y437" s="62" t="n"/>
      <c r="Z437" s="38" t="n"/>
      <c r="AA437" s="62" t="n"/>
      <c r="AB437" s="38" t="n"/>
      <c r="AC437" s="62" t="n"/>
      <c r="AD437" s="38" t="n"/>
      <c r="AE437" s="38" t="n"/>
      <c r="AF437" s="61">
        <f>IF(COUNTIF($B$5:B437,B437)=1,1,0)</f>
        <v/>
      </c>
      <c r="AG437" s="62" t="inlineStr">
        <is>
          <t>https://www.eltiempo.com/colombia/cali/abelardo-de-la-espriella-anuncio-medidas-para-acelerar-la-reconstruccion-de-cali-tras-el-terremoto-con-acciones-en-vivienda-empleo-y-economia-3583937</t>
        </is>
      </c>
    </row>
    <row r="438" ht="15" customHeight="1" s="31">
      <c r="A438" s="38" t="inlineStr">
        <is>
          <t>ART_065</t>
        </is>
      </c>
      <c r="B438" s="38" t="inlineStr">
        <is>
          <t>ART_065_S01</t>
        </is>
      </c>
      <c r="C438" s="38" t="inlineStr">
        <is>
          <t>El Espectador</t>
        </is>
      </c>
      <c r="D438" s="38" t="inlineStr">
        <is>
          <t>Transición de gobierno y relación con la oposición</t>
        </is>
      </c>
      <c r="E438" s="38" t="inlineStr">
        <is>
          <t>Noticia dura</t>
        </is>
      </c>
      <c r="F438" s="38" t="inlineStr">
        <is>
          <t>2026-09-02T20:27:20-05:00</t>
        </is>
      </c>
      <c r="G438" s="62"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H438" s="62" t="n"/>
      <c r="I438" s="62" t="inlineStr">
        <is>
          <t>De acuerdo con el jefe de la cartera política, el ministro Rodrigo Lara, el eje de esta estrategia será un estatuto antiterrorista que será puesto a discusión en el Congreso.</t>
        </is>
      </c>
      <c r="J438" s="38" t="n"/>
      <c r="K438" s="62" t="n"/>
      <c r="L438" s="38" t="n"/>
      <c r="M438" s="62" t="n"/>
      <c r="N438" s="38" t="n"/>
      <c r="O438" s="62" t="n"/>
      <c r="P438" s="38" t="n"/>
      <c r="Q438" s="62" t="n"/>
      <c r="R438" s="38" t="n"/>
      <c r="S438" s="62" t="n"/>
      <c r="T438" s="38" t="n"/>
      <c r="U438" s="62" t="n"/>
      <c r="V438" s="38" t="n"/>
      <c r="W438" s="62" t="n"/>
      <c r="X438" s="38" t="n"/>
      <c r="Y438" s="62" t="n"/>
      <c r="Z438" s="38" t="n"/>
      <c r="AA438" s="62" t="n"/>
      <c r="AB438" s="38" t="n"/>
      <c r="AC438" s="62" t="n"/>
      <c r="AD438" s="38" t="n"/>
      <c r="AE438" s="38" t="n"/>
      <c r="AF438" s="61">
        <f>IF(COUNTIF($B$5:B438,B438)=1,1,0)</f>
        <v/>
      </c>
      <c r="AG438" s="62" t="inlineStr">
        <is>
          <t>https://www.elespectador.com/politica/gobierno-de-la-espriella-prepara-un-estatuto-antiterrorista-que-sera-radicado-ante-el-congreso-esto-se-sabe/</t>
        </is>
      </c>
    </row>
    <row r="439" ht="15" customHeight="1" s="31">
      <c r="A439" s="38" t="inlineStr">
        <is>
          <t>ART_065</t>
        </is>
      </c>
      <c r="B439" s="38" t="inlineStr">
        <is>
          <t>ART_065_S02</t>
        </is>
      </c>
      <c r="C439" s="38" t="inlineStr">
        <is>
          <t>El Espectador</t>
        </is>
      </c>
      <c r="D439" s="38" t="inlineStr">
        <is>
          <t>Transición de gobierno y relación con la oposición</t>
        </is>
      </c>
      <c r="E439" s="38" t="inlineStr">
        <is>
          <t>Noticia dura</t>
        </is>
      </c>
      <c r="F439" s="38" t="inlineStr">
        <is>
          <t>2026-09-02T20:27:20-05:00</t>
        </is>
      </c>
      <c r="G439" s="62" t="inlineStr">
        <is>
          <t>De acuerdo con el jefe de la cartera política, el ministro Rodrigo Lara, el eje de esta estrategia será un estatuto antiterrorista que será puesto a discusión en el Congreso.</t>
        </is>
      </c>
      <c r="H439" s="62"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I439" s="62" t="inlineStr">
        <is>
          <t>La apuesta obedece directamente a lo que le ha pedido el presidente Abelardo de la Espriella a las fuerzas militares: una ofensiva frontal contra estos grupos.</t>
        </is>
      </c>
      <c r="J439" s="38" t="n"/>
      <c r="K439" s="62" t="n"/>
      <c r="L439" s="38" t="n"/>
      <c r="M439" s="62" t="n"/>
      <c r="N439" s="38" t="n"/>
      <c r="O439" s="62" t="n"/>
      <c r="P439" s="38" t="n"/>
      <c r="Q439" s="62" t="n"/>
      <c r="R439" s="38" t="n"/>
      <c r="S439" s="62" t="n"/>
      <c r="T439" s="38" t="n"/>
      <c r="U439" s="62" t="n"/>
      <c r="V439" s="38" t="n"/>
      <c r="W439" s="62" t="n"/>
      <c r="X439" s="38" t="n"/>
      <c r="Y439" s="62" t="n"/>
      <c r="Z439" s="38" t="n"/>
      <c r="AA439" s="62" t="n"/>
      <c r="AB439" s="38" t="n"/>
      <c r="AC439" s="62" t="n"/>
      <c r="AD439" s="38" t="n"/>
      <c r="AE439" s="38" t="n"/>
      <c r="AF439" s="61">
        <f>IF(COUNTIF($B$5:B439,B439)=1,1,0)</f>
        <v/>
      </c>
      <c r="AG439" s="62" t="inlineStr">
        <is>
          <t>https://www.elespectador.com/politica/gobierno-de-la-espriella-prepara-un-estatuto-antiterrorista-que-sera-radicado-ante-el-congreso-esto-se-sabe/</t>
        </is>
      </c>
    </row>
    <row r="440" ht="15" customHeight="1" s="31">
      <c r="A440" s="38" t="inlineStr">
        <is>
          <t>ART_065</t>
        </is>
      </c>
      <c r="B440" s="38" t="inlineStr">
        <is>
          <t>ART_065_S03</t>
        </is>
      </c>
      <c r="C440" s="38" t="inlineStr">
        <is>
          <t>El Espectador</t>
        </is>
      </c>
      <c r="D440" s="38" t="inlineStr">
        <is>
          <t>Transición de gobierno y relación con la oposición</t>
        </is>
      </c>
      <c r="E440" s="38" t="inlineStr">
        <is>
          <t>Noticia dura</t>
        </is>
      </c>
      <c r="F440" s="38" t="inlineStr">
        <is>
          <t>2026-09-02T20:27:20-05:00</t>
        </is>
      </c>
      <c r="G440" s="62" t="inlineStr">
        <is>
          <t>La apuesta obedece directamente a lo que le ha pedido el presidente Abelardo de la Espriella a las fuerzas militares: una ofensiva frontal contra estos grupos.</t>
        </is>
      </c>
      <c r="H440" s="62" t="inlineStr">
        <is>
          <t>De acuerdo con el jefe de la cartera política, el ministro Rodrigo Lara, el eje de esta estrategia será un estatuto antiterrorista que será puesto a discusión en el Congreso.</t>
        </is>
      </c>
      <c r="I440" s="62" t="inlineStr">
        <is>
          <t>El jefe de Estado ha dicho en varias oportunidades que declarará a dichas estructuras como terroristas, lo que también implica cerrarles la puerta a los diálogos de paz.</t>
        </is>
      </c>
      <c r="J440" s="38" t="n"/>
      <c r="K440" s="62" t="n"/>
      <c r="L440" s="38" t="n"/>
      <c r="M440" s="62" t="n"/>
      <c r="N440" s="38" t="n"/>
      <c r="O440" s="62" t="n"/>
      <c r="P440" s="38" t="n"/>
      <c r="Q440" s="62" t="n"/>
      <c r="R440" s="38" t="n"/>
      <c r="S440" s="62" t="n"/>
      <c r="T440" s="38" t="n"/>
      <c r="U440" s="62" t="n"/>
      <c r="V440" s="38" t="n"/>
      <c r="W440" s="62" t="n"/>
      <c r="X440" s="38" t="n"/>
      <c r="Y440" s="62" t="n"/>
      <c r="Z440" s="38" t="n"/>
      <c r="AA440" s="62" t="n"/>
      <c r="AB440" s="38" t="n"/>
      <c r="AC440" s="62" t="n"/>
      <c r="AD440" s="38" t="n"/>
      <c r="AE440" s="38" t="n"/>
      <c r="AF440" s="61">
        <f>IF(COUNTIF($B$5:B440,B440)=1,1,0)</f>
        <v/>
      </c>
      <c r="AG440" s="62" t="inlineStr">
        <is>
          <t>https://www.elespectador.com/politica/gobierno-de-la-espriella-prepara-un-estatuto-antiterrorista-que-sera-radicado-ante-el-congreso-esto-se-sabe/</t>
        </is>
      </c>
    </row>
    <row r="441" ht="15" customHeight="1" s="31">
      <c r="A441" s="38" t="inlineStr">
        <is>
          <t>ART_065</t>
        </is>
      </c>
      <c r="B441" s="38" t="inlineStr">
        <is>
          <t>ART_065_S04</t>
        </is>
      </c>
      <c r="C441" s="38" t="inlineStr">
        <is>
          <t>El Espectador</t>
        </is>
      </c>
      <c r="D441" s="38" t="inlineStr">
        <is>
          <t>Transición de gobierno y relación con la oposición</t>
        </is>
      </c>
      <c r="E441" s="38" t="inlineStr">
        <is>
          <t>Noticia dura</t>
        </is>
      </c>
      <c r="F441" s="38" t="inlineStr">
        <is>
          <t>2026-09-02T20:27:20-05:00</t>
        </is>
      </c>
      <c r="G441" s="62" t="inlineStr">
        <is>
          <t>El jefe de Estado ha dicho en varias oportunidades que declarará a dichas estructuras como terroristas, lo que también implica cerrarles la puerta a los diálogos de paz.</t>
        </is>
      </c>
      <c r="H441" s="62" t="inlineStr">
        <is>
          <t>La apuesta obedece directamente a lo que le ha pedido el presidente Abelardo de la Espriella a las fuerzas militares: una ofensiva frontal contra estos grupos.</t>
        </is>
      </c>
      <c r="I441" s="62" t="inlineStr">
        <is>
          <t>Lea también: Comisiones económicas no debatieron el presupuesto: el tiempo empieza a ser clave</t>
        </is>
      </c>
      <c r="J441" s="38" t="n"/>
      <c r="K441" s="62" t="n"/>
      <c r="L441" s="38" t="n"/>
      <c r="M441" s="62" t="n"/>
      <c r="N441" s="38" t="n"/>
      <c r="O441" s="62" t="n"/>
      <c r="P441" s="38" t="n"/>
      <c r="Q441" s="62" t="n"/>
      <c r="R441" s="38" t="n"/>
      <c r="S441" s="62" t="n"/>
      <c r="T441" s="38" t="n"/>
      <c r="U441" s="62" t="n"/>
      <c r="V441" s="38" t="n"/>
      <c r="W441" s="62" t="n"/>
      <c r="X441" s="38" t="n"/>
      <c r="Y441" s="62" t="n"/>
      <c r="Z441" s="38" t="n"/>
      <c r="AA441" s="62" t="n"/>
      <c r="AB441" s="38" t="n"/>
      <c r="AC441" s="62" t="n"/>
      <c r="AD441" s="38" t="n"/>
      <c r="AE441" s="38" t="n"/>
      <c r="AF441" s="61">
        <f>IF(COUNTIF($B$5:B441,B441)=1,1,0)</f>
        <v/>
      </c>
      <c r="AG441" s="62" t="inlineStr">
        <is>
          <t>https://www.elespectador.com/politica/gobierno-de-la-espriella-prepara-un-estatuto-antiterrorista-que-sera-radicado-ante-el-congreso-esto-se-sabe/</t>
        </is>
      </c>
    </row>
    <row r="442" ht="15" customHeight="1" s="31">
      <c r="A442" s="38" t="inlineStr">
        <is>
          <t>ART_065</t>
        </is>
      </c>
      <c r="B442" s="38" t="inlineStr">
        <is>
          <t>ART_065_S05</t>
        </is>
      </c>
      <c r="C442" s="38" t="inlineStr">
        <is>
          <t>El Espectador</t>
        </is>
      </c>
      <c r="D442" s="38" t="inlineStr">
        <is>
          <t>Transición de gobierno y relación con la oposición</t>
        </is>
      </c>
      <c r="E442" s="38" t="inlineStr">
        <is>
          <t>Noticia dura</t>
        </is>
      </c>
      <c r="F442" s="38" t="inlineStr">
        <is>
          <t>2026-09-02T20:27:20-05:00</t>
        </is>
      </c>
      <c r="G442" s="62" t="inlineStr">
        <is>
          <t>Lea también: Comisiones económicas no debatieron el presupuesto: el tiempo empieza a ser clave</t>
        </is>
      </c>
      <c r="H442" s="62" t="inlineStr">
        <is>
          <t>El jefe de Estado ha dicho en varias oportunidades que declarará a dichas estructuras como terroristas, lo que también implica cerrarles la puerta a los diálogos de paz.</t>
        </is>
      </c>
      <c r="I442" s="62" t="inlineStr">
        <is>
          <t>El ministro Lara aseguró que el estatuto antiterrorista contempla, precisamente, crear esa lista de esos grupos terroristas y darle luz verde a unas herramientas más potentes en materia jurídica para combatirlos.</t>
        </is>
      </c>
      <c r="J442" s="38" t="n"/>
      <c r="K442" s="62" t="n"/>
      <c r="L442" s="38" t="n"/>
      <c r="M442" s="62" t="n"/>
      <c r="N442" s="38" t="n"/>
      <c r="O442" s="62" t="n"/>
      <c r="P442" s="38" t="n"/>
      <c r="Q442" s="62" t="n"/>
      <c r="R442" s="38" t="n"/>
      <c r="S442" s="62" t="n"/>
      <c r="T442" s="38" t="n"/>
      <c r="U442" s="62" t="n"/>
      <c r="V442" s="38" t="n"/>
      <c r="W442" s="62" t="n"/>
      <c r="X442" s="38" t="n"/>
      <c r="Y442" s="62" t="n"/>
      <c r="Z442" s="38" t="n"/>
      <c r="AA442" s="62" t="n"/>
      <c r="AB442" s="38" t="n"/>
      <c r="AC442" s="62" t="n"/>
      <c r="AD442" s="38" t="n"/>
      <c r="AE442" s="38" t="n"/>
      <c r="AF442" s="61">
        <f>IF(COUNTIF($B$5:B442,B442)=1,1,0)</f>
        <v/>
      </c>
      <c r="AG442" s="62" t="inlineStr">
        <is>
          <t>https://www.elespectador.com/politica/gobierno-de-la-espriella-prepara-un-estatuto-antiterrorista-que-sera-radicado-ante-el-congreso-esto-se-sabe/</t>
        </is>
      </c>
    </row>
    <row r="443" ht="15" customHeight="1" s="31">
      <c r="A443" s="38" t="inlineStr">
        <is>
          <t>ART_065</t>
        </is>
      </c>
      <c r="B443" s="38" t="inlineStr">
        <is>
          <t>ART_065_S06</t>
        </is>
      </c>
      <c r="C443" s="38" t="inlineStr">
        <is>
          <t>El Espectador</t>
        </is>
      </c>
      <c r="D443" s="38" t="inlineStr">
        <is>
          <t>Transición de gobierno y relación con la oposición</t>
        </is>
      </c>
      <c r="E443" s="38" t="inlineStr">
        <is>
          <t>Noticia dura</t>
        </is>
      </c>
      <c r="F443" s="38" t="inlineStr">
        <is>
          <t>2026-09-02T20:27:20-05:00</t>
        </is>
      </c>
      <c r="G443" s="62" t="inlineStr">
        <is>
          <t>El ministro Lara aseguró que el estatuto antiterrorista contempla, precisamente, crear esa lista de esos grupos terroristas y darle luz verde a unas herramientas más potentes en materia jurídica para combatirlos.</t>
        </is>
      </c>
      <c r="H443" s="62" t="inlineStr">
        <is>
          <t>Lea también: Comisiones económicas no debatieron el presupuesto: el tiempo empieza a ser clave</t>
        </is>
      </c>
      <c r="I443" s="62" t="n"/>
      <c r="J443" s="38" t="n"/>
      <c r="K443" s="62" t="n"/>
      <c r="L443" s="38" t="n"/>
      <c r="M443" s="62" t="n"/>
      <c r="N443" s="38" t="n"/>
      <c r="O443" s="62" t="n"/>
      <c r="P443" s="38" t="n"/>
      <c r="Q443" s="62" t="n"/>
      <c r="R443" s="38" t="n"/>
      <c r="S443" s="62" t="n"/>
      <c r="T443" s="38" t="n"/>
      <c r="U443" s="62" t="n"/>
      <c r="V443" s="38" t="n"/>
      <c r="W443" s="62" t="n"/>
      <c r="X443" s="38" t="n"/>
      <c r="Y443" s="62" t="n"/>
      <c r="Z443" s="38" t="n"/>
      <c r="AA443" s="62" t="n"/>
      <c r="AB443" s="38" t="n"/>
      <c r="AC443" s="62" t="n"/>
      <c r="AD443" s="38" t="n"/>
      <c r="AE443" s="38" t="n"/>
      <c r="AF443" s="61">
        <f>IF(COUNTIF($B$5:B443,B443)=1,1,0)</f>
        <v/>
      </c>
      <c r="AG443" s="62" t="inlineStr">
        <is>
          <t>https://www.elespectador.com/politica/gobierno-de-la-espriella-prepara-un-estatuto-antiterrorista-que-sera-radicado-ante-el-congreso-esto-se-sabe/</t>
        </is>
      </c>
    </row>
    <row r="444" ht="15" customHeight="1" s="31">
      <c r="A444" s="38" t="inlineStr">
        <is>
          <t>ART_066</t>
        </is>
      </c>
      <c r="B444" s="38" t="inlineStr">
        <is>
          <t>ART_066_S01</t>
        </is>
      </c>
      <c r="C444" s="38" t="inlineStr">
        <is>
          <t>El Espectador</t>
        </is>
      </c>
      <c r="D444" s="38" t="inlineStr">
        <is>
          <t>Reformas sociales en disputa (pensional/tributaria)</t>
        </is>
      </c>
      <c r="E444" s="38" t="inlineStr">
        <is>
          <t>Opinión-análisis</t>
        </is>
      </c>
      <c r="F444" s="38" t="inlineStr">
        <is>
          <t>2025-02-16T00:00:00-05:00</t>
        </is>
      </c>
      <c r="G444" s="62" t="inlineStr">
        <is>
          <t>La salida del Gobierno de la ministra de Trabajo, Gloria Inés Ramírez, ubica los reflectores sobre el que podría ser el principal legado de la presidencia de Gustavo Petro.</t>
        </is>
      </c>
      <c r="H444" s="62" t="n"/>
      <c r="I444" s="62" t="inlineStr">
        <is>
          <t>La reforma pensional, que entrará a regir a partir de julio de este año, se trató de un ambicioso y necesario primer paso para cambiar el déficit estructural de un sistema esencial para los colombianos.</t>
        </is>
      </c>
      <c r="J444" s="38" t="n"/>
      <c r="K444" s="62" t="n"/>
      <c r="L444" s="38" t="n"/>
      <c r="M444" s="62" t="n"/>
      <c r="N444" s="38" t="n"/>
      <c r="O444" s="62" t="n"/>
      <c r="P444" s="38" t="n"/>
      <c r="Q444" s="62" t="n"/>
      <c r="R444" s="38" t="n"/>
      <c r="S444" s="62" t="n"/>
      <c r="T444" s="38" t="n"/>
      <c r="U444" s="62" t="n"/>
      <c r="V444" s="38" t="n"/>
      <c r="W444" s="62" t="n"/>
      <c r="X444" s="38" t="n"/>
      <c r="Y444" s="62" t="n"/>
      <c r="Z444" s="38" t="n"/>
      <c r="AA444" s="62" t="n"/>
      <c r="AB444" s="38" t="n"/>
      <c r="AC444" s="62" t="n"/>
      <c r="AD444" s="38" t="n"/>
      <c r="AE444" s="38" t="n"/>
      <c r="AF444" s="61">
        <f>IF(COUNTIF($B$5:B444,B444)=1,1,0)</f>
        <v/>
      </c>
      <c r="AG444" s="62" t="inlineStr">
        <is>
          <t>https://www.elespectador.com/opinion/editorial/editorial-la-reforma-pensional-se-debe-reglamentar-ya/</t>
        </is>
      </c>
    </row>
    <row r="445" ht="15" customHeight="1" s="31">
      <c r="A445" s="38" t="inlineStr">
        <is>
          <t>ART_066</t>
        </is>
      </c>
      <c r="B445" s="38" t="inlineStr">
        <is>
          <t>ART_066_S02</t>
        </is>
      </c>
      <c r="C445" s="38" t="inlineStr">
        <is>
          <t>El Espectador</t>
        </is>
      </c>
      <c r="D445" s="38" t="inlineStr">
        <is>
          <t>Reformas sociales en disputa (pensional/tributaria)</t>
        </is>
      </c>
      <c r="E445" s="38" t="inlineStr">
        <is>
          <t>Opinión-análisis</t>
        </is>
      </c>
      <c r="F445" s="38" t="inlineStr">
        <is>
          <t>2025-02-16T00:00:00-05:00</t>
        </is>
      </c>
      <c r="G445" s="62" t="inlineStr">
        <is>
          <t>La reforma pensional, que entrará a regir a partir de julio de este año, se trató de un ambicioso y necesario primer paso para cambiar el déficit estructural de un sistema esencial para los colombianos.</t>
        </is>
      </c>
      <c r="H445" s="62" t="inlineStr">
        <is>
          <t>La salida del Gobierno de la ministra de Trabajo, Gloria Inés Ramírez, ubica los reflectores sobre el que podría ser el principal legado de la presidencia de Gustavo Petro.</t>
        </is>
      </c>
      <c r="I445" s="62" t="inlineStr">
        <is>
          <t>Sin embargo, hay preocupación por la falta de reglamentación.</t>
        </is>
      </c>
      <c r="J445" s="38" t="n"/>
      <c r="K445" s="62" t="n"/>
      <c r="L445" s="38" t="n"/>
      <c r="M445" s="62" t="n"/>
      <c r="N445" s="38" t="n"/>
      <c r="O445" s="62" t="n"/>
      <c r="P445" s="38" t="n"/>
      <c r="Q445" s="62" t="n"/>
      <c r="R445" s="38" t="n"/>
      <c r="S445" s="62" t="n"/>
      <c r="T445" s="38" t="n"/>
      <c r="U445" s="62" t="n"/>
      <c r="V445" s="38" t="n"/>
      <c r="W445" s="62" t="n"/>
      <c r="X445" s="38" t="n"/>
      <c r="Y445" s="62" t="n"/>
      <c r="Z445" s="38" t="n"/>
      <c r="AA445" s="62" t="n"/>
      <c r="AB445" s="38" t="n"/>
      <c r="AC445" s="62" t="n"/>
      <c r="AD445" s="38" t="n"/>
      <c r="AE445" s="38" t="n"/>
      <c r="AF445" s="61">
        <f>IF(COUNTIF($B$5:B445,B445)=1,1,0)</f>
        <v/>
      </c>
      <c r="AG445" s="62" t="inlineStr">
        <is>
          <t>https://www.elespectador.com/opinion/editorial/editorial-la-reforma-pensional-se-debe-reglamentar-ya/</t>
        </is>
      </c>
    </row>
    <row r="446" ht="15" customHeight="1" s="31">
      <c r="A446" s="38" t="inlineStr">
        <is>
          <t>ART_066</t>
        </is>
      </c>
      <c r="B446" s="38" t="inlineStr">
        <is>
          <t>ART_066_S03</t>
        </is>
      </c>
      <c r="C446" s="38" t="inlineStr">
        <is>
          <t>El Espectador</t>
        </is>
      </c>
      <c r="D446" s="38" t="inlineStr">
        <is>
          <t>Reformas sociales en disputa (pensional/tributaria)</t>
        </is>
      </c>
      <c r="E446" s="38" t="inlineStr">
        <is>
          <t>Opinión-análisis</t>
        </is>
      </c>
      <c r="F446" s="38" t="inlineStr">
        <is>
          <t>2025-02-16T00:00:00-05:00</t>
        </is>
      </c>
      <c r="G446" s="62" t="inlineStr">
        <is>
          <t>Sin embargo, hay preocupación por la falta de reglamentación.</t>
        </is>
      </c>
      <c r="H446" s="62" t="inlineStr">
        <is>
          <t>La reforma pensional, que entrará a regir a partir de julio de este año, se trató de un ambicioso y necesario primer paso para cambiar el déficit estructural de un sistema esencial para los colombianos.</t>
        </is>
      </c>
      <c r="I446" s="62" t="inlineStr">
        <is>
          <t>Estamos muy encima para garantizar una implementación apropiada.</t>
        </is>
      </c>
      <c r="J446" s="38" t="n"/>
      <c r="K446" s="62" t="n"/>
      <c r="L446" s="38" t="n"/>
      <c r="M446" s="62" t="n"/>
      <c r="N446" s="38" t="n"/>
      <c r="O446" s="62" t="n"/>
      <c r="P446" s="38" t="n"/>
      <c r="Q446" s="62" t="n"/>
      <c r="R446" s="38" t="n"/>
      <c r="S446" s="62" t="n"/>
      <c r="T446" s="38" t="n"/>
      <c r="U446" s="62" t="n"/>
      <c r="V446" s="38" t="n"/>
      <c r="W446" s="62" t="n"/>
      <c r="X446" s="38" t="n"/>
      <c r="Y446" s="62" t="n"/>
      <c r="Z446" s="38" t="n"/>
      <c r="AA446" s="62" t="n"/>
      <c r="AB446" s="38" t="n"/>
      <c r="AC446" s="62" t="n"/>
      <c r="AD446" s="38" t="n"/>
      <c r="AE446" s="38" t="n"/>
      <c r="AF446" s="61">
        <f>IF(COUNTIF($B$5:B446,B446)=1,1,0)</f>
        <v/>
      </c>
      <c r="AG446" s="62" t="inlineStr">
        <is>
          <t>https://www.elespectador.com/opinion/editorial/editorial-la-reforma-pensional-se-debe-reglamentar-ya/</t>
        </is>
      </c>
    </row>
    <row r="447" ht="15" customHeight="1" s="31">
      <c r="A447" s="38" t="inlineStr">
        <is>
          <t>ART_066</t>
        </is>
      </c>
      <c r="B447" s="38" t="inlineStr">
        <is>
          <t>ART_066_S04</t>
        </is>
      </c>
      <c r="C447" s="38" t="inlineStr">
        <is>
          <t>El Espectador</t>
        </is>
      </c>
      <c r="D447" s="38" t="inlineStr">
        <is>
          <t>Reformas sociales en disputa (pensional/tributaria)</t>
        </is>
      </c>
      <c r="E447" s="38" t="inlineStr">
        <is>
          <t>Opinión-análisis</t>
        </is>
      </c>
      <c r="F447" s="38" t="inlineStr">
        <is>
          <t>2025-02-16T00:00:00-05:00</t>
        </is>
      </c>
      <c r="G447" s="62" t="inlineStr">
        <is>
          <t>Estamos muy encima para garantizar una implementación apropiada.</t>
        </is>
      </c>
      <c r="H447" s="62" t="inlineStr">
        <is>
          <t>Sin embargo, hay preocupación por la falta de reglamentación.</t>
        </is>
      </c>
      <c r="I447" s="62" t="inlineStr">
        <is>
          <t>Esta debería ser la prioridad urgente del nuevo ministro, Antonio Sanguino.</t>
        </is>
      </c>
      <c r="J447" s="38" t="n"/>
      <c r="K447" s="62" t="n"/>
      <c r="L447" s="38" t="n"/>
      <c r="M447" s="62" t="n"/>
      <c r="N447" s="38" t="n"/>
      <c r="O447" s="62" t="n"/>
      <c r="P447" s="38" t="n"/>
      <c r="Q447" s="62" t="n"/>
      <c r="R447" s="38" t="n"/>
      <c r="S447" s="62" t="n"/>
      <c r="T447" s="38" t="n"/>
      <c r="U447" s="62" t="n"/>
      <c r="V447" s="38" t="n"/>
      <c r="W447" s="62" t="n"/>
      <c r="X447" s="38" t="n"/>
      <c r="Y447" s="62" t="n"/>
      <c r="Z447" s="38" t="n"/>
      <c r="AA447" s="62" t="n"/>
      <c r="AB447" s="38" t="n"/>
      <c r="AC447" s="62" t="n"/>
      <c r="AD447" s="38" t="n"/>
      <c r="AE447" s="38" t="n"/>
      <c r="AF447" s="61">
        <f>IF(COUNTIF($B$5:B447,B447)=1,1,0)</f>
        <v/>
      </c>
      <c r="AG447" s="62" t="inlineStr">
        <is>
          <t>https://www.elespectador.com/opinion/editorial/editorial-la-reforma-pensional-se-debe-reglamentar-ya/</t>
        </is>
      </c>
    </row>
    <row r="448" ht="15" customHeight="1" s="31">
      <c r="A448" s="38" t="inlineStr">
        <is>
          <t>ART_066</t>
        </is>
      </c>
      <c r="B448" s="38" t="inlineStr">
        <is>
          <t>ART_066_S05</t>
        </is>
      </c>
      <c r="C448" s="38" t="inlineStr">
        <is>
          <t>El Espectador</t>
        </is>
      </c>
      <c r="D448" s="38" t="inlineStr">
        <is>
          <t>Reformas sociales en disputa (pensional/tributaria)</t>
        </is>
      </c>
      <c r="E448" s="38" t="inlineStr">
        <is>
          <t>Opinión-análisis</t>
        </is>
      </c>
      <c r="F448" s="38" t="inlineStr">
        <is>
          <t>2025-02-16T00:00:00-05:00</t>
        </is>
      </c>
      <c r="G448" s="62" t="inlineStr">
        <is>
          <t>Esta debería ser la prioridad urgente del nuevo ministro, Antonio Sanguino.</t>
        </is>
      </c>
      <c r="H448" s="62" t="inlineStr">
        <is>
          <t>Estamos muy encima para garantizar una implementación apropiada.</t>
        </is>
      </c>
      <c r="I448" s="62" t="inlineStr">
        <is>
          <t>Sobre la pensional hay una gran incertidumbre.</t>
        </is>
      </c>
      <c r="J448" s="38" t="n"/>
      <c r="K448" s="62" t="n"/>
      <c r="L448" s="38" t="n"/>
      <c r="M448" s="62" t="n"/>
      <c r="N448" s="38" t="n"/>
      <c r="O448" s="62" t="n"/>
      <c r="P448" s="38" t="n"/>
      <c r="Q448" s="62" t="n"/>
      <c r="R448" s="38" t="n"/>
      <c r="S448" s="62" t="n"/>
      <c r="T448" s="38" t="n"/>
      <c r="U448" s="62" t="n"/>
      <c r="V448" s="38" t="n"/>
      <c r="W448" s="62" t="n"/>
      <c r="X448" s="38" t="n"/>
      <c r="Y448" s="62" t="n"/>
      <c r="Z448" s="38" t="n"/>
      <c r="AA448" s="62" t="n"/>
      <c r="AB448" s="38" t="n"/>
      <c r="AC448" s="62" t="n"/>
      <c r="AD448" s="38" t="n"/>
      <c r="AE448" s="38" t="n"/>
      <c r="AF448" s="61">
        <f>IF(COUNTIF($B$5:B448,B448)=1,1,0)</f>
        <v/>
      </c>
      <c r="AG448" s="62" t="inlineStr">
        <is>
          <t>https://www.elespectador.com/opinion/editorial/editorial-la-reforma-pensional-se-debe-reglamentar-ya/</t>
        </is>
      </c>
    </row>
    <row r="449" ht="15" customHeight="1" s="31">
      <c r="A449" s="38" t="inlineStr">
        <is>
          <t>ART_066</t>
        </is>
      </c>
      <c r="B449" s="38" t="inlineStr">
        <is>
          <t>ART_066_S06</t>
        </is>
      </c>
      <c r="C449" s="38" t="inlineStr">
        <is>
          <t>El Espectador</t>
        </is>
      </c>
      <c r="D449" s="38" t="inlineStr">
        <is>
          <t>Reformas sociales en disputa (pensional/tributaria)</t>
        </is>
      </c>
      <c r="E449" s="38" t="inlineStr">
        <is>
          <t>Opinión-análisis</t>
        </is>
      </c>
      <c r="F449" s="38" t="inlineStr">
        <is>
          <t>2025-02-16T00:00:00-05:00</t>
        </is>
      </c>
      <c r="G449" s="62" t="inlineStr">
        <is>
          <t>Sobre la pensional hay una gran incertidumbre.</t>
        </is>
      </c>
      <c r="H449" s="62" t="inlineStr">
        <is>
          <t>Esta debería ser la prioridad urgente del nuevo ministro, Antonio Sanguino.</t>
        </is>
      </c>
      <c r="I449" s="62" t="inlineStr">
        <is>
          <t>La Corte Constitucional está en proceso de estudiarla y, debido a la manera en que se aprobó en el último debate, hay una alta posibilidad de que decida tumbarla.</t>
        </is>
      </c>
      <c r="J449" s="38" t="n"/>
      <c r="K449" s="62" t="n"/>
      <c r="L449" s="38" t="n"/>
      <c r="M449" s="62" t="n"/>
      <c r="N449" s="38" t="n"/>
      <c r="O449" s="62" t="n"/>
      <c r="P449" s="38" t="n"/>
      <c r="Q449" s="62" t="n"/>
      <c r="R449" s="38" t="n"/>
      <c r="S449" s="62" t="n"/>
      <c r="T449" s="38" t="n"/>
      <c r="U449" s="62" t="n"/>
      <c r="V449" s="38" t="n"/>
      <c r="W449" s="62" t="n"/>
      <c r="X449" s="38" t="n"/>
      <c r="Y449" s="62" t="n"/>
      <c r="Z449" s="38" t="n"/>
      <c r="AA449" s="62" t="n"/>
      <c r="AB449" s="38" t="n"/>
      <c r="AC449" s="62" t="n"/>
      <c r="AD449" s="38" t="n"/>
      <c r="AE449" s="38" t="n"/>
      <c r="AF449" s="61">
        <f>IF(COUNTIF($B$5:B449,B449)=1,1,0)</f>
        <v/>
      </c>
      <c r="AG449" s="62" t="inlineStr">
        <is>
          <t>https://www.elespectador.com/opinion/editorial/editorial-la-reforma-pensional-se-debe-reglamentar-ya/</t>
        </is>
      </c>
    </row>
    <row r="450" ht="15" customHeight="1" s="31">
      <c r="A450" s="38" t="inlineStr">
        <is>
          <t>ART_066</t>
        </is>
      </c>
      <c r="B450" s="38" t="inlineStr">
        <is>
          <t>ART_066_S07</t>
        </is>
      </c>
      <c r="C450" s="38" t="inlineStr">
        <is>
          <t>El Espectador</t>
        </is>
      </c>
      <c r="D450" s="38" t="inlineStr">
        <is>
          <t>Reformas sociales en disputa (pensional/tributaria)</t>
        </is>
      </c>
      <c r="E450" s="38" t="inlineStr">
        <is>
          <t>Opinión-análisis</t>
        </is>
      </c>
      <c r="F450" s="38" t="inlineStr">
        <is>
          <t>2025-02-16T00:00:00-05:00</t>
        </is>
      </c>
      <c r="G450" s="62" t="inlineStr">
        <is>
          <t>La Corte Constitucional está en proceso de estudiarla y, debido a la manera en que se aprobó en el último debate, hay una alta posibilidad de que decida tumbarla.</t>
        </is>
      </c>
      <c r="H450" s="62" t="inlineStr">
        <is>
          <t>Sobre la pensional hay una gran incertidumbre.</t>
        </is>
      </c>
      <c r="I450" s="62" t="inlineStr">
        <is>
          <t>Empero, eso no es excusa para que haya tanta demora en la reglamentación y la implementación.</t>
        </is>
      </c>
      <c r="J450" s="38" t="n"/>
      <c r="K450" s="62" t="n"/>
      <c r="L450" s="38" t="n"/>
      <c r="M450" s="62" t="n"/>
      <c r="N450" s="38" t="n"/>
      <c r="O450" s="62" t="n"/>
      <c r="P450" s="38" t="n"/>
      <c r="Q450" s="62" t="n"/>
      <c r="R450" s="38" t="n"/>
      <c r="S450" s="62" t="n"/>
      <c r="T450" s="38" t="n"/>
      <c r="U450" s="62" t="n"/>
      <c r="V450" s="38" t="n"/>
      <c r="W450" s="62" t="n"/>
      <c r="X450" s="38" t="n"/>
      <c r="Y450" s="62" t="n"/>
      <c r="Z450" s="38" t="n"/>
      <c r="AA450" s="62" t="n"/>
      <c r="AB450" s="38" t="n"/>
      <c r="AC450" s="62" t="n"/>
      <c r="AD450" s="38" t="n"/>
      <c r="AE450" s="38" t="n"/>
      <c r="AF450" s="61">
        <f>IF(COUNTIF($B$5:B450,B450)=1,1,0)</f>
        <v/>
      </c>
      <c r="AG450" s="62" t="inlineStr">
        <is>
          <t>https://www.elespectador.com/opinion/editorial/editorial-la-reforma-pensional-se-debe-reglamentar-ya/</t>
        </is>
      </c>
    </row>
    <row r="451" ht="15" customHeight="1" s="31">
      <c r="A451" s="38" t="inlineStr">
        <is>
          <t>ART_066</t>
        </is>
      </c>
      <c r="B451" s="38" t="inlineStr">
        <is>
          <t>ART_066_S08</t>
        </is>
      </c>
      <c r="C451" s="38" t="inlineStr">
        <is>
          <t>El Espectador</t>
        </is>
      </c>
      <c r="D451" s="38" t="inlineStr">
        <is>
          <t>Reformas sociales en disputa (pensional/tributaria)</t>
        </is>
      </c>
      <c r="E451" s="38" t="inlineStr">
        <is>
          <t>Opinión-análisis</t>
        </is>
      </c>
      <c r="F451" s="38" t="inlineStr">
        <is>
          <t>2025-02-16T00:00:00-05:00</t>
        </is>
      </c>
      <c r="G451" s="62" t="inlineStr">
        <is>
          <t>Empero, eso no es excusa para que haya tanta demora en la reglamentación y la implementación.</t>
        </is>
      </c>
      <c r="H451" s="62" t="inlineStr">
        <is>
          <t>La Corte Constitucional está en proceso de estudiarla y, debido a la manera en que se aprobó en el último debate, hay una alta posibilidad de que decida tumbarla.</t>
        </is>
      </c>
      <c r="I451" s="62" t="inlineStr">
        <is>
          <t>El país debe operar bajo el entendido de que esta es la ley vigente y el Gobierno Nacional no puede perder esta oportunidad de cimentar su mayor logro legislativo.</t>
        </is>
      </c>
      <c r="J451" s="38" t="n"/>
      <c r="K451" s="62" t="n"/>
      <c r="L451" s="38" t="n"/>
      <c r="M451" s="62" t="n"/>
      <c r="N451" s="38" t="n"/>
      <c r="O451" s="62" t="n"/>
      <c r="P451" s="38" t="n"/>
      <c r="Q451" s="62" t="n"/>
      <c r="R451" s="38" t="n"/>
      <c r="S451" s="62" t="n"/>
      <c r="T451" s="38" t="n"/>
      <c r="U451" s="62" t="n"/>
      <c r="V451" s="38" t="n"/>
      <c r="W451" s="62" t="n"/>
      <c r="X451" s="38" t="n"/>
      <c r="Y451" s="62" t="n"/>
      <c r="Z451" s="38" t="n"/>
      <c r="AA451" s="62" t="n"/>
      <c r="AB451" s="38" t="n"/>
      <c r="AC451" s="62" t="n"/>
      <c r="AD451" s="38" t="n"/>
      <c r="AE451" s="38" t="n"/>
      <c r="AF451" s="61">
        <f>IF(COUNTIF($B$5:B451,B451)=1,1,0)</f>
        <v/>
      </c>
      <c r="AG451" s="62" t="inlineStr">
        <is>
          <t>https://www.elespectador.com/opinion/editorial/editorial-la-reforma-pensional-se-debe-reglamentar-ya/</t>
        </is>
      </c>
    </row>
    <row r="452" ht="15" customHeight="1" s="31">
      <c r="A452" s="38" t="inlineStr">
        <is>
          <t>ART_066</t>
        </is>
      </c>
      <c r="B452" s="38" t="inlineStr">
        <is>
          <t>ART_066_S09</t>
        </is>
      </c>
      <c r="C452" s="38" t="inlineStr">
        <is>
          <t>El Espectador</t>
        </is>
      </c>
      <c r="D452" s="38" t="inlineStr">
        <is>
          <t>Reformas sociales en disputa (pensional/tributaria)</t>
        </is>
      </c>
      <c r="E452" s="38" t="inlineStr">
        <is>
          <t>Opinión-análisis</t>
        </is>
      </c>
      <c r="F452" s="38" t="inlineStr">
        <is>
          <t>2025-02-16T00:00:00-05:00</t>
        </is>
      </c>
      <c r="G452" s="62" t="inlineStr">
        <is>
          <t>El país debe operar bajo el entendido de que esta es la ley vigente y el Gobierno Nacional no puede perder esta oportunidad de cimentar su mayor logro legislativo.</t>
        </is>
      </c>
      <c r="H452" s="62" t="inlineStr">
        <is>
          <t>Empero, eso no es excusa para que haya tanta demora en la reglamentación y la implementación.</t>
        </is>
      </c>
      <c r="I452" s="62" t="inlineStr">
        <is>
          <t>Por eso preocupa que, con la ausencia de Ramírez, se interrumpan los procesos y haya aún más demoras.</t>
        </is>
      </c>
      <c r="J452" s="38" t="n"/>
      <c r="K452" s="62" t="n"/>
      <c r="L452" s="38" t="n"/>
      <c r="M452" s="62" t="n"/>
      <c r="N452" s="38" t="n"/>
      <c r="O452" s="62" t="n"/>
      <c r="P452" s="38" t="n"/>
      <c r="Q452" s="62" t="n"/>
      <c r="R452" s="38" t="n"/>
      <c r="S452" s="62" t="n"/>
      <c r="T452" s="38" t="n"/>
      <c r="U452" s="62" t="n"/>
      <c r="V452" s="38" t="n"/>
      <c r="W452" s="62" t="n"/>
      <c r="X452" s="38" t="n"/>
      <c r="Y452" s="62" t="n"/>
      <c r="Z452" s="38" t="n"/>
      <c r="AA452" s="62" t="n"/>
      <c r="AB452" s="38" t="n"/>
      <c r="AC452" s="62" t="n"/>
      <c r="AD452" s="38" t="n"/>
      <c r="AE452" s="38" t="n"/>
      <c r="AF452" s="61">
        <f>IF(COUNTIF($B$5:B452,B452)=1,1,0)</f>
        <v/>
      </c>
      <c r="AG452" s="62" t="inlineStr">
        <is>
          <t>https://www.elespectador.com/opinion/editorial/editorial-la-reforma-pensional-se-debe-reglamentar-ya/</t>
        </is>
      </c>
    </row>
    <row r="453" ht="15" customHeight="1" s="31">
      <c r="A453" s="38" t="inlineStr">
        <is>
          <t>ART_066</t>
        </is>
      </c>
      <c r="B453" s="38" t="inlineStr">
        <is>
          <t>ART_066_S10</t>
        </is>
      </c>
      <c r="C453" s="38" t="inlineStr">
        <is>
          <t>El Espectador</t>
        </is>
      </c>
      <c r="D453" s="38" t="inlineStr">
        <is>
          <t>Reformas sociales en disputa (pensional/tributaria)</t>
        </is>
      </c>
      <c r="E453" s="38" t="inlineStr">
        <is>
          <t>Opinión-análisis</t>
        </is>
      </c>
      <c r="F453" s="38" t="inlineStr">
        <is>
          <t>2025-02-16T00:00:00-05:00</t>
        </is>
      </c>
      <c r="G453" s="62" t="inlineStr">
        <is>
          <t>Por eso preocupa que, con la ausencia de Ramírez, se interrumpan los procesos y haya aún más demoras.</t>
        </is>
      </c>
      <c r="H453" s="62" t="inlineStr">
        <is>
          <t>El país debe operar bajo el entendido de que esta es la ley vigente y el Gobierno Nacional no puede perder esta oportunidad de cimentar su mayor logro legislativo.</t>
        </is>
      </c>
      <c r="I453" s="62" t="inlineStr">
        <is>
          <t>El Banco de la República encendió las alarmas.</t>
        </is>
      </c>
      <c r="J453" s="38" t="n"/>
      <c r="K453" s="62" t="n"/>
      <c r="L453" s="38" t="n"/>
      <c r="M453" s="62" t="n"/>
      <c r="N453" s="38" t="n"/>
      <c r="O453" s="62" t="n"/>
      <c r="P453" s="38" t="n"/>
      <c r="Q453" s="62" t="n"/>
      <c r="R453" s="38" t="n"/>
      <c r="S453" s="62" t="n"/>
      <c r="T453" s="38" t="n"/>
      <c r="U453" s="62" t="n"/>
      <c r="V453" s="38" t="n"/>
      <c r="W453" s="62" t="n"/>
      <c r="X453" s="38" t="n"/>
      <c r="Y453" s="62" t="n"/>
      <c r="Z453" s="38" t="n"/>
      <c r="AA453" s="62" t="n"/>
      <c r="AB453" s="38" t="n"/>
      <c r="AC453" s="62" t="n"/>
      <c r="AD453" s="38" t="n"/>
      <c r="AE453" s="38" t="n"/>
      <c r="AF453" s="61">
        <f>IF(COUNTIF($B$5:B453,B453)=1,1,0)</f>
        <v/>
      </c>
      <c r="AG453" s="62" t="inlineStr">
        <is>
          <t>https://www.elespectador.com/opinion/editorial/editorial-la-reforma-pensional-se-debe-reglamentar-ya/</t>
        </is>
      </c>
    </row>
    <row r="454" ht="15" customHeight="1" s="31">
      <c r="A454" s="38" t="inlineStr">
        <is>
          <t>ART_066</t>
        </is>
      </c>
      <c r="B454" s="38" t="inlineStr">
        <is>
          <t>ART_066_S11</t>
        </is>
      </c>
      <c r="C454" s="38" t="inlineStr">
        <is>
          <t>El Espectador</t>
        </is>
      </c>
      <c r="D454" s="38" t="inlineStr">
        <is>
          <t>Reformas sociales en disputa (pensional/tributaria)</t>
        </is>
      </c>
      <c r="E454" s="38" t="inlineStr">
        <is>
          <t>Opinión-análisis</t>
        </is>
      </c>
      <c r="F454" s="38" t="inlineStr">
        <is>
          <t>2025-02-16T00:00:00-05:00</t>
        </is>
      </c>
      <c r="G454" s="62" t="inlineStr">
        <is>
          <t>El Banco de la República encendió las alarmas.</t>
        </is>
      </c>
      <c r="H454" s="62" t="inlineStr">
        <is>
          <t>Por eso preocupa que, con la ausencia de Ramírez, se interrumpan los procesos y haya aún más demoras.</t>
        </is>
      </c>
      <c r="I454" s="62" t="inlineStr">
        <is>
          <t>Tiene sentido, pues el Emisor cumple un papel esencial en la nueva reforma.</t>
        </is>
      </c>
      <c r="J454" s="38" t="n"/>
      <c r="K454" s="62" t="n"/>
      <c r="L454" s="38" t="n"/>
      <c r="M454" s="62" t="n"/>
      <c r="N454" s="38" t="n"/>
      <c r="O454" s="62" t="n"/>
      <c r="P454" s="38" t="n"/>
      <c r="Q454" s="62" t="n"/>
      <c r="R454" s="38" t="n"/>
      <c r="S454" s="62" t="n"/>
      <c r="T454" s="38" t="n"/>
      <c r="U454" s="62" t="n"/>
      <c r="V454" s="38" t="n"/>
      <c r="W454" s="62" t="n"/>
      <c r="X454" s="38" t="n"/>
      <c r="Y454" s="62" t="n"/>
      <c r="Z454" s="38" t="n"/>
      <c r="AA454" s="62" t="n"/>
      <c r="AB454" s="38" t="n"/>
      <c r="AC454" s="62" t="n"/>
      <c r="AD454" s="38" t="n"/>
      <c r="AE454" s="38" t="n"/>
      <c r="AF454" s="61">
        <f>IF(COUNTIF($B$5:B454,B454)=1,1,0)</f>
        <v/>
      </c>
      <c r="AG454" s="62" t="inlineStr">
        <is>
          <t>https://www.elespectador.com/opinion/editorial/editorial-la-reforma-pensional-se-debe-reglamentar-ya/</t>
        </is>
      </c>
    </row>
    <row r="455" ht="15" customHeight="1" s="31">
      <c r="A455" s="38" t="inlineStr">
        <is>
          <t>ART_066</t>
        </is>
      </c>
      <c r="B455" s="38" t="inlineStr">
        <is>
          <t>ART_066_S12</t>
        </is>
      </c>
      <c r="C455" s="38" t="inlineStr">
        <is>
          <t>El Espectador</t>
        </is>
      </c>
      <c r="D455" s="38" t="inlineStr">
        <is>
          <t>Reformas sociales en disputa (pensional/tributaria)</t>
        </is>
      </c>
      <c r="E455" s="38" t="inlineStr">
        <is>
          <t>Opinión-análisis</t>
        </is>
      </c>
      <c r="F455" s="38" t="inlineStr">
        <is>
          <t>2025-02-16T00:00:00-05:00</t>
        </is>
      </c>
      <c r="G455" s="62" t="inlineStr">
        <is>
          <t>Tiene sentido, pues el Emisor cumple un papel esencial en la nueva reforma.</t>
        </is>
      </c>
      <c r="H455" s="62" t="inlineStr">
        <is>
          <t>El Banco de la República encendió las alarmas.</t>
        </is>
      </c>
      <c r="I455" s="62" t="inlineStr">
        <is>
          <t>Según la normativa, el Banco tendrá a cargo la administración del Fondo de Ahorro del Pilar Contributivo, lo que incluye definir cómo se van a invertir los recursos, cuáles riesgos se tomarán y de qué manera se hará crecer el dinero de los colombianos.</t>
        </is>
      </c>
      <c r="J455" s="38" t="n"/>
      <c r="K455" s="62" t="n"/>
      <c r="L455" s="38" t="n"/>
      <c r="M455" s="62" t="n"/>
      <c r="N455" s="38" t="n"/>
      <c r="O455" s="62" t="n"/>
      <c r="P455" s="38" t="n"/>
      <c r="Q455" s="62" t="n"/>
      <c r="R455" s="38" t="n"/>
      <c r="S455" s="62" t="n"/>
      <c r="T455" s="38" t="n"/>
      <c r="U455" s="62" t="n"/>
      <c r="V455" s="38" t="n"/>
      <c r="W455" s="62" t="n"/>
      <c r="X455" s="38" t="n"/>
      <c r="Y455" s="62" t="n"/>
      <c r="Z455" s="38" t="n"/>
      <c r="AA455" s="62" t="n"/>
      <c r="AB455" s="38" t="n"/>
      <c r="AC455" s="62" t="n"/>
      <c r="AD455" s="38" t="n"/>
      <c r="AE455" s="38" t="n"/>
      <c r="AF455" s="61">
        <f>IF(COUNTIF($B$5:B455,B455)=1,1,0)</f>
        <v/>
      </c>
      <c r="AG455" s="62" t="inlineStr">
        <is>
          <t>https://www.elespectador.com/opinion/editorial/editorial-la-reforma-pensional-se-debe-reglamentar-ya/</t>
        </is>
      </c>
    </row>
    <row r="456" ht="15" customHeight="1" s="31">
      <c r="A456" s="38" t="inlineStr">
        <is>
          <t>ART_066</t>
        </is>
      </c>
      <c r="B456" s="38" t="inlineStr">
        <is>
          <t>ART_066_S13</t>
        </is>
      </c>
      <c r="C456" s="38" t="inlineStr">
        <is>
          <t>El Espectador</t>
        </is>
      </c>
      <c r="D456" s="38" t="inlineStr">
        <is>
          <t>Reformas sociales en disputa (pensional/tributaria)</t>
        </is>
      </c>
      <c r="E456" s="38" t="inlineStr">
        <is>
          <t>Opinión-análisis</t>
        </is>
      </c>
      <c r="F456" s="38" t="inlineStr">
        <is>
          <t>2025-02-16T00:00:00-05:00</t>
        </is>
      </c>
      <c r="G456" s="62" t="inlineStr">
        <is>
          <t>Según la normativa, el Banco tendrá a cargo la administración del Fondo de Ahorro del Pilar Contributivo, lo que incluye definir cómo se van a invertir los recursos, cuáles riesgos se tomarán y de qué manera se hará crecer el dinero de los colombianos.</t>
        </is>
      </c>
      <c r="H456" s="62" t="inlineStr">
        <is>
          <t>Tiene sentido, pues el Emisor cumple un papel esencial en la nueva reforma.</t>
        </is>
      </c>
      <c r="I456" s="62" t="inlineStr">
        <is>
          <t>El problema es que, a la fecha, las reglas y responsabilidades no están claras.</t>
        </is>
      </c>
      <c r="J456" s="38" t="n"/>
      <c r="K456" s="62" t="n"/>
      <c r="L456" s="38" t="n"/>
      <c r="M456" s="62" t="n"/>
      <c r="N456" s="38" t="n"/>
      <c r="O456" s="62" t="n"/>
      <c r="P456" s="38" t="n"/>
      <c r="Q456" s="62" t="n"/>
      <c r="R456" s="38" t="n"/>
      <c r="S456" s="62" t="n"/>
      <c r="T456" s="38" t="n"/>
      <c r="U456" s="62" t="n"/>
      <c r="V456" s="38" t="n"/>
      <c r="W456" s="62" t="n"/>
      <c r="X456" s="38" t="n"/>
      <c r="Y456" s="62" t="n"/>
      <c r="Z456" s="38" t="n"/>
      <c r="AA456" s="62" t="n"/>
      <c r="AB456" s="38" t="n"/>
      <c r="AC456" s="62" t="n"/>
      <c r="AD456" s="38" t="n"/>
      <c r="AE456" s="38" t="n"/>
      <c r="AF456" s="61">
        <f>IF(COUNTIF($B$5:B456,B456)=1,1,0)</f>
        <v/>
      </c>
      <c r="AG456" s="62" t="inlineStr">
        <is>
          <t>https://www.elespectador.com/opinion/editorial/editorial-la-reforma-pensional-se-debe-reglamentar-ya/</t>
        </is>
      </c>
    </row>
    <row r="457" ht="15" customHeight="1" s="31">
      <c r="A457" s="38" t="inlineStr">
        <is>
          <t>ART_066</t>
        </is>
      </c>
      <c r="B457" s="38" t="inlineStr">
        <is>
          <t>ART_066_S14</t>
        </is>
      </c>
      <c r="C457" s="38" t="inlineStr">
        <is>
          <t>El Espectador</t>
        </is>
      </c>
      <c r="D457" s="38" t="inlineStr">
        <is>
          <t>Reformas sociales en disputa (pensional/tributaria)</t>
        </is>
      </c>
      <c r="E457" s="38" t="inlineStr">
        <is>
          <t>Opinión-análisis</t>
        </is>
      </c>
      <c r="F457" s="38" t="inlineStr">
        <is>
          <t>2025-02-16T00:00:00-05:00</t>
        </is>
      </c>
      <c r="G457" s="62" t="inlineStr">
        <is>
          <t>El problema es que, a la fecha, las reglas y responsabilidades no están claras.</t>
        </is>
      </c>
      <c r="H457" s="62" t="inlineStr">
        <is>
          <t>Según la normativa, el Banco tendrá a cargo la administración del Fondo de Ahorro del Pilar Contributivo, lo que incluye definir cómo se van a invertir los recursos, cuáles riesgos se tomarán y de qué manera se hará crecer el dinero de los colombianos.</t>
        </is>
      </c>
      <c r="I457" s="62" t="n"/>
      <c r="J457" s="38" t="n"/>
      <c r="K457" s="62" t="n"/>
      <c r="L457" s="38" t="n"/>
      <c r="M457" s="62" t="n"/>
      <c r="N457" s="38" t="n"/>
      <c r="O457" s="62" t="n"/>
      <c r="P457" s="38" t="n"/>
      <c r="Q457" s="62" t="n"/>
      <c r="R457" s="38" t="n"/>
      <c r="S457" s="62" t="n"/>
      <c r="T457" s="38" t="n"/>
      <c r="U457" s="62" t="n"/>
      <c r="V457" s="38" t="n"/>
      <c r="W457" s="62" t="n"/>
      <c r="X457" s="38" t="n"/>
      <c r="Y457" s="62" t="n"/>
      <c r="Z457" s="38" t="n"/>
      <c r="AA457" s="62" t="n"/>
      <c r="AB457" s="38" t="n"/>
      <c r="AC457" s="62" t="n"/>
      <c r="AD457" s="38" t="n"/>
      <c r="AE457" s="38" t="n"/>
      <c r="AF457" s="61">
        <f>IF(COUNTIF($B$5:B457,B457)=1,1,0)</f>
        <v/>
      </c>
      <c r="AG457" s="62" t="inlineStr">
        <is>
          <t>https://www.elespectador.com/opinion/editorial/editorial-la-reforma-pensional-se-debe-reglamentar-ya/</t>
        </is>
      </c>
    </row>
    <row r="458" ht="15" customHeight="1" s="31">
      <c r="A458" s="38" t="inlineStr">
        <is>
          <t>ART_067</t>
        </is>
      </c>
      <c r="B458" s="38" t="inlineStr">
        <is>
          <t>ART_067_S01</t>
        </is>
      </c>
      <c r="C458" s="38" t="inlineStr">
        <is>
          <t>Semana</t>
        </is>
      </c>
      <c r="D458" s="38" t="inlineStr">
        <is>
          <t>Reformas sociales en disputa (pensional/tributaria)</t>
        </is>
      </c>
      <c r="E458" s="38" t="inlineStr">
        <is>
          <t>Opinión-análisis</t>
        </is>
      </c>
      <c r="F458" s="38" t="inlineStr">
        <is>
          <t>2024-05-02T06:31:19-05:00</t>
        </is>
      </c>
      <c r="G458" s="62" t="inlineStr">
        <is>
          <t>Mucho se ha especulado sobre los alcances de la reforma pensional recientemente aprobada por el Senado de la República, que en próximos días surtirá su trámite en la Cámara de Representantes.</t>
        </is>
      </c>
      <c r="H458" s="62" t="n"/>
      <c r="I458" s="62" t="inlineStr">
        <is>
          <t>Como se espera, el texto será aprobado y posteriormente pasará a sanción presidencial para ser publicado y promulgado.</t>
        </is>
      </c>
      <c r="J458" s="38" t="n"/>
      <c r="K458" s="62" t="n"/>
      <c r="L458" s="38" t="n"/>
      <c r="M458" s="62" t="n"/>
      <c r="N458" s="38" t="n"/>
      <c r="O458" s="62" t="n"/>
      <c r="P458" s="38" t="n"/>
      <c r="Q458" s="62" t="n"/>
      <c r="R458" s="38" t="n"/>
      <c r="S458" s="62" t="n"/>
      <c r="T458" s="38" t="n"/>
      <c r="U458" s="62" t="n"/>
      <c r="V458" s="38" t="n"/>
      <c r="W458" s="62" t="n"/>
      <c r="X458" s="38" t="n"/>
      <c r="Y458" s="62" t="n"/>
      <c r="Z458" s="38" t="n"/>
      <c r="AA458" s="62" t="n"/>
      <c r="AB458" s="38" t="n"/>
      <c r="AC458" s="62" t="n"/>
      <c r="AD458" s="38" t="n"/>
      <c r="AE458" s="38" t="n"/>
      <c r="AF458" s="61">
        <f>IF(COUNTIF($B$5:B458,B458)=1,1,0)</f>
        <v/>
      </c>
      <c r="AG458" s="62" t="inlineStr">
        <is>
          <t>https://www.semana.com/opinion/articulo/el-impacto-financiero-y-fiscal-de-la-reforma-pensional/202456/</t>
        </is>
      </c>
    </row>
    <row r="459" ht="15" customHeight="1" s="31">
      <c r="A459" s="38" t="inlineStr">
        <is>
          <t>ART_067</t>
        </is>
      </c>
      <c r="B459" s="38" t="inlineStr">
        <is>
          <t>ART_067_S02</t>
        </is>
      </c>
      <c r="C459" s="38" t="inlineStr">
        <is>
          <t>Semana</t>
        </is>
      </c>
      <c r="D459" s="38" t="inlineStr">
        <is>
          <t>Reformas sociales en disputa (pensional/tributaria)</t>
        </is>
      </c>
      <c r="E459" s="38" t="inlineStr">
        <is>
          <t>Opinión-análisis</t>
        </is>
      </c>
      <c r="F459" s="38" t="inlineStr">
        <is>
          <t>2024-05-02T06:31:19-05:00</t>
        </is>
      </c>
      <c r="G459" s="62" t="inlineStr">
        <is>
          <t>Como se espera, el texto será aprobado y posteriormente pasará a sanción presidencial para ser publicado y promulgado.</t>
        </is>
      </c>
      <c r="H459" s="62" t="inlineStr">
        <is>
          <t>Mucho se ha especulado sobre los alcances de la reforma pensional recientemente aprobada por el Senado de la República, que en próximos días surtirá su trámite en la Cámara de Representantes.</t>
        </is>
      </c>
      <c r="I459" s="62" t="inlineStr">
        <is>
          <t>Lo que se avecina en términos de impacto financiero y fiscal de la aludida reforma aún son desconocidos para el común de los colombianos, sin embargo, pueden advertirse indiscutibles riesgos, a saber, los siguientes.</t>
        </is>
      </c>
      <c r="J459" s="38" t="n"/>
      <c r="K459" s="62" t="n"/>
      <c r="L459" s="38" t="n"/>
      <c r="M459" s="62" t="n"/>
      <c r="N459" s="38" t="n"/>
      <c r="O459" s="62" t="n"/>
      <c r="P459" s="38" t="n"/>
      <c r="Q459" s="62" t="n"/>
      <c r="R459" s="38" t="n"/>
      <c r="S459" s="62" t="n"/>
      <c r="T459" s="38" t="n"/>
      <c r="U459" s="62" t="n"/>
      <c r="V459" s="38" t="n"/>
      <c r="W459" s="62" t="n"/>
      <c r="X459" s="38" t="n"/>
      <c r="Y459" s="62" t="n"/>
      <c r="Z459" s="38" t="n"/>
      <c r="AA459" s="62" t="n"/>
      <c r="AB459" s="38" t="n"/>
      <c r="AC459" s="62" t="n"/>
      <c r="AD459" s="38" t="n"/>
      <c r="AE459" s="38" t="n"/>
      <c r="AF459" s="61">
        <f>IF(COUNTIF($B$5:B459,B459)=1,1,0)</f>
        <v/>
      </c>
      <c r="AG459" s="62" t="inlineStr">
        <is>
          <t>https://www.semana.com/opinion/articulo/el-impacto-financiero-y-fiscal-de-la-reforma-pensional/202456/</t>
        </is>
      </c>
    </row>
    <row r="460" ht="15" customHeight="1" s="31">
      <c r="A460" s="38" t="inlineStr">
        <is>
          <t>ART_067</t>
        </is>
      </c>
      <c r="B460" s="38" t="inlineStr">
        <is>
          <t>ART_067_S03</t>
        </is>
      </c>
      <c r="C460" s="38" t="inlineStr">
        <is>
          <t>Semana</t>
        </is>
      </c>
      <c r="D460" s="38" t="inlineStr">
        <is>
          <t>Reformas sociales en disputa (pensional/tributaria)</t>
        </is>
      </c>
      <c r="E460" s="38" t="inlineStr">
        <is>
          <t>Opinión-análisis</t>
        </is>
      </c>
      <c r="F460" s="38" t="inlineStr">
        <is>
          <t>2024-05-02T06:31:19-05:00</t>
        </is>
      </c>
      <c r="G460" s="62" t="inlineStr">
        <is>
          <t>Lo que se avecina en términos de impacto financiero y fiscal de la aludida reforma aún son desconocidos para el común de los colombianos, sin embargo, pueden advertirse indiscutibles riesgos, a saber, los siguientes.</t>
        </is>
      </c>
      <c r="H460" s="62" t="inlineStr">
        <is>
          <t>Como se espera, el texto será aprobado y posteriormente pasará a sanción presidencial para ser publicado y promulgado.</t>
        </is>
      </c>
      <c r="I460" s="62" t="inlineStr">
        <is>
          <t>Para entender cómo irrumpe la reforma en nuestro actual sistema, es menester primero indicar cómo está compuesto.</t>
        </is>
      </c>
      <c r="J460" s="38" t="n"/>
      <c r="K460" s="62" t="n"/>
      <c r="L460" s="38" t="n"/>
      <c r="M460" s="62" t="n"/>
      <c r="N460" s="38" t="n"/>
      <c r="O460" s="62" t="n"/>
      <c r="P460" s="38" t="n"/>
      <c r="Q460" s="62" t="n"/>
      <c r="R460" s="38" t="n"/>
      <c r="S460" s="62" t="n"/>
      <c r="T460" s="38" t="n"/>
      <c r="U460" s="62" t="n"/>
      <c r="V460" s="38" t="n"/>
      <c r="W460" s="62" t="n"/>
      <c r="X460" s="38" t="n"/>
      <c r="Y460" s="62" t="n"/>
      <c r="Z460" s="38" t="n"/>
      <c r="AA460" s="62" t="n"/>
      <c r="AB460" s="38" t="n"/>
      <c r="AC460" s="62" t="n"/>
      <c r="AD460" s="38" t="n"/>
      <c r="AE460" s="38" t="n"/>
      <c r="AF460" s="61">
        <f>IF(COUNTIF($B$5:B460,B460)=1,1,0)</f>
        <v/>
      </c>
      <c r="AG460" s="62" t="inlineStr">
        <is>
          <t>https://www.semana.com/opinion/articulo/el-impacto-financiero-y-fiscal-de-la-reforma-pensional/202456/</t>
        </is>
      </c>
    </row>
    <row r="461" ht="15" customHeight="1" s="31">
      <c r="A461" s="38" t="inlineStr">
        <is>
          <t>ART_067</t>
        </is>
      </c>
      <c r="B461" s="38" t="inlineStr">
        <is>
          <t>ART_067_S04</t>
        </is>
      </c>
      <c r="C461" s="38" t="inlineStr">
        <is>
          <t>Semana</t>
        </is>
      </c>
      <c r="D461" s="38" t="inlineStr">
        <is>
          <t>Reformas sociales en disputa (pensional/tributaria)</t>
        </is>
      </c>
      <c r="E461" s="38" t="inlineStr">
        <is>
          <t>Opinión-análisis</t>
        </is>
      </c>
      <c r="F461" s="38" t="inlineStr">
        <is>
          <t>2024-05-02T06:31:19-05:00</t>
        </is>
      </c>
      <c r="G461" s="62" t="inlineStr">
        <is>
          <t>Para entender cómo irrumpe la reforma en nuestro actual sistema, es menester primero indicar cómo está compuesto.</t>
        </is>
      </c>
      <c r="H461" s="62" t="inlineStr">
        <is>
          <t>Lo que se avecina en términos de impacto financiero y fiscal de la aludida reforma aún son desconocidos para el común de los colombianos, sin embargo, pueden advertirse indiscutibles riesgos, a saber, los siguientes.</t>
        </is>
      </c>
      <c r="I461" s="62" t="inlineStr">
        <is>
          <t>El sistema de pensiones cubre las contingencias de vejez, invalidez y muerte de origen común, esto es, que no sean de origen laboral, por ejemplo, una pensión por accidente de trabajo.</t>
        </is>
      </c>
      <c r="J461" s="38" t="n"/>
      <c r="K461" s="62" t="n"/>
      <c r="L461" s="38" t="n"/>
      <c r="M461" s="62" t="n"/>
      <c r="N461" s="38" t="n"/>
      <c r="O461" s="62" t="n"/>
      <c r="P461" s="38" t="n"/>
      <c r="Q461" s="62" t="n"/>
      <c r="R461" s="38" t="n"/>
      <c r="S461" s="62" t="n"/>
      <c r="T461" s="38" t="n"/>
      <c r="U461" s="62" t="n"/>
      <c r="V461" s="38" t="n"/>
      <c r="W461" s="62" t="n"/>
      <c r="X461" s="38" t="n"/>
      <c r="Y461" s="62" t="n"/>
      <c r="Z461" s="38" t="n"/>
      <c r="AA461" s="62" t="n"/>
      <c r="AB461" s="38" t="n"/>
      <c r="AC461" s="62" t="n"/>
      <c r="AD461" s="38" t="n"/>
      <c r="AE461" s="38" t="n"/>
      <c r="AF461" s="61">
        <f>IF(COUNTIF($B$5:B461,B461)=1,1,0)</f>
        <v/>
      </c>
      <c r="AG461" s="62" t="inlineStr">
        <is>
          <t>https://www.semana.com/opinion/articulo/el-impacto-financiero-y-fiscal-de-la-reforma-pensional/202456/</t>
        </is>
      </c>
    </row>
    <row r="462" ht="15" customHeight="1" s="31">
      <c r="A462" s="38" t="inlineStr">
        <is>
          <t>ART_067</t>
        </is>
      </c>
      <c r="B462" s="38" t="inlineStr">
        <is>
          <t>ART_067_S05</t>
        </is>
      </c>
      <c r="C462" s="38" t="inlineStr">
        <is>
          <t>Semana</t>
        </is>
      </c>
      <c r="D462" s="38" t="inlineStr">
        <is>
          <t>Reformas sociales en disputa (pensional/tributaria)</t>
        </is>
      </c>
      <c r="E462" s="38" t="inlineStr">
        <is>
          <t>Opinión-análisis</t>
        </is>
      </c>
      <c r="F462" s="38" t="inlineStr">
        <is>
          <t>2024-05-02T06:31:19-05:00</t>
        </is>
      </c>
      <c r="G462" s="62" t="inlineStr">
        <is>
          <t>El sistema de pensiones cubre las contingencias de vejez, invalidez y muerte de origen común, esto es, que no sean de origen laboral, por ejemplo, una pensión por accidente de trabajo.</t>
        </is>
      </c>
      <c r="H462" s="62" t="inlineStr">
        <is>
          <t>Para entender cómo irrumpe la reforma en nuestro actual sistema, es menester primero indicar cómo está compuesto.</t>
        </is>
      </c>
      <c r="I462" s="62" t="inlineStr">
        <is>
          <t>La protección en este caso se realiza a partir del reconocimiento del derecho a una mesada pensional mediante un sistema dual compuesto por el régimen de prima media (RPM) y el de ahorro individual con solidaridad (RAIS).</t>
        </is>
      </c>
      <c r="J462" s="38" t="n"/>
      <c r="K462" s="62" t="n"/>
      <c r="L462" s="38" t="n"/>
      <c r="M462" s="62" t="n"/>
      <c r="N462" s="38" t="n"/>
      <c r="O462" s="62" t="n"/>
      <c r="P462" s="38" t="n"/>
      <c r="Q462" s="62" t="n"/>
      <c r="R462" s="38" t="n"/>
      <c r="S462" s="62" t="n"/>
      <c r="T462" s="38" t="n"/>
      <c r="U462" s="62" t="n"/>
      <c r="V462" s="38" t="n"/>
      <c r="W462" s="62" t="n"/>
      <c r="X462" s="38" t="n"/>
      <c r="Y462" s="62" t="n"/>
      <c r="Z462" s="38" t="n"/>
      <c r="AA462" s="62" t="n"/>
      <c r="AB462" s="38" t="n"/>
      <c r="AC462" s="62" t="n"/>
      <c r="AD462" s="38" t="n"/>
      <c r="AE462" s="38" t="n"/>
      <c r="AF462" s="61">
        <f>IF(COUNTIF($B$5:B462,B462)=1,1,0)</f>
        <v/>
      </c>
      <c r="AG462" s="62" t="inlineStr">
        <is>
          <t>https://www.semana.com/opinion/articulo/el-impacto-financiero-y-fiscal-de-la-reforma-pensional/202456/</t>
        </is>
      </c>
    </row>
    <row r="463" ht="15" customHeight="1" s="31">
      <c r="A463" s="38" t="inlineStr">
        <is>
          <t>ART_067</t>
        </is>
      </c>
      <c r="B463" s="38" t="inlineStr">
        <is>
          <t>ART_067_S06</t>
        </is>
      </c>
      <c r="C463" s="38" t="inlineStr">
        <is>
          <t>Semana</t>
        </is>
      </c>
      <c r="D463" s="38" t="inlineStr">
        <is>
          <t>Reformas sociales en disputa (pensional/tributaria)</t>
        </is>
      </c>
      <c r="E463" s="38" t="inlineStr">
        <is>
          <t>Opinión-análisis</t>
        </is>
      </c>
      <c r="F463" s="38" t="inlineStr">
        <is>
          <t>2024-05-02T06:31:19-05:00</t>
        </is>
      </c>
      <c r="G463" s="62" t="inlineStr">
        <is>
          <t>La protección en este caso se realiza a partir del reconocimiento del derecho a una mesada pensional mediante un sistema dual compuesto por el régimen de prima media (RPM) y el de ahorro individual con solidaridad (RAIS).</t>
        </is>
      </c>
      <c r="H463" s="62" t="inlineStr">
        <is>
          <t>El sistema de pensiones cubre las contingencias de vejez, invalidez y muerte de origen común, esto es, que no sean de origen laboral, por ejemplo, una pensión por accidente de trabajo.</t>
        </is>
      </c>
      <c r="I463" s="62" t="inlineStr">
        <is>
          <t>El primero de ellos se financia mediante los aportes realizados por los trabajadores activos y los subsidios estatales; en el segundo, con los aportes y su rentabilidad.</t>
        </is>
      </c>
      <c r="J463" s="38" t="n"/>
      <c r="K463" s="62" t="n"/>
      <c r="L463" s="38" t="n"/>
      <c r="M463" s="62" t="n"/>
      <c r="N463" s="38" t="n"/>
      <c r="O463" s="62" t="n"/>
      <c r="P463" s="38" t="n"/>
      <c r="Q463" s="62" t="n"/>
      <c r="R463" s="38" t="n"/>
      <c r="S463" s="62" t="n"/>
      <c r="T463" s="38" t="n"/>
      <c r="U463" s="62" t="n"/>
      <c r="V463" s="38" t="n"/>
      <c r="W463" s="62" t="n"/>
      <c r="X463" s="38" t="n"/>
      <c r="Y463" s="62" t="n"/>
      <c r="Z463" s="38" t="n"/>
      <c r="AA463" s="62" t="n"/>
      <c r="AB463" s="38" t="n"/>
      <c r="AC463" s="62" t="n"/>
      <c r="AD463" s="38" t="n"/>
      <c r="AE463" s="38" t="n"/>
      <c r="AF463" s="61">
        <f>IF(COUNTIF($B$5:B463,B463)=1,1,0)</f>
        <v/>
      </c>
      <c r="AG463" s="62" t="inlineStr">
        <is>
          <t>https://www.semana.com/opinion/articulo/el-impacto-financiero-y-fiscal-de-la-reforma-pensional/202456/</t>
        </is>
      </c>
    </row>
    <row r="464" ht="15" customHeight="1" s="31">
      <c r="A464" s="38" t="inlineStr">
        <is>
          <t>ART_067</t>
        </is>
      </c>
      <c r="B464" s="38" t="inlineStr">
        <is>
          <t>ART_067_S07</t>
        </is>
      </c>
      <c r="C464" s="38" t="inlineStr">
        <is>
          <t>Semana</t>
        </is>
      </c>
      <c r="D464" s="38" t="inlineStr">
        <is>
          <t>Reformas sociales en disputa (pensional/tributaria)</t>
        </is>
      </c>
      <c r="E464" s="38" t="inlineStr">
        <is>
          <t>Opinión-análisis</t>
        </is>
      </c>
      <c r="F464" s="38" t="inlineStr">
        <is>
          <t>2024-05-02T06:31:19-05:00</t>
        </is>
      </c>
      <c r="G464" s="62" t="inlineStr">
        <is>
          <t>El primero de ellos se financia mediante los aportes realizados por los trabajadores activos y los subsidios estatales; en el segundo, con los aportes y su rentabilidad.</t>
        </is>
      </c>
      <c r="H464" s="62" t="inlineStr">
        <is>
          <t>La protección en este caso se realiza a partir del reconocimiento del derecho a una mesada pensional mediante un sistema dual compuesto por el régimen de prima media (RPM) y el de ahorro individual con solidaridad (RAIS).</t>
        </is>
      </c>
      <c r="I464" s="62" t="inlineStr">
        <is>
          <t>Según cifras de la Superfinanciera, para el año 2023, un total de 25,8 millones de personas estaban afiliadas al sistema, de las cuales 18,63 millones en el RAIS (72.20 %) y el resto en el RPM (29,80 %); sin embargo, para julio de 2023, solo 6,78 millones de personas se encontraban aportando, mientras que existía un total de 1.84 millones de pensionados, 1.56 millones en el RPM (96.64 %) y 279.362 en el RAIS (3.36 %).</t>
        </is>
      </c>
      <c r="J464" s="38" t="n"/>
      <c r="K464" s="62" t="n"/>
      <c r="L464" s="38" t="n"/>
      <c r="M464" s="62" t="n"/>
      <c r="N464" s="38" t="n"/>
      <c r="O464" s="62" t="n"/>
      <c r="P464" s="38" t="n"/>
      <c r="Q464" s="62" t="n"/>
      <c r="R464" s="38" t="n"/>
      <c r="S464" s="62" t="n"/>
      <c r="T464" s="38" t="n"/>
      <c r="U464" s="62" t="n"/>
      <c r="V464" s="38" t="n"/>
      <c r="W464" s="62" t="n"/>
      <c r="X464" s="38" t="n"/>
      <c r="Y464" s="62" t="n"/>
      <c r="Z464" s="38" t="n"/>
      <c r="AA464" s="62" t="n"/>
      <c r="AB464" s="38" t="n"/>
      <c r="AC464" s="62" t="n"/>
      <c r="AD464" s="38" t="n"/>
      <c r="AE464" s="38" t="n"/>
      <c r="AF464" s="61">
        <f>IF(COUNTIF($B$5:B464,B464)=1,1,0)</f>
        <v/>
      </c>
      <c r="AG464" s="62" t="inlineStr">
        <is>
          <t>https://www.semana.com/opinion/articulo/el-impacto-financiero-y-fiscal-de-la-reforma-pensional/202456/</t>
        </is>
      </c>
    </row>
    <row r="465" ht="15" customHeight="1" s="31">
      <c r="A465" s="38" t="inlineStr">
        <is>
          <t>ART_067</t>
        </is>
      </c>
      <c r="B465" s="38" t="inlineStr">
        <is>
          <t>ART_067_S08</t>
        </is>
      </c>
      <c r="C465" s="38" t="inlineStr">
        <is>
          <t>Semana</t>
        </is>
      </c>
      <c r="D465" s="38" t="inlineStr">
        <is>
          <t>Reformas sociales en disputa (pensional/tributaria)</t>
        </is>
      </c>
      <c r="E465" s="38" t="inlineStr">
        <is>
          <t>Opinión-análisis</t>
        </is>
      </c>
      <c r="F465" s="38" t="inlineStr">
        <is>
          <t>2024-05-02T06:31:19-05:00</t>
        </is>
      </c>
      <c r="G465" s="62" t="inlineStr">
        <is>
          <t>Según cifras de la Superfinanciera, para el año 2023, un total de 25,8 millones de personas estaban afiliadas al sistema, de las cuales 18,63 millones en el RAIS (72.20 %) y el resto en el RPM (29,80 %); sin embargo, para julio de 2023, solo 6,78 millones de personas se encontraban aportando, mientras que existía un total de 1.84 millones de pensionados, 1.56 millones en el RPM (96.64 %) y 279.362 en el RAIS (3.36 %).</t>
        </is>
      </c>
      <c r="H465" s="62" t="inlineStr">
        <is>
          <t>El primero de ellos se financia mediante los aportes realizados por los trabajadores activos y los subsidios estatales; en el segundo, con los aportes y su rentabilidad.</t>
        </is>
      </c>
      <c r="I465" s="62" t="inlineStr">
        <is>
          <t>En el caso de los pensionados del régimen de prima media con prestación definida, según se sabe, el 80 % se financia con los subsidios estatales, es decir, con los impuestos de la población rentística, y el restante 20 %, con los aportes que realizan los actuales trabajadores afiliados activos.</t>
        </is>
      </c>
      <c r="J465" s="38" t="n"/>
      <c r="K465" s="62" t="n"/>
      <c r="L465" s="38" t="n"/>
      <c r="M465" s="62" t="n"/>
      <c r="N465" s="38" t="n"/>
      <c r="O465" s="62" t="n"/>
      <c r="P465" s="38" t="n"/>
      <c r="Q465" s="62" t="n"/>
      <c r="R465" s="38" t="n"/>
      <c r="S465" s="62" t="n"/>
      <c r="T465" s="38" t="n"/>
      <c r="U465" s="62" t="n"/>
      <c r="V465" s="38" t="n"/>
      <c r="W465" s="62" t="n"/>
      <c r="X465" s="38" t="n"/>
      <c r="Y465" s="62" t="n"/>
      <c r="Z465" s="38" t="n"/>
      <c r="AA465" s="62" t="n"/>
      <c r="AB465" s="38" t="n"/>
      <c r="AC465" s="62" t="n"/>
      <c r="AD465" s="38" t="n"/>
      <c r="AE465" s="38" t="n"/>
      <c r="AF465" s="61">
        <f>IF(COUNTIF($B$5:B465,B465)=1,1,0)</f>
        <v/>
      </c>
      <c r="AG465" s="62" t="inlineStr">
        <is>
          <t>https://www.semana.com/opinion/articulo/el-impacto-financiero-y-fiscal-de-la-reforma-pensional/202456/</t>
        </is>
      </c>
    </row>
    <row r="466" ht="15" customHeight="1" s="31">
      <c r="A466" s="38" t="inlineStr">
        <is>
          <t>ART_067</t>
        </is>
      </c>
      <c r="B466" s="38" t="inlineStr">
        <is>
          <t>ART_067_S09</t>
        </is>
      </c>
      <c r="C466" s="38" t="inlineStr">
        <is>
          <t>Semana</t>
        </is>
      </c>
      <c r="D466" s="38" t="inlineStr">
        <is>
          <t>Reformas sociales en disputa (pensional/tributaria)</t>
        </is>
      </c>
      <c r="E466" s="38" t="inlineStr">
        <is>
          <t>Opinión-análisis</t>
        </is>
      </c>
      <c r="F466" s="38" t="inlineStr">
        <is>
          <t>2024-05-02T06:31:19-05:00</t>
        </is>
      </c>
      <c r="G466" s="62" t="inlineStr">
        <is>
          <t>En el caso de los pensionados del régimen de prima media con prestación definida, según se sabe, el 80 % se financia con los subsidios estatales, es decir, con los impuestos de la población rentística, y el restante 20 %, con los aportes que realizan los actuales trabajadores afiliados activos.</t>
        </is>
      </c>
      <c r="H466" s="62" t="inlineStr">
        <is>
          <t>Según cifras de la Superfinanciera, para el año 2023, un total de 25,8 millones de personas estaban afiliadas al sistema, de las cuales 18,63 millones en el RAIS (72.20 %) y el resto en el RPM (29,80 %); sin embargo, para julio de 2023, solo 6,78 millones de personas se encontraban aportando, mientras que existía un total de 1.84 millones de pensionados, 1.56 millones en el RPM (96.64 %) y 279.362 en el RAIS (3.36 %).</t>
        </is>
      </c>
      <c r="I466" s="62" t="inlineStr">
        <is>
          <t>Ahora bien, con el fin de garantizar el principio de universalidad del sistema pensional y, con ello, proteger a nuestra actual comunidad adulta mayor, la reforma pensional propone implementar un sistema de pilares.</t>
        </is>
      </c>
      <c r="J466" s="38" t="n"/>
      <c r="K466" s="62" t="n"/>
      <c r="L466" s="38" t="n"/>
      <c r="M466" s="62" t="n"/>
      <c r="N466" s="38" t="n"/>
      <c r="O466" s="62" t="n"/>
      <c r="P466" s="38" t="n"/>
      <c r="Q466" s="62" t="n"/>
      <c r="R466" s="38" t="n"/>
      <c r="S466" s="62" t="n"/>
      <c r="T466" s="38" t="n"/>
      <c r="U466" s="62" t="n"/>
      <c r="V466" s="38" t="n"/>
      <c r="W466" s="62" t="n"/>
      <c r="X466" s="38" t="n"/>
      <c r="Y466" s="62" t="n"/>
      <c r="Z466" s="38" t="n"/>
      <c r="AA466" s="62" t="n"/>
      <c r="AB466" s="38" t="n"/>
      <c r="AC466" s="62" t="n"/>
      <c r="AD466" s="38" t="n"/>
      <c r="AE466" s="38" t="n"/>
      <c r="AF466" s="61">
        <f>IF(COUNTIF($B$5:B466,B466)=1,1,0)</f>
        <v/>
      </c>
      <c r="AG466" s="62" t="inlineStr">
        <is>
          <t>https://www.semana.com/opinion/articulo/el-impacto-financiero-y-fiscal-de-la-reforma-pensional/202456/</t>
        </is>
      </c>
    </row>
    <row r="467" ht="15" customHeight="1" s="31">
      <c r="A467" s="38" t="inlineStr">
        <is>
          <t>ART_067</t>
        </is>
      </c>
      <c r="B467" s="38" t="inlineStr">
        <is>
          <t>ART_067_S10</t>
        </is>
      </c>
      <c r="C467" s="38" t="inlineStr">
        <is>
          <t>Semana</t>
        </is>
      </c>
      <c r="D467" s="38" t="inlineStr">
        <is>
          <t>Reformas sociales en disputa (pensional/tributaria)</t>
        </is>
      </c>
      <c r="E467" s="38" t="inlineStr">
        <is>
          <t>Opinión-análisis</t>
        </is>
      </c>
      <c r="F467" s="38" t="inlineStr">
        <is>
          <t>2024-05-02T06:31:19-05:00</t>
        </is>
      </c>
      <c r="G467" s="62" t="inlineStr">
        <is>
          <t>Ahora bien, con el fin de garantizar el principio de universalidad del sistema pensional y, con ello, proteger a nuestra actual comunidad adulta mayor, la reforma pensional propone implementar un sistema de pilares.</t>
        </is>
      </c>
      <c r="H467" s="62" t="inlineStr">
        <is>
          <t>En el caso de los pensionados del régimen de prima media con prestación definida, según se sabe, el 80 % se financia con los subsidios estatales, es decir, con los impuestos de la población rentística, y el restante 20 %, con los aportes que realizan los actuales trabajadores afiliados activos.</t>
        </is>
      </c>
      <c r="I467" s="62" t="n"/>
      <c r="J467" s="38" t="n"/>
      <c r="K467" s="62" t="n"/>
      <c r="L467" s="38" t="n"/>
      <c r="M467" s="62" t="n"/>
      <c r="N467" s="38" t="n"/>
      <c r="O467" s="62" t="n"/>
      <c r="P467" s="38" t="n"/>
      <c r="Q467" s="62" t="n"/>
      <c r="R467" s="38" t="n"/>
      <c r="S467" s="62" t="n"/>
      <c r="T467" s="38" t="n"/>
      <c r="U467" s="62" t="n"/>
      <c r="V467" s="38" t="n"/>
      <c r="W467" s="62" t="n"/>
      <c r="X467" s="38" t="n"/>
      <c r="Y467" s="62" t="n"/>
      <c r="Z467" s="38" t="n"/>
      <c r="AA467" s="62" t="n"/>
      <c r="AB467" s="38" t="n"/>
      <c r="AC467" s="62" t="n"/>
      <c r="AD467" s="38" t="n"/>
      <c r="AE467" s="38" t="n"/>
      <c r="AF467" s="61">
        <f>IF(COUNTIF($B$5:B467,B467)=1,1,0)</f>
        <v/>
      </c>
      <c r="AG467" s="62" t="inlineStr">
        <is>
          <t>https://www.semana.com/opinion/articulo/el-impacto-financiero-y-fiscal-de-la-reforma-pensional/202456/</t>
        </is>
      </c>
    </row>
    <row r="468" ht="15" customHeight="1" s="31">
      <c r="A468" s="38" t="inlineStr">
        <is>
          <t>ART_068</t>
        </is>
      </c>
      <c r="B468" s="38" t="inlineStr">
        <is>
          <t>ART_068_S01</t>
        </is>
      </c>
      <c r="C468" s="38" t="inlineStr">
        <is>
          <t>Semana</t>
        </is>
      </c>
      <c r="D468" s="38" t="inlineStr">
        <is>
          <t>Relación con Estados Unidos</t>
        </is>
      </c>
      <c r="E468" s="38" t="inlineStr">
        <is>
          <t>Noticia dura</t>
        </is>
      </c>
      <c r="F468" s="38" t="inlineStr">
        <is>
          <t>2026-08-03T22:17:10-05:00</t>
        </is>
      </c>
      <c r="G468" s="62" t="inlineStr">
        <is>
          <t>Veinticinco estados demócratas demandaron el lunes al gobierno federal estadounidense al considerar que la nueva política arancelaria del presidente Donald Trump excede sus poderes.</t>
        </is>
      </c>
      <c r="H468" s="62" t="n"/>
      <c r="I468"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J468" s="38" t="n"/>
      <c r="K468" s="62" t="n"/>
      <c r="L468" s="38" t="n"/>
      <c r="M468" s="62" t="n"/>
      <c r="N468" s="38" t="n"/>
      <c r="O468" s="62" t="n"/>
      <c r="P468" s="38" t="n"/>
      <c r="Q468" s="62" t="n"/>
      <c r="R468" s="38" t="n"/>
      <c r="S468" s="62" t="n"/>
      <c r="T468" s="38" t="n"/>
      <c r="U468" s="62" t="n"/>
      <c r="V468" s="38" t="n"/>
      <c r="W468" s="62" t="n"/>
      <c r="X468" s="38" t="n"/>
      <c r="Y468" s="62" t="n"/>
      <c r="Z468" s="38" t="n"/>
      <c r="AA468" s="62" t="n"/>
      <c r="AB468" s="38" t="n"/>
      <c r="AC468" s="62" t="n"/>
      <c r="AD468" s="38" t="n"/>
      <c r="AE468" s="38" t="n"/>
      <c r="AF468" s="61">
        <f>IF(COUNTIF($B$5:B468,B468)=1,1,0)</f>
        <v/>
      </c>
      <c r="AG468" s="62" t="inlineStr">
        <is>
          <t>https://www.semana.com/mundo/articulo/nueva-demanda-contra-aranceles-de-donald-trump-medidas-contra-colombia-podrian-caerse/202610/</t>
        </is>
      </c>
    </row>
    <row r="469" ht="15" customHeight="1" s="31">
      <c r="A469" s="38" t="inlineStr">
        <is>
          <t>ART_068</t>
        </is>
      </c>
      <c r="B469" s="38" t="inlineStr">
        <is>
          <t>ART_068_S02</t>
        </is>
      </c>
      <c r="C469" s="38" t="inlineStr">
        <is>
          <t>Semana</t>
        </is>
      </c>
      <c r="D469" s="38" t="inlineStr">
        <is>
          <t>Relación con Estados Unidos</t>
        </is>
      </c>
      <c r="E469" s="38" t="inlineStr">
        <is>
          <t>Noticia dura</t>
        </is>
      </c>
      <c r="F469" s="38" t="inlineStr">
        <is>
          <t>2026-08-03T22:17:10-05:00</t>
        </is>
      </c>
      <c r="G469"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H469" s="62" t="inlineStr">
        <is>
          <t>Veinticinco estados demócratas demandaron el lunes al gobierno federal estadounidense al considerar que la nueva política arancelaria del presidente Donald Trump excede sus poderes.</t>
        </is>
      </c>
      <c r="I469" s="62" t="inlineStr">
        <is>
          <t>Entre dichos países, estaba incluido Colombia, donde se aplicó gravamen del 12,5%.</t>
        </is>
      </c>
      <c r="J469" s="38" t="n"/>
      <c r="K469" s="62" t="n"/>
      <c r="L469" s="38" t="n"/>
      <c r="M469" s="62" t="n"/>
      <c r="N469" s="38" t="n"/>
      <c r="O469" s="62" t="n"/>
      <c r="P469" s="38" t="n"/>
      <c r="Q469" s="62" t="n"/>
      <c r="R469" s="38" t="n"/>
      <c r="S469" s="62" t="n"/>
      <c r="T469" s="38" t="n"/>
      <c r="U469" s="62" t="n"/>
      <c r="V469" s="38" t="n"/>
      <c r="W469" s="62" t="n"/>
      <c r="X469" s="38" t="n"/>
      <c r="Y469" s="62" t="n"/>
      <c r="Z469" s="38" t="n"/>
      <c r="AA469" s="62" t="n"/>
      <c r="AB469" s="38" t="n"/>
      <c r="AC469" s="62" t="n"/>
      <c r="AD469" s="38" t="n"/>
      <c r="AE469" s="38" t="n"/>
      <c r="AF469" s="61">
        <f>IF(COUNTIF($B$5:B469,B469)=1,1,0)</f>
        <v/>
      </c>
      <c r="AG469" s="62" t="inlineStr">
        <is>
          <t>https://www.semana.com/mundo/articulo/nueva-demanda-contra-aranceles-de-donald-trump-medidas-contra-colombia-podrian-caerse/202610/</t>
        </is>
      </c>
    </row>
    <row r="470" ht="15" customHeight="1" s="31">
      <c r="A470" s="38" t="inlineStr">
        <is>
          <t>ART_068</t>
        </is>
      </c>
      <c r="B470" s="38" t="inlineStr">
        <is>
          <t>ART_068_S03</t>
        </is>
      </c>
      <c r="C470" s="38" t="inlineStr">
        <is>
          <t>Semana</t>
        </is>
      </c>
      <c r="D470" s="38" t="inlineStr">
        <is>
          <t>Relación con Estados Unidos</t>
        </is>
      </c>
      <c r="E470" s="38" t="inlineStr">
        <is>
          <t>Noticia dura</t>
        </is>
      </c>
      <c r="F470" s="38" t="inlineStr">
        <is>
          <t>2026-08-03T22:17:10-05:00</t>
        </is>
      </c>
      <c r="G470" s="62" t="inlineStr">
        <is>
          <t>Entre dichos países, estaba incluido Colombia, donde se aplicó gravamen del 12,5%.</t>
        </is>
      </c>
      <c r="H470"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I470"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J470" s="38" t="n"/>
      <c r="K470" s="62" t="n"/>
      <c r="L470" s="38" t="n"/>
      <c r="M470" s="62" t="n"/>
      <c r="N470" s="38" t="n"/>
      <c r="O470" s="62" t="n"/>
      <c r="P470" s="38" t="n"/>
      <c r="Q470" s="62" t="n"/>
      <c r="R470" s="38" t="n"/>
      <c r="S470" s="62" t="n"/>
      <c r="T470" s="38" t="n"/>
      <c r="U470" s="62" t="n"/>
      <c r="V470" s="38" t="n"/>
      <c r="W470" s="62" t="n"/>
      <c r="X470" s="38" t="n"/>
      <c r="Y470" s="62" t="n"/>
      <c r="Z470" s="38" t="n"/>
      <c r="AA470" s="62" t="n"/>
      <c r="AB470" s="38" t="n"/>
      <c r="AC470" s="62" t="n"/>
      <c r="AD470" s="38" t="n"/>
      <c r="AE470" s="38" t="n"/>
      <c r="AF470" s="61">
        <f>IF(COUNTIF($B$5:B470,B470)=1,1,0)</f>
        <v/>
      </c>
      <c r="AG470" s="62" t="inlineStr">
        <is>
          <t>https://www.semana.com/mundo/articulo/nueva-demanda-contra-aranceles-de-donald-trump-medidas-contra-colombia-podrian-caerse/202610/</t>
        </is>
      </c>
    </row>
    <row r="471" ht="15" customHeight="1" s="31">
      <c r="A471" s="38" t="inlineStr">
        <is>
          <t>ART_068</t>
        </is>
      </c>
      <c r="B471" s="38" t="inlineStr">
        <is>
          <t>ART_068_S04</t>
        </is>
      </c>
      <c r="C471" s="38" t="inlineStr">
        <is>
          <t>Semana</t>
        </is>
      </c>
      <c r="D471" s="38" t="inlineStr">
        <is>
          <t>Relación con Estados Unidos</t>
        </is>
      </c>
      <c r="E471" s="38" t="inlineStr">
        <is>
          <t>Noticia dura</t>
        </is>
      </c>
      <c r="F471" s="38" t="inlineStr">
        <is>
          <t>2026-08-03T22:17:10-05:00</t>
        </is>
      </c>
      <c r="G471"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H471" s="62" t="inlineStr">
        <is>
          <t>Entre dichos países, estaba incluido Colombia, donde se aplicó gravamen del 12,5%.</t>
        </is>
      </c>
      <c r="I471" s="62" t="inlineStr">
        <is>
          <t>Los aranceles se impusieron tras investigaciones de la USTR sobre denuncias de “trabajo forzado”, realizadas en virtud de la Sección 301 de la Ley de Comercio de 1974.</t>
        </is>
      </c>
      <c r="J471" s="38" t="n"/>
      <c r="K471" s="62" t="n"/>
      <c r="L471" s="38" t="n"/>
      <c r="M471" s="62" t="n"/>
      <c r="N471" s="38" t="n"/>
      <c r="O471" s="62" t="n"/>
      <c r="P471" s="38" t="n"/>
      <c r="Q471" s="62" t="n"/>
      <c r="R471" s="38" t="n"/>
      <c r="S471" s="62" t="n"/>
      <c r="T471" s="38" t="n"/>
      <c r="U471" s="62" t="n"/>
      <c r="V471" s="38" t="n"/>
      <c r="W471" s="62" t="n"/>
      <c r="X471" s="38" t="n"/>
      <c r="Y471" s="62" t="n"/>
      <c r="Z471" s="38" t="n"/>
      <c r="AA471" s="62" t="n"/>
      <c r="AB471" s="38" t="n"/>
      <c r="AC471" s="62" t="n"/>
      <c r="AD471" s="38" t="n"/>
      <c r="AE471" s="38" t="n"/>
      <c r="AF471" s="61">
        <f>IF(COUNTIF($B$5:B471,B471)=1,1,0)</f>
        <v/>
      </c>
      <c r="AG471" s="62" t="inlineStr">
        <is>
          <t>https://www.semana.com/mundo/articulo/nueva-demanda-contra-aranceles-de-donald-trump-medidas-contra-colombia-podrian-caerse/202610/</t>
        </is>
      </c>
    </row>
    <row r="472" ht="15" customHeight="1" s="31">
      <c r="A472" s="38" t="inlineStr">
        <is>
          <t>ART_068</t>
        </is>
      </c>
      <c r="B472" s="38" t="inlineStr">
        <is>
          <t>ART_068_S05</t>
        </is>
      </c>
      <c r="C472" s="38" t="inlineStr">
        <is>
          <t>Semana</t>
        </is>
      </c>
      <c r="D472" s="38" t="inlineStr">
        <is>
          <t>Relación con Estados Unidos</t>
        </is>
      </c>
      <c r="E472" s="38" t="inlineStr">
        <is>
          <t>Noticia dura</t>
        </is>
      </c>
      <c r="F472" s="38" t="inlineStr">
        <is>
          <t>2026-08-03T22:17:10-05:00</t>
        </is>
      </c>
      <c r="G472" s="62" t="inlineStr">
        <is>
          <t>Los aranceles se impusieron tras investigaciones de la USTR sobre denuncias de “trabajo forzado”, realizadas en virtud de la Sección 301 de la Ley de Comercio de 1974.</t>
        </is>
      </c>
      <c r="H472"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I472"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J472" s="38" t="n"/>
      <c r="K472" s="62" t="n"/>
      <c r="L472" s="38" t="n"/>
      <c r="M472" s="62" t="n"/>
      <c r="N472" s="38" t="n"/>
      <c r="O472" s="62" t="n"/>
      <c r="P472" s="38" t="n"/>
      <c r="Q472" s="62" t="n"/>
      <c r="R472" s="38" t="n"/>
      <c r="S472" s="62" t="n"/>
      <c r="T472" s="38" t="n"/>
      <c r="U472" s="62" t="n"/>
      <c r="V472" s="38" t="n"/>
      <c r="W472" s="62" t="n"/>
      <c r="X472" s="38" t="n"/>
      <c r="Y472" s="62" t="n"/>
      <c r="Z472" s="38" t="n"/>
      <c r="AA472" s="62" t="n"/>
      <c r="AB472" s="38" t="n"/>
      <c r="AC472" s="62" t="n"/>
      <c r="AD472" s="38" t="n"/>
      <c r="AE472" s="38" t="n"/>
      <c r="AF472" s="61">
        <f>IF(COUNTIF($B$5:B472,B472)=1,1,0)</f>
        <v/>
      </c>
      <c r="AG472" s="62" t="inlineStr">
        <is>
          <t>https://www.semana.com/mundo/articulo/nueva-demanda-contra-aranceles-de-donald-trump-medidas-contra-colombia-podrian-caerse/202610/</t>
        </is>
      </c>
    </row>
    <row r="473" ht="15" customHeight="1" s="31">
      <c r="A473" s="38" t="inlineStr">
        <is>
          <t>ART_068</t>
        </is>
      </c>
      <c r="B473" s="38" t="inlineStr">
        <is>
          <t>ART_068_S06</t>
        </is>
      </c>
      <c r="C473" s="38" t="inlineStr">
        <is>
          <t>Semana</t>
        </is>
      </c>
      <c r="D473" s="38" t="inlineStr">
        <is>
          <t>Relación con Estados Unidos</t>
        </is>
      </c>
      <c r="E473" s="38" t="inlineStr">
        <is>
          <t>Noticia dura</t>
        </is>
      </c>
      <c r="F473" s="38" t="inlineStr">
        <is>
          <t>2026-08-03T22:17:10-05:00</t>
        </is>
      </c>
      <c r="G473"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H473" s="62" t="inlineStr">
        <is>
          <t>Los aranceles se impusieron tras investigaciones de la USTR sobre denuncias de “trabajo forzado”, realizadas en virtud de la Sección 301 de la Ley de Comercio de 1974.</t>
        </is>
      </c>
      <c r="I473" s="62" t="inlineStr">
        <is>
          <t>Washington considera que la mayoría de sus socios comerciales, como la Unión Europea, no se atiene a las mismas exigencias de lucha contra el trabajo forzado que mantiene Estados Unidos.</t>
        </is>
      </c>
      <c r="J473" s="38" t="n"/>
      <c r="K473" s="62" t="n"/>
      <c r="L473" s="38" t="n"/>
      <c r="M473" s="62" t="n"/>
      <c r="N473" s="38" t="n"/>
      <c r="O473" s="62" t="n"/>
      <c r="P473" s="38" t="n"/>
      <c r="Q473" s="62" t="n"/>
      <c r="R473" s="38" t="n"/>
      <c r="S473" s="62" t="n"/>
      <c r="T473" s="38" t="n"/>
      <c r="U473" s="62" t="n"/>
      <c r="V473" s="38" t="n"/>
      <c r="W473" s="62" t="n"/>
      <c r="X473" s="38" t="n"/>
      <c r="Y473" s="62" t="n"/>
      <c r="Z473" s="38" t="n"/>
      <c r="AA473" s="62" t="n"/>
      <c r="AB473" s="38" t="n"/>
      <c r="AC473" s="62" t="n"/>
      <c r="AD473" s="38" t="n"/>
      <c r="AE473" s="38" t="n"/>
      <c r="AF473" s="61">
        <f>IF(COUNTIF($B$5:B473,B473)=1,1,0)</f>
        <v/>
      </c>
      <c r="AG473" s="62" t="inlineStr">
        <is>
          <t>https://www.semana.com/mundo/articulo/nueva-demanda-contra-aranceles-de-donald-trump-medidas-contra-colombia-podrian-caerse/202610/</t>
        </is>
      </c>
    </row>
    <row r="474" ht="15" customHeight="1" s="31">
      <c r="A474" s="38" t="inlineStr">
        <is>
          <t>ART_068</t>
        </is>
      </c>
      <c r="B474" s="38" t="inlineStr">
        <is>
          <t>ART_068_S07</t>
        </is>
      </c>
      <c r="C474" s="38" t="inlineStr">
        <is>
          <t>Semana</t>
        </is>
      </c>
      <c r="D474" s="38" t="inlineStr">
        <is>
          <t>Relación con Estados Unidos</t>
        </is>
      </c>
      <c r="E474" s="38" t="inlineStr">
        <is>
          <t>Noticia dura</t>
        </is>
      </c>
      <c r="F474" s="38" t="inlineStr">
        <is>
          <t>2026-08-03T22:17:10-05:00</t>
        </is>
      </c>
      <c r="G474" s="62" t="inlineStr">
        <is>
          <t>Washington considera que la mayoría de sus socios comerciales, como la Unión Europea, no se atiene a las mismas exigencias de lucha contra el trabajo forzado que mantiene Estados Unidos.</t>
        </is>
      </c>
      <c r="H474"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I474" s="62" t="inlineStr">
        <is>
          <t>Desde que asumió el cargo por su segundo mandato, Trump ha trastocado el comercio mundial al imponer aranceles de amplio alcance tanto a aliados como a adversarios.</t>
        </is>
      </c>
      <c r="J474" s="38" t="n"/>
      <c r="K474" s="62" t="n"/>
      <c r="L474" s="38" t="n"/>
      <c r="M474" s="62" t="n"/>
      <c r="N474" s="38" t="n"/>
      <c r="O474" s="62" t="n"/>
      <c r="P474" s="38" t="n"/>
      <c r="Q474" s="62" t="n"/>
      <c r="R474" s="38" t="n"/>
      <c r="S474" s="62" t="n"/>
      <c r="T474" s="38" t="n"/>
      <c r="U474" s="62" t="n"/>
      <c r="V474" s="38" t="n"/>
      <c r="W474" s="62" t="n"/>
      <c r="X474" s="38" t="n"/>
      <c r="Y474" s="62" t="n"/>
      <c r="Z474" s="38" t="n"/>
      <c r="AA474" s="62" t="n"/>
      <c r="AB474" s="38" t="n"/>
      <c r="AC474" s="62" t="n"/>
      <c r="AD474" s="38" t="n"/>
      <c r="AE474" s="38" t="n"/>
      <c r="AF474" s="61">
        <f>IF(COUNTIF($B$5:B474,B474)=1,1,0)</f>
        <v/>
      </c>
      <c r="AG474" s="62" t="inlineStr">
        <is>
          <t>https://www.semana.com/mundo/articulo/nueva-demanda-contra-aranceles-de-donald-trump-medidas-contra-colombia-podrian-caerse/202610/</t>
        </is>
      </c>
    </row>
    <row r="475" ht="15" customHeight="1" s="31">
      <c r="A475" s="38" t="inlineStr">
        <is>
          <t>ART_068</t>
        </is>
      </c>
      <c r="B475" s="38" t="inlineStr">
        <is>
          <t>ART_068_S08</t>
        </is>
      </c>
      <c r="C475" s="38" t="inlineStr">
        <is>
          <t>Semana</t>
        </is>
      </c>
      <c r="D475" s="38" t="inlineStr">
        <is>
          <t>Relación con Estados Unidos</t>
        </is>
      </c>
      <c r="E475" s="38" t="inlineStr">
        <is>
          <t>Noticia dura</t>
        </is>
      </c>
      <c r="F475" s="38" t="inlineStr">
        <is>
          <t>2026-08-03T22:17:10-05:00</t>
        </is>
      </c>
      <c r="G475" s="62" t="inlineStr">
        <is>
          <t>Desde que asumió el cargo por su segundo mandato, Trump ha trastocado el comercio mundial al imponer aranceles de amplio alcance tanto a aliados como a adversarios.</t>
        </is>
      </c>
      <c r="H475" s="62" t="inlineStr">
        <is>
          <t>Washington considera que la mayoría de sus socios comerciales, como la Unión Europea, no se atiene a las mismas exigencias de lucha contra el trabajo forzado que mantiene Estados Unidos.</t>
        </is>
      </c>
      <c r="I475" s="62" t="inlineStr">
        <is>
          <t>El mandatario ha sostenido que los socios comerciales de Estados Unidos se han estado aprovechando de la mayor economía del mundo y ha buscado utilizar los aranceles como palanca para lograr nuevos acuerdos comerciales.</t>
        </is>
      </c>
      <c r="J475" s="38" t="n"/>
      <c r="K475" s="62" t="n"/>
      <c r="L475" s="38" t="n"/>
      <c r="M475" s="62" t="n"/>
      <c r="N475" s="38" t="n"/>
      <c r="O475" s="62" t="n"/>
      <c r="P475" s="38" t="n"/>
      <c r="Q475" s="62" t="n"/>
      <c r="R475" s="38" t="n"/>
      <c r="S475" s="62" t="n"/>
      <c r="T475" s="38" t="n"/>
      <c r="U475" s="62" t="n"/>
      <c r="V475" s="38" t="n"/>
      <c r="W475" s="62" t="n"/>
      <c r="X475" s="38" t="n"/>
      <c r="Y475" s="62" t="n"/>
      <c r="Z475" s="38" t="n"/>
      <c r="AA475" s="62" t="n"/>
      <c r="AB475" s="38" t="n"/>
      <c r="AC475" s="62" t="n"/>
      <c r="AD475" s="38" t="n"/>
      <c r="AE475" s="38" t="n"/>
      <c r="AF475" s="61">
        <f>IF(COUNTIF($B$5:B475,B475)=1,1,0)</f>
        <v/>
      </c>
      <c r="AG475" s="62" t="inlineStr">
        <is>
          <t>https://www.semana.com/mundo/articulo/nueva-demanda-contra-aranceles-de-donald-trump-medidas-contra-colombia-podrian-caerse/202610/</t>
        </is>
      </c>
    </row>
    <row r="476" ht="15" customHeight="1" s="31">
      <c r="A476" s="38" t="inlineStr">
        <is>
          <t>ART_068</t>
        </is>
      </c>
      <c r="B476" s="38" t="inlineStr">
        <is>
          <t>ART_068_S09</t>
        </is>
      </c>
      <c r="C476" s="38" t="inlineStr">
        <is>
          <t>Semana</t>
        </is>
      </c>
      <c r="D476" s="38" t="inlineStr">
        <is>
          <t>Relación con Estados Unidos</t>
        </is>
      </c>
      <c r="E476" s="38" t="inlineStr">
        <is>
          <t>Noticia dura</t>
        </is>
      </c>
      <c r="F476" s="38" t="inlineStr">
        <is>
          <t>2026-08-03T22:17:10-05:00</t>
        </is>
      </c>
      <c r="G476" s="62" t="inlineStr">
        <is>
          <t>El mandatario ha sostenido que los socios comerciales de Estados Unidos se han estado aprovechando de la mayor economía del mundo y ha buscado utilizar los aranceles como palanca para lograr nuevos acuerdos comerciales.</t>
        </is>
      </c>
      <c r="H476" s="62" t="inlineStr">
        <is>
          <t>Desde que asumió el cargo por su segundo mandato, Trump ha trastocado el comercio mundial al imponer aranceles de amplio alcance tanto a aliados como a adversarios.</t>
        </is>
      </c>
      <c r="I476" s="62" t="inlineStr">
        <is>
          <t>Su primera ronda de aranceles fue anulada por la Corte Suprema de Estados Unidos en febrero, por lo que Trump los reemplazó con un gravamen global del 10 %.</t>
        </is>
      </c>
      <c r="J476" s="38" t="n"/>
      <c r="K476" s="62" t="n"/>
      <c r="L476" s="38" t="n"/>
      <c r="M476" s="62" t="n"/>
      <c r="N476" s="38" t="n"/>
      <c r="O476" s="62" t="n"/>
      <c r="P476" s="38" t="n"/>
      <c r="Q476" s="62" t="n"/>
      <c r="R476" s="38" t="n"/>
      <c r="S476" s="62" t="n"/>
      <c r="T476" s="38" t="n"/>
      <c r="U476" s="62" t="n"/>
      <c r="V476" s="38" t="n"/>
      <c r="W476" s="62" t="n"/>
      <c r="X476" s="38" t="n"/>
      <c r="Y476" s="62" t="n"/>
      <c r="Z476" s="38" t="n"/>
      <c r="AA476" s="62" t="n"/>
      <c r="AB476" s="38" t="n"/>
      <c r="AC476" s="62" t="n"/>
      <c r="AD476" s="38" t="n"/>
      <c r="AE476" s="38" t="n"/>
      <c r="AF476" s="61">
        <f>IF(COUNTIF($B$5:B476,B476)=1,1,0)</f>
        <v/>
      </c>
      <c r="AG476" s="62" t="inlineStr">
        <is>
          <t>https://www.semana.com/mundo/articulo/nueva-demanda-contra-aranceles-de-donald-trump-medidas-contra-colombia-podrian-caerse/202610/</t>
        </is>
      </c>
    </row>
    <row r="477" ht="15" customHeight="1" s="31">
      <c r="A477" s="38" t="inlineStr">
        <is>
          <t>ART_068</t>
        </is>
      </c>
      <c r="B477" s="38" t="inlineStr">
        <is>
          <t>ART_068_S10</t>
        </is>
      </c>
      <c r="C477" s="38" t="inlineStr">
        <is>
          <t>Semana</t>
        </is>
      </c>
      <c r="D477" s="38" t="inlineStr">
        <is>
          <t>Relación con Estados Unidos</t>
        </is>
      </c>
      <c r="E477" s="38" t="inlineStr">
        <is>
          <t>Noticia dura</t>
        </is>
      </c>
      <c r="F477" s="38" t="inlineStr">
        <is>
          <t>2026-08-03T22:17:10-05:00</t>
        </is>
      </c>
      <c r="G477" s="62" t="inlineStr">
        <is>
          <t>Su primera ronda de aranceles fue anulada por la Corte Suprema de Estados Unidos en febrero, por lo que Trump los reemplazó con un gravamen global del 10 %.</t>
        </is>
      </c>
      <c r="H477" s="62" t="inlineStr">
        <is>
          <t>El mandatario ha sostenido que los socios comerciales de Estados Unidos se han estado aprovechando de la mayor economía del mundo y ha buscado utilizar los aranceles como palanca para lograr nuevos acuerdos comerciales.</t>
        </is>
      </c>
      <c r="I477" s="62" t="n"/>
      <c r="J477" s="38" t="n"/>
      <c r="K477" s="62" t="n"/>
      <c r="L477" s="38" t="n"/>
      <c r="M477" s="62" t="n"/>
      <c r="N477" s="38" t="n"/>
      <c r="O477" s="62" t="n"/>
      <c r="P477" s="38" t="n"/>
      <c r="Q477" s="62" t="n"/>
      <c r="R477" s="38" t="n"/>
      <c r="S477" s="62" t="n"/>
      <c r="T477" s="38" t="n"/>
      <c r="U477" s="62" t="n"/>
      <c r="V477" s="38" t="n"/>
      <c r="W477" s="62" t="n"/>
      <c r="X477" s="38" t="n"/>
      <c r="Y477" s="62" t="n"/>
      <c r="Z477" s="38" t="n"/>
      <c r="AA477" s="62" t="n"/>
      <c r="AB477" s="38" t="n"/>
      <c r="AC477" s="62" t="n"/>
      <c r="AD477" s="38" t="n"/>
      <c r="AE477" s="38" t="n"/>
      <c r="AF477" s="61">
        <f>IF(COUNTIF($B$5:B477,B477)=1,1,0)</f>
        <v/>
      </c>
      <c r="AG477" s="62" t="inlineStr">
        <is>
          <t>https://www.semana.com/mundo/articulo/nueva-demanda-contra-aranceles-de-donald-trump-medidas-contra-colombia-podrian-caerse/202610/</t>
        </is>
      </c>
    </row>
    <row r="478" ht="15" customHeight="1" s="31">
      <c r="A478" s="38" t="inlineStr">
        <is>
          <t>ART_069</t>
        </is>
      </c>
      <c r="B478" s="38" t="inlineStr">
        <is>
          <t>ART_069_S01</t>
        </is>
      </c>
      <c r="C478" s="38" t="inlineStr">
        <is>
          <t>Semana</t>
        </is>
      </c>
      <c r="D478" s="38" t="inlineStr">
        <is>
          <t>Transición de gobierno y relación con la oposición</t>
        </is>
      </c>
      <c r="E478" s="38" t="inlineStr">
        <is>
          <t>Opinión-análisis</t>
        </is>
      </c>
      <c r="F478" s="38" t="inlineStr">
        <is>
          <t>2026-07-09T06:58:47-05:00</t>
        </is>
      </c>
      <c r="G478" s="62" t="inlineStr">
        <is>
          <t>El candidato presidencial Iván Cepeda reconoció la victoria de Abelardo de la Espriella un día después de las elecciones presidenciales, manifestando textualmente: “Como candidato del Pacto Histórico y la Alianza por la Vida, y en este estadio del escrutinio, he decidido aceptar el resultado que surge de dicho proceso, que señala que Abelardo de la Espriella es el nuevo presidente de la República.</t>
        </is>
      </c>
      <c r="H478" s="62" t="n"/>
      <c r="I478" s="62" t="inlineStr">
        <is>
          <t>Lo hago como un acto de responsabilidad democrática, para contribuir a la convivencia, a la paz y al diálogo entre colombianos.</t>
        </is>
      </c>
      <c r="J478" s="38" t="n"/>
      <c r="K478" s="62" t="n"/>
      <c r="L478" s="38" t="n"/>
      <c r="M478" s="62" t="n"/>
      <c r="N478" s="38" t="n"/>
      <c r="O478" s="62" t="n"/>
      <c r="P478" s="38" t="n"/>
      <c r="Q478" s="62" t="n"/>
      <c r="R478" s="38" t="n"/>
      <c r="S478" s="62" t="n"/>
      <c r="T478" s="38" t="n"/>
      <c r="U478" s="62" t="n"/>
      <c r="V478" s="38" t="n"/>
      <c r="W478" s="62" t="n"/>
      <c r="X478" s="38" t="n"/>
      <c r="Y478" s="62" t="n"/>
      <c r="Z478" s="38" t="n"/>
      <c r="AA478" s="62" t="n"/>
      <c r="AB478" s="38" t="n"/>
      <c r="AC478" s="62" t="n"/>
      <c r="AD478" s="38" t="n"/>
      <c r="AE478" s="38" t="n"/>
      <c r="AF478" s="61">
        <f>IF(COUNTIF($B$5:B478,B478)=1,1,0)</f>
        <v/>
      </c>
      <c r="AG478" s="62" t="inlineStr">
        <is>
          <t>https://www.semana.com/opinion/articulo/ni-el-pacto-ni-petro-ni-cepeda-pueden-liderar-la-oposicion/202647/</t>
        </is>
      </c>
    </row>
    <row r="479" ht="15" customHeight="1" s="31">
      <c r="A479" s="38" t="inlineStr">
        <is>
          <t>ART_069</t>
        </is>
      </c>
      <c r="B479" s="38" t="inlineStr">
        <is>
          <t>ART_069_S02</t>
        </is>
      </c>
      <c r="C479" s="38" t="inlineStr">
        <is>
          <t>Semana</t>
        </is>
      </c>
      <c r="D479" s="38" t="inlineStr">
        <is>
          <t>Transición de gobierno y relación con la oposición</t>
        </is>
      </c>
      <c r="E479" s="38" t="inlineStr">
        <is>
          <t>Opinión-análisis</t>
        </is>
      </c>
      <c r="F479" s="38" t="inlineStr">
        <is>
          <t>2026-07-09T06:58:47-05:00</t>
        </is>
      </c>
      <c r="G479" s="62" t="inlineStr">
        <is>
          <t>Lo hago como un acto de responsabilidad democrática, para contribuir a la convivencia, a la paz y al diálogo entre colombianos.</t>
        </is>
      </c>
      <c r="H479" s="62" t="inlineStr">
        <is>
          <t>El candidato presidencial Iván Cepeda reconoció la victoria de Abelardo de la Espriella un día después de las elecciones presidenciales, manifestando textualmente: “Como candidato del Pacto Histórico y la Alianza por la Vida, y en este estadio del escrutinio, he decidido aceptar el resultado que surge de dicho proceso, que señala que Abelardo de la Espriella es el nuevo presidente de la República.</t>
        </is>
      </c>
      <c r="I479" s="62" t="inlineStr">
        <is>
          <t>Lo hago porque creemos profundamente en la democracia y estamos convencidos de que las diferencias políticas deben resolverse mediante la participación ciudadana”.</t>
        </is>
      </c>
      <c r="J479" s="38" t="n"/>
      <c r="K479" s="62" t="n"/>
      <c r="L479" s="38" t="n"/>
      <c r="M479" s="62" t="n"/>
      <c r="N479" s="38" t="n"/>
      <c r="O479" s="62" t="n"/>
      <c r="P479" s="38" t="n"/>
      <c r="Q479" s="62" t="n"/>
      <c r="R479" s="38" t="n"/>
      <c r="S479" s="62" t="n"/>
      <c r="T479" s="38" t="n"/>
      <c r="U479" s="62" t="n"/>
      <c r="V479" s="38" t="n"/>
      <c r="W479" s="62" t="n"/>
      <c r="X479" s="38" t="n"/>
      <c r="Y479" s="62" t="n"/>
      <c r="Z479" s="38" t="n"/>
      <c r="AA479" s="62" t="n"/>
      <c r="AB479" s="38" t="n"/>
      <c r="AC479" s="62" t="n"/>
      <c r="AD479" s="38" t="n"/>
      <c r="AE479" s="38" t="n"/>
      <c r="AF479" s="61">
        <f>IF(COUNTIF($B$5:B479,B479)=1,1,0)</f>
        <v/>
      </c>
      <c r="AG479" s="62" t="inlineStr">
        <is>
          <t>https://www.semana.com/opinion/articulo/ni-el-pacto-ni-petro-ni-cepeda-pueden-liderar-la-oposicion/202647/</t>
        </is>
      </c>
    </row>
    <row r="480" ht="15" customHeight="1" s="31">
      <c r="A480" s="38" t="inlineStr">
        <is>
          <t>ART_069</t>
        </is>
      </c>
      <c r="B480" s="38" t="inlineStr">
        <is>
          <t>ART_069_S03</t>
        </is>
      </c>
      <c r="C480" s="38" t="inlineStr">
        <is>
          <t>Semana</t>
        </is>
      </c>
      <c r="D480" s="38" t="inlineStr">
        <is>
          <t>Transición de gobierno y relación con la oposición</t>
        </is>
      </c>
      <c r="E480" s="38" t="inlineStr">
        <is>
          <t>Opinión-análisis</t>
        </is>
      </c>
      <c r="F480" s="38" t="inlineStr">
        <is>
          <t>2026-07-09T06:58:47-05:00</t>
        </is>
      </c>
      <c r="G480" s="62" t="inlineStr">
        <is>
          <t>Lo hago porque creemos profundamente en la democracia y estamos convencidos de que las diferencias políticas deben resolverse mediante la participación ciudadana”.</t>
        </is>
      </c>
      <c r="H480" s="62" t="inlineStr">
        <is>
          <t>Lo hago como un acto de responsabilidad democrática, para contribuir a la convivencia, a la paz y al diálogo entre colombianos.</t>
        </is>
      </c>
      <c r="I480" s="62" t="inlineStr">
        <is>
          <t>Esta jornada resultó histórica por su nivel de participación, dejando al presidente electo de la Espriella con el 49.66% de los sufragios, equivalentes a casi 13 millones de votos, frente al 48.70% obtenido por Cepeda, luego de que el Consejo Nacional Electoral ratificara el triunfo al desestimar por falta de justificación las impugnaciones masivas presentadas por la campaña perdedora.</t>
        </is>
      </c>
      <c r="J480" s="38" t="n"/>
      <c r="K480" s="62" t="n"/>
      <c r="L480" s="38" t="n"/>
      <c r="M480" s="62" t="n"/>
      <c r="N480" s="38" t="n"/>
      <c r="O480" s="62" t="n"/>
      <c r="P480" s="38" t="n"/>
      <c r="Q480" s="62" t="n"/>
      <c r="R480" s="38" t="n"/>
      <c r="S480" s="62" t="n"/>
      <c r="T480" s="38" t="n"/>
      <c r="U480" s="62" t="n"/>
      <c r="V480" s="38" t="n"/>
      <c r="W480" s="62" t="n"/>
      <c r="X480" s="38" t="n"/>
      <c r="Y480" s="62" t="n"/>
      <c r="Z480" s="38" t="n"/>
      <c r="AA480" s="62" t="n"/>
      <c r="AB480" s="38" t="n"/>
      <c r="AC480" s="62" t="n"/>
      <c r="AD480" s="38" t="n"/>
      <c r="AE480" s="38" t="n"/>
      <c r="AF480" s="61">
        <f>IF(COUNTIF($B$5:B480,B480)=1,1,0)</f>
        <v/>
      </c>
      <c r="AG480" s="62" t="inlineStr">
        <is>
          <t>https://www.semana.com/opinion/articulo/ni-el-pacto-ni-petro-ni-cepeda-pueden-liderar-la-oposicion/202647/</t>
        </is>
      </c>
    </row>
    <row r="481" ht="15" customHeight="1" s="31">
      <c r="A481" s="38" t="inlineStr">
        <is>
          <t>ART_069</t>
        </is>
      </c>
      <c r="B481" s="38" t="inlineStr">
        <is>
          <t>ART_069_S04</t>
        </is>
      </c>
      <c r="C481" s="38" t="inlineStr">
        <is>
          <t>Semana</t>
        </is>
      </c>
      <c r="D481" s="38" t="inlineStr">
        <is>
          <t>Transición de gobierno y relación con la oposición</t>
        </is>
      </c>
      <c r="E481" s="38" t="inlineStr">
        <is>
          <t>Opinión-análisis</t>
        </is>
      </c>
      <c r="F481" s="38" t="inlineStr">
        <is>
          <t>2026-07-09T06:58:47-05:00</t>
        </is>
      </c>
      <c r="G481" s="62" t="inlineStr">
        <is>
          <t>Esta jornada resultó histórica por su nivel de participación, dejando al presidente electo de la Espriella con el 49.66% de los sufragios, equivalentes a casi 13 millones de votos, frente al 48.70% obtenido por Cepeda, luego de que el Consejo Nacional Electoral ratificara el triunfo al desestimar por falta de justificación las impugnaciones masivas presentadas por la campaña perdedora.</t>
        </is>
      </c>
      <c r="H481" s="62" t="inlineStr">
        <is>
          <t>Lo hago porque creemos profundamente en la democracia y estamos convencidos de que las diferencias políticas deben resolverse mediante la participación ciudadana”.</t>
        </is>
      </c>
      <c r="I481" s="62" t="inlineStr">
        <is>
          <t>Aunque inicialmente el país recibió con satisfacción la postura madura de Cepeda, su discurso y coherencia cambiaron radicalmente días después, tras reunirse con el mandatario saliente y próximo jefe de la oposición, Gustavo Petro.</t>
        </is>
      </c>
      <c r="J481" s="38" t="n"/>
      <c r="K481" s="62" t="n"/>
      <c r="L481" s="38" t="n"/>
      <c r="M481" s="62" t="n"/>
      <c r="N481" s="38" t="n"/>
      <c r="O481" s="62" t="n"/>
      <c r="P481" s="38" t="n"/>
      <c r="Q481" s="62" t="n"/>
      <c r="R481" s="38" t="n"/>
      <c r="S481" s="62" t="n"/>
      <c r="T481" s="38" t="n"/>
      <c r="U481" s="62" t="n"/>
      <c r="V481" s="38" t="n"/>
      <c r="W481" s="62" t="n"/>
      <c r="X481" s="38" t="n"/>
      <c r="Y481" s="62" t="n"/>
      <c r="Z481" s="38" t="n"/>
      <c r="AA481" s="62" t="n"/>
      <c r="AB481" s="38" t="n"/>
      <c r="AC481" s="62" t="n"/>
      <c r="AD481" s="38" t="n"/>
      <c r="AE481" s="38" t="n"/>
      <c r="AF481" s="61">
        <f>IF(COUNTIF($B$5:B481,B481)=1,1,0)</f>
        <v/>
      </c>
      <c r="AG481" s="62" t="inlineStr">
        <is>
          <t>https://www.semana.com/opinion/articulo/ni-el-pacto-ni-petro-ni-cepeda-pueden-liderar-la-oposicion/202647/</t>
        </is>
      </c>
    </row>
    <row r="482" ht="15" customHeight="1" s="31">
      <c r="A482" s="38" t="inlineStr">
        <is>
          <t>ART_069</t>
        </is>
      </c>
      <c r="B482" s="38" t="inlineStr">
        <is>
          <t>ART_069_S05</t>
        </is>
      </c>
      <c r="C482" s="38" t="inlineStr">
        <is>
          <t>Semana</t>
        </is>
      </c>
      <c r="D482" s="38" t="inlineStr">
        <is>
          <t>Transición de gobierno y relación con la oposición</t>
        </is>
      </c>
      <c r="E482" s="38" t="inlineStr">
        <is>
          <t>Opinión-análisis</t>
        </is>
      </c>
      <c r="F482" s="38" t="inlineStr">
        <is>
          <t>2026-07-09T06:58:47-05:00</t>
        </is>
      </c>
      <c r="G482" s="62" t="inlineStr">
        <is>
          <t>Aunque inicialmente el país recibió con satisfacción la postura madura de Cepeda, su discurso y coherencia cambiaron radicalmente días después, tras reunirse con el mandatario saliente y próximo jefe de la oposición, Gustavo Petro.</t>
        </is>
      </c>
      <c r="H482" s="62" t="inlineStr">
        <is>
          <t>Esta jornada resultó histórica por su nivel de participación, dejando al presidente electo de la Espriella con el 49.66% de los sufragios, equivalentes a casi 13 millones de votos, frente al 48.70% obtenido por Cepeda, luego de que el Consejo Nacional Electoral ratificara el triunfo al desestimar por falta de justificación las impugnaciones masivas presentadas por la campaña perdedora.</t>
        </is>
      </c>
      <c r="I482" s="62" t="inlineStr">
        <is>
          <t>Siguiendo las directrices del actual presidente, Cepeda adoptó un tono de alta confrontación y anunció un bloque opositor conjunto enfocado en promover la desobediencia civil mediante cuestionamientos de poca solidez jurídica, como la doble nacionalidad del mandatario electo, omitiendo que el propio Petro ha gobernado bajo esa misma condición.</t>
        </is>
      </c>
      <c r="J482" s="38" t="n"/>
      <c r="K482" s="62" t="n"/>
      <c r="L482" s="38" t="n"/>
      <c r="M482" s="62" t="n"/>
      <c r="N482" s="38" t="n"/>
      <c r="O482" s="62" t="n"/>
      <c r="P482" s="38" t="n"/>
      <c r="Q482" s="62" t="n"/>
      <c r="R482" s="38" t="n"/>
      <c r="S482" s="62" t="n"/>
      <c r="T482" s="38" t="n"/>
      <c r="U482" s="62" t="n"/>
      <c r="V482" s="38" t="n"/>
      <c r="W482" s="62" t="n"/>
      <c r="X482" s="38" t="n"/>
      <c r="Y482" s="62" t="n"/>
      <c r="Z482" s="38" t="n"/>
      <c r="AA482" s="62" t="n"/>
      <c r="AB482" s="38" t="n"/>
      <c r="AC482" s="62" t="n"/>
      <c r="AD482" s="38" t="n"/>
      <c r="AE482" s="38" t="n"/>
      <c r="AF482" s="61">
        <f>IF(COUNTIF($B$5:B482,B482)=1,1,0)</f>
        <v/>
      </c>
      <c r="AG482" s="62" t="inlineStr">
        <is>
          <t>https://www.semana.com/opinion/articulo/ni-el-pacto-ni-petro-ni-cepeda-pueden-liderar-la-oposicion/202647/</t>
        </is>
      </c>
    </row>
    <row r="483" ht="15" customHeight="1" s="31">
      <c r="A483" s="38" t="inlineStr">
        <is>
          <t>ART_069</t>
        </is>
      </c>
      <c r="B483" s="38" t="inlineStr">
        <is>
          <t>ART_069_S06</t>
        </is>
      </c>
      <c r="C483" s="38" t="inlineStr">
        <is>
          <t>Semana</t>
        </is>
      </c>
      <c r="D483" s="38" t="inlineStr">
        <is>
          <t>Transición de gobierno y relación con la oposición</t>
        </is>
      </c>
      <c r="E483" s="38" t="inlineStr">
        <is>
          <t>Opinión-análisis</t>
        </is>
      </c>
      <c r="F483" s="38" t="inlineStr">
        <is>
          <t>2026-07-09T06:58:47-05:00</t>
        </is>
      </c>
      <c r="G483" s="62" t="inlineStr">
        <is>
          <t>Siguiendo las directrices del actual presidente, Cepeda adoptó un tono de alta confrontación y anunció un bloque opositor conjunto enfocado en promover la desobediencia civil mediante cuestionamientos de poca solidez jurídica, como la doble nacionalidad del mandatario electo, omitiendo que el propio Petro ha gobernado bajo esa misma condición.</t>
        </is>
      </c>
      <c r="H483" s="62" t="inlineStr">
        <is>
          <t>Aunque inicialmente el país recibió con satisfacción la postura madura de Cepeda, su discurso y coherencia cambiaron radicalmente días después, tras reunirse con el mandatario saliente y próximo jefe de la oposición, Gustavo Petro.</t>
        </is>
      </c>
      <c r="I483" s="62" t="inlineStr">
        <is>
          <t>Esta nueva estrategia de resistencia total refleja la línea tradicional del petrismo, la cual suele aceptar formalmente las reglas del juego democrático mientras opera de manera soterrada para condicionarlas y mantener la polarización que caracterizó a su administración durante los últimos cuatro años.</t>
        </is>
      </c>
      <c r="J483" s="38" t="n"/>
      <c r="K483" s="62" t="n"/>
      <c r="L483" s="38" t="n"/>
      <c r="M483" s="62" t="n"/>
      <c r="N483" s="38" t="n"/>
      <c r="O483" s="62" t="n"/>
      <c r="P483" s="38" t="n"/>
      <c r="Q483" s="62" t="n"/>
      <c r="R483" s="38" t="n"/>
      <c r="S483" s="62" t="n"/>
      <c r="T483" s="38" t="n"/>
      <c r="U483" s="62" t="n"/>
      <c r="V483" s="38" t="n"/>
      <c r="W483" s="62" t="n"/>
      <c r="X483" s="38" t="n"/>
      <c r="Y483" s="62" t="n"/>
      <c r="Z483" s="38" t="n"/>
      <c r="AA483" s="62" t="n"/>
      <c r="AB483" s="38" t="n"/>
      <c r="AC483" s="62" t="n"/>
      <c r="AD483" s="38" t="n"/>
      <c r="AE483" s="38" t="n"/>
      <c r="AF483" s="61">
        <f>IF(COUNTIF($B$5:B483,B483)=1,1,0)</f>
        <v/>
      </c>
      <c r="AG483" s="62" t="inlineStr">
        <is>
          <t>https://www.semana.com/opinion/articulo/ni-el-pacto-ni-petro-ni-cepeda-pueden-liderar-la-oposicion/202647/</t>
        </is>
      </c>
    </row>
    <row r="484" ht="15" customHeight="1" s="31">
      <c r="A484" s="38" t="inlineStr">
        <is>
          <t>ART_069</t>
        </is>
      </c>
      <c r="B484" s="38" t="inlineStr">
        <is>
          <t>ART_069_S07</t>
        </is>
      </c>
      <c r="C484" s="38" t="inlineStr">
        <is>
          <t>Semana</t>
        </is>
      </c>
      <c r="D484" s="38" t="inlineStr">
        <is>
          <t>Transición de gobierno y relación con la oposición</t>
        </is>
      </c>
      <c r="E484" s="38" t="inlineStr">
        <is>
          <t>Opinión-análisis</t>
        </is>
      </c>
      <c r="F484" s="38" t="inlineStr">
        <is>
          <t>2026-07-09T06:58:47-05:00</t>
        </is>
      </c>
      <c r="G484" s="62" t="inlineStr">
        <is>
          <t>Esta nueva estrategia de resistencia total refleja la línea tradicional del petrismo, la cual suele aceptar formalmente las reglas del juego democrático mientras opera de manera soterrada para condicionarlas y mantener la polarización que caracterizó a su administración durante los últimos cuatro años.</t>
        </is>
      </c>
      <c r="H484" s="62" t="inlineStr">
        <is>
          <t>Siguiendo las directrices del actual presidente, Cepeda adoptó un tono de alta confrontación y anunció un bloque opositor conjunto enfocado en promover la desobediencia civil mediante cuestionamientos de poca solidez jurídica, como la doble nacionalidad del mandatario electo, omitiendo que el propio Petro ha gobernado bajo esa misma condición.</t>
        </is>
      </c>
      <c r="I484" s="62" t="inlineStr">
        <is>
          <t>Más allá de esta retórica, el verdadero debate radica en el inicio de un nuevo gobierno que promete mano dura, la recuperación institucional y el cierre de una gestión fallida cuya política de “Paz Total” es señalada como una alianza con organizaciones criminales para debilitar la democracia.</t>
        </is>
      </c>
      <c r="J484" s="38" t="n"/>
      <c r="K484" s="62" t="n"/>
      <c r="L484" s="38" t="n"/>
      <c r="M484" s="62" t="n"/>
      <c r="N484" s="38" t="n"/>
      <c r="O484" s="62" t="n"/>
      <c r="P484" s="38" t="n"/>
      <c r="Q484" s="62" t="n"/>
      <c r="R484" s="38" t="n"/>
      <c r="S484" s="62" t="n"/>
      <c r="T484" s="38" t="n"/>
      <c r="U484" s="62" t="n"/>
      <c r="V484" s="38" t="n"/>
      <c r="W484" s="62" t="n"/>
      <c r="X484" s="38" t="n"/>
      <c r="Y484" s="62" t="n"/>
      <c r="Z484" s="38" t="n"/>
      <c r="AA484" s="62" t="n"/>
      <c r="AB484" s="38" t="n"/>
      <c r="AC484" s="62" t="n"/>
      <c r="AD484" s="38" t="n"/>
      <c r="AE484" s="38" t="n"/>
      <c r="AF484" s="61">
        <f>IF(COUNTIF($B$5:B484,B484)=1,1,0)</f>
        <v/>
      </c>
      <c r="AG484" s="62" t="inlineStr">
        <is>
          <t>https://www.semana.com/opinion/articulo/ni-el-pacto-ni-petro-ni-cepeda-pueden-liderar-la-oposicion/202647/</t>
        </is>
      </c>
    </row>
    <row r="485" ht="15" customHeight="1" s="31">
      <c r="A485" s="38" t="inlineStr">
        <is>
          <t>ART_069</t>
        </is>
      </c>
      <c r="B485" s="38" t="inlineStr">
        <is>
          <t>ART_069_S08</t>
        </is>
      </c>
      <c r="C485" s="38" t="inlineStr">
        <is>
          <t>Semana</t>
        </is>
      </c>
      <c r="D485" s="38" t="inlineStr">
        <is>
          <t>Transición de gobierno y relación con la oposición</t>
        </is>
      </c>
      <c r="E485" s="38" t="inlineStr">
        <is>
          <t>Opinión-análisis</t>
        </is>
      </c>
      <c r="F485" s="38" t="inlineStr">
        <is>
          <t>2026-07-09T06:58:47-05:00</t>
        </is>
      </c>
      <c r="G485" s="62" t="inlineStr">
        <is>
          <t>Más allá de esta retórica, el verdadero debate radica en el inicio de un nuevo gobierno que promete mano dura, la recuperación institucional y el cierre de una gestión fallida cuya política de “Paz Total” es señalada como una alianza con organizaciones criminales para debilitar la democracia.</t>
        </is>
      </c>
      <c r="H485" s="62" t="inlineStr">
        <is>
          <t>Esta nueva estrategia de resistencia total refleja la línea tradicional del petrismo, la cual suele aceptar formalmente las reglas del juego democrático mientras opera de manera soterrada para condicionarlas y mantener la polarización que caracterizó a su administración durante los últimos cuatro años.</t>
        </is>
      </c>
      <c r="I485" s="62" t="inlineStr">
        <is>
          <t>En este panorama, surge el interrogante de si un candidato derrotado y su colectividad pueden liderar legítimamente la oposición cuando pesan sobre ellos graves sospechas que aún deben esclarecerse.</t>
        </is>
      </c>
      <c r="J485" s="38" t="n"/>
      <c r="K485" s="62" t="n"/>
      <c r="L485" s="38" t="n"/>
      <c r="M485" s="62" t="n"/>
      <c r="N485" s="38" t="n"/>
      <c r="O485" s="62" t="n"/>
      <c r="P485" s="38" t="n"/>
      <c r="Q485" s="62" t="n"/>
      <c r="R485" s="38" t="n"/>
      <c r="S485" s="62" t="n"/>
      <c r="T485" s="38" t="n"/>
      <c r="U485" s="62" t="n"/>
      <c r="V485" s="38" t="n"/>
      <c r="W485" s="62" t="n"/>
      <c r="X485" s="38" t="n"/>
      <c r="Y485" s="62" t="n"/>
      <c r="Z485" s="38" t="n"/>
      <c r="AA485" s="62" t="n"/>
      <c r="AB485" s="38" t="n"/>
      <c r="AC485" s="62" t="n"/>
      <c r="AD485" s="38" t="n"/>
      <c r="AE485" s="38" t="n"/>
      <c r="AF485" s="61">
        <f>IF(COUNTIF($B$5:B485,B485)=1,1,0)</f>
        <v/>
      </c>
      <c r="AG485" s="62" t="inlineStr">
        <is>
          <t>https://www.semana.com/opinion/articulo/ni-el-pacto-ni-petro-ni-cepeda-pueden-liderar-la-oposicion/202647/</t>
        </is>
      </c>
    </row>
    <row r="486" ht="15" customHeight="1" s="31">
      <c r="A486" s="38" t="inlineStr">
        <is>
          <t>ART_069</t>
        </is>
      </c>
      <c r="B486" s="38" t="inlineStr">
        <is>
          <t>ART_069_S09</t>
        </is>
      </c>
      <c r="C486" s="38" t="inlineStr">
        <is>
          <t>Semana</t>
        </is>
      </c>
      <c r="D486" s="38" t="inlineStr">
        <is>
          <t>Transición de gobierno y relación con la oposición</t>
        </is>
      </c>
      <c r="E486" s="38" t="inlineStr">
        <is>
          <t>Opinión-análisis</t>
        </is>
      </c>
      <c r="F486" s="38" t="inlineStr">
        <is>
          <t>2026-07-09T06:58:47-05:00</t>
        </is>
      </c>
      <c r="G486" s="62" t="inlineStr">
        <is>
          <t>En este panorama, surge el interrogante de si un candidato derrotado y su colectividad pueden liderar legítimamente la oposición cuando pesan sobre ellos graves sospechas que aún deben esclarecerse.</t>
        </is>
      </c>
      <c r="H486" s="62" t="inlineStr">
        <is>
          <t>Más allá de esta retórica, el verdadero debate radica en el inicio de un nuevo gobierno que promete mano dura, la recuperación institucional y el cierre de una gestión fallida cuya política de “Paz Total” es señalada como una alianza con organizaciones criminales para debilitar la democracia.</t>
        </is>
      </c>
      <c r="I486" s="62" t="inlineStr">
        <is>
          <t>Desde una perspectiva de decencia democrática, la respuesta es un no rotundo, ya que no existirá la autoridad moral necesaria para fiscalizar al nuevo gobierno hasta que investigaciones independientes determinen la influencia real del clientelismo y de los sectores vinculados al “Pacto de la Picota” en sus resultados electorales, pues actuar de otra forma equivaldría a “poner al zorro a cuidar el gallinero”.</t>
        </is>
      </c>
      <c r="J486" s="38" t="n"/>
      <c r="K486" s="62" t="n"/>
      <c r="L486" s="38" t="n"/>
      <c r="M486" s="62" t="n"/>
      <c r="N486" s="38" t="n"/>
      <c r="O486" s="62" t="n"/>
      <c r="P486" s="38" t="n"/>
      <c r="Q486" s="62" t="n"/>
      <c r="R486" s="38" t="n"/>
      <c r="S486" s="62" t="n"/>
      <c r="T486" s="38" t="n"/>
      <c r="U486" s="62" t="n"/>
      <c r="V486" s="38" t="n"/>
      <c r="W486" s="62" t="n"/>
      <c r="X486" s="38" t="n"/>
      <c r="Y486" s="62" t="n"/>
      <c r="Z486" s="38" t="n"/>
      <c r="AA486" s="62" t="n"/>
      <c r="AB486" s="38" t="n"/>
      <c r="AC486" s="62" t="n"/>
      <c r="AD486" s="38" t="n"/>
      <c r="AE486" s="38" t="n"/>
      <c r="AF486" s="61">
        <f>IF(COUNTIF($B$5:B486,B486)=1,1,0)</f>
        <v/>
      </c>
      <c r="AG486" s="62" t="inlineStr">
        <is>
          <t>https://www.semana.com/opinion/articulo/ni-el-pacto-ni-petro-ni-cepeda-pueden-liderar-la-oposicion/202647/</t>
        </is>
      </c>
    </row>
    <row r="487" ht="15" customHeight="1" s="31">
      <c r="A487" s="38" t="inlineStr">
        <is>
          <t>ART_069</t>
        </is>
      </c>
      <c r="B487" s="38" t="inlineStr">
        <is>
          <t>ART_069_S10</t>
        </is>
      </c>
      <c r="C487" s="38" t="inlineStr">
        <is>
          <t>Semana</t>
        </is>
      </c>
      <c r="D487" s="38" t="inlineStr">
        <is>
          <t>Transición de gobierno y relación con la oposición</t>
        </is>
      </c>
      <c r="E487" s="38" t="inlineStr">
        <is>
          <t>Opinión-análisis</t>
        </is>
      </c>
      <c r="F487" s="38" t="inlineStr">
        <is>
          <t>2026-07-09T06:58:47-05:00</t>
        </is>
      </c>
      <c r="G487" s="62" t="inlineStr">
        <is>
          <t>Desde una perspectiva de decencia democrática, la respuesta es un no rotundo, ya que no existirá la autoridad moral necesaria para fiscalizar al nuevo gobierno hasta que investigaciones independientes determinen la influencia real del clientelismo y de los sectores vinculados al “Pacto de la Picota” en sus resultados electorales, pues actuar de otra forma equivaldría a “poner al zorro a cuidar el gallinero”.</t>
        </is>
      </c>
      <c r="H487" s="62" t="inlineStr">
        <is>
          <t>En este panorama, surge el interrogante de si un candidato derrotado y su colectividad pueden liderar legítimamente la oposición cuando pesan sobre ellos graves sospechas que aún deben esclarecerse.</t>
        </is>
      </c>
      <c r="I487" s="62" t="n"/>
      <c r="J487" s="38" t="n"/>
      <c r="K487" s="62" t="n"/>
      <c r="L487" s="38" t="n"/>
      <c r="M487" s="62" t="n"/>
      <c r="N487" s="38" t="n"/>
      <c r="O487" s="62" t="n"/>
      <c r="P487" s="38" t="n"/>
      <c r="Q487" s="62" t="n"/>
      <c r="R487" s="38" t="n"/>
      <c r="S487" s="62" t="n"/>
      <c r="T487" s="38" t="n"/>
      <c r="U487" s="62" t="n"/>
      <c r="V487" s="38" t="n"/>
      <c r="W487" s="62" t="n"/>
      <c r="X487" s="38" t="n"/>
      <c r="Y487" s="62" t="n"/>
      <c r="Z487" s="38" t="n"/>
      <c r="AA487" s="62" t="n"/>
      <c r="AB487" s="38" t="n"/>
      <c r="AC487" s="62" t="n"/>
      <c r="AD487" s="38" t="n"/>
      <c r="AE487" s="38" t="n"/>
      <c r="AF487" s="61">
        <f>IF(COUNTIF($B$5:B487,B487)=1,1,0)</f>
        <v/>
      </c>
      <c r="AG487" s="62" t="inlineStr">
        <is>
          <t>https://www.semana.com/opinion/articulo/ni-el-pacto-ni-petro-ni-cepeda-pueden-liderar-la-oposicion/202647/</t>
        </is>
      </c>
    </row>
    <row r="488" ht="15" customHeight="1" s="31">
      <c r="A488" s="38" t="inlineStr">
        <is>
          <t>ART_070</t>
        </is>
      </c>
      <c r="B488" s="38" t="inlineStr">
        <is>
          <t>ART_070_S01</t>
        </is>
      </c>
      <c r="C488" s="38" t="inlineStr">
        <is>
          <t>Infobae Colombia</t>
        </is>
      </c>
      <c r="D488" s="38" t="inlineStr">
        <is>
          <t>Relación con Estados Unidos</t>
        </is>
      </c>
      <c r="E488" s="38" t="inlineStr">
        <is>
          <t>Noticia dura</t>
        </is>
      </c>
      <c r="F488" s="38" t="inlineStr">
        <is>
          <t>2026-09-04T14:03:58Z</t>
        </is>
      </c>
      <c r="G488" s="62" t="inlineStr">
        <is>
          <t>El secretario de Estado de Estados Unidos, Marco Rubio, realizará una visita oficial a Colombia entre el 8 y el 10 de septiembre.</t>
        </is>
      </c>
      <c r="H488" s="62" t="inlineStr"/>
      <c r="I488" s="62" t="inlineStr">
        <is>
          <t>La agenda incluirá una reunión con el presidente Abelardo de la Espriella y conversaciones sobre el respaldo estadounidense a la respuesta ante el terremoto del 10 de agosto, la lucha contra el narcoterrorismo y la relación comercial bilateral.</t>
        </is>
      </c>
      <c r="J488" s="38" t="n"/>
      <c r="K488" s="62" t="n"/>
      <c r="L488" s="38" t="n"/>
      <c r="M488" s="62" t="n"/>
      <c r="N488" s="38" t="n"/>
      <c r="O488" s="62" t="n"/>
      <c r="P488" s="38" t="n"/>
      <c r="Q488" s="62" t="n"/>
      <c r="R488" s="38" t="n"/>
      <c r="S488" s="62" t="n"/>
      <c r="T488" s="38" t="n"/>
      <c r="U488" s="62" t="n"/>
      <c r="V488" s="38" t="n"/>
      <c r="W488" s="62" t="n"/>
      <c r="X488" s="38" t="n"/>
      <c r="Y488" s="62" t="n"/>
      <c r="Z488" s="38" t="n"/>
      <c r="AA488" s="62" t="n"/>
      <c r="AB488" s="38" t="n"/>
      <c r="AC488" s="62" t="n"/>
      <c r="AD488" s="38" t="n"/>
      <c r="AE488" s="38" t="n"/>
      <c r="AF488" s="61">
        <f>IF(COUNTIF($B$5:B488,B488)=1,1,0)</f>
        <v/>
      </c>
      <c r="AG488" s="62" t="inlineStr">
        <is>
          <t>https://www.infobae.com/colombia/2026/09/04/marco-rubio-confirmo-visita-a-colombia-entre-el-8-y-el-10-de-septiembre-se-reunira-con-abelardo-de-la-espriella-para-hablar-de-aranceles-y-cooperacion-antidrogas/</t>
        </is>
      </c>
    </row>
    <row r="489" ht="15" customHeight="1" s="31">
      <c r="A489" s="38" t="inlineStr">
        <is>
          <t>ART_070</t>
        </is>
      </c>
      <c r="B489" s="38" t="inlineStr">
        <is>
          <t>ART_070_S02</t>
        </is>
      </c>
      <c r="C489" s="38" t="inlineStr">
        <is>
          <t>Infobae Colombia</t>
        </is>
      </c>
      <c r="D489" s="38" t="inlineStr">
        <is>
          <t>Relación con Estados Unidos</t>
        </is>
      </c>
      <c r="E489" s="38" t="inlineStr">
        <is>
          <t>Noticia dura</t>
        </is>
      </c>
      <c r="F489" s="38" t="inlineStr">
        <is>
          <t>2026-09-04T14:03:58Z</t>
        </is>
      </c>
      <c r="G489" s="62" t="inlineStr">
        <is>
          <t>La agenda incluirá una reunión con el presidente Abelardo de la Espriella y conversaciones sobre el respaldo estadounidense a la respuesta ante el terremoto del 10 de agosto, la lucha contra el narcoterrorismo y la relación comercial bilateral.</t>
        </is>
      </c>
      <c r="H489" s="62" t="inlineStr">
        <is>
          <t>El secretario de Estado de Estados Unidos, Marco Rubio, realizará una visita oficial a Colombia entre el 8 y el 10 de septiembre.</t>
        </is>
      </c>
      <c r="I489" s="62" t="inlineStr">
        <is>
          <t>“El secretario de Estado Marco Rubio viajará a Colombia, Ecuador y Perú del 8 al 10 de septiembre para fortalecer las asociaciones clave de Estados Unidos en nuestra región”, se lee en el comunicado expedido por el Departamento de Estado de los Estados Unidos.</t>
        </is>
      </c>
      <c r="J489" s="38" t="n"/>
      <c r="K489" s="62" t="n"/>
      <c r="L489" s="38" t="n"/>
      <c r="M489" s="62" t="n"/>
      <c r="N489" s="38" t="n"/>
      <c r="O489" s="62" t="n"/>
      <c r="P489" s="38" t="n"/>
      <c r="Q489" s="62" t="n"/>
      <c r="R489" s="38" t="n"/>
      <c r="S489" s="62" t="n"/>
      <c r="T489" s="38" t="n"/>
      <c r="U489" s="62" t="n"/>
      <c r="V489" s="38" t="n"/>
      <c r="W489" s="62" t="n"/>
      <c r="X489" s="38" t="n"/>
      <c r="Y489" s="62" t="n"/>
      <c r="Z489" s="38" t="n"/>
      <c r="AA489" s="62" t="n"/>
      <c r="AB489" s="38" t="n"/>
      <c r="AC489" s="62" t="n"/>
      <c r="AD489" s="38" t="n"/>
      <c r="AE489" s="38" t="n"/>
      <c r="AF489" s="61">
        <f>IF(COUNTIF($B$5:B489,B489)=1,1,0)</f>
        <v/>
      </c>
      <c r="AG489" s="62" t="inlineStr">
        <is>
          <t>https://www.infobae.com/colombia/2026/09/04/marco-rubio-confirmo-visita-a-colombia-entre-el-8-y-el-10-de-septiembre-se-reunira-con-abelardo-de-la-espriella-para-hablar-de-aranceles-y-cooperacion-antidrogas/</t>
        </is>
      </c>
    </row>
    <row r="490" ht="15" customHeight="1" s="31">
      <c r="A490" s="38" t="inlineStr">
        <is>
          <t>ART_070</t>
        </is>
      </c>
      <c r="B490" s="38" t="inlineStr">
        <is>
          <t>ART_070_S03</t>
        </is>
      </c>
      <c r="C490" s="38" t="inlineStr">
        <is>
          <t>Infobae Colombia</t>
        </is>
      </c>
      <c r="D490" s="38" t="inlineStr">
        <is>
          <t>Relación con Estados Unidos</t>
        </is>
      </c>
      <c r="E490" s="38" t="inlineStr">
        <is>
          <t>Noticia dura</t>
        </is>
      </c>
      <c r="F490" s="38" t="inlineStr">
        <is>
          <t>2026-09-04T14:03:58Z</t>
        </is>
      </c>
      <c r="G490" s="62" t="inlineStr">
        <is>
          <t>“El secretario de Estado Marco Rubio viajará a Colombia, Ecuador y Perú del 8 al 10 de septiembre para fortalecer las asociaciones clave de Estados Unidos en nuestra región”, se lee en el comunicado expedido por el Departamento de Estado de los Estados Unidos.</t>
        </is>
      </c>
      <c r="H490" s="62" t="inlineStr">
        <is>
          <t>La agenda incluirá una reunión con el presidente Abelardo de la Espriella y conversaciones sobre el respaldo estadounidense a la respuesta ante el terremoto del 10 de agosto, la lucha contra el narcoterrorismo y la relación comercial bilateral.</t>
        </is>
      </c>
      <c r="I490" s="62" t="inlineStr">
        <is>
          <t>En el caso colombiano, la visita llegará después de los contactos entre De la Espriella y la administración de Donald Trump por los aranceles que afectan a productos del país.</t>
        </is>
      </c>
      <c r="J490" s="38" t="n"/>
      <c r="K490" s="62" t="n"/>
      <c r="L490" s="38" t="n"/>
      <c r="M490" s="62" t="n"/>
      <c r="N490" s="38" t="n"/>
      <c r="O490" s="62" t="n"/>
      <c r="P490" s="38" t="n"/>
      <c r="Q490" s="62" t="n"/>
      <c r="R490" s="38" t="n"/>
      <c r="S490" s="62" t="n"/>
      <c r="T490" s="38" t="n"/>
      <c r="U490" s="62" t="n"/>
      <c r="V490" s="38" t="n"/>
      <c r="W490" s="62" t="n"/>
      <c r="X490" s="38" t="n"/>
      <c r="Y490" s="62" t="n"/>
      <c r="Z490" s="38" t="n"/>
      <c r="AA490" s="62" t="n"/>
      <c r="AB490" s="38" t="n"/>
      <c r="AC490" s="62" t="n"/>
      <c r="AD490" s="38" t="n"/>
      <c r="AE490" s="38" t="n"/>
      <c r="AF490" s="61">
        <f>IF(COUNTIF($B$5:B490,B490)=1,1,0)</f>
        <v/>
      </c>
      <c r="AG490" s="62" t="inlineStr">
        <is>
          <t>https://www.infobae.com/colombia/2026/09/04/marco-rubio-confirmo-visita-a-colombia-entre-el-8-y-el-10-de-septiembre-se-reunira-con-abelardo-de-la-espriella-para-hablar-de-aranceles-y-cooperacion-antidrogas/</t>
        </is>
      </c>
    </row>
    <row r="491" ht="15" customHeight="1" s="31">
      <c r="A491" s="38" t="inlineStr">
        <is>
          <t>ART_070</t>
        </is>
      </c>
      <c r="B491" s="38" t="inlineStr">
        <is>
          <t>ART_070_S04</t>
        </is>
      </c>
      <c r="C491" s="38" t="inlineStr">
        <is>
          <t>Infobae Colombia</t>
        </is>
      </c>
      <c r="D491" s="38" t="inlineStr">
        <is>
          <t>Relación con Estados Unidos</t>
        </is>
      </c>
      <c r="E491" s="38" t="inlineStr">
        <is>
          <t>Noticia dura</t>
        </is>
      </c>
      <c r="F491" s="38" t="inlineStr">
        <is>
          <t>2026-09-04T14:03:58Z</t>
        </is>
      </c>
      <c r="G491" s="62" t="inlineStr">
        <is>
          <t>En el caso colombiano, la visita llegará después de los contactos entre De la Espriella y la administración de Donald Trump por los aranceles que afectan a productos del país.</t>
        </is>
      </c>
      <c r="H491" s="62" t="inlineStr">
        <is>
          <t>“El secretario de Estado Marco Rubio viajará a Colombia, Ecuador y Perú del 8 al 10 de septiembre para fortalecer las asociaciones clave de Estados Unidos en nuestra región”, se lee en el comunicado expedido por el Departamento de Estado de los Estados Unidos.</t>
        </is>
      </c>
      <c r="I491" s="62" t="inlineStr">
        <is>
          <t>“El secretario de Estado Marco Rubio viajará a Colombia, Ecuador y Perú del 8 al 10 de septiembre para fortalecer las asociaciones clave de Estados Unidos en nuestra región”, señaló el comunicado oficial.</t>
        </is>
      </c>
      <c r="J491" s="38" t="n"/>
      <c r="K491" s="62" t="n"/>
      <c r="L491" s="38" t="n"/>
      <c r="M491" s="62" t="n"/>
      <c r="N491" s="38" t="n"/>
      <c r="O491" s="62" t="n"/>
      <c r="P491" s="38" t="n"/>
      <c r="Q491" s="62" t="n"/>
      <c r="R491" s="38" t="n"/>
      <c r="S491" s="62" t="n"/>
      <c r="T491" s="38" t="n"/>
      <c r="U491" s="62" t="n"/>
      <c r="V491" s="38" t="n"/>
      <c r="W491" s="62" t="n"/>
      <c r="X491" s="38" t="n"/>
      <c r="Y491" s="62" t="n"/>
      <c r="Z491" s="38" t="n"/>
      <c r="AA491" s="62" t="n"/>
      <c r="AB491" s="38" t="n"/>
      <c r="AC491" s="62" t="n"/>
      <c r="AD491" s="38" t="n"/>
      <c r="AE491" s="38" t="n"/>
      <c r="AF491" s="61">
        <f>IF(COUNTIF($B$5:B491,B491)=1,1,0)</f>
        <v/>
      </c>
      <c r="AG491" s="62" t="inlineStr">
        <is>
          <t>https://www.infobae.com/colombia/2026/09/04/marco-rubio-confirmo-visita-a-colombia-entre-el-8-y-el-10-de-septiembre-se-reunira-con-abelardo-de-la-espriella-para-hablar-de-aranceles-y-cooperacion-antidrogas/</t>
        </is>
      </c>
    </row>
    <row r="492" ht="15" customHeight="1" s="31">
      <c r="A492" s="38" t="inlineStr">
        <is>
          <t>ART_070</t>
        </is>
      </c>
      <c r="B492" s="38" t="inlineStr">
        <is>
          <t>ART_070_S05</t>
        </is>
      </c>
      <c r="C492" s="38" t="inlineStr">
        <is>
          <t>Infobae Colombia</t>
        </is>
      </c>
      <c r="D492" s="38" t="inlineStr">
        <is>
          <t>Relación con Estados Unidos</t>
        </is>
      </c>
      <c r="E492" s="38" t="inlineStr">
        <is>
          <t>Noticia dura</t>
        </is>
      </c>
      <c r="F492" s="38" t="inlineStr">
        <is>
          <t>2026-09-04T14:03:58Z</t>
        </is>
      </c>
      <c r="G492" s="62" t="inlineStr">
        <is>
          <t>“El secretario de Estado Marco Rubio viajará a Colombia, Ecuador y Perú del 8 al 10 de septiembre para fortalecer las asociaciones clave de Estados Unidos en nuestra región”, señaló el comunicado oficial.</t>
        </is>
      </c>
      <c r="H492" s="62" t="inlineStr">
        <is>
          <t>En el caso colombiano, la visita llegará después de los contactos entre De la Espriella y la administración de Donald Trump por los aranceles que afectan a productos del país.</t>
        </is>
      </c>
      <c r="I492" s="62" t="inlineStr">
        <is>
          <t>“Durante el viaje, se reunirá con el nuevo Gobierno de De La Espriella en Colombia, con el presidente Noboa en Ecuador y con el nuevo Gobierno de Fujimori en Perú para dialogar sobre el apoyo de Estados Unidos a la respuesta de Colombia ante el terremoto; el refuerzo de la cooperación en la lucha conjunta contra el narcoterrorismo que amenaza a nuestro hemisferio; y las ventajas de unas relaciones comerciales más estrechas entre nuestros países”, se añade en el documento.</t>
        </is>
      </c>
      <c r="J492" s="38" t="n"/>
      <c r="K492" s="62" t="n"/>
      <c r="L492" s="38" t="n"/>
      <c r="M492" s="62" t="n"/>
      <c r="N492" s="38" t="n"/>
      <c r="O492" s="62" t="n"/>
      <c r="P492" s="38" t="n"/>
      <c r="Q492" s="62" t="n"/>
      <c r="R492" s="38" t="n"/>
      <c r="S492" s="62" t="n"/>
      <c r="T492" s="38" t="n"/>
      <c r="U492" s="62" t="n"/>
      <c r="V492" s="38" t="n"/>
      <c r="W492" s="62" t="n"/>
      <c r="X492" s="38" t="n"/>
      <c r="Y492" s="62" t="n"/>
      <c r="Z492" s="38" t="n"/>
      <c r="AA492" s="62" t="n"/>
      <c r="AB492" s="38" t="n"/>
      <c r="AC492" s="62" t="n"/>
      <c r="AD492" s="38" t="n"/>
      <c r="AE492" s="38" t="n"/>
      <c r="AF492" s="61">
        <f>IF(COUNTIF($B$5:B492,B492)=1,1,0)</f>
        <v/>
      </c>
      <c r="AG492" s="62" t="inlineStr">
        <is>
          <t>https://www.infobae.com/colombia/2026/09/04/marco-rubio-confirmo-visita-a-colombia-entre-el-8-y-el-10-de-septiembre-se-reunira-con-abelardo-de-la-espriella-para-hablar-de-aranceles-y-cooperacion-antidrogas/</t>
        </is>
      </c>
    </row>
    <row r="493" ht="15" customHeight="1" s="31">
      <c r="A493" s="38" t="inlineStr">
        <is>
          <t>ART_070</t>
        </is>
      </c>
      <c r="B493" s="38" t="inlineStr">
        <is>
          <t>ART_070_S06</t>
        </is>
      </c>
      <c r="C493" s="38" t="inlineStr">
        <is>
          <t>Infobae Colombia</t>
        </is>
      </c>
      <c r="D493" s="38" t="inlineStr">
        <is>
          <t>Relación con Estados Unidos</t>
        </is>
      </c>
      <c r="E493" s="38" t="inlineStr">
        <is>
          <t>Noticia dura</t>
        </is>
      </c>
      <c r="F493" s="38" t="inlineStr">
        <is>
          <t>2026-09-04T14:03:58Z</t>
        </is>
      </c>
      <c r="G493" s="62" t="inlineStr">
        <is>
          <t>“Durante el viaje, se reunirá con el nuevo Gobierno de De La Espriella en Colombia, con el presidente Noboa en Ecuador y con el nuevo Gobierno de Fujimori en Perú para dialogar sobre el apoyo de Estados Unidos a la respuesta de Colombia ante el terremoto; el refuerzo de la cooperación en la lucha conjunta contra el narcoterrorismo que amenaza a nuestro hemisferio; y las ventajas de unas relaciones comerciales más estrechas entre nuestros países”, se añade en el documento.</t>
        </is>
      </c>
      <c r="H493" s="62" t="inlineStr">
        <is>
          <t>“El secretario de Estado Marco Rubio viajará a Colombia, Ecuador y Perú del 8 al 10 de septiembre para fortalecer las asociaciones clave de Estados Unidos en nuestra región”, señaló el comunicado oficial.</t>
        </is>
      </c>
      <c r="I493" s="62" t="inlineStr"/>
      <c r="J493" s="38" t="n"/>
      <c r="K493" s="62" t="n"/>
      <c r="L493" s="38" t="n"/>
      <c r="M493" s="62" t="n"/>
      <c r="N493" s="38" t="n"/>
      <c r="O493" s="62" t="n"/>
      <c r="P493" s="38" t="n"/>
      <c r="Q493" s="62" t="n"/>
      <c r="R493" s="38" t="n"/>
      <c r="S493" s="62" t="n"/>
      <c r="T493" s="38" t="n"/>
      <c r="U493" s="62" t="n"/>
      <c r="V493" s="38" t="n"/>
      <c r="W493" s="62" t="n"/>
      <c r="X493" s="38" t="n"/>
      <c r="Y493" s="62" t="n"/>
      <c r="Z493" s="38" t="n"/>
      <c r="AA493" s="62" t="n"/>
      <c r="AB493" s="38" t="n"/>
      <c r="AC493" s="62" t="n"/>
      <c r="AD493" s="38" t="n"/>
      <c r="AE493" s="38" t="n"/>
      <c r="AF493" s="61">
        <f>IF(COUNTIF($B$5:B493,B493)=1,1,0)</f>
        <v/>
      </c>
      <c r="AG493" s="62" t="inlineStr">
        <is>
          <t>https://www.infobae.com/colombia/2026/09/04/marco-rubio-confirmo-visita-a-colombia-entre-el-8-y-el-10-de-septiembre-se-reunira-con-abelardo-de-la-espriella-para-hablar-de-aranceles-y-cooperacion-antidrogas/</t>
        </is>
      </c>
    </row>
    <row r="494" ht="15" customHeight="1" s="31">
      <c r="A494" s="38" t="inlineStr">
        <is>
          <t>ART_071</t>
        </is>
      </c>
      <c r="B494" s="38" t="inlineStr">
        <is>
          <t>ART_071_S01</t>
        </is>
      </c>
      <c r="C494" s="38" t="inlineStr">
        <is>
          <t>El Espectador</t>
        </is>
      </c>
      <c r="D494" s="38" t="inlineStr">
        <is>
          <t>Transición de gobierno y relación con la oposición</t>
        </is>
      </c>
      <c r="E494" s="38" t="inlineStr">
        <is>
          <t>Opinión-análisis</t>
        </is>
      </c>
      <c r="F494" s="38" t="inlineStr">
        <is>
          <t>2026-07-15T00:05:00-05:00</t>
        </is>
      </c>
      <c r="G494" s="62" t="inlineStr">
        <is>
          <t>En el país de los nuevos “refundadores de la patria”, todos los caminos conducen a Barranquilla.</t>
        </is>
      </c>
      <c r="H494" s="62" t="inlineStr"/>
      <c r="I494" s="62" t="inlineStr">
        <is>
          <t>Pero ya no con la concepción del Pacto de Ralito del año 2001 –que fue firmado entre los más sanguinarios capos paramilitares y un centenar de caciques políticos de la costa Caribe con el fin de apropiarse del Estado de Colombia–, sino mediante el camino legal de las elecciones presidenciales de este 2026 ¡Quién lo creyera!</t>
        </is>
      </c>
      <c r="J494" s="38" t="n"/>
      <c r="K494" s="62" t="n"/>
      <c r="L494" s="38" t="n"/>
      <c r="M494" s="62" t="n"/>
      <c r="N494" s="38" t="n"/>
      <c r="O494" s="62" t="n"/>
      <c r="P494" s="38" t="n"/>
      <c r="Q494" s="62" t="n"/>
      <c r="R494" s="38" t="n"/>
      <c r="S494" s="62" t="n"/>
      <c r="T494" s="38" t="n"/>
      <c r="U494" s="62" t="n"/>
      <c r="V494" s="38" t="n"/>
      <c r="W494" s="62" t="n"/>
      <c r="X494" s="38" t="n"/>
      <c r="Y494" s="62" t="n"/>
      <c r="Z494" s="38" t="n"/>
      <c r="AA494" s="62" t="n"/>
      <c r="AB494" s="38" t="n"/>
      <c r="AC494" s="62" t="n"/>
      <c r="AD494" s="38" t="n"/>
      <c r="AE494" s="38" t="n"/>
      <c r="AF494" s="61">
        <f>IF(COUNTIF($B$5:B494,B494)=1,1,0)</f>
        <v/>
      </c>
      <c r="AG494" s="62" t="inlineStr">
        <is>
          <t>https://www.elespectador.com/opinion/columnistas/cecilia-orozco-tascon/el-pacto-de-los-poderosos-de-barranquilla-con-de-la-espriella/</t>
        </is>
      </c>
    </row>
    <row r="495" ht="15" customHeight="1" s="31">
      <c r="A495" s="38" t="inlineStr">
        <is>
          <t>ART_071</t>
        </is>
      </c>
      <c r="B495" s="38" t="inlineStr">
        <is>
          <t>ART_071_S02</t>
        </is>
      </c>
      <c r="C495" s="38" t="inlineStr">
        <is>
          <t>El Espectador</t>
        </is>
      </c>
      <c r="D495" s="38" t="inlineStr">
        <is>
          <t>Transición de gobierno y relación con la oposición</t>
        </is>
      </c>
      <c r="E495" s="38" t="inlineStr">
        <is>
          <t>Opinión-análisis</t>
        </is>
      </c>
      <c r="F495" s="38" t="inlineStr">
        <is>
          <t>2026-07-15T00:05:00-05:00</t>
        </is>
      </c>
      <c r="G495" s="62" t="inlineStr">
        <is>
          <t>Pero ya no con la concepción del Pacto de Ralito del año 2001 –que fue firmado entre los más sanguinarios capos paramilitares y un centenar de caciques políticos de la costa Caribe con el fin de apropiarse del Estado de Colombia–, sino mediante el camino legal de las elecciones presidenciales de este 2026 ¡Quién lo creyera!</t>
        </is>
      </c>
      <c r="H495" s="62" t="inlineStr">
        <is>
          <t>En el país de los nuevos “refundadores de la patria”, todos los caminos conducen a Barranquilla.</t>
        </is>
      </c>
      <c r="I495" s="62" t="inlineStr">
        <is>
          <t>Hasta el propio Mancuso, el macrocriminal líder del acuerdo secreto de hace 25 años, quien, ahora desmovilizado, ha dicho que conoce al presidente entrante desde niño y sostiene que su amistad perdura, debe estar sorprendido con la similitud de propósitos del país que, en su momento, soñaron él y Carlos Castaño, y el de ultraderecha que proyecta ejecutar la administración electa.</t>
        </is>
      </c>
      <c r="J495" s="38" t="n"/>
      <c r="K495" s="62" t="n"/>
      <c r="L495" s="38" t="n"/>
      <c r="M495" s="62" t="n"/>
      <c r="N495" s="38" t="n"/>
      <c r="O495" s="62" t="n"/>
      <c r="P495" s="38" t="n"/>
      <c r="Q495" s="62" t="n"/>
      <c r="R495" s="38" t="n"/>
      <c r="S495" s="62" t="n"/>
      <c r="T495" s="38" t="n"/>
      <c r="U495" s="62" t="n"/>
      <c r="V495" s="38" t="n"/>
      <c r="W495" s="62" t="n"/>
      <c r="X495" s="38" t="n"/>
      <c r="Y495" s="62" t="n"/>
      <c r="Z495" s="38" t="n"/>
      <c r="AA495" s="62" t="n"/>
      <c r="AB495" s="38" t="n"/>
      <c r="AC495" s="62" t="n"/>
      <c r="AD495" s="38" t="n"/>
      <c r="AE495" s="38" t="n"/>
      <c r="AF495" s="61">
        <f>IF(COUNTIF($B$5:B495,B495)=1,1,0)</f>
        <v/>
      </c>
      <c r="AG495" s="62" t="inlineStr">
        <is>
          <t>https://www.elespectador.com/opinion/columnistas/cecilia-orozco-tascon/el-pacto-de-los-poderosos-de-barranquilla-con-de-la-espriella/</t>
        </is>
      </c>
    </row>
    <row r="496" ht="15" customHeight="1" s="31">
      <c r="A496" s="38" t="inlineStr">
        <is>
          <t>ART_071</t>
        </is>
      </c>
      <c r="B496" s="38" t="inlineStr">
        <is>
          <t>ART_071_S03</t>
        </is>
      </c>
      <c r="C496" s="38" t="inlineStr">
        <is>
          <t>El Espectador</t>
        </is>
      </c>
      <c r="D496" s="38" t="inlineStr">
        <is>
          <t>Transición de gobierno y relación con la oposición</t>
        </is>
      </c>
      <c r="E496" s="38" t="inlineStr">
        <is>
          <t>Opinión-análisis</t>
        </is>
      </c>
      <c r="F496" s="38" t="inlineStr">
        <is>
          <t>2026-07-15T00:05:00-05:00</t>
        </is>
      </c>
      <c r="G496" s="62" t="inlineStr">
        <is>
          <t>Hasta el propio Mancuso, el macrocriminal líder del acuerdo secreto de hace 25 años, quien, ahora desmovilizado, ha dicho que conoce al presidente entrante desde niño y sostiene que su amistad perdura, debe estar sorprendido con la similitud de propósitos del país que, en su momento, soñaron él y Carlos Castaño, y el de ultraderecha que proyecta ejecutar la administración electa.</t>
        </is>
      </c>
      <c r="H496" s="62" t="inlineStr">
        <is>
          <t>Pero ya no con la concepción del Pacto de Ralito del año 2001 –que fue firmado entre los más sanguinarios capos paramilitares y un centenar de caciques políticos de la costa Caribe con el fin de apropiarse del Estado de Colombia–, sino mediante el camino legal de las elecciones presidenciales de este 2026 ¡Quién lo creyera!</t>
        </is>
      </c>
      <c r="I496" s="62" t="inlineStr">
        <is>
          <t>Barranquilla, la tierra dominada por los Char, los Gerlein, los Cepeda (de Efraín), etc., pero, principalmente, por la familia Char que compartirá ahora su “trono” con el mandatario que asumirá el próximo 7 de agosto, también será sede del Gobierno Nacional, según ha anunciado el entorno de De la Espriella quien, sin ser oriundo de la capital del Atlántico, sí es su hijo adoptivo: no hay otro lugar en esta nación, en que se sienta más a gusto, más arropado por sus aliados y, por tanto, más tranquilo (ver).</t>
        </is>
      </c>
      <c r="J496" s="38" t="n"/>
      <c r="K496" s="62" t="n"/>
      <c r="L496" s="38" t="n"/>
      <c r="M496" s="62" t="n"/>
      <c r="N496" s="38" t="n"/>
      <c r="O496" s="62" t="n"/>
      <c r="P496" s="38" t="n"/>
      <c r="Q496" s="62" t="n"/>
      <c r="R496" s="38" t="n"/>
      <c r="S496" s="62" t="n"/>
      <c r="T496" s="38" t="n"/>
      <c r="U496" s="62" t="n"/>
      <c r="V496" s="38" t="n"/>
      <c r="W496" s="62" t="n"/>
      <c r="X496" s="38" t="n"/>
      <c r="Y496" s="62" t="n"/>
      <c r="Z496" s="38" t="n"/>
      <c r="AA496" s="62" t="n"/>
      <c r="AB496" s="38" t="n"/>
      <c r="AC496" s="62" t="n"/>
      <c r="AD496" s="38" t="n"/>
      <c r="AE496" s="38" t="n"/>
      <c r="AF496" s="61">
        <f>IF(COUNTIF($B$5:B496,B496)=1,1,0)</f>
        <v/>
      </c>
      <c r="AG496" s="62" t="inlineStr">
        <is>
          <t>https://www.elespectador.com/opinion/columnistas/cecilia-orozco-tascon/el-pacto-de-los-poderosos-de-barranquilla-con-de-la-espriella/</t>
        </is>
      </c>
    </row>
    <row r="497" ht="15" customHeight="1" s="31">
      <c r="A497" s="38" t="inlineStr">
        <is>
          <t>ART_071</t>
        </is>
      </c>
      <c r="B497" s="38" t="inlineStr">
        <is>
          <t>ART_071_S04</t>
        </is>
      </c>
      <c r="C497" s="38" t="inlineStr">
        <is>
          <t>El Espectador</t>
        </is>
      </c>
      <c r="D497" s="38" t="inlineStr">
        <is>
          <t>Transición de gobierno y relación con la oposición</t>
        </is>
      </c>
      <c r="E497" s="38" t="inlineStr">
        <is>
          <t>Opinión-análisis</t>
        </is>
      </c>
      <c r="F497" s="38" t="inlineStr">
        <is>
          <t>2026-07-15T00:05:00-05:00</t>
        </is>
      </c>
      <c r="G497" s="62" t="inlineStr">
        <is>
          <t>Barranquilla, la tierra dominada por los Char, los Gerlein, los Cepeda (de Efraín), etc., pero, principalmente, por la familia Char que compartirá ahora su “trono” con el mandatario que asumirá el próximo 7 de agosto, también será sede del Gobierno Nacional, según ha anunciado el entorno de De la Espriella quien, sin ser oriundo de la capital del Atlántico, sí es su hijo adoptivo: no hay otro lugar en esta nación, en que se sienta más a gusto, más arropado por sus aliados y, por tanto, más tranquilo (ver).</t>
        </is>
      </c>
      <c r="H497" s="62" t="inlineStr">
        <is>
          <t>Hasta el propio Mancuso, el macrocriminal líder del acuerdo secreto de hace 25 años, quien, ahora desmovilizado, ha dicho que conoce al presidente entrante desde niño y sostiene que su amistad perdura, debe estar sorprendido con la similitud de propósitos del país que, en su momento, soñaron él y Carlos Castaño, y el de ultraderecha que proyecta ejecutar la administración electa.</t>
        </is>
      </c>
      <c r="I497" s="62" t="inlineStr">
        <is>
          <t>Barranquilla es, además de su residencia cuando se encontraba de visita temporal en este país, la ciudad en donde el electo gobernante instaló una de sus oficinas particulares, y desde la cual podrá seguir concretando sus negocios privados, lejos de la vigilancia de los periodistas inquisitivos que, aún, trabajan en Bogotá.</t>
        </is>
      </c>
      <c r="J497" s="38" t="n"/>
      <c r="K497" s="62" t="n"/>
      <c r="L497" s="38" t="n"/>
      <c r="M497" s="62" t="n"/>
      <c r="N497" s="38" t="n"/>
      <c r="O497" s="62" t="n"/>
      <c r="P497" s="38" t="n"/>
      <c r="Q497" s="62" t="n"/>
      <c r="R497" s="38" t="n"/>
      <c r="S497" s="62" t="n"/>
      <c r="T497" s="38" t="n"/>
      <c r="U497" s="62" t="n"/>
      <c r="V497" s="38" t="n"/>
      <c r="W497" s="62" t="n"/>
      <c r="X497" s="38" t="n"/>
      <c r="Y497" s="62" t="n"/>
      <c r="Z497" s="38" t="n"/>
      <c r="AA497" s="62" t="n"/>
      <c r="AB497" s="38" t="n"/>
      <c r="AC497" s="62" t="n"/>
      <c r="AD497" s="38" t="n"/>
      <c r="AE497" s="38" t="n"/>
      <c r="AF497" s="61">
        <f>IF(COUNTIF($B$5:B497,B497)=1,1,0)</f>
        <v/>
      </c>
      <c r="AG497" s="62" t="inlineStr">
        <is>
          <t>https://www.elespectador.com/opinion/columnistas/cecilia-orozco-tascon/el-pacto-de-los-poderosos-de-barranquilla-con-de-la-espriella/</t>
        </is>
      </c>
    </row>
    <row r="498" ht="15" customHeight="1" s="31">
      <c r="A498" s="38" t="inlineStr">
        <is>
          <t>ART_071</t>
        </is>
      </c>
      <c r="B498" s="38" t="inlineStr">
        <is>
          <t>ART_071_S05</t>
        </is>
      </c>
      <c r="C498" s="38" t="inlineStr">
        <is>
          <t>El Espectador</t>
        </is>
      </c>
      <c r="D498" s="38" t="inlineStr">
        <is>
          <t>Transición de gobierno y relación con la oposición</t>
        </is>
      </c>
      <c r="E498" s="38" t="inlineStr">
        <is>
          <t>Opinión-análisis</t>
        </is>
      </c>
      <c r="F498" s="38" t="inlineStr">
        <is>
          <t>2026-07-15T00:05:00-05:00</t>
        </is>
      </c>
      <c r="G498" s="62" t="inlineStr">
        <is>
          <t>Barranquilla es, además de su residencia cuando se encontraba de visita temporal en este país, la ciudad en donde el electo gobernante instaló una de sus oficinas particulares, y desde la cual podrá seguir concretando sus negocios privados, lejos de la vigilancia de los periodistas inquisitivos que, aún, trabajan en Bogotá.</t>
        </is>
      </c>
      <c r="H498" s="62" t="inlineStr">
        <is>
          <t>Barranquilla, la tierra dominada por los Char, los Gerlein, los Cepeda (de Efraín), etc., pero, principalmente, por la familia Char que compartirá ahora su “trono” con el mandatario que asumirá el próximo 7 de agosto, también será sede del Gobierno Nacional, según ha anunciado el entorno de De la Espriella quien, sin ser oriundo de la capital del Atlántico, sí es su hijo adoptivo: no hay otro lugar en esta nación, en que se sienta más a gusto, más arropado por sus aliados y, por tanto, más tranquilo (ver).</t>
        </is>
      </c>
      <c r="I498" s="62" t="inlineStr">
        <is>
          <t>Salvo contadísimas excepciones, y como se conoce hace tiempo, el principal periódico regional y los otros medios barranquilleros tradicionales funcionan bajo el dominio y permiso económico de la clase política local, léase (otra vez) los Char.</t>
        </is>
      </c>
      <c r="J498" s="38" t="n"/>
      <c r="K498" s="62" t="n"/>
      <c r="L498" s="38" t="n"/>
      <c r="M498" s="62" t="n"/>
      <c r="N498" s="38" t="n"/>
      <c r="O498" s="62" t="n"/>
      <c r="P498" s="38" t="n"/>
      <c r="Q498" s="62" t="n"/>
      <c r="R498" s="38" t="n"/>
      <c r="S498" s="62" t="n"/>
      <c r="T498" s="38" t="n"/>
      <c r="U498" s="62" t="n"/>
      <c r="V498" s="38" t="n"/>
      <c r="W498" s="62" t="n"/>
      <c r="X498" s="38" t="n"/>
      <c r="Y498" s="62" t="n"/>
      <c r="Z498" s="38" t="n"/>
      <c r="AA498" s="62" t="n"/>
      <c r="AB498" s="38" t="n"/>
      <c r="AC498" s="62" t="n"/>
      <c r="AD498" s="38" t="n"/>
      <c r="AE498" s="38" t="n"/>
      <c r="AF498" s="61">
        <f>IF(COUNTIF($B$5:B498,B498)=1,1,0)</f>
        <v/>
      </c>
      <c r="AG498" s="62" t="inlineStr">
        <is>
          <t>https://www.elespectador.com/opinion/columnistas/cecilia-orozco-tascon/el-pacto-de-los-poderosos-de-barranquilla-con-de-la-espriella/</t>
        </is>
      </c>
    </row>
    <row r="499" ht="15" customHeight="1" s="31">
      <c r="A499" s="38" t="inlineStr">
        <is>
          <t>ART_071</t>
        </is>
      </c>
      <c r="B499" s="38" t="inlineStr">
        <is>
          <t>ART_071_S06</t>
        </is>
      </c>
      <c r="C499" s="38" t="inlineStr">
        <is>
          <t>El Espectador</t>
        </is>
      </c>
      <c r="D499" s="38" t="inlineStr">
        <is>
          <t>Transición de gobierno y relación con la oposición</t>
        </is>
      </c>
      <c r="E499" s="38" t="inlineStr">
        <is>
          <t>Opinión-análisis</t>
        </is>
      </c>
      <c r="F499" s="38" t="inlineStr">
        <is>
          <t>2026-07-15T00:05:00-05:00</t>
        </is>
      </c>
      <c r="G499" s="62" t="inlineStr">
        <is>
          <t>Salvo contadísimas excepciones, y como se conoce hace tiempo, el principal periódico regional y los otros medios barranquilleros tradicionales funcionan bajo el dominio y permiso económico de la clase política local, léase (otra vez) los Char.</t>
        </is>
      </c>
      <c r="H499" s="62" t="inlineStr">
        <is>
          <t>Barranquilla es, además de su residencia cuando se encontraba de visita temporal en este país, la ciudad en donde el electo gobernante instaló una de sus oficinas particulares, y desde la cual podrá seguir concretando sus negocios privados, lejos de la vigilancia de los periodistas inquisitivos que, aún, trabajan en Bogotá.</t>
        </is>
      </c>
      <c r="I499" s="62" t="inlineStr">
        <is>
          <t>Es así que, si se ejecuta su intención de gobernar desde esa capital caribeña, la austeridad prometida en campaña para recuperar el presupuesto que habría dilapidado el gobierno saliente empezará a quedar reducida a un relumbrón.</t>
        </is>
      </c>
      <c r="J499" s="38" t="n"/>
      <c r="K499" s="62" t="n"/>
      <c r="L499" s="38" t="n"/>
      <c r="M499" s="62" t="n"/>
      <c r="N499" s="38" t="n"/>
      <c r="O499" s="62" t="n"/>
      <c r="P499" s="38" t="n"/>
      <c r="Q499" s="62" t="n"/>
      <c r="R499" s="38" t="n"/>
      <c r="S499" s="62" t="n"/>
      <c r="T499" s="38" t="n"/>
      <c r="U499" s="62" t="n"/>
      <c r="V499" s="38" t="n"/>
      <c r="W499" s="62" t="n"/>
      <c r="X499" s="38" t="n"/>
      <c r="Y499" s="62" t="n"/>
      <c r="Z499" s="38" t="n"/>
      <c r="AA499" s="62" t="n"/>
      <c r="AB499" s="38" t="n"/>
      <c r="AC499" s="62" t="n"/>
      <c r="AD499" s="38" t="n"/>
      <c r="AE499" s="38" t="n"/>
      <c r="AF499" s="61">
        <f>IF(COUNTIF($B$5:B499,B499)=1,1,0)</f>
        <v/>
      </c>
      <c r="AG499" s="62" t="inlineStr">
        <is>
          <t>https://www.elespectador.com/opinion/columnistas/cecilia-orozco-tascon/el-pacto-de-los-poderosos-de-barranquilla-con-de-la-espriella/</t>
        </is>
      </c>
    </row>
    <row r="500" ht="15" customHeight="1" s="31">
      <c r="A500" s="38" t="inlineStr">
        <is>
          <t>ART_071</t>
        </is>
      </c>
      <c r="B500" s="38" t="inlineStr">
        <is>
          <t>ART_071_S07</t>
        </is>
      </c>
      <c r="C500" s="38" t="inlineStr">
        <is>
          <t>El Espectador</t>
        </is>
      </c>
      <c r="D500" s="38" t="inlineStr">
        <is>
          <t>Transición de gobierno y relación con la oposición</t>
        </is>
      </c>
      <c r="E500" s="38" t="inlineStr">
        <is>
          <t>Opinión-análisis</t>
        </is>
      </c>
      <c r="F500" s="38" t="inlineStr">
        <is>
          <t>2026-07-15T00:05:00-05:00</t>
        </is>
      </c>
      <c r="G500" s="62" t="inlineStr">
        <is>
          <t>Es así que, si se ejecuta su intención de gobernar desde esa capital caribeña, la austeridad prometida en campaña para recuperar el presupuesto que habría dilapidado el gobierno saliente empezará a quedar reducida a un relumbrón.</t>
        </is>
      </c>
      <c r="H500" s="62" t="inlineStr">
        <is>
          <t>Salvo contadísimas excepciones, y como se conoce hace tiempo, el principal periódico regional y los otros medios barranquilleros tradicionales funcionan bajo el dominio y permiso económico de la clase política local, léase (otra vez) los Char.</t>
        </is>
      </c>
      <c r="I500" s="62" t="inlineStr">
        <is>
          <t>Mover la sede del Ejecutivo, hoy en la Casa de Nariño, al edificio de la Antigua Aduana, mencionado como próximo despacho presidencial (¿cuánto costará el uso permanente de semejante joya arquitectónica?), valdrá una verdadera fortuna puesto que con el presidente, tendrán que mudarse la mayoría de las oficinas de apoyo que tiene la jefatura de Estado, sin contar con los ministros y sus propios equipos, con los directores de departamentos e, incluso, con los congresistas con los que el Ejecutivo interactúa coordina y armoniza políticas, proyectos y propuestas de manera cotidiana (ver).</t>
        </is>
      </c>
      <c r="J500" s="38" t="n"/>
      <c r="K500" s="62" t="n"/>
      <c r="L500" s="38" t="n"/>
      <c r="M500" s="62" t="n"/>
      <c r="N500" s="38" t="n"/>
      <c r="O500" s="62" t="n"/>
      <c r="P500" s="38" t="n"/>
      <c r="Q500" s="62" t="n"/>
      <c r="R500" s="38" t="n"/>
      <c r="S500" s="62" t="n"/>
      <c r="T500" s="38" t="n"/>
      <c r="U500" s="62" t="n"/>
      <c r="V500" s="38" t="n"/>
      <c r="W500" s="62" t="n"/>
      <c r="X500" s="38" t="n"/>
      <c r="Y500" s="62" t="n"/>
      <c r="Z500" s="38" t="n"/>
      <c r="AA500" s="62" t="n"/>
      <c r="AB500" s="38" t="n"/>
      <c r="AC500" s="62" t="n"/>
      <c r="AD500" s="38" t="n"/>
      <c r="AE500" s="38" t="n"/>
      <c r="AF500" s="61">
        <f>IF(COUNTIF($B$5:B500,B500)=1,1,0)</f>
        <v/>
      </c>
      <c r="AG500" s="62" t="inlineStr">
        <is>
          <t>https://www.elespectador.com/opinion/columnistas/cecilia-orozco-tascon/el-pacto-de-los-poderosos-de-barranquilla-con-de-la-espriella/</t>
        </is>
      </c>
    </row>
    <row r="501" ht="15" customHeight="1" s="31">
      <c r="A501" s="38" t="inlineStr">
        <is>
          <t>ART_071</t>
        </is>
      </c>
      <c r="B501" s="38" t="inlineStr">
        <is>
          <t>ART_071_S08</t>
        </is>
      </c>
      <c r="C501" s="38" t="inlineStr">
        <is>
          <t>El Espectador</t>
        </is>
      </c>
      <c r="D501" s="38" t="inlineStr">
        <is>
          <t>Transición de gobierno y relación con la oposición</t>
        </is>
      </c>
      <c r="E501" s="38" t="inlineStr">
        <is>
          <t>Opinión-análisis</t>
        </is>
      </c>
      <c r="F501" s="38" t="inlineStr">
        <is>
          <t>2026-07-15T00:05:00-05:00</t>
        </is>
      </c>
      <c r="G501" s="62" t="inlineStr">
        <is>
          <t>Mover la sede del Ejecutivo, hoy en la Casa de Nariño, al edificio de la Antigua Aduana, mencionado como próximo despacho presidencial (¿cuánto costará el uso permanente de semejante joya arquitectónica?), valdrá una verdadera fortuna puesto que con el presidente, tendrán que mudarse la mayoría de las oficinas de apoyo que tiene la jefatura de Estado, sin contar con los ministros y sus propios equipos, con los directores de departamentos e, incluso, con los congresistas con los que el Ejecutivo interactúa coordina y armoniza políticas, proyectos y propuestas de manera cotidiana (ver).</t>
        </is>
      </c>
      <c r="H501" s="62" t="inlineStr">
        <is>
          <t>Es así que, si se ejecuta su intención de gobernar desde esa capital caribeña, la austeridad prometida en campaña para recuperar el presupuesto que habría dilapidado el gobierno saliente empezará a quedar reducida a un relumbrón.</t>
        </is>
      </c>
      <c r="I501" s="62" t="inlineStr">
        <is>
          <t>¿El gabinete ministerial y sus asesores tendrán que viajar dos o tres veces por semana para asistir a los consejos o, simplemente, para hablar sobre asuntos de reserva con el mandatario que, por prudencia, no se puedan tramitar por medios digitales?</t>
        </is>
      </c>
      <c r="J501" s="38" t="n"/>
      <c r="K501" s="62" t="n"/>
      <c r="L501" s="38" t="n"/>
      <c r="M501" s="62" t="n"/>
      <c r="N501" s="38" t="n"/>
      <c r="O501" s="62" t="n"/>
      <c r="P501" s="38" t="n"/>
      <c r="Q501" s="62" t="n"/>
      <c r="R501" s="38" t="n"/>
      <c r="S501" s="62" t="n"/>
      <c r="T501" s="38" t="n"/>
      <c r="U501" s="62" t="n"/>
      <c r="V501" s="38" t="n"/>
      <c r="W501" s="62" t="n"/>
      <c r="X501" s="38" t="n"/>
      <c r="Y501" s="62" t="n"/>
      <c r="Z501" s="38" t="n"/>
      <c r="AA501" s="62" t="n"/>
      <c r="AB501" s="38" t="n"/>
      <c r="AC501" s="62" t="n"/>
      <c r="AD501" s="38" t="n"/>
      <c r="AE501" s="38" t="n"/>
      <c r="AF501" s="61">
        <f>IF(COUNTIF($B$5:B501,B501)=1,1,0)</f>
        <v/>
      </c>
      <c r="AG501" s="62" t="inlineStr">
        <is>
          <t>https://www.elespectador.com/opinion/columnistas/cecilia-orozco-tascon/el-pacto-de-los-poderosos-de-barranquilla-con-de-la-espriella/</t>
        </is>
      </c>
    </row>
    <row r="502" ht="15" customHeight="1" s="31">
      <c r="A502" s="38" t="inlineStr">
        <is>
          <t>ART_071</t>
        </is>
      </c>
      <c r="B502" s="38" t="inlineStr">
        <is>
          <t>ART_071_S09</t>
        </is>
      </c>
      <c r="C502" s="38" t="inlineStr">
        <is>
          <t>El Espectador</t>
        </is>
      </c>
      <c r="D502" s="38" t="inlineStr">
        <is>
          <t>Transición de gobierno y relación con la oposición</t>
        </is>
      </c>
      <c r="E502" s="38" t="inlineStr">
        <is>
          <t>Opinión-análisis</t>
        </is>
      </c>
      <c r="F502" s="38" t="inlineStr">
        <is>
          <t>2026-07-15T00:05:00-05:00</t>
        </is>
      </c>
      <c r="G502" s="62" t="inlineStr">
        <is>
          <t>¿El gabinete ministerial y sus asesores tendrán que viajar dos o tres veces por semana para asistir a los consejos o, simplemente, para hablar sobre asuntos de reserva con el mandatario que, por prudencia, no se puedan tramitar por medios digitales?</t>
        </is>
      </c>
      <c r="H502" s="62" t="inlineStr">
        <is>
          <t>Mover la sede del Ejecutivo, hoy en la Casa de Nariño, al edificio de la Antigua Aduana, mencionado como próximo despacho presidencial (¿cuánto costará el uso permanente de semejante joya arquitectónica?), valdrá una verdadera fortuna puesto que con el presidente, tendrán que mudarse la mayoría de las oficinas de apoyo que tiene la jefatura de Estado, sin contar con los ministros y sus propios equipos, con los directores de departamentos e, incluso, con los congresistas con los que el Ejecutivo interactúa coordina y armoniza políticas, proyectos y propuestas de manera cotidiana (ver).</t>
        </is>
      </c>
      <c r="I502" s="62" t="inlineStr">
        <is>
          <t>¿Cada ministro tendrá que alquilar oficinas en la capital política de facto que se instalará en tierra atlanticense por mero capricho?</t>
        </is>
      </c>
      <c r="J502" s="38" t="n"/>
      <c r="K502" s="62" t="n"/>
      <c r="L502" s="38" t="n"/>
      <c r="M502" s="62" t="n"/>
      <c r="N502" s="38" t="n"/>
      <c r="O502" s="62" t="n"/>
      <c r="P502" s="38" t="n"/>
      <c r="Q502" s="62" t="n"/>
      <c r="R502" s="38" t="n"/>
      <c r="S502" s="62" t="n"/>
      <c r="T502" s="38" t="n"/>
      <c r="U502" s="62" t="n"/>
      <c r="V502" s="38" t="n"/>
      <c r="W502" s="62" t="n"/>
      <c r="X502" s="38" t="n"/>
      <c r="Y502" s="62" t="n"/>
      <c r="Z502" s="38" t="n"/>
      <c r="AA502" s="62" t="n"/>
      <c r="AB502" s="38" t="n"/>
      <c r="AC502" s="62" t="n"/>
      <c r="AD502" s="38" t="n"/>
      <c r="AE502" s="38" t="n"/>
      <c r="AF502" s="61">
        <f>IF(COUNTIF($B$5:B502,B502)=1,1,0)</f>
        <v/>
      </c>
      <c r="AG502" s="62" t="inlineStr">
        <is>
          <t>https://www.elespectador.com/opinion/columnistas/cecilia-orozco-tascon/el-pacto-de-los-poderosos-de-barranquilla-con-de-la-espriella/</t>
        </is>
      </c>
    </row>
    <row r="503" ht="15" customHeight="1" s="31">
      <c r="A503" s="38" t="inlineStr">
        <is>
          <t>ART_071</t>
        </is>
      </c>
      <c r="B503" s="38" t="inlineStr">
        <is>
          <t>ART_071_S10</t>
        </is>
      </c>
      <c r="C503" s="38" t="inlineStr">
        <is>
          <t>El Espectador</t>
        </is>
      </c>
      <c r="D503" s="38" t="inlineStr">
        <is>
          <t>Transición de gobierno y relación con la oposición</t>
        </is>
      </c>
      <c r="E503" s="38" t="inlineStr">
        <is>
          <t>Opinión-análisis</t>
        </is>
      </c>
      <c r="F503" s="38" t="inlineStr">
        <is>
          <t>2026-07-15T00:05:00-05:00</t>
        </is>
      </c>
      <c r="G503" s="62" t="inlineStr">
        <is>
          <t>¿Cada ministro tendrá que alquilar oficinas en la capital política de facto que se instalará en tierra atlanticense por mero capricho?</t>
        </is>
      </c>
      <c r="H503" s="62" t="inlineStr">
        <is>
          <t>¿El gabinete ministerial y sus asesores tendrán que viajar dos o tres veces por semana para asistir a los consejos o, simplemente, para hablar sobre asuntos de reserva con el mandatario que, por prudencia, no se puedan tramitar por medios digitales?</t>
        </is>
      </c>
      <c r="I503" s="62" t="inlineStr">
        <is>
          <t>La guardia presidencial, el cuerpo de policías, el grupo de escoltas y asistentes, ¿tendrán guarniciones en Barranquilla?</t>
        </is>
      </c>
      <c r="J503" s="38" t="n"/>
      <c r="K503" s="62" t="n"/>
      <c r="L503" s="38" t="n"/>
      <c r="M503" s="62" t="n"/>
      <c r="N503" s="38" t="n"/>
      <c r="O503" s="62" t="n"/>
      <c r="P503" s="38" t="n"/>
      <c r="Q503" s="62" t="n"/>
      <c r="R503" s="38" t="n"/>
      <c r="S503" s="62" t="n"/>
      <c r="T503" s="38" t="n"/>
      <c r="U503" s="62" t="n"/>
      <c r="V503" s="38" t="n"/>
      <c r="W503" s="62" t="n"/>
      <c r="X503" s="38" t="n"/>
      <c r="Y503" s="62" t="n"/>
      <c r="Z503" s="38" t="n"/>
      <c r="AA503" s="62" t="n"/>
      <c r="AB503" s="38" t="n"/>
      <c r="AC503" s="62" t="n"/>
      <c r="AD503" s="38" t="n"/>
      <c r="AE503" s="38" t="n"/>
      <c r="AF503" s="61">
        <f>IF(COUNTIF($B$5:B503,B503)=1,1,0)</f>
        <v/>
      </c>
      <c r="AG503" s="62" t="inlineStr">
        <is>
          <t>https://www.elespectador.com/opinion/columnistas/cecilia-orozco-tascon/el-pacto-de-los-poderosos-de-barranquilla-con-de-la-espriella/</t>
        </is>
      </c>
    </row>
    <row r="504" ht="15" customHeight="1" s="31">
      <c r="A504" s="38" t="inlineStr">
        <is>
          <t>ART_071</t>
        </is>
      </c>
      <c r="B504" s="38" t="inlineStr">
        <is>
          <t>ART_071_S11</t>
        </is>
      </c>
      <c r="C504" s="38" t="inlineStr">
        <is>
          <t>El Espectador</t>
        </is>
      </c>
      <c r="D504" s="38" t="inlineStr">
        <is>
          <t>Transición de gobierno y relación con la oposición</t>
        </is>
      </c>
      <c r="E504" s="38" t="inlineStr">
        <is>
          <t>Opinión-análisis</t>
        </is>
      </c>
      <c r="F504" s="38" t="inlineStr">
        <is>
          <t>2026-07-15T00:05:00-05:00</t>
        </is>
      </c>
      <c r="G504" s="62" t="inlineStr">
        <is>
          <t>La guardia presidencial, el cuerpo de policías, el grupo de escoltas y asistentes, ¿tendrán guarniciones en Barranquilla?</t>
        </is>
      </c>
      <c r="H504" s="62" t="inlineStr">
        <is>
          <t>¿Cada ministro tendrá que alquilar oficinas en la capital política de facto que se instalará en tierra atlanticense por mero capricho?</t>
        </is>
      </c>
      <c r="I504" s="62" t="inlineStr">
        <is>
          <t>¿Dónde se podrán albergar 100, 200, 300 hombres y mujeres de las fuerzas de seguridad y a cuál costo?</t>
        </is>
      </c>
      <c r="J504" s="38" t="n"/>
      <c r="K504" s="62" t="n"/>
      <c r="L504" s="38" t="n"/>
      <c r="M504" s="62" t="n"/>
      <c r="N504" s="38" t="n"/>
      <c r="O504" s="62" t="n"/>
      <c r="P504" s="38" t="n"/>
      <c r="Q504" s="62" t="n"/>
      <c r="R504" s="38" t="n"/>
      <c r="S504" s="62" t="n"/>
      <c r="T504" s="38" t="n"/>
      <c r="U504" s="62" t="n"/>
      <c r="V504" s="38" t="n"/>
      <c r="W504" s="62" t="n"/>
      <c r="X504" s="38" t="n"/>
      <c r="Y504" s="62" t="n"/>
      <c r="Z504" s="38" t="n"/>
      <c r="AA504" s="62" t="n"/>
      <c r="AB504" s="38" t="n"/>
      <c r="AC504" s="62" t="n"/>
      <c r="AD504" s="38" t="n"/>
      <c r="AE504" s="38" t="n"/>
      <c r="AF504" s="61">
        <f>IF(COUNTIF($B$5:B504,B504)=1,1,0)</f>
        <v/>
      </c>
      <c r="AG504" s="62" t="inlineStr">
        <is>
          <t>https://www.elespectador.com/opinion/columnistas/cecilia-orozco-tascon/el-pacto-de-los-poderosos-de-barranquilla-con-de-la-espriella/</t>
        </is>
      </c>
    </row>
    <row r="505" ht="15" customHeight="1" s="31">
      <c r="A505" s="38" t="inlineStr">
        <is>
          <t>ART_071</t>
        </is>
      </c>
      <c r="B505" s="38" t="inlineStr">
        <is>
          <t>ART_071_S12</t>
        </is>
      </c>
      <c r="C505" s="38" t="inlineStr">
        <is>
          <t>El Espectador</t>
        </is>
      </c>
      <c r="D505" s="38" t="inlineStr">
        <is>
          <t>Transición de gobierno y relación con la oposición</t>
        </is>
      </c>
      <c r="E505" s="38" t="inlineStr">
        <is>
          <t>Opinión-análisis</t>
        </is>
      </c>
      <c r="F505" s="38" t="inlineStr">
        <is>
          <t>2026-07-15T00:05:00-05:00</t>
        </is>
      </c>
      <c r="G505" s="62" t="inlineStr">
        <is>
          <t>¿Dónde se podrán albergar 100, 200, 300 hombres y mujeres de las fuerzas de seguridad y a cuál costo?</t>
        </is>
      </c>
      <c r="H505" s="62" t="inlineStr">
        <is>
          <t>La guardia presidencial, el cuerpo de policías, el grupo de escoltas y asistentes, ¿tendrán guarniciones en Barranquilla?</t>
        </is>
      </c>
      <c r="I505" s="62" t="inlineStr">
        <is>
          <t>¿En cuánto se incrementarán los viajes aéreos de una a otra urbe y cuál presupuesto aguantará semejante despilfarro?</t>
        </is>
      </c>
      <c r="J505" s="38" t="n"/>
      <c r="K505" s="62" t="n"/>
      <c r="L505" s="38" t="n"/>
      <c r="M505" s="62" t="n"/>
      <c r="N505" s="38" t="n"/>
      <c r="O505" s="62" t="n"/>
      <c r="P505" s="38" t="n"/>
      <c r="Q505" s="62" t="n"/>
      <c r="R505" s="38" t="n"/>
      <c r="S505" s="62" t="n"/>
      <c r="T505" s="38" t="n"/>
      <c r="U505" s="62" t="n"/>
      <c r="V505" s="38" t="n"/>
      <c r="W505" s="62" t="n"/>
      <c r="X505" s="38" t="n"/>
      <c r="Y505" s="62" t="n"/>
      <c r="Z505" s="38" t="n"/>
      <c r="AA505" s="62" t="n"/>
      <c r="AB505" s="38" t="n"/>
      <c r="AC505" s="62" t="n"/>
      <c r="AD505" s="38" t="n"/>
      <c r="AE505" s="38" t="n"/>
      <c r="AF505" s="61">
        <f>IF(COUNTIF($B$5:B505,B505)=1,1,0)</f>
        <v/>
      </c>
      <c r="AG505" s="62" t="inlineStr">
        <is>
          <t>https://www.elespectador.com/opinion/columnistas/cecilia-orozco-tascon/el-pacto-de-los-poderosos-de-barranquilla-con-de-la-espriella/</t>
        </is>
      </c>
    </row>
    <row r="506" ht="15" customHeight="1" s="31">
      <c r="A506" s="38" t="inlineStr">
        <is>
          <t>ART_071</t>
        </is>
      </c>
      <c r="B506" s="38" t="inlineStr">
        <is>
          <t>ART_071_S13</t>
        </is>
      </c>
      <c r="C506" s="38" t="inlineStr">
        <is>
          <t>El Espectador</t>
        </is>
      </c>
      <c r="D506" s="38" t="inlineStr">
        <is>
          <t>Transición de gobierno y relación con la oposición</t>
        </is>
      </c>
      <c r="E506" s="38" t="inlineStr">
        <is>
          <t>Opinión-análisis</t>
        </is>
      </c>
      <c r="F506" s="38" t="inlineStr">
        <is>
          <t>2026-07-15T00:05:00-05:00</t>
        </is>
      </c>
      <c r="G506" s="62" t="inlineStr">
        <is>
          <t>¿En cuánto se incrementarán los viajes aéreos de una a otra urbe y cuál presupuesto aguantará semejante despilfarro?</t>
        </is>
      </c>
      <c r="H506" s="62" t="inlineStr">
        <is>
          <t>¿Dónde se podrán albergar 100, 200, 300 hombres y mujeres de las fuerzas de seguridad y a cuál costo?</t>
        </is>
      </c>
      <c r="I506" s="62" t="inlineStr">
        <is>
          <t>Ah, pero como llegamos a la era de los milagros, podemos dormir tranquilos: Dios proveerá, como dijo el bíblico Abraham.</t>
        </is>
      </c>
      <c r="J506" s="38" t="n"/>
      <c r="K506" s="62" t="n"/>
      <c r="L506" s="38" t="n"/>
      <c r="M506" s="62" t="n"/>
      <c r="N506" s="38" t="n"/>
      <c r="O506" s="62" t="n"/>
      <c r="P506" s="38" t="n"/>
      <c r="Q506" s="62" t="n"/>
      <c r="R506" s="38" t="n"/>
      <c r="S506" s="62" t="n"/>
      <c r="T506" s="38" t="n"/>
      <c r="U506" s="62" t="n"/>
      <c r="V506" s="38" t="n"/>
      <c r="W506" s="62" t="n"/>
      <c r="X506" s="38" t="n"/>
      <c r="Y506" s="62" t="n"/>
      <c r="Z506" s="38" t="n"/>
      <c r="AA506" s="62" t="n"/>
      <c r="AB506" s="38" t="n"/>
      <c r="AC506" s="62" t="n"/>
      <c r="AD506" s="38" t="n"/>
      <c r="AE506" s="38" t="n"/>
      <c r="AF506" s="61">
        <f>IF(COUNTIF($B$5:B506,B506)=1,1,0)</f>
        <v/>
      </c>
      <c r="AG506" s="62" t="inlineStr">
        <is>
          <t>https://www.elespectador.com/opinion/columnistas/cecilia-orozco-tascon/el-pacto-de-los-poderosos-de-barranquilla-con-de-la-espriella/</t>
        </is>
      </c>
    </row>
    <row r="507" ht="15" customHeight="1" s="31">
      <c r="A507" s="38" t="inlineStr">
        <is>
          <t>ART_071</t>
        </is>
      </c>
      <c r="B507" s="38" t="inlineStr">
        <is>
          <t>ART_071_S14</t>
        </is>
      </c>
      <c r="C507" s="38" t="inlineStr">
        <is>
          <t>El Espectador</t>
        </is>
      </c>
      <c r="D507" s="38" t="inlineStr">
        <is>
          <t>Transición de gobierno y relación con la oposición</t>
        </is>
      </c>
      <c r="E507" s="38" t="inlineStr">
        <is>
          <t>Opinión-análisis</t>
        </is>
      </c>
      <c r="F507" s="38" t="inlineStr">
        <is>
          <t>2026-07-15T00:05:00-05:00</t>
        </is>
      </c>
      <c r="G507" s="62" t="inlineStr">
        <is>
          <t>Ah, pero como llegamos a la era de los milagros, podemos dormir tranquilos: Dios proveerá, como dijo el bíblico Abraham.</t>
        </is>
      </c>
      <c r="H507" s="62" t="inlineStr">
        <is>
          <t>¿En cuánto se incrementarán los viajes aéreos de una a otra urbe y cuál presupuesto aguantará semejante despilfarro?</t>
        </is>
      </c>
      <c r="I507" s="62" t="inlineStr"/>
      <c r="J507" s="38" t="n"/>
      <c r="K507" s="62" t="n"/>
      <c r="L507" s="38" t="n"/>
      <c r="M507" s="62" t="n"/>
      <c r="N507" s="38" t="n"/>
      <c r="O507" s="62" t="n"/>
      <c r="P507" s="38" t="n"/>
      <c r="Q507" s="62" t="n"/>
      <c r="R507" s="38" t="n"/>
      <c r="S507" s="62" t="n"/>
      <c r="T507" s="38" t="n"/>
      <c r="U507" s="62" t="n"/>
      <c r="V507" s="38" t="n"/>
      <c r="W507" s="62" t="n"/>
      <c r="X507" s="38" t="n"/>
      <c r="Y507" s="62" t="n"/>
      <c r="Z507" s="38" t="n"/>
      <c r="AA507" s="62" t="n"/>
      <c r="AB507" s="38" t="n"/>
      <c r="AC507" s="62" t="n"/>
      <c r="AD507" s="38" t="n"/>
      <c r="AE507" s="38" t="n"/>
      <c r="AF507" s="61">
        <f>IF(COUNTIF($B$5:B507,B507)=1,1,0)</f>
        <v/>
      </c>
      <c r="AG507" s="62" t="inlineStr">
        <is>
          <t>https://www.elespectador.com/opinion/columnistas/cecilia-orozco-tascon/el-pacto-de-los-poderosos-de-barranquilla-con-de-la-espriella/</t>
        </is>
      </c>
    </row>
    <row r="508" ht="15" customHeight="1" s="31">
      <c r="A508" s="38" t="n"/>
      <c r="B508" s="38" t="n"/>
      <c r="C508" s="38" t="n"/>
      <c r="D508" s="38" t="n"/>
      <c r="E508" s="38" t="n"/>
      <c r="F508" s="38" t="n"/>
      <c r="G508" s="62" t="n"/>
      <c r="H508" s="62" t="n"/>
      <c r="I508" s="62" t="n"/>
      <c r="J508" s="38" t="n"/>
      <c r="K508" s="62" t="n"/>
      <c r="L508" s="38" t="n"/>
      <c r="M508" s="62" t="n"/>
      <c r="N508" s="38" t="n"/>
      <c r="O508" s="62" t="n"/>
      <c r="P508" s="38" t="n"/>
      <c r="Q508" s="62" t="n"/>
      <c r="R508" s="38" t="n"/>
      <c r="S508" s="62" t="n"/>
      <c r="T508" s="38" t="n"/>
      <c r="U508" s="62" t="n"/>
      <c r="V508" s="38" t="n"/>
      <c r="W508" s="62" t="n"/>
      <c r="X508" s="38" t="n"/>
      <c r="Y508" s="62" t="n"/>
      <c r="Z508" s="38" t="n"/>
      <c r="AA508" s="62" t="n"/>
      <c r="AB508" s="38" t="n"/>
      <c r="AC508" s="62" t="n"/>
      <c r="AD508" s="38" t="n"/>
      <c r="AE508" s="38" t="n"/>
      <c r="AF508" s="61">
        <f>IF(COUNTIF($B$5:B508,B508)=1,1,0)</f>
        <v/>
      </c>
      <c r="AG508" s="62" t="n"/>
    </row>
    <row r="509" ht="15" customHeight="1" s="31">
      <c r="A509" s="38" t="n"/>
      <c r="B509" s="38" t="n"/>
      <c r="C509" s="38" t="n"/>
      <c r="D509" s="38" t="n"/>
      <c r="E509" s="38" t="n"/>
      <c r="F509" s="38" t="n"/>
      <c r="G509" s="62" t="n"/>
      <c r="H509" s="62" t="n"/>
      <c r="I509" s="62" t="n"/>
      <c r="J509" s="38" t="n"/>
      <c r="K509" s="62" t="n"/>
      <c r="L509" s="38" t="n"/>
      <c r="M509" s="62" t="n"/>
      <c r="N509" s="38" t="n"/>
      <c r="O509" s="62" t="n"/>
      <c r="P509" s="38" t="n"/>
      <c r="Q509" s="62" t="n"/>
      <c r="R509" s="38" t="n"/>
      <c r="S509" s="62" t="n"/>
      <c r="T509" s="38" t="n"/>
      <c r="U509" s="62" t="n"/>
      <c r="V509" s="38" t="n"/>
      <c r="W509" s="62" t="n"/>
      <c r="X509" s="38" t="n"/>
      <c r="Y509" s="62" t="n"/>
      <c r="Z509" s="38" t="n"/>
      <c r="AA509" s="62" t="n"/>
      <c r="AB509" s="38" t="n"/>
      <c r="AC509" s="62" t="n"/>
      <c r="AD509" s="38" t="n"/>
      <c r="AE509" s="38" t="n"/>
      <c r="AF509" s="61">
        <f>IF(COUNTIF($B$5:B509,B509)=1,1,0)</f>
        <v/>
      </c>
      <c r="AG509" s="62" t="n"/>
    </row>
    <row r="510" ht="15" customHeight="1" s="31">
      <c r="A510" s="38" t="n"/>
      <c r="B510" s="38" t="n"/>
      <c r="C510" s="38" t="n"/>
      <c r="D510" s="38" t="n"/>
      <c r="E510" s="38" t="n"/>
      <c r="F510" s="38" t="n"/>
      <c r="G510" s="62" t="n"/>
      <c r="H510" s="62" t="n"/>
      <c r="I510" s="62" t="n"/>
      <c r="J510" s="38" t="n"/>
      <c r="K510" s="62" t="n"/>
      <c r="L510" s="38" t="n"/>
      <c r="M510" s="62" t="n"/>
      <c r="N510" s="38" t="n"/>
      <c r="O510" s="62" t="n"/>
      <c r="P510" s="38" t="n"/>
      <c r="Q510" s="62" t="n"/>
      <c r="R510" s="38" t="n"/>
      <c r="S510" s="62" t="n"/>
      <c r="T510" s="38" t="n"/>
      <c r="U510" s="62" t="n"/>
      <c r="V510" s="38" t="n"/>
      <c r="W510" s="62" t="n"/>
      <c r="X510" s="38" t="n"/>
      <c r="Y510" s="62" t="n"/>
      <c r="Z510" s="38" t="n"/>
      <c r="AA510" s="62" t="n"/>
      <c r="AB510" s="38" t="n"/>
      <c r="AC510" s="62" t="n"/>
      <c r="AD510" s="38" t="n"/>
      <c r="AE510" s="38" t="n"/>
      <c r="AF510" s="61">
        <f>IF(COUNTIF($B$5:B510,B510)=1,1,0)</f>
        <v/>
      </c>
      <c r="AG510" s="62" t="n"/>
    </row>
    <row r="511" ht="15" customHeight="1" s="31">
      <c r="A511" s="38" t="n"/>
      <c r="B511" s="38" t="n"/>
      <c r="C511" s="38" t="n"/>
      <c r="D511" s="38" t="n"/>
      <c r="E511" s="38" t="n"/>
      <c r="F511" s="38" t="n"/>
      <c r="G511" s="62" t="n"/>
      <c r="H511" s="62" t="n"/>
      <c r="I511" s="62" t="n"/>
      <c r="J511" s="38" t="n"/>
      <c r="K511" s="62" t="n"/>
      <c r="L511" s="38" t="n"/>
      <c r="M511" s="62" t="n"/>
      <c r="N511" s="38" t="n"/>
      <c r="O511" s="62" t="n"/>
      <c r="P511" s="38" t="n"/>
      <c r="Q511" s="62" t="n"/>
      <c r="R511" s="38" t="n"/>
      <c r="S511" s="62" t="n"/>
      <c r="T511" s="38" t="n"/>
      <c r="U511" s="62" t="n"/>
      <c r="V511" s="38" t="n"/>
      <c r="W511" s="62" t="n"/>
      <c r="X511" s="38" t="n"/>
      <c r="Y511" s="62" t="n"/>
      <c r="Z511" s="38" t="n"/>
      <c r="AA511" s="62" t="n"/>
      <c r="AB511" s="38" t="n"/>
      <c r="AC511" s="62" t="n"/>
      <c r="AD511" s="38" t="n"/>
      <c r="AE511" s="38" t="n"/>
      <c r="AF511" s="61">
        <f>IF(COUNTIF($B$5:B511,B511)=1,1,0)</f>
        <v/>
      </c>
      <c r="AG511" s="62" t="n"/>
    </row>
    <row r="512" ht="15" customHeight="1" s="31">
      <c r="A512" s="38" t="n"/>
      <c r="B512" s="38" t="n"/>
      <c r="C512" s="38" t="n"/>
      <c r="D512" s="38" t="n"/>
      <c r="E512" s="38" t="n"/>
      <c r="F512" s="38" t="n"/>
      <c r="G512" s="62" t="n"/>
      <c r="H512" s="62" t="n"/>
      <c r="I512" s="62" t="n"/>
      <c r="J512" s="38" t="n"/>
      <c r="K512" s="62" t="n"/>
      <c r="L512" s="38" t="n"/>
      <c r="M512" s="62" t="n"/>
      <c r="N512" s="38" t="n"/>
      <c r="O512" s="62" t="n"/>
      <c r="P512" s="38" t="n"/>
      <c r="Q512" s="62" t="n"/>
      <c r="R512" s="38" t="n"/>
      <c r="S512" s="62" t="n"/>
      <c r="T512" s="38" t="n"/>
      <c r="U512" s="62" t="n"/>
      <c r="V512" s="38" t="n"/>
      <c r="W512" s="62" t="n"/>
      <c r="X512" s="38" t="n"/>
      <c r="Y512" s="62" t="n"/>
      <c r="Z512" s="38" t="n"/>
      <c r="AA512" s="62" t="n"/>
      <c r="AB512" s="38" t="n"/>
      <c r="AC512" s="62" t="n"/>
      <c r="AD512" s="38" t="n"/>
      <c r="AE512" s="38" t="n"/>
      <c r="AF512" s="61">
        <f>IF(COUNTIF($B$5:B512,B512)=1,1,0)</f>
        <v/>
      </c>
      <c r="AG512" s="62" t="n"/>
    </row>
    <row r="513" ht="15" customHeight="1" s="31">
      <c r="A513" s="38" t="n"/>
      <c r="B513" s="38" t="n"/>
      <c r="C513" s="38" t="n"/>
      <c r="D513" s="38" t="n"/>
      <c r="E513" s="38" t="n"/>
      <c r="F513" s="38" t="n"/>
      <c r="G513" s="62" t="n"/>
      <c r="H513" s="62" t="n"/>
      <c r="I513" s="62" t="n"/>
      <c r="J513" s="38" t="n"/>
      <c r="K513" s="62" t="n"/>
      <c r="L513" s="38" t="n"/>
      <c r="M513" s="62" t="n"/>
      <c r="N513" s="38" t="n"/>
      <c r="O513" s="62" t="n"/>
      <c r="P513" s="38" t="n"/>
      <c r="Q513" s="62" t="n"/>
      <c r="R513" s="38" t="n"/>
      <c r="S513" s="62" t="n"/>
      <c r="T513" s="38" t="n"/>
      <c r="U513" s="62" t="n"/>
      <c r="V513" s="38" t="n"/>
      <c r="W513" s="62" t="n"/>
      <c r="X513" s="38" t="n"/>
      <c r="Y513" s="62" t="n"/>
      <c r="Z513" s="38" t="n"/>
      <c r="AA513" s="62" t="n"/>
      <c r="AB513" s="38" t="n"/>
      <c r="AC513" s="62" t="n"/>
      <c r="AD513" s="38" t="n"/>
      <c r="AE513" s="38" t="n"/>
      <c r="AF513" s="61">
        <f>IF(COUNTIF($B$5:B513,B513)=1,1,0)</f>
        <v/>
      </c>
      <c r="AG513" s="62" t="n"/>
    </row>
    <row r="514" ht="15" customHeight="1" s="31">
      <c r="A514" s="38" t="n"/>
      <c r="B514" s="38" t="n"/>
      <c r="C514" s="38" t="n"/>
      <c r="D514" s="38" t="n"/>
      <c r="E514" s="38" t="n"/>
      <c r="F514" s="38" t="n"/>
      <c r="G514" s="62" t="n"/>
      <c r="H514" s="62" t="n"/>
      <c r="I514" s="62" t="n"/>
      <c r="J514" s="38" t="n"/>
      <c r="K514" s="62" t="n"/>
      <c r="L514" s="38" t="n"/>
      <c r="M514" s="62" t="n"/>
      <c r="N514" s="38" t="n"/>
      <c r="O514" s="62" t="n"/>
      <c r="P514" s="38" t="n"/>
      <c r="Q514" s="62" t="n"/>
      <c r="R514" s="38" t="n"/>
      <c r="S514" s="62" t="n"/>
      <c r="T514" s="38" t="n"/>
      <c r="U514" s="62" t="n"/>
      <c r="V514" s="38" t="n"/>
      <c r="W514" s="62" t="n"/>
      <c r="X514" s="38" t="n"/>
      <c r="Y514" s="62" t="n"/>
      <c r="Z514" s="38" t="n"/>
      <c r="AA514" s="62" t="n"/>
      <c r="AB514" s="38" t="n"/>
      <c r="AC514" s="62" t="n"/>
      <c r="AD514" s="38" t="n"/>
      <c r="AE514" s="38" t="n"/>
      <c r="AF514" s="61">
        <f>IF(COUNTIF($B$5:B514,B514)=1,1,0)</f>
        <v/>
      </c>
      <c r="AG514" s="62" t="n"/>
    </row>
    <row r="515" ht="15" customHeight="1" s="31">
      <c r="A515" s="38" t="n"/>
      <c r="B515" s="38" t="n"/>
      <c r="C515" s="38" t="n"/>
      <c r="D515" s="38" t="n"/>
      <c r="E515" s="38" t="n"/>
      <c r="F515" s="38" t="n"/>
      <c r="G515" s="62" t="n"/>
      <c r="H515" s="62" t="n"/>
      <c r="I515" s="62" t="n"/>
      <c r="J515" s="38" t="n"/>
      <c r="K515" s="62" t="n"/>
      <c r="L515" s="38" t="n"/>
      <c r="M515" s="62" t="n"/>
      <c r="N515" s="38" t="n"/>
      <c r="O515" s="62" t="n"/>
      <c r="P515" s="38" t="n"/>
      <c r="Q515" s="62" t="n"/>
      <c r="R515" s="38" t="n"/>
      <c r="S515" s="62" t="n"/>
      <c r="T515" s="38" t="n"/>
      <c r="U515" s="62" t="n"/>
      <c r="V515" s="38" t="n"/>
      <c r="W515" s="62" t="n"/>
      <c r="X515" s="38" t="n"/>
      <c r="Y515" s="62" t="n"/>
      <c r="Z515" s="38" t="n"/>
      <c r="AA515" s="62" t="n"/>
      <c r="AB515" s="38" t="n"/>
      <c r="AC515" s="62" t="n"/>
      <c r="AD515" s="38" t="n"/>
      <c r="AE515" s="38" t="n"/>
      <c r="AF515" s="61">
        <f>IF(COUNTIF($B$5:B515,B515)=1,1,0)</f>
        <v/>
      </c>
      <c r="AG515" s="62" t="n"/>
    </row>
    <row r="516" ht="15" customHeight="1" s="31">
      <c r="A516" s="38" t="n"/>
      <c r="B516" s="38" t="n"/>
      <c r="C516" s="38" t="n"/>
      <c r="D516" s="38" t="n"/>
      <c r="E516" s="38" t="n"/>
      <c r="F516" s="38" t="n"/>
      <c r="G516" s="62" t="n"/>
      <c r="H516" s="62" t="n"/>
      <c r="I516" s="62" t="n"/>
      <c r="J516" s="38" t="n"/>
      <c r="K516" s="62" t="n"/>
      <c r="L516" s="38" t="n"/>
      <c r="M516" s="62" t="n"/>
      <c r="N516" s="38" t="n"/>
      <c r="O516" s="62" t="n"/>
      <c r="P516" s="38" t="n"/>
      <c r="Q516" s="62" t="n"/>
      <c r="R516" s="38" t="n"/>
      <c r="S516" s="62" t="n"/>
      <c r="T516" s="38" t="n"/>
      <c r="U516" s="62" t="n"/>
      <c r="V516" s="38" t="n"/>
      <c r="W516" s="62" t="n"/>
      <c r="X516" s="38" t="n"/>
      <c r="Y516" s="62" t="n"/>
      <c r="Z516" s="38" t="n"/>
      <c r="AA516" s="62" t="n"/>
      <c r="AB516" s="38" t="n"/>
      <c r="AC516" s="62" t="n"/>
      <c r="AD516" s="38" t="n"/>
      <c r="AE516" s="38" t="n"/>
      <c r="AF516" s="61">
        <f>IF(COUNTIF($B$5:B516,B516)=1,1,0)</f>
        <v/>
      </c>
      <c r="AG516" s="62" t="n"/>
    </row>
    <row r="517" ht="15" customHeight="1" s="31">
      <c r="A517" s="38" t="n"/>
      <c r="B517" s="38" t="n"/>
      <c r="C517" s="38" t="n"/>
      <c r="D517" s="38" t="n"/>
      <c r="E517" s="38" t="n"/>
      <c r="F517" s="38" t="n"/>
      <c r="G517" s="62" t="n"/>
      <c r="H517" s="62" t="n"/>
      <c r="I517" s="62" t="n"/>
      <c r="J517" s="38" t="n"/>
      <c r="K517" s="62" t="n"/>
      <c r="L517" s="38" t="n"/>
      <c r="M517" s="62" t="n"/>
      <c r="N517" s="38" t="n"/>
      <c r="O517" s="62" t="n"/>
      <c r="P517" s="38" t="n"/>
      <c r="Q517" s="62" t="n"/>
      <c r="R517" s="38" t="n"/>
      <c r="S517" s="62" t="n"/>
      <c r="T517" s="38" t="n"/>
      <c r="U517" s="62" t="n"/>
      <c r="V517" s="38" t="n"/>
      <c r="W517" s="62" t="n"/>
      <c r="X517" s="38" t="n"/>
      <c r="Y517" s="62" t="n"/>
      <c r="Z517" s="38" t="n"/>
      <c r="AA517" s="62" t="n"/>
      <c r="AB517" s="38" t="n"/>
      <c r="AC517" s="62" t="n"/>
      <c r="AD517" s="38" t="n"/>
      <c r="AE517" s="38" t="n"/>
      <c r="AF517" s="61">
        <f>IF(COUNTIF($B$5:B517,B517)=1,1,0)</f>
        <v/>
      </c>
      <c r="AG517" s="62" t="n"/>
    </row>
    <row r="518" ht="15" customHeight="1" s="31">
      <c r="A518" s="38" t="n"/>
      <c r="B518" s="38" t="n"/>
      <c r="C518" s="38" t="n"/>
      <c r="D518" s="38" t="n"/>
      <c r="E518" s="38" t="n"/>
      <c r="F518" s="38" t="n"/>
      <c r="G518" s="62" t="n"/>
      <c r="H518" s="62" t="n"/>
      <c r="I518" s="62" t="n"/>
      <c r="J518" s="38" t="n"/>
      <c r="K518" s="62" t="n"/>
      <c r="L518" s="38" t="n"/>
      <c r="M518" s="62" t="n"/>
      <c r="N518" s="38" t="n"/>
      <c r="O518" s="62" t="n"/>
      <c r="P518" s="38" t="n"/>
      <c r="Q518" s="62" t="n"/>
      <c r="R518" s="38" t="n"/>
      <c r="S518" s="62" t="n"/>
      <c r="T518" s="38" t="n"/>
      <c r="U518" s="62" t="n"/>
      <c r="V518" s="38" t="n"/>
      <c r="W518" s="62" t="n"/>
      <c r="X518" s="38" t="n"/>
      <c r="Y518" s="62" t="n"/>
      <c r="Z518" s="38" t="n"/>
      <c r="AA518" s="62" t="n"/>
      <c r="AB518" s="38" t="n"/>
      <c r="AC518" s="62" t="n"/>
      <c r="AD518" s="38" t="n"/>
      <c r="AE518" s="38" t="n"/>
      <c r="AF518" s="61">
        <f>IF(COUNTIF($B$5:B518,B518)=1,1,0)</f>
        <v/>
      </c>
      <c r="AG518" s="62" t="n"/>
    </row>
    <row r="519" ht="15" customHeight="1" s="31">
      <c r="A519" s="38" t="n"/>
      <c r="B519" s="38" t="n"/>
      <c r="C519" s="38" t="n"/>
      <c r="D519" s="38" t="n"/>
      <c r="E519" s="38" t="n"/>
      <c r="F519" s="38" t="n"/>
      <c r="G519" s="62" t="n"/>
      <c r="H519" s="62" t="n"/>
      <c r="I519" s="62" t="n"/>
      <c r="J519" s="38" t="n"/>
      <c r="K519" s="62" t="n"/>
      <c r="L519" s="38" t="n"/>
      <c r="M519" s="62" t="n"/>
      <c r="N519" s="38" t="n"/>
      <c r="O519" s="62" t="n"/>
      <c r="P519" s="38" t="n"/>
      <c r="Q519" s="62" t="n"/>
      <c r="R519" s="38" t="n"/>
      <c r="S519" s="62" t="n"/>
      <c r="T519" s="38" t="n"/>
      <c r="U519" s="62" t="n"/>
      <c r="V519" s="38" t="n"/>
      <c r="W519" s="62" t="n"/>
      <c r="X519" s="38" t="n"/>
      <c r="Y519" s="62" t="n"/>
      <c r="Z519" s="38" t="n"/>
      <c r="AA519" s="62" t="n"/>
      <c r="AB519" s="38" t="n"/>
      <c r="AC519" s="62" t="n"/>
      <c r="AD519" s="38" t="n"/>
      <c r="AE519" s="38" t="n"/>
      <c r="AF519" s="61">
        <f>IF(COUNTIF($B$5:B519,B519)=1,1,0)</f>
        <v/>
      </c>
      <c r="AG519" s="62" t="n"/>
    </row>
    <row r="520" ht="15" customHeight="1" s="31">
      <c r="A520" s="38" t="n"/>
      <c r="B520" s="38" t="n"/>
      <c r="C520" s="38" t="n"/>
      <c r="D520" s="38" t="n"/>
      <c r="E520" s="38" t="n"/>
      <c r="F520" s="38" t="n"/>
      <c r="G520" s="62" t="n"/>
      <c r="H520" s="62" t="n"/>
      <c r="I520" s="62" t="n"/>
      <c r="J520" s="38" t="n"/>
      <c r="K520" s="62" t="n"/>
      <c r="L520" s="38" t="n"/>
      <c r="M520" s="62" t="n"/>
      <c r="N520" s="38" t="n"/>
      <c r="O520" s="62" t="n"/>
      <c r="P520" s="38" t="n"/>
      <c r="Q520" s="62" t="n"/>
      <c r="R520" s="38" t="n"/>
      <c r="S520" s="62" t="n"/>
      <c r="T520" s="38" t="n"/>
      <c r="U520" s="62" t="n"/>
      <c r="V520" s="38" t="n"/>
      <c r="W520" s="62" t="n"/>
      <c r="X520" s="38" t="n"/>
      <c r="Y520" s="62" t="n"/>
      <c r="Z520" s="38" t="n"/>
      <c r="AA520" s="62" t="n"/>
      <c r="AB520" s="38" t="n"/>
      <c r="AC520" s="62" t="n"/>
      <c r="AD520" s="38" t="n"/>
      <c r="AE520" s="38" t="n"/>
      <c r="AF520" s="61">
        <f>IF(COUNTIF($B$5:B520,B520)=1,1,0)</f>
        <v/>
      </c>
      <c r="AG520" s="62" t="n"/>
    </row>
    <row r="521" ht="15" customHeight="1" s="31">
      <c r="A521" s="38" t="n"/>
      <c r="B521" s="38" t="n"/>
      <c r="C521" s="38" t="n"/>
      <c r="D521" s="38" t="n"/>
      <c r="E521" s="38" t="n"/>
      <c r="F521" s="38" t="n"/>
      <c r="G521" s="62" t="n"/>
      <c r="H521" s="62" t="n"/>
      <c r="I521" s="62" t="n"/>
      <c r="J521" s="38" t="n"/>
      <c r="K521" s="62" t="n"/>
      <c r="L521" s="38" t="n"/>
      <c r="M521" s="62" t="n"/>
      <c r="N521" s="38" t="n"/>
      <c r="O521" s="62" t="n"/>
      <c r="P521" s="38" t="n"/>
      <c r="Q521" s="62" t="n"/>
      <c r="R521" s="38" t="n"/>
      <c r="S521" s="62" t="n"/>
      <c r="T521" s="38" t="n"/>
      <c r="U521" s="62" t="n"/>
      <c r="V521" s="38" t="n"/>
      <c r="W521" s="62" t="n"/>
      <c r="X521" s="38" t="n"/>
      <c r="Y521" s="62" t="n"/>
      <c r="Z521" s="38" t="n"/>
      <c r="AA521" s="62" t="n"/>
      <c r="AB521" s="38" t="n"/>
      <c r="AC521" s="62" t="n"/>
      <c r="AD521" s="38" t="n"/>
      <c r="AE521" s="38" t="n"/>
      <c r="AF521" s="61">
        <f>IF(COUNTIF($B$5:B521,B521)=1,1,0)</f>
        <v/>
      </c>
      <c r="AG521" s="62" t="n"/>
    </row>
    <row r="522" ht="15" customHeight="1" s="31">
      <c r="A522" s="38" t="n"/>
      <c r="B522" s="38" t="n"/>
      <c r="C522" s="38" t="n"/>
      <c r="D522" s="38" t="n"/>
      <c r="E522" s="38" t="n"/>
      <c r="F522" s="38" t="n"/>
      <c r="G522" s="62" t="n"/>
      <c r="H522" s="62" t="n"/>
      <c r="I522" s="62" t="n"/>
      <c r="J522" s="38" t="n"/>
      <c r="K522" s="62" t="n"/>
      <c r="L522" s="38" t="n"/>
      <c r="M522" s="62" t="n"/>
      <c r="N522" s="38" t="n"/>
      <c r="O522" s="62" t="n"/>
      <c r="P522" s="38" t="n"/>
      <c r="Q522" s="62" t="n"/>
      <c r="R522" s="38" t="n"/>
      <c r="S522" s="62" t="n"/>
      <c r="T522" s="38" t="n"/>
      <c r="U522" s="62" t="n"/>
      <c r="V522" s="38" t="n"/>
      <c r="W522" s="62" t="n"/>
      <c r="X522" s="38" t="n"/>
      <c r="Y522" s="62" t="n"/>
      <c r="Z522" s="38" t="n"/>
      <c r="AA522" s="62" t="n"/>
      <c r="AB522" s="38" t="n"/>
      <c r="AC522" s="62" t="n"/>
      <c r="AD522" s="38" t="n"/>
      <c r="AE522" s="38" t="n"/>
      <c r="AF522" s="61">
        <f>IF(COUNTIF($B$5:B522,B522)=1,1,0)</f>
        <v/>
      </c>
      <c r="AG522" s="62" t="n"/>
    </row>
    <row r="523" ht="15" customHeight="1" s="31">
      <c r="A523" s="38" t="n"/>
      <c r="B523" s="38" t="n"/>
      <c r="C523" s="38" t="n"/>
      <c r="D523" s="38" t="n"/>
      <c r="E523" s="38" t="n"/>
      <c r="F523" s="38" t="n"/>
      <c r="G523" s="62" t="n"/>
      <c r="H523" s="62" t="n"/>
      <c r="I523" s="62" t="n"/>
      <c r="J523" s="38" t="n"/>
      <c r="K523" s="62" t="n"/>
      <c r="L523" s="38" t="n"/>
      <c r="M523" s="62" t="n"/>
      <c r="N523" s="38" t="n"/>
      <c r="O523" s="62" t="n"/>
      <c r="P523" s="38" t="n"/>
      <c r="Q523" s="62" t="n"/>
      <c r="R523" s="38" t="n"/>
      <c r="S523" s="62" t="n"/>
      <c r="T523" s="38" t="n"/>
      <c r="U523" s="62" t="n"/>
      <c r="V523" s="38" t="n"/>
      <c r="W523" s="62" t="n"/>
      <c r="X523" s="38" t="n"/>
      <c r="Y523" s="62" t="n"/>
      <c r="Z523" s="38" t="n"/>
      <c r="AA523" s="62" t="n"/>
      <c r="AB523" s="38" t="n"/>
      <c r="AC523" s="62" t="n"/>
      <c r="AD523" s="38" t="n"/>
      <c r="AE523" s="38" t="n"/>
      <c r="AF523" s="61">
        <f>IF(COUNTIF($B$5:B523,B523)=1,1,0)</f>
        <v/>
      </c>
      <c r="AG523" s="62" t="n"/>
    </row>
    <row r="524" ht="15" customHeight="1" s="31">
      <c r="A524" s="38" t="n"/>
      <c r="B524" s="38" t="n"/>
      <c r="C524" s="38" t="n"/>
      <c r="D524" s="38" t="n"/>
      <c r="E524" s="38" t="n"/>
      <c r="F524" s="38" t="n"/>
      <c r="G524" s="62" t="n"/>
      <c r="H524" s="62" t="n"/>
      <c r="I524" s="62" t="n"/>
      <c r="J524" s="38" t="n"/>
      <c r="K524" s="62" t="n"/>
      <c r="L524" s="38" t="n"/>
      <c r="M524" s="62" t="n"/>
      <c r="N524" s="38" t="n"/>
      <c r="O524" s="62" t="n"/>
      <c r="P524" s="38" t="n"/>
      <c r="Q524" s="62" t="n"/>
      <c r="R524" s="38" t="n"/>
      <c r="S524" s="62" t="n"/>
      <c r="T524" s="38" t="n"/>
      <c r="U524" s="62" t="n"/>
      <c r="V524" s="38" t="n"/>
      <c r="W524" s="62" t="n"/>
      <c r="X524" s="38" t="n"/>
      <c r="Y524" s="62" t="n"/>
      <c r="Z524" s="38" t="n"/>
      <c r="AA524" s="62" t="n"/>
      <c r="AB524" s="38" t="n"/>
      <c r="AC524" s="62" t="n"/>
      <c r="AD524" s="38" t="n"/>
      <c r="AE524" s="38" t="n"/>
      <c r="AF524" s="61">
        <f>IF(COUNTIF($B$5:B524,B524)=1,1,0)</f>
        <v/>
      </c>
      <c r="AG524" s="62" t="n"/>
    </row>
    <row r="525" ht="15" customHeight="1" s="31">
      <c r="A525" s="38" t="n"/>
      <c r="B525" s="38" t="n"/>
      <c r="C525" s="38" t="n"/>
      <c r="D525" s="38" t="n"/>
      <c r="E525" s="38" t="n"/>
      <c r="F525" s="38" t="n"/>
      <c r="G525" s="62" t="n"/>
      <c r="H525" s="62" t="n"/>
      <c r="I525" s="62" t="n"/>
      <c r="J525" s="38" t="n"/>
      <c r="K525" s="62" t="n"/>
      <c r="L525" s="38" t="n"/>
      <c r="M525" s="62" t="n"/>
      <c r="N525" s="38" t="n"/>
      <c r="O525" s="62" t="n"/>
      <c r="P525" s="38" t="n"/>
      <c r="Q525" s="62" t="n"/>
      <c r="R525" s="38" t="n"/>
      <c r="S525" s="62" t="n"/>
      <c r="T525" s="38" t="n"/>
      <c r="U525" s="62" t="n"/>
      <c r="V525" s="38" t="n"/>
      <c r="W525" s="62" t="n"/>
      <c r="X525" s="38" t="n"/>
      <c r="Y525" s="62" t="n"/>
      <c r="Z525" s="38" t="n"/>
      <c r="AA525" s="62" t="n"/>
      <c r="AB525" s="38" t="n"/>
      <c r="AC525" s="62" t="n"/>
      <c r="AD525" s="38" t="n"/>
      <c r="AE525" s="38" t="n"/>
      <c r="AF525" s="61">
        <f>IF(COUNTIF($B$5:B525,B525)=1,1,0)</f>
        <v/>
      </c>
      <c r="AG525" s="62" t="n"/>
    </row>
    <row r="526" ht="15" customHeight="1" s="31">
      <c r="A526" s="38" t="n"/>
      <c r="B526" s="38" t="n"/>
      <c r="C526" s="38" t="n"/>
      <c r="D526" s="38" t="n"/>
      <c r="E526" s="38" t="n"/>
      <c r="F526" s="38" t="n"/>
      <c r="G526" s="62" t="n"/>
      <c r="H526" s="62" t="n"/>
      <c r="I526" s="62" t="n"/>
      <c r="J526" s="38" t="n"/>
      <c r="K526" s="62" t="n"/>
      <c r="L526" s="38" t="n"/>
      <c r="M526" s="62" t="n"/>
      <c r="N526" s="38" t="n"/>
      <c r="O526" s="62" t="n"/>
      <c r="P526" s="38" t="n"/>
      <c r="Q526" s="62" t="n"/>
      <c r="R526" s="38" t="n"/>
      <c r="S526" s="62" t="n"/>
      <c r="T526" s="38" t="n"/>
      <c r="U526" s="62" t="n"/>
      <c r="V526" s="38" t="n"/>
      <c r="W526" s="62" t="n"/>
      <c r="X526" s="38" t="n"/>
      <c r="Y526" s="62" t="n"/>
      <c r="Z526" s="38" t="n"/>
      <c r="AA526" s="62" t="n"/>
      <c r="AB526" s="38" t="n"/>
      <c r="AC526" s="62" t="n"/>
      <c r="AD526" s="38" t="n"/>
      <c r="AE526" s="38" t="n"/>
      <c r="AF526" s="61">
        <f>IF(COUNTIF($B$5:B526,B526)=1,1,0)</f>
        <v/>
      </c>
      <c r="AG526" s="62" t="n"/>
    </row>
    <row r="527" ht="15" customHeight="1" s="31">
      <c r="A527" s="38" t="n"/>
      <c r="B527" s="38" t="n"/>
      <c r="C527" s="38" t="n"/>
      <c r="D527" s="38" t="n"/>
      <c r="E527" s="38" t="n"/>
      <c r="F527" s="38" t="n"/>
      <c r="G527" s="62" t="n"/>
      <c r="H527" s="62" t="n"/>
      <c r="I527" s="62" t="n"/>
      <c r="J527" s="38" t="n"/>
      <c r="K527" s="62" t="n"/>
      <c r="L527" s="38" t="n"/>
      <c r="M527" s="62" t="n"/>
      <c r="N527" s="38" t="n"/>
      <c r="O527" s="62" t="n"/>
      <c r="P527" s="38" t="n"/>
      <c r="Q527" s="62" t="n"/>
      <c r="R527" s="38" t="n"/>
      <c r="S527" s="62" t="n"/>
      <c r="T527" s="38" t="n"/>
      <c r="U527" s="62" t="n"/>
      <c r="V527" s="38" t="n"/>
      <c r="W527" s="62" t="n"/>
      <c r="X527" s="38" t="n"/>
      <c r="Y527" s="62" t="n"/>
      <c r="Z527" s="38" t="n"/>
      <c r="AA527" s="62" t="n"/>
      <c r="AB527" s="38" t="n"/>
      <c r="AC527" s="62" t="n"/>
      <c r="AD527" s="38" t="n"/>
      <c r="AE527" s="38" t="n"/>
      <c r="AF527" s="61">
        <f>IF(COUNTIF($B$5:B527,B527)=1,1,0)</f>
        <v/>
      </c>
      <c r="AG527" s="62" t="n"/>
    </row>
    <row r="528" ht="15" customHeight="1" s="31">
      <c r="A528" s="38" t="n"/>
      <c r="B528" s="38" t="n"/>
      <c r="C528" s="38" t="n"/>
      <c r="D528" s="38" t="n"/>
      <c r="E528" s="38" t="n"/>
      <c r="F528" s="38" t="n"/>
      <c r="G528" s="62" t="n"/>
      <c r="H528" s="62" t="n"/>
      <c r="I528" s="62" t="n"/>
      <c r="J528" s="38" t="n"/>
      <c r="K528" s="62" t="n"/>
      <c r="L528" s="38" t="n"/>
      <c r="M528" s="62" t="n"/>
      <c r="N528" s="38" t="n"/>
      <c r="O528" s="62" t="n"/>
      <c r="P528" s="38" t="n"/>
      <c r="Q528" s="62" t="n"/>
      <c r="R528" s="38" t="n"/>
      <c r="S528" s="62" t="n"/>
      <c r="T528" s="38" t="n"/>
      <c r="U528" s="62" t="n"/>
      <c r="V528" s="38" t="n"/>
      <c r="W528" s="62" t="n"/>
      <c r="X528" s="38" t="n"/>
      <c r="Y528" s="62" t="n"/>
      <c r="Z528" s="38" t="n"/>
      <c r="AA528" s="62" t="n"/>
      <c r="AB528" s="38" t="n"/>
      <c r="AC528" s="62" t="n"/>
      <c r="AD528" s="38" t="n"/>
      <c r="AE528" s="38" t="n"/>
      <c r="AF528" s="61">
        <f>IF(COUNTIF($B$5:B528,B528)=1,1,0)</f>
        <v/>
      </c>
      <c r="AG528" s="62" t="n"/>
    </row>
    <row r="529" ht="15" customHeight="1" s="31">
      <c r="A529" s="38" t="n"/>
      <c r="B529" s="38" t="n"/>
      <c r="C529" s="38" t="n"/>
      <c r="D529" s="38" t="n"/>
      <c r="E529" s="38" t="n"/>
      <c r="F529" s="38" t="n"/>
      <c r="G529" s="62" t="n"/>
      <c r="H529" s="62" t="n"/>
      <c r="I529" s="62" t="n"/>
      <c r="J529" s="38" t="n"/>
      <c r="K529" s="62" t="n"/>
      <c r="L529" s="38" t="n"/>
      <c r="M529" s="62" t="n"/>
      <c r="N529" s="38" t="n"/>
      <c r="O529" s="62" t="n"/>
      <c r="P529" s="38" t="n"/>
      <c r="Q529" s="62" t="n"/>
      <c r="R529" s="38" t="n"/>
      <c r="S529" s="62" t="n"/>
      <c r="T529" s="38" t="n"/>
      <c r="U529" s="62" t="n"/>
      <c r="V529" s="38" t="n"/>
      <c r="W529" s="62" t="n"/>
      <c r="X529" s="38" t="n"/>
      <c r="Y529" s="62" t="n"/>
      <c r="Z529" s="38" t="n"/>
      <c r="AA529" s="62" t="n"/>
      <c r="AB529" s="38" t="n"/>
      <c r="AC529" s="62" t="n"/>
      <c r="AD529" s="38" t="n"/>
      <c r="AE529" s="38" t="n"/>
      <c r="AF529" s="61">
        <f>IF(COUNTIF($B$5:B529,B529)=1,1,0)</f>
        <v/>
      </c>
      <c r="AG529" s="62" t="n"/>
    </row>
    <row r="530" ht="15" customHeight="1" s="31">
      <c r="A530" s="38" t="n"/>
      <c r="B530" s="38" t="n"/>
      <c r="C530" s="38" t="n"/>
      <c r="D530" s="38" t="n"/>
      <c r="E530" s="38" t="n"/>
      <c r="F530" s="38" t="n"/>
      <c r="G530" s="62" t="n"/>
      <c r="H530" s="62" t="n"/>
      <c r="I530" s="62" t="n"/>
      <c r="J530" s="38" t="n"/>
      <c r="K530" s="62" t="n"/>
      <c r="L530" s="38" t="n"/>
      <c r="M530" s="62" t="n"/>
      <c r="N530" s="38" t="n"/>
      <c r="O530" s="62" t="n"/>
      <c r="P530" s="38" t="n"/>
      <c r="Q530" s="62" t="n"/>
      <c r="R530" s="38" t="n"/>
      <c r="S530" s="62" t="n"/>
      <c r="T530" s="38" t="n"/>
      <c r="U530" s="62" t="n"/>
      <c r="V530" s="38" t="n"/>
      <c r="W530" s="62" t="n"/>
      <c r="X530" s="38" t="n"/>
      <c r="Y530" s="62" t="n"/>
      <c r="Z530" s="38" t="n"/>
      <c r="AA530" s="62" t="n"/>
      <c r="AB530" s="38" t="n"/>
      <c r="AC530" s="62" t="n"/>
      <c r="AD530" s="38" t="n"/>
      <c r="AE530" s="38" t="n"/>
      <c r="AF530" s="61">
        <f>IF(COUNTIF($B$5:B530,B530)=1,1,0)</f>
        <v/>
      </c>
      <c r="AG530" s="62" t="n"/>
    </row>
    <row r="531" ht="15" customHeight="1" s="31">
      <c r="A531" s="38" t="n"/>
      <c r="B531" s="38" t="n"/>
      <c r="C531" s="38" t="n"/>
      <c r="D531" s="38" t="n"/>
      <c r="E531" s="38" t="n"/>
      <c r="F531" s="38" t="n"/>
      <c r="G531" s="62" t="n"/>
      <c r="H531" s="62" t="n"/>
      <c r="I531" s="62" t="n"/>
      <c r="J531" s="38" t="n"/>
      <c r="K531" s="62" t="n"/>
      <c r="L531" s="38" t="n"/>
      <c r="M531" s="62" t="n"/>
      <c r="N531" s="38" t="n"/>
      <c r="O531" s="62" t="n"/>
      <c r="P531" s="38" t="n"/>
      <c r="Q531" s="62" t="n"/>
      <c r="R531" s="38" t="n"/>
      <c r="S531" s="62" t="n"/>
      <c r="T531" s="38" t="n"/>
      <c r="U531" s="62" t="n"/>
      <c r="V531" s="38" t="n"/>
      <c r="W531" s="62" t="n"/>
      <c r="X531" s="38" t="n"/>
      <c r="Y531" s="62" t="n"/>
      <c r="Z531" s="38" t="n"/>
      <c r="AA531" s="62" t="n"/>
      <c r="AB531" s="38" t="n"/>
      <c r="AC531" s="62" t="n"/>
      <c r="AD531" s="38" t="n"/>
      <c r="AE531" s="38" t="n"/>
      <c r="AF531" s="61">
        <f>IF(COUNTIF($B$5:B531,B531)=1,1,0)</f>
        <v/>
      </c>
      <c r="AG531" s="62" t="n"/>
    </row>
    <row r="532" ht="15" customHeight="1" s="31">
      <c r="A532" s="38" t="n"/>
      <c r="B532" s="38" t="n"/>
      <c r="C532" s="38" t="n"/>
      <c r="D532" s="38" t="n"/>
      <c r="E532" s="38" t="n"/>
      <c r="F532" s="38" t="n"/>
      <c r="G532" s="62" t="n"/>
      <c r="H532" s="62" t="n"/>
      <c r="I532" s="62" t="n"/>
      <c r="J532" s="38" t="n"/>
      <c r="K532" s="62" t="n"/>
      <c r="L532" s="38" t="n"/>
      <c r="M532" s="62" t="n"/>
      <c r="N532" s="38" t="n"/>
      <c r="O532" s="62" t="n"/>
      <c r="P532" s="38" t="n"/>
      <c r="Q532" s="62" t="n"/>
      <c r="R532" s="38" t="n"/>
      <c r="S532" s="62" t="n"/>
      <c r="T532" s="38" t="n"/>
      <c r="U532" s="62" t="n"/>
      <c r="V532" s="38" t="n"/>
      <c r="W532" s="62" t="n"/>
      <c r="X532" s="38" t="n"/>
      <c r="Y532" s="62" t="n"/>
      <c r="Z532" s="38" t="n"/>
      <c r="AA532" s="62" t="n"/>
      <c r="AB532" s="38" t="n"/>
      <c r="AC532" s="62" t="n"/>
      <c r="AD532" s="38" t="n"/>
      <c r="AE532" s="38" t="n"/>
      <c r="AF532" s="61">
        <f>IF(COUNTIF($B$5:B532,B532)=1,1,0)</f>
        <v/>
      </c>
      <c r="AG532" s="62" t="n"/>
    </row>
    <row r="533" ht="15" customHeight="1" s="31">
      <c r="A533" s="38" t="n"/>
      <c r="B533" s="38" t="n"/>
      <c r="C533" s="38" t="n"/>
      <c r="D533" s="38" t="n"/>
      <c r="E533" s="38" t="n"/>
      <c r="F533" s="38" t="n"/>
      <c r="G533" s="62" t="n"/>
      <c r="H533" s="62" t="n"/>
      <c r="I533" s="62" t="n"/>
      <c r="J533" s="38" t="n"/>
      <c r="K533" s="62" t="n"/>
      <c r="L533" s="38" t="n"/>
      <c r="M533" s="62" t="n"/>
      <c r="N533" s="38" t="n"/>
      <c r="O533" s="62" t="n"/>
      <c r="P533" s="38" t="n"/>
      <c r="Q533" s="62" t="n"/>
      <c r="R533" s="38" t="n"/>
      <c r="S533" s="62" t="n"/>
      <c r="T533" s="38" t="n"/>
      <c r="U533" s="62" t="n"/>
      <c r="V533" s="38" t="n"/>
      <c r="W533" s="62" t="n"/>
      <c r="X533" s="38" t="n"/>
      <c r="Y533" s="62" t="n"/>
      <c r="Z533" s="38" t="n"/>
      <c r="AA533" s="62" t="n"/>
      <c r="AB533" s="38" t="n"/>
      <c r="AC533" s="62" t="n"/>
      <c r="AD533" s="38" t="n"/>
      <c r="AE533" s="38" t="n"/>
      <c r="AF533" s="61">
        <f>IF(COUNTIF($B$5:B533,B533)=1,1,0)</f>
        <v/>
      </c>
      <c r="AG533" s="62" t="n"/>
    </row>
    <row r="534" ht="15" customHeight="1" s="31">
      <c r="A534" s="38" t="n"/>
      <c r="B534" s="38" t="n"/>
      <c r="C534" s="38" t="n"/>
      <c r="D534" s="38" t="n"/>
      <c r="E534" s="38" t="n"/>
      <c r="F534" s="38" t="n"/>
      <c r="G534" s="62" t="n"/>
      <c r="H534" s="62" t="n"/>
      <c r="I534" s="62" t="n"/>
      <c r="J534" s="38" t="n"/>
      <c r="K534" s="62" t="n"/>
      <c r="L534" s="38" t="n"/>
      <c r="M534" s="62" t="n"/>
      <c r="N534" s="38" t="n"/>
      <c r="O534" s="62" t="n"/>
      <c r="P534" s="38" t="n"/>
      <c r="Q534" s="62" t="n"/>
      <c r="R534" s="38" t="n"/>
      <c r="S534" s="62" t="n"/>
      <c r="T534" s="38" t="n"/>
      <c r="U534" s="62" t="n"/>
      <c r="V534" s="38" t="n"/>
      <c r="W534" s="62" t="n"/>
      <c r="X534" s="38" t="n"/>
      <c r="Y534" s="62" t="n"/>
      <c r="Z534" s="38" t="n"/>
      <c r="AA534" s="62" t="n"/>
      <c r="AB534" s="38" t="n"/>
      <c r="AC534" s="62" t="n"/>
      <c r="AD534" s="38" t="n"/>
      <c r="AE534" s="38" t="n"/>
      <c r="AF534" s="61">
        <f>IF(COUNTIF($B$5:B534,B534)=1,1,0)</f>
        <v/>
      </c>
      <c r="AG534" s="62" t="n"/>
    </row>
    <row r="535" ht="15" customHeight="1" s="31">
      <c r="A535" s="38" t="n"/>
      <c r="B535" s="38" t="n"/>
      <c r="C535" s="38" t="n"/>
      <c r="D535" s="38" t="n"/>
      <c r="E535" s="38" t="n"/>
      <c r="F535" s="38" t="n"/>
      <c r="G535" s="62" t="n"/>
      <c r="H535" s="62" t="n"/>
      <c r="I535" s="62" t="n"/>
      <c r="J535" s="38" t="n"/>
      <c r="K535" s="62" t="n"/>
      <c r="L535" s="38" t="n"/>
      <c r="M535" s="62" t="n"/>
      <c r="N535" s="38" t="n"/>
      <c r="O535" s="62" t="n"/>
      <c r="P535" s="38" t="n"/>
      <c r="Q535" s="62" t="n"/>
      <c r="R535" s="38" t="n"/>
      <c r="S535" s="62" t="n"/>
      <c r="T535" s="38" t="n"/>
      <c r="U535" s="62" t="n"/>
      <c r="V535" s="38" t="n"/>
      <c r="W535" s="62" t="n"/>
      <c r="X535" s="38" t="n"/>
      <c r="Y535" s="62" t="n"/>
      <c r="Z535" s="38" t="n"/>
      <c r="AA535" s="62" t="n"/>
      <c r="AB535" s="38" t="n"/>
      <c r="AC535" s="62" t="n"/>
      <c r="AD535" s="38" t="n"/>
      <c r="AE535" s="38" t="n"/>
      <c r="AF535" s="61">
        <f>IF(COUNTIF($B$5:B535,B535)=1,1,0)</f>
        <v/>
      </c>
      <c r="AG535" s="62" t="n"/>
    </row>
    <row r="536" ht="15" customHeight="1" s="31">
      <c r="A536" s="38" t="n"/>
      <c r="B536" s="38" t="n"/>
      <c r="C536" s="38" t="n"/>
      <c r="D536" s="38" t="n"/>
      <c r="E536" s="38" t="n"/>
      <c r="F536" s="38" t="n"/>
      <c r="G536" s="62" t="n"/>
      <c r="H536" s="62" t="n"/>
      <c r="I536" s="62" t="n"/>
      <c r="J536" s="38" t="n"/>
      <c r="K536" s="62" t="n"/>
      <c r="L536" s="38" t="n"/>
      <c r="M536" s="62" t="n"/>
      <c r="N536" s="38" t="n"/>
      <c r="O536" s="62" t="n"/>
      <c r="P536" s="38" t="n"/>
      <c r="Q536" s="62" t="n"/>
      <c r="R536" s="38" t="n"/>
      <c r="S536" s="62" t="n"/>
      <c r="T536" s="38" t="n"/>
      <c r="U536" s="62" t="n"/>
      <c r="V536" s="38" t="n"/>
      <c r="W536" s="62" t="n"/>
      <c r="X536" s="38" t="n"/>
      <c r="Y536" s="62" t="n"/>
      <c r="Z536" s="38" t="n"/>
      <c r="AA536" s="62" t="n"/>
      <c r="AB536" s="38" t="n"/>
      <c r="AC536" s="62" t="n"/>
      <c r="AD536" s="38" t="n"/>
      <c r="AE536" s="38" t="n"/>
      <c r="AF536" s="61">
        <f>IF(COUNTIF($B$5:B536,B536)=1,1,0)</f>
        <v/>
      </c>
      <c r="AG536" s="62" t="n"/>
    </row>
    <row r="537" ht="15" customHeight="1" s="31">
      <c r="A537" s="38" t="n"/>
      <c r="B537" s="38" t="n"/>
      <c r="C537" s="38" t="n"/>
      <c r="D537" s="38" t="n"/>
      <c r="E537" s="38" t="n"/>
      <c r="F537" s="38" t="n"/>
      <c r="G537" s="62" t="n"/>
      <c r="H537" s="62" t="n"/>
      <c r="I537" s="62" t="n"/>
      <c r="J537" s="38" t="n"/>
      <c r="K537" s="62" t="n"/>
      <c r="L537" s="38" t="n"/>
      <c r="M537" s="62" t="n"/>
      <c r="N537" s="38" t="n"/>
      <c r="O537" s="62" t="n"/>
      <c r="P537" s="38" t="n"/>
      <c r="Q537" s="62" t="n"/>
      <c r="R537" s="38" t="n"/>
      <c r="S537" s="62" t="n"/>
      <c r="T537" s="38" t="n"/>
      <c r="U537" s="62" t="n"/>
      <c r="V537" s="38" t="n"/>
      <c r="W537" s="62" t="n"/>
      <c r="X537" s="38" t="n"/>
      <c r="Y537" s="62" t="n"/>
      <c r="Z537" s="38" t="n"/>
      <c r="AA537" s="62" t="n"/>
      <c r="AB537" s="38" t="n"/>
      <c r="AC537" s="62" t="n"/>
      <c r="AD537" s="38" t="n"/>
      <c r="AE537" s="38" t="n"/>
      <c r="AF537" s="61">
        <f>IF(COUNTIF($B$5:B537,B537)=1,1,0)</f>
        <v/>
      </c>
      <c r="AG537" s="62" t="n"/>
    </row>
    <row r="538" ht="15" customHeight="1" s="31">
      <c r="A538" s="38" t="n"/>
      <c r="B538" s="38" t="n"/>
      <c r="C538" s="38" t="n"/>
      <c r="D538" s="38" t="n"/>
      <c r="E538" s="38" t="n"/>
      <c r="F538" s="38" t="n"/>
      <c r="G538" s="62" t="n"/>
      <c r="H538" s="62" t="n"/>
      <c r="I538" s="62" t="n"/>
      <c r="J538" s="38" t="n"/>
      <c r="K538" s="62" t="n"/>
      <c r="L538" s="38" t="n"/>
      <c r="M538" s="62" t="n"/>
      <c r="N538" s="38" t="n"/>
      <c r="O538" s="62" t="n"/>
      <c r="P538" s="38" t="n"/>
      <c r="Q538" s="62" t="n"/>
      <c r="R538" s="38" t="n"/>
      <c r="S538" s="62" t="n"/>
      <c r="T538" s="38" t="n"/>
      <c r="U538" s="62" t="n"/>
      <c r="V538" s="38" t="n"/>
      <c r="W538" s="62" t="n"/>
      <c r="X538" s="38" t="n"/>
      <c r="Y538" s="62" t="n"/>
      <c r="Z538" s="38" t="n"/>
      <c r="AA538" s="62" t="n"/>
      <c r="AB538" s="38" t="n"/>
      <c r="AC538" s="62" t="n"/>
      <c r="AD538" s="38" t="n"/>
      <c r="AE538" s="38" t="n"/>
      <c r="AF538" s="61">
        <f>IF(COUNTIF($B$5:B538,B538)=1,1,0)</f>
        <v/>
      </c>
      <c r="AG538" s="62" t="n"/>
    </row>
    <row r="539" ht="15" customHeight="1" s="31">
      <c r="A539" s="38" t="n"/>
      <c r="B539" s="38" t="n"/>
      <c r="C539" s="38" t="n"/>
      <c r="D539" s="38" t="n"/>
      <c r="E539" s="38" t="n"/>
      <c r="F539" s="38" t="n"/>
      <c r="G539" s="62" t="n"/>
      <c r="H539" s="62" t="n"/>
      <c r="I539" s="62" t="n"/>
      <c r="J539" s="38" t="n"/>
      <c r="K539" s="62" t="n"/>
      <c r="L539" s="38" t="n"/>
      <c r="M539" s="62" t="n"/>
      <c r="N539" s="38" t="n"/>
      <c r="O539" s="62" t="n"/>
      <c r="P539" s="38" t="n"/>
      <c r="Q539" s="62" t="n"/>
      <c r="R539" s="38" t="n"/>
      <c r="S539" s="62" t="n"/>
      <c r="T539" s="38" t="n"/>
      <c r="U539" s="62" t="n"/>
      <c r="V539" s="38" t="n"/>
      <c r="W539" s="62" t="n"/>
      <c r="X539" s="38" t="n"/>
      <c r="Y539" s="62" t="n"/>
      <c r="Z539" s="38" t="n"/>
      <c r="AA539" s="62" t="n"/>
      <c r="AB539" s="38" t="n"/>
      <c r="AC539" s="62" t="n"/>
      <c r="AD539" s="38" t="n"/>
      <c r="AE539" s="38" t="n"/>
      <c r="AF539" s="61">
        <f>IF(COUNTIF($B$5:B539,B539)=1,1,0)</f>
        <v/>
      </c>
      <c r="AG539" s="62" t="n"/>
    </row>
    <row r="540" ht="15" customHeight="1" s="31">
      <c r="A540" s="38" t="n"/>
      <c r="B540" s="38" t="n"/>
      <c r="C540" s="38" t="n"/>
      <c r="D540" s="38" t="n"/>
      <c r="E540" s="38" t="n"/>
      <c r="F540" s="38" t="n"/>
      <c r="G540" s="62" t="n"/>
      <c r="H540" s="62" t="n"/>
      <c r="I540" s="62" t="n"/>
      <c r="J540" s="38" t="n"/>
      <c r="K540" s="62" t="n"/>
      <c r="L540" s="38" t="n"/>
      <c r="M540" s="62" t="n"/>
      <c r="N540" s="38" t="n"/>
      <c r="O540" s="62" t="n"/>
      <c r="P540" s="38" t="n"/>
      <c r="Q540" s="62" t="n"/>
      <c r="R540" s="38" t="n"/>
      <c r="S540" s="62" t="n"/>
      <c r="T540" s="38" t="n"/>
      <c r="U540" s="62" t="n"/>
      <c r="V540" s="38" t="n"/>
      <c r="W540" s="62" t="n"/>
      <c r="X540" s="38" t="n"/>
      <c r="Y540" s="62" t="n"/>
      <c r="Z540" s="38" t="n"/>
      <c r="AA540" s="62" t="n"/>
      <c r="AB540" s="38" t="n"/>
      <c r="AC540" s="62" t="n"/>
      <c r="AD540" s="38" t="n"/>
      <c r="AE540" s="38" t="n"/>
      <c r="AF540" s="61">
        <f>IF(COUNTIF($B$5:B540,B540)=1,1,0)</f>
        <v/>
      </c>
      <c r="AG540" s="62" t="n"/>
    </row>
    <row r="541" ht="15" customHeight="1" s="31">
      <c r="A541" s="38" t="n"/>
      <c r="B541" s="38" t="n"/>
      <c r="C541" s="38" t="n"/>
      <c r="D541" s="38" t="n"/>
      <c r="E541" s="38" t="n"/>
      <c r="F541" s="38" t="n"/>
      <c r="G541" s="62" t="n"/>
      <c r="H541" s="62" t="n"/>
      <c r="I541" s="62" t="n"/>
      <c r="J541" s="38" t="n"/>
      <c r="K541" s="62" t="n"/>
      <c r="L541" s="38" t="n"/>
      <c r="M541" s="62" t="n"/>
      <c r="N541" s="38" t="n"/>
      <c r="O541" s="62" t="n"/>
      <c r="P541" s="38" t="n"/>
      <c r="Q541" s="62" t="n"/>
      <c r="R541" s="38" t="n"/>
      <c r="S541" s="62" t="n"/>
      <c r="T541" s="38" t="n"/>
      <c r="U541" s="62" t="n"/>
      <c r="V541" s="38" t="n"/>
      <c r="W541" s="62" t="n"/>
      <c r="X541" s="38" t="n"/>
      <c r="Y541" s="62" t="n"/>
      <c r="Z541" s="38" t="n"/>
      <c r="AA541" s="62" t="n"/>
      <c r="AB541" s="38" t="n"/>
      <c r="AC541" s="62" t="n"/>
      <c r="AD541" s="38" t="n"/>
      <c r="AE541" s="38" t="n"/>
      <c r="AF541" s="61">
        <f>IF(COUNTIF($B$5:B541,B541)=1,1,0)</f>
        <v/>
      </c>
      <c r="AG541" s="62" t="n"/>
    </row>
    <row r="542" ht="15" customHeight="1" s="31">
      <c r="A542" s="38" t="n"/>
      <c r="B542" s="38" t="n"/>
      <c r="C542" s="38" t="n"/>
      <c r="D542" s="38" t="n"/>
      <c r="E542" s="38" t="n"/>
      <c r="F542" s="38" t="n"/>
      <c r="G542" s="62" t="n"/>
      <c r="H542" s="62" t="n"/>
      <c r="I542" s="62" t="n"/>
      <c r="J542" s="38" t="n"/>
      <c r="K542" s="62" t="n"/>
      <c r="L542" s="38" t="n"/>
      <c r="M542" s="62" t="n"/>
      <c r="N542" s="38" t="n"/>
      <c r="O542" s="62" t="n"/>
      <c r="P542" s="38" t="n"/>
      <c r="Q542" s="62" t="n"/>
      <c r="R542" s="38" t="n"/>
      <c r="S542" s="62" t="n"/>
      <c r="T542" s="38" t="n"/>
      <c r="U542" s="62" t="n"/>
      <c r="V542" s="38" t="n"/>
      <c r="W542" s="62" t="n"/>
      <c r="X542" s="38" t="n"/>
      <c r="Y542" s="62" t="n"/>
      <c r="Z542" s="38" t="n"/>
      <c r="AA542" s="62" t="n"/>
      <c r="AB542" s="38" t="n"/>
      <c r="AC542" s="62" t="n"/>
      <c r="AD542" s="38" t="n"/>
      <c r="AE542" s="38" t="n"/>
      <c r="AF542" s="61">
        <f>IF(COUNTIF($B$5:B542,B542)=1,1,0)</f>
        <v/>
      </c>
      <c r="AG542" s="62" t="n"/>
    </row>
    <row r="543" ht="15" customHeight="1" s="31">
      <c r="A543" s="38" t="n"/>
      <c r="B543" s="38" t="n"/>
      <c r="C543" s="38" t="n"/>
      <c r="D543" s="38" t="n"/>
      <c r="E543" s="38" t="n"/>
      <c r="F543" s="38" t="n"/>
      <c r="G543" s="62" t="n"/>
      <c r="H543" s="62" t="n"/>
      <c r="I543" s="62" t="n"/>
      <c r="J543" s="38" t="n"/>
      <c r="K543" s="62" t="n"/>
      <c r="L543" s="38" t="n"/>
      <c r="M543" s="62" t="n"/>
      <c r="N543" s="38" t="n"/>
      <c r="O543" s="62" t="n"/>
      <c r="P543" s="38" t="n"/>
      <c r="Q543" s="62" t="n"/>
      <c r="R543" s="38" t="n"/>
      <c r="S543" s="62" t="n"/>
      <c r="T543" s="38" t="n"/>
      <c r="U543" s="62" t="n"/>
      <c r="V543" s="38" t="n"/>
      <c r="W543" s="62" t="n"/>
      <c r="X543" s="38" t="n"/>
      <c r="Y543" s="62" t="n"/>
      <c r="Z543" s="38" t="n"/>
      <c r="AA543" s="62" t="n"/>
      <c r="AB543" s="38" t="n"/>
      <c r="AC543" s="62" t="n"/>
      <c r="AD543" s="38" t="n"/>
      <c r="AE543" s="38" t="n"/>
      <c r="AF543" s="61">
        <f>IF(COUNTIF($B$5:B543,B543)=1,1,0)</f>
        <v/>
      </c>
      <c r="AG543" s="62" t="n"/>
    </row>
    <row r="544" ht="15" customHeight="1" s="31">
      <c r="A544" s="38" t="n"/>
      <c r="B544" s="38" t="n"/>
      <c r="C544" s="38" t="n"/>
      <c r="D544" s="38" t="n"/>
      <c r="E544" s="38" t="n"/>
      <c r="F544" s="38" t="n"/>
      <c r="G544" s="62" t="n"/>
      <c r="H544" s="62" t="n"/>
      <c r="I544" s="62" t="n"/>
      <c r="J544" s="38" t="n"/>
      <c r="K544" s="62" t="n"/>
      <c r="L544" s="38" t="n"/>
      <c r="M544" s="62" t="n"/>
      <c r="N544" s="38" t="n"/>
      <c r="O544" s="62" t="n"/>
      <c r="P544" s="38" t="n"/>
      <c r="Q544" s="62" t="n"/>
      <c r="R544" s="38" t="n"/>
      <c r="S544" s="62" t="n"/>
      <c r="T544" s="38" t="n"/>
      <c r="U544" s="62" t="n"/>
      <c r="V544" s="38" t="n"/>
      <c r="W544" s="62" t="n"/>
      <c r="X544" s="38" t="n"/>
      <c r="Y544" s="62" t="n"/>
      <c r="Z544" s="38" t="n"/>
      <c r="AA544" s="62" t="n"/>
      <c r="AB544" s="38" t="n"/>
      <c r="AC544" s="62" t="n"/>
      <c r="AD544" s="38" t="n"/>
      <c r="AE544" s="38" t="n"/>
      <c r="AF544" s="61">
        <f>IF(COUNTIF($B$5:B544,B544)=1,1,0)</f>
        <v/>
      </c>
      <c r="AG544" s="62" t="n"/>
    </row>
    <row r="545" ht="15" customHeight="1" s="31">
      <c r="A545" s="38" t="n"/>
      <c r="B545" s="38" t="n"/>
      <c r="C545" s="38" t="n"/>
      <c r="D545" s="38" t="n"/>
      <c r="E545" s="38" t="n"/>
      <c r="F545" s="38" t="n"/>
      <c r="G545" s="62" t="n"/>
      <c r="H545" s="62" t="n"/>
      <c r="I545" s="62" t="n"/>
      <c r="J545" s="38" t="n"/>
      <c r="K545" s="62" t="n"/>
      <c r="L545" s="38" t="n"/>
      <c r="M545" s="62" t="n"/>
      <c r="N545" s="38" t="n"/>
      <c r="O545" s="62" t="n"/>
      <c r="P545" s="38" t="n"/>
      <c r="Q545" s="62" t="n"/>
      <c r="R545" s="38" t="n"/>
      <c r="S545" s="62" t="n"/>
      <c r="T545" s="38" t="n"/>
      <c r="U545" s="62" t="n"/>
      <c r="V545" s="38" t="n"/>
      <c r="W545" s="62" t="n"/>
      <c r="X545" s="38" t="n"/>
      <c r="Y545" s="62" t="n"/>
      <c r="Z545" s="38" t="n"/>
      <c r="AA545" s="62" t="n"/>
      <c r="AB545" s="38" t="n"/>
      <c r="AC545" s="62" t="n"/>
      <c r="AD545" s="38" t="n"/>
      <c r="AE545" s="38" t="n"/>
      <c r="AF545" s="61">
        <f>IF(COUNTIF($B$5:B545,B545)=1,1,0)</f>
        <v/>
      </c>
      <c r="AG545" s="62" t="n"/>
    </row>
    <row r="546" ht="15" customHeight="1" s="31">
      <c r="A546" s="38" t="n"/>
      <c r="B546" s="38" t="n"/>
      <c r="C546" s="38" t="n"/>
      <c r="D546" s="38" t="n"/>
      <c r="E546" s="38" t="n"/>
      <c r="F546" s="38" t="n"/>
      <c r="G546" s="62" t="n"/>
      <c r="H546" s="62" t="n"/>
      <c r="I546" s="62" t="n"/>
      <c r="J546" s="38" t="n"/>
      <c r="K546" s="62" t="n"/>
      <c r="L546" s="38" t="n"/>
      <c r="M546" s="62" t="n"/>
      <c r="N546" s="38" t="n"/>
      <c r="O546" s="62" t="n"/>
      <c r="P546" s="38" t="n"/>
      <c r="Q546" s="62" t="n"/>
      <c r="R546" s="38" t="n"/>
      <c r="S546" s="62" t="n"/>
      <c r="T546" s="38" t="n"/>
      <c r="U546" s="62" t="n"/>
      <c r="V546" s="38" t="n"/>
      <c r="W546" s="62" t="n"/>
      <c r="X546" s="38" t="n"/>
      <c r="Y546" s="62" t="n"/>
      <c r="Z546" s="38" t="n"/>
      <c r="AA546" s="62" t="n"/>
      <c r="AB546" s="38" t="n"/>
      <c r="AC546" s="62" t="n"/>
      <c r="AD546" s="38" t="n"/>
      <c r="AE546" s="38" t="n"/>
      <c r="AF546" s="61">
        <f>IF(COUNTIF($B$5:B546,B546)=1,1,0)</f>
        <v/>
      </c>
      <c r="AG546" s="62" t="n"/>
    </row>
    <row r="547" ht="15" customHeight="1" s="31">
      <c r="A547" s="38" t="n"/>
      <c r="B547" s="38" t="n"/>
      <c r="C547" s="38" t="n"/>
      <c r="D547" s="38" t="n"/>
      <c r="E547" s="38" t="n"/>
      <c r="F547" s="38" t="n"/>
      <c r="G547" s="62" t="n"/>
      <c r="H547" s="62" t="n"/>
      <c r="I547" s="62" t="n"/>
      <c r="J547" s="38" t="n"/>
      <c r="K547" s="62" t="n"/>
      <c r="L547" s="38" t="n"/>
      <c r="M547" s="62" t="n"/>
      <c r="N547" s="38" t="n"/>
      <c r="O547" s="62" t="n"/>
      <c r="P547" s="38" t="n"/>
      <c r="Q547" s="62" t="n"/>
      <c r="R547" s="38" t="n"/>
      <c r="S547" s="62" t="n"/>
      <c r="T547" s="38" t="n"/>
      <c r="U547" s="62" t="n"/>
      <c r="V547" s="38" t="n"/>
      <c r="W547" s="62" t="n"/>
      <c r="X547" s="38" t="n"/>
      <c r="Y547" s="62" t="n"/>
      <c r="Z547" s="38" t="n"/>
      <c r="AA547" s="62" t="n"/>
      <c r="AB547" s="38" t="n"/>
      <c r="AC547" s="62" t="n"/>
      <c r="AD547" s="38" t="n"/>
      <c r="AE547" s="38" t="n"/>
      <c r="AF547" s="61">
        <f>IF(COUNTIF($B$5:B547,B547)=1,1,0)</f>
        <v/>
      </c>
      <c r="AG547" s="62" t="n"/>
    </row>
    <row r="548" ht="15" customHeight="1" s="31">
      <c r="A548" s="38" t="n"/>
      <c r="B548" s="38" t="n"/>
      <c r="C548" s="38" t="n"/>
      <c r="D548" s="38" t="n"/>
      <c r="E548" s="38" t="n"/>
      <c r="F548" s="38" t="n"/>
      <c r="G548" s="62" t="n"/>
      <c r="H548" s="62" t="n"/>
      <c r="I548" s="62" t="n"/>
      <c r="J548" s="38" t="n"/>
      <c r="K548" s="62" t="n"/>
      <c r="L548" s="38" t="n"/>
      <c r="M548" s="62" t="n"/>
      <c r="N548" s="38" t="n"/>
      <c r="O548" s="62" t="n"/>
      <c r="P548" s="38" t="n"/>
      <c r="Q548" s="62" t="n"/>
      <c r="R548" s="38" t="n"/>
      <c r="S548" s="62" t="n"/>
      <c r="T548" s="38" t="n"/>
      <c r="U548" s="62" t="n"/>
      <c r="V548" s="38" t="n"/>
      <c r="W548" s="62" t="n"/>
      <c r="X548" s="38" t="n"/>
      <c r="Y548" s="62" t="n"/>
      <c r="Z548" s="38" t="n"/>
      <c r="AA548" s="62" t="n"/>
      <c r="AB548" s="38" t="n"/>
      <c r="AC548" s="62" t="n"/>
      <c r="AD548" s="38" t="n"/>
      <c r="AE548" s="38" t="n"/>
      <c r="AF548" s="61">
        <f>IF(COUNTIF($B$5:B548,B548)=1,1,0)</f>
        <v/>
      </c>
      <c r="AG548" s="62" t="n"/>
    </row>
    <row r="549" ht="15" customHeight="1" s="31">
      <c r="A549" s="38" t="n"/>
      <c r="B549" s="38" t="n"/>
      <c r="C549" s="38" t="n"/>
      <c r="D549" s="38" t="n"/>
      <c r="E549" s="38" t="n"/>
      <c r="F549" s="38" t="n"/>
      <c r="G549" s="62" t="n"/>
      <c r="H549" s="62" t="n"/>
      <c r="I549" s="62" t="n"/>
      <c r="J549" s="38" t="n"/>
      <c r="K549" s="62" t="n"/>
      <c r="L549" s="38" t="n"/>
      <c r="M549" s="62" t="n"/>
      <c r="N549" s="38" t="n"/>
      <c r="O549" s="62" t="n"/>
      <c r="P549" s="38" t="n"/>
      <c r="Q549" s="62" t="n"/>
      <c r="R549" s="38" t="n"/>
      <c r="S549" s="62" t="n"/>
      <c r="T549" s="38" t="n"/>
      <c r="U549" s="62" t="n"/>
      <c r="V549" s="38" t="n"/>
      <c r="W549" s="62" t="n"/>
      <c r="X549" s="38" t="n"/>
      <c r="Y549" s="62" t="n"/>
      <c r="Z549" s="38" t="n"/>
      <c r="AA549" s="62" t="n"/>
      <c r="AB549" s="38" t="n"/>
      <c r="AC549" s="62" t="n"/>
      <c r="AD549" s="38" t="n"/>
      <c r="AE549" s="38" t="n"/>
      <c r="AF549" s="61">
        <f>IF(COUNTIF($B$5:B549,B549)=1,1,0)</f>
        <v/>
      </c>
      <c r="AG549" s="62" t="n"/>
    </row>
    <row r="550" ht="15" customHeight="1" s="31">
      <c r="A550" s="38" t="n"/>
      <c r="B550" s="38" t="n"/>
      <c r="C550" s="38" t="n"/>
      <c r="D550" s="38" t="n"/>
      <c r="E550" s="38" t="n"/>
      <c r="F550" s="38" t="n"/>
      <c r="G550" s="62" t="n"/>
      <c r="H550" s="62" t="n"/>
      <c r="I550" s="62" t="n"/>
      <c r="J550" s="38" t="n"/>
      <c r="K550" s="62" t="n"/>
      <c r="L550" s="38" t="n"/>
      <c r="M550" s="62" t="n"/>
      <c r="N550" s="38" t="n"/>
      <c r="O550" s="62" t="n"/>
      <c r="P550" s="38" t="n"/>
      <c r="Q550" s="62" t="n"/>
      <c r="R550" s="38" t="n"/>
      <c r="S550" s="62" t="n"/>
      <c r="T550" s="38" t="n"/>
      <c r="U550" s="62" t="n"/>
      <c r="V550" s="38" t="n"/>
      <c r="W550" s="62" t="n"/>
      <c r="X550" s="38" t="n"/>
      <c r="Y550" s="62" t="n"/>
      <c r="Z550" s="38" t="n"/>
      <c r="AA550" s="62" t="n"/>
      <c r="AB550" s="38" t="n"/>
      <c r="AC550" s="62" t="n"/>
      <c r="AD550" s="38" t="n"/>
      <c r="AE550" s="38" t="n"/>
      <c r="AF550" s="61">
        <f>IF(COUNTIF($B$5:B550,B550)=1,1,0)</f>
        <v/>
      </c>
      <c r="AG550" s="62" t="n"/>
    </row>
    <row r="551" ht="15" customHeight="1" s="31">
      <c r="A551" s="38" t="n"/>
      <c r="B551" s="38" t="n"/>
      <c r="C551" s="38" t="n"/>
      <c r="D551" s="38" t="n"/>
      <c r="E551" s="38" t="n"/>
      <c r="F551" s="38" t="n"/>
      <c r="G551" s="62" t="n"/>
      <c r="H551" s="62" t="n"/>
      <c r="I551" s="62" t="n"/>
      <c r="J551" s="38" t="n"/>
      <c r="K551" s="62" t="n"/>
      <c r="L551" s="38" t="n"/>
      <c r="M551" s="62" t="n"/>
      <c r="N551" s="38" t="n"/>
      <c r="O551" s="62" t="n"/>
      <c r="P551" s="38" t="n"/>
      <c r="Q551" s="62" t="n"/>
      <c r="R551" s="38" t="n"/>
      <c r="S551" s="62" t="n"/>
      <c r="T551" s="38" t="n"/>
      <c r="U551" s="62" t="n"/>
      <c r="V551" s="38" t="n"/>
      <c r="W551" s="62" t="n"/>
      <c r="X551" s="38" t="n"/>
      <c r="Y551" s="62" t="n"/>
      <c r="Z551" s="38" t="n"/>
      <c r="AA551" s="62" t="n"/>
      <c r="AB551" s="38" t="n"/>
      <c r="AC551" s="62" t="n"/>
      <c r="AD551" s="38" t="n"/>
      <c r="AE551" s="38" t="n"/>
      <c r="AF551" s="61">
        <f>IF(COUNTIF($B$5:B551,B551)=1,1,0)</f>
        <v/>
      </c>
      <c r="AG551" s="62" t="n"/>
    </row>
    <row r="552" ht="15" customHeight="1" s="31">
      <c r="A552" s="38" t="n"/>
      <c r="B552" s="38" t="n"/>
      <c r="C552" s="38" t="n"/>
      <c r="D552" s="38" t="n"/>
      <c r="E552" s="38" t="n"/>
      <c r="F552" s="38" t="n"/>
      <c r="G552" s="62" t="n"/>
      <c r="H552" s="62" t="n"/>
      <c r="I552" s="62" t="n"/>
      <c r="J552" s="38" t="n"/>
      <c r="K552" s="62" t="n"/>
      <c r="L552" s="38" t="n"/>
      <c r="M552" s="62" t="n"/>
      <c r="N552" s="38" t="n"/>
      <c r="O552" s="62" t="n"/>
      <c r="P552" s="38" t="n"/>
      <c r="Q552" s="62" t="n"/>
      <c r="R552" s="38" t="n"/>
      <c r="S552" s="62" t="n"/>
      <c r="T552" s="38" t="n"/>
      <c r="U552" s="62" t="n"/>
      <c r="V552" s="38" t="n"/>
      <c r="W552" s="62" t="n"/>
      <c r="X552" s="38" t="n"/>
      <c r="Y552" s="62" t="n"/>
      <c r="Z552" s="38" t="n"/>
      <c r="AA552" s="62" t="n"/>
      <c r="AB552" s="38" t="n"/>
      <c r="AC552" s="62" t="n"/>
      <c r="AD552" s="38" t="n"/>
      <c r="AE552" s="38" t="n"/>
      <c r="AF552" s="61">
        <f>IF(COUNTIF($B$5:B552,B552)=1,1,0)</f>
        <v/>
      </c>
      <c r="AG552" s="62" t="n"/>
    </row>
    <row r="553" ht="15" customHeight="1" s="31">
      <c r="A553" s="38" t="n"/>
      <c r="B553" s="38" t="n"/>
      <c r="C553" s="38" t="n"/>
      <c r="D553" s="38" t="n"/>
      <c r="E553" s="38" t="n"/>
      <c r="F553" s="38" t="n"/>
      <c r="G553" s="62" t="n"/>
      <c r="H553" s="62" t="n"/>
      <c r="I553" s="62" t="n"/>
      <c r="J553" s="38" t="n"/>
      <c r="K553" s="62" t="n"/>
      <c r="L553" s="38" t="n"/>
      <c r="M553" s="62" t="n"/>
      <c r="N553" s="38" t="n"/>
      <c r="O553" s="62" t="n"/>
      <c r="P553" s="38" t="n"/>
      <c r="Q553" s="62" t="n"/>
      <c r="R553" s="38" t="n"/>
      <c r="S553" s="62" t="n"/>
      <c r="T553" s="38" t="n"/>
      <c r="U553" s="62" t="n"/>
      <c r="V553" s="38" t="n"/>
      <c r="W553" s="62" t="n"/>
      <c r="X553" s="38" t="n"/>
      <c r="Y553" s="62" t="n"/>
      <c r="Z553" s="38" t="n"/>
      <c r="AA553" s="62" t="n"/>
      <c r="AB553" s="38" t="n"/>
      <c r="AC553" s="62" t="n"/>
      <c r="AD553" s="38" t="n"/>
      <c r="AE553" s="38" t="n"/>
      <c r="AF553" s="61">
        <f>IF(COUNTIF($B$5:B553,B553)=1,1,0)</f>
        <v/>
      </c>
      <c r="AG553" s="62" t="n"/>
    </row>
    <row r="554" ht="15" customHeight="1" s="31">
      <c r="A554" s="38" t="n"/>
      <c r="B554" s="38" t="n"/>
      <c r="C554" s="38" t="n"/>
      <c r="D554" s="38" t="n"/>
      <c r="E554" s="38" t="n"/>
      <c r="F554" s="38" t="n"/>
      <c r="G554" s="62" t="n"/>
      <c r="H554" s="62" t="n"/>
      <c r="I554" s="62" t="n"/>
      <c r="J554" s="38" t="n"/>
      <c r="K554" s="62" t="n"/>
      <c r="L554" s="38" t="n"/>
      <c r="M554" s="62" t="n"/>
      <c r="N554" s="38" t="n"/>
      <c r="O554" s="62" t="n"/>
      <c r="P554" s="38" t="n"/>
      <c r="Q554" s="62" t="n"/>
      <c r="R554" s="38" t="n"/>
      <c r="S554" s="62" t="n"/>
      <c r="T554" s="38" t="n"/>
      <c r="U554" s="62" t="n"/>
      <c r="V554" s="38" t="n"/>
      <c r="W554" s="62" t="n"/>
      <c r="X554" s="38" t="n"/>
      <c r="Y554" s="62" t="n"/>
      <c r="Z554" s="38" t="n"/>
      <c r="AA554" s="62" t="n"/>
      <c r="AB554" s="38" t="n"/>
      <c r="AC554" s="62" t="n"/>
      <c r="AD554" s="38" t="n"/>
      <c r="AE554" s="38" t="n"/>
      <c r="AF554" s="61">
        <f>IF(COUNTIF($B$5:B554,B554)=1,1,0)</f>
        <v/>
      </c>
      <c r="AG554" s="62" t="n"/>
    </row>
    <row r="555" ht="15" customHeight="1" s="31">
      <c r="A555" s="38" t="n"/>
      <c r="B555" s="38" t="n"/>
      <c r="C555" s="38" t="n"/>
      <c r="D555" s="38" t="n"/>
      <c r="E555" s="38" t="n"/>
      <c r="F555" s="38" t="n"/>
      <c r="G555" s="62" t="n"/>
      <c r="H555" s="62" t="n"/>
      <c r="I555" s="62" t="n"/>
      <c r="J555" s="38" t="n"/>
      <c r="K555" s="62" t="n"/>
      <c r="L555" s="38" t="n"/>
      <c r="M555" s="62" t="n"/>
      <c r="N555" s="38" t="n"/>
      <c r="O555" s="62" t="n"/>
      <c r="P555" s="38" t="n"/>
      <c r="Q555" s="62" t="n"/>
      <c r="R555" s="38" t="n"/>
      <c r="S555" s="62" t="n"/>
      <c r="T555" s="38" t="n"/>
      <c r="U555" s="62" t="n"/>
      <c r="V555" s="38" t="n"/>
      <c r="W555" s="62" t="n"/>
      <c r="X555" s="38" t="n"/>
      <c r="Y555" s="62" t="n"/>
      <c r="Z555" s="38" t="n"/>
      <c r="AA555" s="62" t="n"/>
      <c r="AB555" s="38" t="n"/>
      <c r="AC555" s="62" t="n"/>
      <c r="AD555" s="38" t="n"/>
      <c r="AE555" s="38" t="n"/>
      <c r="AF555" s="61">
        <f>IF(COUNTIF($B$5:B555,B555)=1,1,0)</f>
        <v/>
      </c>
      <c r="AG555" s="62" t="n"/>
    </row>
    <row r="556" ht="15" customHeight="1" s="31">
      <c r="A556" s="38" t="n"/>
      <c r="B556" s="38" t="n"/>
      <c r="C556" s="38" t="n"/>
      <c r="D556" s="38" t="n"/>
      <c r="E556" s="38" t="n"/>
      <c r="F556" s="38" t="n"/>
      <c r="G556" s="62" t="n"/>
      <c r="H556" s="62" t="n"/>
      <c r="I556" s="62" t="n"/>
      <c r="J556" s="38" t="n"/>
      <c r="K556" s="62" t="n"/>
      <c r="L556" s="38" t="n"/>
      <c r="M556" s="62" t="n"/>
      <c r="N556" s="38" t="n"/>
      <c r="O556" s="62" t="n"/>
      <c r="P556" s="38" t="n"/>
      <c r="Q556" s="62" t="n"/>
      <c r="R556" s="38" t="n"/>
      <c r="S556" s="62" t="n"/>
      <c r="T556" s="38" t="n"/>
      <c r="U556" s="62" t="n"/>
      <c r="V556" s="38" t="n"/>
      <c r="W556" s="62" t="n"/>
      <c r="X556" s="38" t="n"/>
      <c r="Y556" s="62" t="n"/>
      <c r="Z556" s="38" t="n"/>
      <c r="AA556" s="62" t="n"/>
      <c r="AB556" s="38" t="n"/>
      <c r="AC556" s="62" t="n"/>
      <c r="AD556" s="38" t="n"/>
      <c r="AE556" s="38" t="n"/>
      <c r="AF556" s="61">
        <f>IF(COUNTIF($B$5:B556,B556)=1,1,0)</f>
        <v/>
      </c>
      <c r="AG556" s="62" t="n"/>
    </row>
    <row r="557" ht="15" customHeight="1" s="31">
      <c r="A557" s="38" t="n"/>
      <c r="B557" s="38" t="n"/>
      <c r="C557" s="38" t="n"/>
      <c r="D557" s="38" t="n"/>
      <c r="E557" s="38" t="n"/>
      <c r="F557" s="38" t="n"/>
      <c r="G557" s="62" t="n"/>
      <c r="H557" s="62" t="n"/>
      <c r="I557" s="62" t="n"/>
      <c r="J557" s="38" t="n"/>
      <c r="K557" s="62" t="n"/>
      <c r="L557" s="38" t="n"/>
      <c r="M557" s="62" t="n"/>
      <c r="N557" s="38" t="n"/>
      <c r="O557" s="62" t="n"/>
      <c r="P557" s="38" t="n"/>
      <c r="Q557" s="62" t="n"/>
      <c r="R557" s="38" t="n"/>
      <c r="S557" s="62" t="n"/>
      <c r="T557" s="38" t="n"/>
      <c r="U557" s="62" t="n"/>
      <c r="V557" s="38" t="n"/>
      <c r="W557" s="62" t="n"/>
      <c r="X557" s="38" t="n"/>
      <c r="Y557" s="62" t="n"/>
      <c r="Z557" s="38" t="n"/>
      <c r="AA557" s="62" t="n"/>
      <c r="AB557" s="38" t="n"/>
      <c r="AC557" s="62" t="n"/>
      <c r="AD557" s="38" t="n"/>
      <c r="AE557" s="38" t="n"/>
      <c r="AF557" s="61">
        <f>IF(COUNTIF($B$5:B557,B557)=1,1,0)</f>
        <v/>
      </c>
      <c r="AG557" s="62" t="n"/>
    </row>
  </sheetData>
  <mergeCells count="2">
    <mergeCell ref="A2:AG2"/>
    <mergeCell ref="A1:AG1"/>
  </mergeCells>
  <dataValidations count="6">
    <dataValidation sqref="C5:C557" showDropDown="0" showInputMessage="0" showErrorMessage="0" allowBlank="1" type="list" errorStyle="stop" operator="between">
      <formula1>"Infobae Colombia,El Tiempo,El Espectador,La Silla Vacía,Semana"</formula1>
      <formula2>0</formula2>
    </dataValidation>
    <dataValidation sqref="D5:D557" showDropDown="0" showInputMessage="0" showErrorMessage="0" allowBlank="1" type="list" errorStyle="stop" operator="between">
      <formula1>"Transición de gobierno y relación con la oposición,Respuesta a la emergencia del terremoto,Relación con Estados Unidos,Reformas sociales en disputa (pensional/tributaria),Seguridad y orden público"</formula1>
      <formula2>0</formula2>
    </dataValidation>
    <dataValidation sqref="E5:E557" showDropDown="0" showInputMessage="0" showErrorMessage="0" allowBlank="1" type="list" errorStyle="stop" operator="between">
      <formula1>"Noticia dura,Opinión-análisis"</formula1>
      <formula2>0</formula2>
    </dataValidation>
    <dataValidation sqref="J5:J557 L5:L557 N5:N557 P5:P557 R5:R557 T5:T557 V5:V557 X5:X557 Z5:Z557" showDropDown="0" showInputMessage="0" showErrorMessage="0" allowBlank="0" type="list">
      <formula1>"TRUE,FALSE"</formula1>
    </dataValidation>
    <dataValidation sqref="AB5:AB557" showDropDown="0" showInputMessage="0" showErrorMessage="0" allowBlank="0" type="list">
      <formula1>"favorece,perjudica,neutral"</formula1>
    </dataValidation>
    <dataValidation sqref="AD5:AD557 AE5:AE557" showDropDown="0" showInputMessage="0" showErrorMessage="0" allowBlank="0" type="whole"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K30"/>
  <sheetViews>
    <sheetView workbookViewId="0">
      <pane ySplit="4" topLeftCell="A5" activePane="bottomLeft" state="frozen"/>
      <selection pane="bottomLeft" activeCell="A1" sqref="A1"/>
    </sheetView>
  </sheetViews>
  <sheetFormatPr baseColWidth="8" defaultRowHeight="15"/>
  <cols>
    <col width="17" customWidth="1" style="31" min="1" max="1"/>
    <col width="22" customWidth="1" style="31" min="2" max="2"/>
    <col width="10" customWidth="1" style="31" min="3" max="3"/>
    <col width="12" customWidth="1" style="31" min="4" max="4"/>
    <col width="9" customWidth="1" style="31" min="5" max="5"/>
    <col width="11" customWidth="1" style="31" min="6" max="6"/>
    <col width="13" customWidth="1" style="31" min="7" max="7"/>
    <col width="10" customWidth="1" style="31" min="8" max="8"/>
    <col width="9" customWidth="1" style="31" min="9" max="9"/>
    <col width="12" customWidth="1" style="31" min="10" max="10"/>
    <col width="35" customWidth="1" style="31" min="11" max="11"/>
  </cols>
  <sheetData>
    <row r="1">
      <c r="A1" s="55" t="inlineStr">
        <is>
          <t>Grid de recolección v2 — corpus multi-dominio (5 medios x 5 dominios)</t>
        </is>
      </c>
    </row>
    <row r="2">
      <c r="A2" s="56" t="inlineStr">
        <is>
          <t>Mismo esquema que el corpus original, aplicado a otros dominios además de política (economía, salud, medio ambiente, deportes) para no evaluar la herramienta solo en contenido político. 'Política' es un subset curado de las 500 oraciones originales, ya cerrado -- no se recolecta más para esa celda.</t>
        </is>
      </c>
    </row>
    <row r="4">
      <c r="A4" s="34" t="inlineStr">
        <is>
          <t>Medio</t>
        </is>
      </c>
      <c r="B4" s="34" t="inlineStr">
        <is>
          <t>Tema</t>
        </is>
      </c>
      <c r="C4" s="34" t="inlineStr">
        <is>
          <t>Objetivo
oraciones
(dura)</t>
        </is>
      </c>
      <c r="D4" s="34" t="inlineStr">
        <is>
          <t>Objetivo
oraciones
(opinión/análisis)</t>
        </is>
      </c>
      <c r="E4" s="34" t="inlineStr">
        <is>
          <t>Objetivo
total</t>
        </is>
      </c>
      <c r="F4" s="34" t="inlineStr">
        <is>
          <t>Artículos
recolectados
(dura)</t>
        </is>
      </c>
      <c r="G4" s="34" t="inlineStr">
        <is>
          <t>Artículos
recolectados
(opinión)</t>
        </is>
      </c>
      <c r="H4" s="34" t="inlineStr">
        <is>
          <t>Oraciones
anotadas
(real)</t>
        </is>
      </c>
      <c r="I4" s="34" t="inlineStr">
        <is>
          <t>% avance</t>
        </is>
      </c>
      <c r="J4" s="34" t="inlineStr">
        <is>
          <t>Estado</t>
        </is>
      </c>
      <c r="K4" s="34" t="inlineStr">
        <is>
          <t>Notas</t>
        </is>
      </c>
    </row>
    <row r="5">
      <c r="A5" s="35" t="inlineStr">
        <is>
          <t>Infobae Colombia</t>
        </is>
      </c>
      <c r="B5" s="35" t="inlineStr">
        <is>
          <t>Política</t>
        </is>
      </c>
      <c r="C5" s="36" t="n">
        <v>13</v>
      </c>
      <c r="D5" s="36" t="n">
        <v>0</v>
      </c>
      <c r="E5" s="37">
        <f>C5+D5</f>
        <v/>
      </c>
      <c r="F5" s="38" t="n">
        <v>6</v>
      </c>
      <c r="G5" s="38" t="n">
        <v>0</v>
      </c>
      <c r="H5" s="37">
        <f>SUMIFS('Corpus - oraciones v2'!$AF$3:$AF$600,'Corpus - oraciones v2'!$C$3:$C$600,A5,'Corpus - oraciones v2'!$D$3:$D$600,B5)</f>
        <v/>
      </c>
      <c r="I5" s="39">
        <f>IFERROR(H5/E5,0)</f>
        <v/>
      </c>
      <c r="J5" s="38" t="inlineStr">
        <is>
          <t>Completo</t>
        </is>
      </c>
      <c r="K5" s="62" t="inlineStr">
        <is>
          <t>Subset curado de las 500 oraciones originales (Transición/EEUU/Reformas/Seguridad, sin Terremoto) -- celda cerrada, no se recolecta más aquí.</t>
        </is>
      </c>
    </row>
    <row r="6">
      <c r="A6" s="35" t="inlineStr">
        <is>
          <t>El Tiempo</t>
        </is>
      </c>
      <c r="B6" s="35" t="inlineStr">
        <is>
          <t>Política</t>
        </is>
      </c>
      <c r="C6" s="36" t="n">
        <v>10</v>
      </c>
      <c r="D6" s="36" t="n">
        <v>6</v>
      </c>
      <c r="E6" s="37">
        <f>C6+D6</f>
        <v/>
      </c>
      <c r="F6" s="38" t="n">
        <v>6</v>
      </c>
      <c r="G6" s="38" t="n">
        <v>1</v>
      </c>
      <c r="H6" s="37">
        <f>SUMIFS('Corpus - oraciones v2'!$AF$3:$AF$600,'Corpus - oraciones v2'!$C$3:$C$600,A6,'Corpus - oraciones v2'!$D$3:$D$600,B6)</f>
        <v/>
      </c>
      <c r="I6" s="39">
        <f>IFERROR(H6/E6,0)</f>
        <v/>
      </c>
      <c r="J6" s="38" t="inlineStr">
        <is>
          <t>Completo</t>
        </is>
      </c>
      <c r="K6" s="62" t="inlineStr">
        <is>
          <t>Subset curado de las 500 oraciones originales (Transición/EEUU/Reformas/Seguridad, sin Terremoto) -- celda cerrada, no se recolecta más aquí.</t>
        </is>
      </c>
    </row>
    <row r="7">
      <c r="A7" s="35" t="inlineStr">
        <is>
          <t>El Espectador</t>
        </is>
      </c>
      <c r="B7" s="35" t="inlineStr">
        <is>
          <t>Política</t>
        </is>
      </c>
      <c r="C7" s="36" t="n">
        <v>20</v>
      </c>
      <c r="D7" s="36" t="n">
        <v>0</v>
      </c>
      <c r="E7" s="37">
        <f>C7+D7</f>
        <v/>
      </c>
      <c r="F7" s="38" t="n">
        <v>4</v>
      </c>
      <c r="G7" s="38" t="n">
        <v>0</v>
      </c>
      <c r="H7" s="37">
        <f>SUMIFS('Corpus - oraciones v2'!$AF$3:$AF$600,'Corpus - oraciones v2'!$C$3:$C$600,A7,'Corpus - oraciones v2'!$D$3:$D$600,B7)</f>
        <v/>
      </c>
      <c r="I7" s="39">
        <f>IFERROR(H7/E7,0)</f>
        <v/>
      </c>
      <c r="J7" s="38" t="inlineStr">
        <is>
          <t>Completo</t>
        </is>
      </c>
      <c r="K7" s="62" t="inlineStr">
        <is>
          <t>Subset curado de las 500 oraciones originales (Transición/EEUU/Reformas/Seguridad, sin Terremoto) -- celda cerrada, no se recolecta más aquí.</t>
        </is>
      </c>
    </row>
    <row r="8">
      <c r="A8" s="35" t="inlineStr">
        <is>
          <t>La Silla Vacía</t>
        </is>
      </c>
      <c r="B8" s="35" t="inlineStr">
        <is>
          <t>Política</t>
        </is>
      </c>
      <c r="C8" s="36" t="n">
        <v>2</v>
      </c>
      <c r="D8" s="36" t="n">
        <v>9</v>
      </c>
      <c r="E8" s="37">
        <f>C8+D8</f>
        <v/>
      </c>
      <c r="F8" s="38" t="n">
        <v>2</v>
      </c>
      <c r="G8" s="38" t="n">
        <v>9</v>
      </c>
      <c r="H8" s="37">
        <f>SUMIFS('Corpus - oraciones v2'!$AF$3:$AF$600,'Corpus - oraciones v2'!$C$3:$C$600,A8,'Corpus - oraciones v2'!$D$3:$D$600,B8)</f>
        <v/>
      </c>
      <c r="I8" s="39">
        <f>IFERROR(H8/E8,0)</f>
        <v/>
      </c>
      <c r="J8" s="38" t="inlineStr">
        <is>
          <t>Completo</t>
        </is>
      </c>
      <c r="K8" s="62" t="inlineStr">
        <is>
          <t>Subset curado de las 500 oraciones originales (Transición/EEUU/Reformas/Seguridad, sin Terremoto) -- celda cerrada, no se recolecta más aquí.</t>
        </is>
      </c>
    </row>
    <row r="9">
      <c r="A9" s="35" t="inlineStr">
        <is>
          <t>Semana</t>
        </is>
      </c>
      <c r="B9" s="35" t="inlineStr">
        <is>
          <t>Política</t>
        </is>
      </c>
      <c r="C9" s="36" t="n">
        <v>30</v>
      </c>
      <c r="D9" s="36" t="n">
        <v>10</v>
      </c>
      <c r="E9" s="37">
        <f>C9+D9</f>
        <v/>
      </c>
      <c r="F9" s="38" t="n">
        <v>3</v>
      </c>
      <c r="G9" s="38" t="n">
        <v>1</v>
      </c>
      <c r="H9" s="37">
        <f>SUMIFS('Corpus - oraciones v2'!$AF$3:$AF$600,'Corpus - oraciones v2'!$C$3:$C$600,A9,'Corpus - oraciones v2'!$D$3:$D$600,B9)</f>
        <v/>
      </c>
      <c r="I9" s="39">
        <f>IFERROR(H9/E9,0)</f>
        <v/>
      </c>
      <c r="J9" s="38" t="inlineStr">
        <is>
          <t>Completo</t>
        </is>
      </c>
      <c r="K9" s="62" t="inlineStr">
        <is>
          <t>Subset curado de las 500 oraciones originales (Transición/EEUU/Reformas/Seguridad, sin Terremoto) -- celda cerrada, no se recolecta más aquí.</t>
        </is>
      </c>
    </row>
    <row r="10">
      <c r="A10" s="35" t="inlineStr">
        <is>
          <t>Infobae Colombia</t>
        </is>
      </c>
      <c r="B10" s="35" t="inlineStr">
        <is>
          <t>Economía y negocios</t>
        </is>
      </c>
      <c r="C10" s="36" t="n">
        <v>20</v>
      </c>
      <c r="D10" s="36" t="n">
        <v>0</v>
      </c>
      <c r="E10" s="37">
        <f>C10+D10</f>
        <v/>
      </c>
      <c r="F10" s="38" t="n">
        <v>3</v>
      </c>
      <c r="G10" s="38" t="n">
        <v>0</v>
      </c>
      <c r="H10" s="37">
        <f>SUMIFS('Corpus - oraciones v2'!$AF$3:$AF$600,'Corpus - oraciones v2'!$C$3:$C$600,A10,'Corpus - oraciones v2'!$D$3:$D$600,B10)</f>
        <v/>
      </c>
      <c r="I10" s="39">
        <f>IFERROR(H10/E10,0)</f>
        <v/>
      </c>
      <c r="J10" s="38" t="inlineStr">
        <is>
          <t>Completo</t>
        </is>
      </c>
      <c r="K10" s="62" t="inlineStr"/>
    </row>
    <row r="11">
      <c r="A11" s="35" t="inlineStr">
        <is>
          <t>El Tiempo</t>
        </is>
      </c>
      <c r="B11" s="35" t="inlineStr">
        <is>
          <t>Economía y negocios</t>
        </is>
      </c>
      <c r="C11" s="36" t="n">
        <v>14</v>
      </c>
      <c r="D11" s="36" t="n">
        <v>6</v>
      </c>
      <c r="E11" s="37">
        <f>C11+D11</f>
        <v/>
      </c>
      <c r="F11" s="38" t="n">
        <v>2</v>
      </c>
      <c r="G11" s="38" t="n">
        <v>1</v>
      </c>
      <c r="H11" s="37">
        <f>SUMIFS('Corpus - oraciones v2'!$AF$3:$AF$600,'Corpus - oraciones v2'!$C$3:$C$600,A11,'Corpus - oraciones v2'!$D$3:$D$600,B11)</f>
        <v/>
      </c>
      <c r="I11" s="39">
        <f>IFERROR(H11/E11,0)</f>
        <v/>
      </c>
      <c r="J11" s="38" t="inlineStr">
        <is>
          <t>Completo</t>
        </is>
      </c>
      <c r="K11" s="62" t="inlineStr"/>
    </row>
    <row r="12">
      <c r="A12" s="35" t="inlineStr">
        <is>
          <t>El Espectador</t>
        </is>
      </c>
      <c r="B12" s="35" t="inlineStr">
        <is>
          <t>Economía y negocios</t>
        </is>
      </c>
      <c r="C12" s="36" t="n">
        <v>6</v>
      </c>
      <c r="D12" s="36" t="n">
        <v>14</v>
      </c>
      <c r="E12" s="37">
        <f>C12+D12</f>
        <v/>
      </c>
      <c r="F12" s="38" t="n">
        <v>1</v>
      </c>
      <c r="G12" s="38" t="n">
        <v>1</v>
      </c>
      <c r="H12" s="37">
        <f>SUMIFS('Corpus - oraciones v2'!$AF$3:$AF$600,'Corpus - oraciones v2'!$C$3:$C$600,A12,'Corpus - oraciones v2'!$D$3:$D$600,B12)</f>
        <v/>
      </c>
      <c r="I12" s="39">
        <f>IFERROR(H12/E12,0)</f>
        <v/>
      </c>
      <c r="J12" s="38" t="inlineStr">
        <is>
          <t>Completo</t>
        </is>
      </c>
      <c r="K12" s="62" t="inlineStr"/>
    </row>
    <row r="13">
      <c r="A13" s="35" t="inlineStr">
        <is>
          <t>La Silla Vacía</t>
        </is>
      </c>
      <c r="B13" s="35" t="inlineStr">
        <is>
          <t>Economía y negocios</t>
        </is>
      </c>
      <c r="C13" s="36" t="n">
        <v>8</v>
      </c>
      <c r="D13" s="36" t="n">
        <v>12</v>
      </c>
      <c r="E13" s="37">
        <f>C13+D13</f>
        <v/>
      </c>
      <c r="F13" s="38" t="n">
        <v>2</v>
      </c>
      <c r="G13" s="38" t="n">
        <v>1</v>
      </c>
      <c r="H13" s="37">
        <f>SUMIFS('Corpus - oraciones v2'!$AF$3:$AF$600,'Corpus - oraciones v2'!$C$3:$C$600,A13,'Corpus - oraciones v2'!$D$3:$D$600,B13)</f>
        <v/>
      </c>
      <c r="I13" s="39">
        <f>IFERROR(H13/E13,0)</f>
        <v/>
      </c>
      <c r="J13" s="38" t="inlineStr">
        <is>
          <t>Completo</t>
        </is>
      </c>
      <c r="K13" s="62" t="inlineStr"/>
    </row>
    <row r="14">
      <c r="A14" s="35" t="inlineStr">
        <is>
          <t>Semana</t>
        </is>
      </c>
      <c r="B14" s="35" t="inlineStr">
        <is>
          <t>Economía y negocios</t>
        </is>
      </c>
      <c r="C14" s="36" t="n">
        <v>10</v>
      </c>
      <c r="D14" s="36" t="n">
        <v>10</v>
      </c>
      <c r="E14" s="37">
        <f>C14+D14</f>
        <v/>
      </c>
      <c r="F14" s="38" t="n">
        <v>2</v>
      </c>
      <c r="G14" s="38" t="n">
        <v>1</v>
      </c>
      <c r="H14" s="37">
        <f>SUMIFS('Corpus - oraciones v2'!$AF$3:$AF$600,'Corpus - oraciones v2'!$C$3:$C$600,A14,'Corpus - oraciones v2'!$D$3:$D$600,B14)</f>
        <v/>
      </c>
      <c r="I14" s="39">
        <f>IFERROR(H14/E14,0)</f>
        <v/>
      </c>
      <c r="J14" s="38" t="inlineStr">
        <is>
          <t>Completo</t>
        </is>
      </c>
      <c r="K14" s="62" t="inlineStr"/>
    </row>
    <row r="15">
      <c r="A15" s="35" t="inlineStr">
        <is>
          <t>Infobae Colombia</t>
        </is>
      </c>
      <c r="B15" s="35" t="inlineStr">
        <is>
          <t>Salud</t>
        </is>
      </c>
      <c r="C15" s="36" t="n">
        <v>20</v>
      </c>
      <c r="D15" s="36" t="n">
        <v>0</v>
      </c>
      <c r="E15" s="37">
        <f>C15+D15</f>
        <v/>
      </c>
      <c r="F15" s="38" t="n">
        <v>3</v>
      </c>
      <c r="G15" s="38" t="n">
        <v>0</v>
      </c>
      <c r="H15" s="37">
        <f>SUMIFS('Corpus - oraciones v2'!$AF$3:$AF$600,'Corpus - oraciones v2'!$C$3:$C$600,A15,'Corpus - oraciones v2'!$D$3:$D$600,B15)</f>
        <v/>
      </c>
      <c r="I15" s="39">
        <f>IFERROR(H15/E15,0)</f>
        <v/>
      </c>
      <c r="J15" s="38" t="inlineStr">
        <is>
          <t>Completo</t>
        </is>
      </c>
      <c r="K15" s="62" t="inlineStr"/>
    </row>
    <row r="16">
      <c r="A16" s="35" t="inlineStr">
        <is>
          <t>El Tiempo</t>
        </is>
      </c>
      <c r="B16" s="35" t="inlineStr">
        <is>
          <t>Salud</t>
        </is>
      </c>
      <c r="C16" s="36" t="n">
        <v>14</v>
      </c>
      <c r="D16" s="36" t="n">
        <v>6</v>
      </c>
      <c r="E16" s="37">
        <f>C16+D16</f>
        <v/>
      </c>
      <c r="F16" s="38" t="n">
        <v>2</v>
      </c>
      <c r="G16" s="38" t="n">
        <v>1</v>
      </c>
      <c r="H16" s="37">
        <f>SUMIFS('Corpus - oraciones v2'!$AF$3:$AF$600,'Corpus - oraciones v2'!$C$3:$C$600,A16,'Corpus - oraciones v2'!$D$3:$D$600,B16)</f>
        <v/>
      </c>
      <c r="I16" s="39">
        <f>IFERROR(H16/E16,0)</f>
        <v/>
      </c>
      <c r="J16" s="38" t="inlineStr">
        <is>
          <t>Completo</t>
        </is>
      </c>
      <c r="K16" s="62" t="inlineStr"/>
    </row>
    <row r="17">
      <c r="A17" s="35" t="inlineStr">
        <is>
          <t>El Espectador</t>
        </is>
      </c>
      <c r="B17" s="35" t="inlineStr">
        <is>
          <t>Salud</t>
        </is>
      </c>
      <c r="C17" s="36" t="n">
        <v>6</v>
      </c>
      <c r="D17" s="36" t="n">
        <v>14</v>
      </c>
      <c r="E17" s="37">
        <f>C17+D17</f>
        <v/>
      </c>
      <c r="F17" s="38" t="n">
        <v>1</v>
      </c>
      <c r="G17" s="38" t="n">
        <v>1</v>
      </c>
      <c r="H17" s="37">
        <f>SUMIFS('Corpus - oraciones v2'!$AF$3:$AF$600,'Corpus - oraciones v2'!$C$3:$C$600,A17,'Corpus - oraciones v2'!$D$3:$D$600,B17)</f>
        <v/>
      </c>
      <c r="I17" s="39">
        <f>IFERROR(H17/E17,0)</f>
        <v/>
      </c>
      <c r="J17" s="38" t="inlineStr">
        <is>
          <t>Completo</t>
        </is>
      </c>
      <c r="K17" s="62" t="inlineStr"/>
    </row>
    <row r="18">
      <c r="A18" s="35" t="inlineStr">
        <is>
          <t>La Silla Vacía</t>
        </is>
      </c>
      <c r="B18" s="35" t="inlineStr">
        <is>
          <t>Salud</t>
        </is>
      </c>
      <c r="C18" s="36" t="n">
        <v>8</v>
      </c>
      <c r="D18" s="36" t="n">
        <v>12</v>
      </c>
      <c r="E18" s="37">
        <f>C18+D18</f>
        <v/>
      </c>
      <c r="F18" s="38" t="n">
        <v>1</v>
      </c>
      <c r="G18" s="38" t="n">
        <v>1</v>
      </c>
      <c r="H18" s="37">
        <f>SUMIFS('Corpus - oraciones v2'!$AF$3:$AF$600,'Corpus - oraciones v2'!$C$3:$C$600,A18,'Corpus - oraciones v2'!$D$3:$D$600,B18)</f>
        <v/>
      </c>
      <c r="I18" s="39">
        <f>IFERROR(H18/E18,0)</f>
        <v/>
      </c>
      <c r="J18" s="38" t="inlineStr">
        <is>
          <t>Completo</t>
        </is>
      </c>
      <c r="K18" s="62" t="inlineStr"/>
    </row>
    <row r="19">
      <c r="A19" s="35" t="inlineStr">
        <is>
          <t>Semana</t>
        </is>
      </c>
      <c r="B19" s="35" t="inlineStr">
        <is>
          <t>Salud</t>
        </is>
      </c>
      <c r="C19" s="36" t="n">
        <v>10</v>
      </c>
      <c r="D19" s="36" t="n">
        <v>10</v>
      </c>
      <c r="E19" s="37">
        <f>C19+D19</f>
        <v/>
      </c>
      <c r="F19" s="38" t="n">
        <v>1</v>
      </c>
      <c r="G19" s="38" t="n">
        <v>1</v>
      </c>
      <c r="H19" s="37">
        <f>SUMIFS('Corpus - oraciones v2'!$AF$3:$AF$600,'Corpus - oraciones v2'!$C$3:$C$600,A19,'Corpus - oraciones v2'!$D$3:$D$600,B19)</f>
        <v/>
      </c>
      <c r="I19" s="39">
        <f>IFERROR(H19/E19,0)</f>
        <v/>
      </c>
      <c r="J19" s="38" t="inlineStr">
        <is>
          <t>Completo</t>
        </is>
      </c>
      <c r="K19" s="62" t="inlineStr"/>
    </row>
    <row r="20">
      <c r="A20" s="35" t="inlineStr">
        <is>
          <t>Infobae Colombia</t>
        </is>
      </c>
      <c r="B20" s="35" t="inlineStr">
        <is>
          <t>Medio ambiente</t>
        </is>
      </c>
      <c r="C20" s="36" t="n">
        <v>20</v>
      </c>
      <c r="D20" s="36" t="n">
        <v>0</v>
      </c>
      <c r="E20" s="37">
        <f>C20+D20</f>
        <v/>
      </c>
      <c r="F20" s="38" t="n">
        <v>2</v>
      </c>
      <c r="G20" s="38" t="n">
        <v>0</v>
      </c>
      <c r="H20" s="37">
        <f>SUMIFS('Corpus - oraciones v2'!$AF$3:$AF$600,'Corpus - oraciones v2'!$C$3:$C$600,A20,'Corpus - oraciones v2'!$D$3:$D$600,B20)</f>
        <v/>
      </c>
      <c r="I20" s="39">
        <f>IFERROR(H20/E20,0)</f>
        <v/>
      </c>
      <c r="J20" s="38" t="inlineStr">
        <is>
          <t>Completo</t>
        </is>
      </c>
      <c r="K20" s="62" t="inlineStr"/>
    </row>
    <row r="21">
      <c r="A21" s="35" t="inlineStr">
        <is>
          <t>El Tiempo</t>
        </is>
      </c>
      <c r="B21" s="35" t="inlineStr">
        <is>
          <t>Medio ambiente</t>
        </is>
      </c>
      <c r="C21" s="36" t="n">
        <v>14</v>
      </c>
      <c r="D21" s="36" t="n">
        <v>6</v>
      </c>
      <c r="E21" s="37">
        <f>C21+D21</f>
        <v/>
      </c>
      <c r="F21" s="38" t="n">
        <v>3</v>
      </c>
      <c r="G21" s="38" t="n">
        <v>1</v>
      </c>
      <c r="H21" s="37">
        <f>SUMIFS('Corpus - oraciones v2'!$AF$3:$AF$600,'Corpus - oraciones v2'!$C$3:$C$600,A21,'Corpus - oraciones v2'!$D$3:$D$600,B21)</f>
        <v/>
      </c>
      <c r="I21" s="39">
        <f>IFERROR(H21/E21,0)</f>
        <v/>
      </c>
      <c r="J21" s="38" t="inlineStr">
        <is>
          <t>Completo</t>
        </is>
      </c>
      <c r="K21" s="62" t="inlineStr"/>
    </row>
    <row r="22">
      <c r="A22" s="35" t="inlineStr">
        <is>
          <t>El Espectador</t>
        </is>
      </c>
      <c r="B22" s="35" t="inlineStr">
        <is>
          <t>Medio ambiente</t>
        </is>
      </c>
      <c r="C22" s="36" t="n">
        <v>20</v>
      </c>
      <c r="D22" s="36" t="n">
        <v>0</v>
      </c>
      <c r="E22" s="37">
        <f>C22+D22</f>
        <v/>
      </c>
      <c r="F22" s="38" t="n">
        <v>2</v>
      </c>
      <c r="G22" s="38" t="n">
        <v>0</v>
      </c>
      <c r="H22" s="37">
        <f>SUMIFS('Corpus - oraciones v2'!$AF$3:$AF$600,'Corpus - oraciones v2'!$C$3:$C$600,A22,'Corpus - oraciones v2'!$D$3:$D$600,B22)</f>
        <v/>
      </c>
      <c r="I22" s="39">
        <f>IFERROR(H22/E22,0)</f>
        <v/>
      </c>
      <c r="J22" s="38" t="inlineStr">
        <is>
          <t>Completo</t>
        </is>
      </c>
      <c r="K22" s="62" t="inlineStr">
        <is>
          <t>El Espectador/Medio ambiente: el artículo de análisis sobre fracking resultó ser nota explicativa neutral (auditoría 2026-09-09), se reclasificó a 'Noticia dura'; por eso esta celda quedó 20 dura / 0 opinión.</t>
        </is>
      </c>
    </row>
    <row r="23">
      <c r="A23" s="35" t="inlineStr">
        <is>
          <t>La Silla Vacía</t>
        </is>
      </c>
      <c r="B23" s="35" t="inlineStr">
        <is>
          <t>Medio ambiente</t>
        </is>
      </c>
      <c r="C23" s="36" t="n">
        <v>8</v>
      </c>
      <c r="D23" s="36" t="n">
        <v>12</v>
      </c>
      <c r="E23" s="37">
        <f>C23+D23</f>
        <v/>
      </c>
      <c r="F23" s="38" t="n">
        <v>2</v>
      </c>
      <c r="G23" s="38" t="n">
        <v>2</v>
      </c>
      <c r="H23" s="37">
        <f>SUMIFS('Corpus - oraciones v2'!$AF$3:$AF$600,'Corpus - oraciones v2'!$C$3:$C$600,A23,'Corpus - oraciones v2'!$D$3:$D$600,B23)</f>
        <v/>
      </c>
      <c r="I23" s="39">
        <f>IFERROR(H23/E23,0)</f>
        <v/>
      </c>
      <c r="J23" s="38" t="inlineStr">
        <is>
          <t>Completo</t>
        </is>
      </c>
      <c r="K23" s="62" t="inlineStr"/>
    </row>
    <row r="24">
      <c r="A24" s="35" t="inlineStr">
        <is>
          <t>Semana</t>
        </is>
      </c>
      <c r="B24" s="35" t="inlineStr">
        <is>
          <t>Medio ambiente</t>
        </is>
      </c>
      <c r="C24" s="36" t="n">
        <v>10</v>
      </c>
      <c r="D24" s="36" t="n">
        <v>10</v>
      </c>
      <c r="E24" s="37">
        <f>C24+D24</f>
        <v/>
      </c>
      <c r="F24" s="38" t="n">
        <v>1</v>
      </c>
      <c r="G24" s="38" t="n">
        <v>1</v>
      </c>
      <c r="H24" s="37">
        <f>SUMIFS('Corpus - oraciones v2'!$AF$3:$AF$600,'Corpus - oraciones v2'!$C$3:$C$600,A24,'Corpus - oraciones v2'!$D$3:$D$600,B24)</f>
        <v/>
      </c>
      <c r="I24" s="39">
        <f>IFERROR(H24/E24,0)</f>
        <v/>
      </c>
      <c r="J24" s="38" t="inlineStr">
        <is>
          <t>Completo</t>
        </is>
      </c>
      <c r="K24" s="62" t="inlineStr"/>
    </row>
    <row r="25">
      <c r="A25" s="35" t="inlineStr">
        <is>
          <t>Infobae Colombia</t>
        </is>
      </c>
      <c r="B25" s="35" t="inlineStr">
        <is>
          <t>Deportes</t>
        </is>
      </c>
      <c r="C25" s="36" t="n">
        <v>25</v>
      </c>
      <c r="D25" s="36" t="n">
        <v>0</v>
      </c>
      <c r="E25" s="37">
        <f>C25+D25</f>
        <v/>
      </c>
      <c r="F25" s="38" t="n">
        <v>5</v>
      </c>
      <c r="G25" s="38" t="n">
        <v>0</v>
      </c>
      <c r="H25" s="37">
        <f>SUMIFS('Corpus - oraciones v2'!$AF$3:$AF$600,'Corpus - oraciones v2'!$C$3:$C$600,A25,'Corpus - oraciones v2'!$D$3:$D$600,B25)</f>
        <v/>
      </c>
      <c r="I25" s="39">
        <f>IFERROR(H25/E25,0)</f>
        <v/>
      </c>
      <c r="J25" s="38" t="inlineStr">
        <is>
          <t>Completo</t>
        </is>
      </c>
      <c r="K25" s="62" t="inlineStr"/>
    </row>
    <row r="26">
      <c r="A26" s="35" t="inlineStr">
        <is>
          <t>El Tiempo</t>
        </is>
      </c>
      <c r="B26" s="35" t="inlineStr">
        <is>
          <t>Deportes</t>
        </is>
      </c>
      <c r="C26" s="36" t="n">
        <v>17</v>
      </c>
      <c r="D26" s="36" t="n">
        <v>14</v>
      </c>
      <c r="E26" s="37">
        <f>C26+D26</f>
        <v/>
      </c>
      <c r="F26" s="38" t="n">
        <v>3</v>
      </c>
      <c r="G26" s="38" t="n">
        <v>2</v>
      </c>
      <c r="H26" s="37">
        <f>SUMIFS('Corpus - oraciones v2'!$AF$3:$AF$600,'Corpus - oraciones v2'!$C$3:$C$600,A26,'Corpus - oraciones v2'!$D$3:$D$600,B26)</f>
        <v/>
      </c>
      <c r="I26" s="39">
        <f>IFERROR(H26/E26,0)</f>
        <v/>
      </c>
      <c r="J26" s="38" t="inlineStr">
        <is>
          <t>Completo</t>
        </is>
      </c>
      <c r="K26" s="62" t="inlineStr"/>
    </row>
    <row r="27">
      <c r="A27" s="35" t="inlineStr">
        <is>
          <t>El Espectador</t>
        </is>
      </c>
      <c r="B27" s="35" t="inlineStr">
        <is>
          <t>Deportes</t>
        </is>
      </c>
      <c r="C27" s="36" t="n">
        <v>8</v>
      </c>
      <c r="D27" s="36" t="n">
        <v>23</v>
      </c>
      <c r="E27" s="37">
        <f>C27+D27</f>
        <v/>
      </c>
      <c r="F27" s="38" t="n">
        <v>2</v>
      </c>
      <c r="G27" s="38" t="n">
        <v>3</v>
      </c>
      <c r="H27" s="37">
        <f>SUMIFS('Corpus - oraciones v2'!$AF$3:$AF$600,'Corpus - oraciones v2'!$C$3:$C$600,A27,'Corpus - oraciones v2'!$D$3:$D$600,B27)</f>
        <v/>
      </c>
      <c r="I27" s="39">
        <f>IFERROR(H27/E27,0)</f>
        <v/>
      </c>
      <c r="J27" s="38" t="inlineStr">
        <is>
          <t>Completo</t>
        </is>
      </c>
      <c r="K27" s="62" t="inlineStr"/>
    </row>
    <row r="28">
      <c r="A28" s="35" t="inlineStr">
        <is>
          <t>La Silla Vacía</t>
        </is>
      </c>
      <c r="B28" s="35" t="inlineStr">
        <is>
          <t>Deportes</t>
        </is>
      </c>
      <c r="C28" s="36" t="n">
        <v>0</v>
      </c>
      <c r="D28" s="36" t="n">
        <v>0</v>
      </c>
      <c r="E28" s="37">
        <f>C28+D28</f>
        <v/>
      </c>
      <c r="F28" s="38" t="n">
        <v>0</v>
      </c>
      <c r="G28" s="38" t="n">
        <v>0</v>
      </c>
      <c r="H28" s="37">
        <f>SUMIFS('Corpus - oraciones v2'!$AF$3:$AF$600,'Corpus - oraciones v2'!$C$3:$C$600,A28,'Corpus - oraciones v2'!$D$3:$D$600,B28)</f>
        <v/>
      </c>
      <c r="I28" s="39">
        <f>IFERROR(H28/E28,0)</f>
        <v/>
      </c>
      <c r="J28" s="38" t="inlineStr">
        <is>
          <t>Completo</t>
        </is>
      </c>
      <c r="K28" s="62" t="inlineStr">
        <is>
          <t>La Silla Vacía no tiene cobertura deportiva activa 2025-2026 (verificado): cuota redistribuida a los otros 4 medios.</t>
        </is>
      </c>
    </row>
    <row r="29">
      <c r="A29" s="35" t="inlineStr">
        <is>
          <t>Semana</t>
        </is>
      </c>
      <c r="B29" s="35" t="inlineStr">
        <is>
          <t>Deportes</t>
        </is>
      </c>
      <c r="C29" s="36" t="n">
        <v>13</v>
      </c>
      <c r="D29" s="36" t="n">
        <v>0</v>
      </c>
      <c r="E29" s="37">
        <f>C29+D29</f>
        <v/>
      </c>
      <c r="F29" s="38" t="n">
        <v>2</v>
      </c>
      <c r="G29" s="38" t="n">
        <v>0</v>
      </c>
      <c r="H29" s="37">
        <f>SUMIFS('Corpus - oraciones v2'!$AF$3:$AF$600,'Corpus - oraciones v2'!$C$3:$C$600,A29,'Corpus - oraciones v2'!$D$3:$D$600,B29)</f>
        <v/>
      </c>
      <c r="I29" s="39">
        <f>IFERROR(H29/E29,0)</f>
        <v/>
      </c>
      <c r="J29" s="38" t="inlineStr">
        <is>
          <t>Completo</t>
        </is>
      </c>
      <c r="K29" s="62" t="inlineStr">
        <is>
          <t>Semana no tiene columnistas de opinión deportiva (verificado): su cuota de opinión se redistribuyó a El Tiempo y El Espectador.</t>
        </is>
      </c>
    </row>
    <row r="30">
      <c r="A30" s="44" t="inlineStr">
        <is>
          <t>TOTAL</t>
        </is>
      </c>
      <c r="B30" s="45" t="n"/>
      <c r="C30" s="44">
        <f>SUM(C5:C29)</f>
        <v/>
      </c>
      <c r="D30" s="44">
        <f>SUM(D5:D29)</f>
        <v/>
      </c>
      <c r="E30" s="44">
        <f>SUM(E5:E29)</f>
        <v/>
      </c>
      <c r="F30" s="46" t="n"/>
      <c r="G30" s="46" t="n"/>
      <c r="H30" s="44">
        <f>SUM(H5:H29)</f>
        <v/>
      </c>
      <c r="I30" s="47">
        <f>IFERROR(H30/E30,0)</f>
        <v/>
      </c>
      <c r="J30" s="46" t="n"/>
      <c r="K30" s="46" t="n"/>
    </row>
  </sheetData>
  <mergeCells count="3">
    <mergeCell ref="A2:K2"/>
    <mergeCell ref="A1:K1"/>
    <mergeCell ref="A30:B30"/>
  </mergeCells>
  <conditionalFormatting sqref="I5:I29">
    <cfRule type="colorScale" priority="1">
      <colorScale>
        <cfvo type="num" val="0"/>
        <cfvo type="num" val="0.5"/>
        <cfvo type="num" val="1"/>
        <color rgb="FFF8696B"/>
        <color rgb="FFFFEB84"/>
        <color rgb="FF63BE7B"/>
      </colorScale>
    </cfRule>
  </conditionalFormatting>
  <dataValidations count="1">
    <dataValidation sqref="J5:J29" showDropDown="0" showInputMessage="0" showErrorMessage="0" allowBlank="0" type="list">
      <formula1>"Pendiente,En progreso,Completo"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557"/>
  <sheetViews>
    <sheetView workbookViewId="0">
      <pane ySplit="4" topLeftCell="A5" activePane="bottomLeft" state="frozen"/>
      <selection pane="bottomLeft" activeCell="A1" sqref="A1"/>
    </sheetView>
  </sheetViews>
  <sheetFormatPr baseColWidth="8" defaultRowHeight="15"/>
  <cols>
    <col width="17" customWidth="1" style="31" min="1" max="1"/>
    <col width="20" customWidth="1" style="31" min="2" max="2"/>
    <col width="16" customWidth="1" style="31" min="3" max="3"/>
    <col width="24" customWidth="1" style="31" min="4" max="4"/>
    <col width="12" customWidth="1" style="31" min="5" max="5"/>
    <col width="16" customWidth="1" style="31" min="6" max="6"/>
    <col width="42" customWidth="1" style="31" min="7" max="7"/>
    <col width="30" customWidth="1" style="31" min="8" max="8"/>
    <col width="30" customWidth="1" style="31" min="9" max="9"/>
    <col width="11" customWidth="1" style="31" min="10" max="10"/>
    <col width="26" customWidth="1" style="31" min="11" max="11"/>
    <col width="11" customWidth="1" style="31" min="12" max="12"/>
    <col width="26" customWidth="1" style="31" min="13" max="13"/>
    <col width="11" customWidth="1" style="31" min="14" max="14"/>
    <col width="26" customWidth="1" style="31" min="15" max="15"/>
    <col width="11" customWidth="1" style="31" min="16" max="16"/>
    <col width="26" customWidth="1" style="31" min="17" max="17"/>
    <col width="11" customWidth="1" style="31" min="18" max="18"/>
    <col width="26" customWidth="1" style="31" min="19" max="19"/>
    <col width="11" customWidth="1" style="31" min="20" max="20"/>
    <col width="26" customWidth="1" style="31" min="21" max="21"/>
    <col width="11" customWidth="1" style="31" min="22" max="22"/>
    <col width="26" customWidth="1" style="31" min="23" max="23"/>
    <col width="11" customWidth="1" style="31" min="24" max="24"/>
    <col width="26" customWidth="1" style="31" min="25" max="25"/>
    <col width="11" customWidth="1" style="31" min="26" max="26"/>
    <col width="26" customWidth="1" style="31" min="27" max="27"/>
    <col width="12" customWidth="1" style="31" min="28" max="28"/>
    <col width="22" customWidth="1" style="31" min="29" max="29"/>
    <col width="12" customWidth="1" style="31" min="30" max="30"/>
    <col width="14" customWidth="1" style="31" min="31" max="31"/>
    <col width="12" customWidth="1" style="31" min="32" max="32"/>
    <col width="45" customWidth="1" style="31" min="33" max="33"/>
  </cols>
  <sheetData>
    <row r="1">
      <c r="A1" s="30" t="inlineStr">
        <is>
          <t>Corpus multi-dominio v2 — una fila por oración (esquema completo: 9 categorías léxico/discursivo)</t>
        </is>
      </c>
    </row>
    <row r="2">
      <c r="A2" s="30" t="inlineStr">
        <is>
          <t>Igual esquema que 'Corpus - oraciones', aplicado a 5 dominios (política + economía, salud, medio ambiente, deportes) para evaluar la herramienta más allá de contenido político. Celdas amarillas = editables. La columna AF es auxiliar, no se edita.</t>
        </is>
      </c>
    </row>
    <row r="4" ht="33.75" customHeight="1" s="31">
      <c r="A4" s="58" t="inlineStr">
        <is>
          <t>articulo_id</t>
        </is>
      </c>
      <c r="B4" s="58" t="inlineStr">
        <is>
          <t>oracion_id</t>
        </is>
      </c>
      <c r="C4" s="58" t="inlineStr">
        <is>
          <t>medio</t>
        </is>
      </c>
      <c r="D4" s="58" t="inlineStr">
        <is>
          <t>tema</t>
        </is>
      </c>
      <c r="E4" s="58" t="inlineStr">
        <is>
          <t>género
(dura/opinión)</t>
        </is>
      </c>
      <c r="F4" s="58" t="inlineStr">
        <is>
          <t>fecha_
publicación</t>
        </is>
      </c>
      <c r="G4" s="58" t="inlineStr">
        <is>
          <t>oracion_texto</t>
        </is>
      </c>
      <c r="H4" s="58" t="inlineStr">
        <is>
          <t>oracion_anterior</t>
        </is>
      </c>
      <c r="I4" s="58" t="inlineStr">
        <is>
          <t>oracion_siguiente</t>
        </is>
      </c>
      <c r="J4" s="58" t="inlineStr">
        <is>
          <t>verbo_factivo
(J1)</t>
        </is>
      </c>
      <c r="K4" s="58" t="inlineStr">
        <is>
          <t>verbo_factivo_span</t>
        </is>
      </c>
      <c r="L4" s="58" t="inlineStr">
        <is>
          <t>verbo_asertivo
(J1)</t>
        </is>
      </c>
      <c r="M4" s="58" t="inlineStr">
        <is>
          <t>verbo_asertivo_span</t>
        </is>
      </c>
      <c r="N4" s="58" t="inlineStr">
        <is>
          <t>palabra_subjetiva
(J1)</t>
        </is>
      </c>
      <c r="O4" s="58" t="inlineStr">
        <is>
          <t>palabra_subjetiva_span</t>
        </is>
      </c>
      <c r="P4" s="58" t="inlineStr">
        <is>
          <t>hedge
(J1)</t>
        </is>
      </c>
      <c r="Q4" s="58" t="inlineStr">
        <is>
          <t>hedge_span</t>
        </is>
      </c>
      <c r="R4" s="58" t="inlineStr">
        <is>
          <t>etiqueta_valorativa
(J1)</t>
        </is>
      </c>
      <c r="S4" s="58" t="inlineStr">
        <is>
          <t>etiqueta_valorativa_span</t>
        </is>
      </c>
      <c r="T4" s="58" t="inlineStr">
        <is>
          <t>sensacionalismo
(J2)</t>
        </is>
      </c>
      <c r="U4" s="58" t="inlineStr">
        <is>
          <t>sensacionalismo_span</t>
        </is>
      </c>
      <c r="V4" s="58" t="inlineStr">
        <is>
          <t>mind_reading
(J2)</t>
        </is>
      </c>
      <c r="W4" s="58" t="inlineStr">
        <is>
          <t>mind_reading_span</t>
        </is>
      </c>
      <c r="X4" s="58" t="inlineStr">
        <is>
          <t>falta_atribucion
(J2)</t>
        </is>
      </c>
      <c r="Y4" s="58" t="inlineStr">
        <is>
          <t>falta_atribucion_span</t>
        </is>
      </c>
      <c r="Z4" s="58" t="inlineStr">
        <is>
          <t>opinion_como_hecho
(J2)</t>
        </is>
      </c>
      <c r="AA4" s="58" t="inlineStr">
        <is>
          <t>opinion_como_hecho_span</t>
        </is>
      </c>
      <c r="AB4" s="58" t="inlineStr">
        <is>
          <t>direccion</t>
        </is>
      </c>
      <c r="AC4" s="58" t="inlineStr">
        <is>
          <t>actor_objetivo</t>
        </is>
      </c>
      <c r="AD4" s="58" t="inlineStr">
        <is>
          <t>intensidad_lexica
(1-5, si J1)</t>
        </is>
      </c>
      <c r="AE4" s="58" t="inlineStr">
        <is>
          <t>camuflaje_epistemico
(1-5, si J2)</t>
        </is>
      </c>
      <c r="AF4" s="58" t="inlineStr">
        <is>
          <t>aux: primera
fila de la
oración (no editar)</t>
        </is>
      </c>
      <c r="AG4" s="58" t="inlineStr">
        <is>
          <t>url_fuente</t>
        </is>
      </c>
    </row>
    <row r="5">
      <c r="A5" s="62" t="inlineStr">
        <is>
          <t>ART_0231</t>
        </is>
      </c>
      <c r="B5" s="62" t="inlineStr">
        <is>
          <t>ART_0231_S07</t>
        </is>
      </c>
      <c r="C5" s="62" t="inlineStr">
        <is>
          <t>El Tiempo</t>
        </is>
      </c>
      <c r="D5" s="62" t="inlineStr">
        <is>
          <t>Política</t>
        </is>
      </c>
      <c r="E5" s="62" t="inlineStr">
        <is>
          <t>Noticia dura</t>
        </is>
      </c>
      <c r="F5" s="62" t="inlineStr">
        <is>
          <t>2026-08-20</t>
        </is>
      </c>
      <c r="G5" s="62" t="inlineStr">
        <is>
          <t>El Gobierno impuso la polémica reforma tributaria pese a las advertencias de los gremios, sabiendo que afectaría directamente a la clase media.</t>
        </is>
      </c>
      <c r="H5" s="62" t="inlineStr">
        <is>
          <t>El anuncio se dio durante la rueda de prensa de la tarde.</t>
        </is>
      </c>
      <c r="I5" s="62" t="inlineStr">
        <is>
          <t>El Ministerio de Hacienda no respondió a las solicitudes de entrevista.</t>
        </is>
      </c>
      <c r="J5" s="62" t="inlineStr">
        <is>
          <t>FALSE</t>
        </is>
      </c>
      <c r="K5" s="62" t="n"/>
      <c r="L5" s="62" t="inlineStr">
        <is>
          <t>FALSE</t>
        </is>
      </c>
      <c r="M5" s="62" t="n"/>
      <c r="N5" s="62" t="inlineStr">
        <is>
          <t>FALSE</t>
        </is>
      </c>
      <c r="O5" s="62" t="n"/>
      <c r="P5" s="62" t="inlineStr">
        <is>
          <t>FALSE</t>
        </is>
      </c>
      <c r="Q5" s="62" t="n"/>
      <c r="R5" s="62" t="inlineStr">
        <is>
          <t>TRUE</t>
        </is>
      </c>
      <c r="S5" s="62" t="inlineStr">
        <is>
          <t>polémica</t>
        </is>
      </c>
      <c r="T5" s="62" t="inlineStr">
        <is>
          <t>FALSE</t>
        </is>
      </c>
      <c r="U5" s="62" t="n"/>
      <c r="V5" s="62" t="inlineStr">
        <is>
          <t>TRUE</t>
        </is>
      </c>
      <c r="W5" s="62" t="inlineStr">
        <is>
          <t>sabiendo que afectaría directamente a la clase media</t>
        </is>
      </c>
      <c r="X5" s="62" t="inlineStr">
        <is>
          <t>FALSE</t>
        </is>
      </c>
      <c r="Y5" s="62" t="n"/>
      <c r="Z5" s="62" t="inlineStr">
        <is>
          <t>FALSE</t>
        </is>
      </c>
      <c r="AA5" s="62" t="n"/>
      <c r="AB5" s="62" t="inlineStr">
        <is>
          <t>perjudica</t>
        </is>
      </c>
      <c r="AC5" s="62" t="inlineStr">
        <is>
          <t>Gobierno nacional</t>
        </is>
      </c>
      <c r="AD5" s="62" t="n">
        <v>3</v>
      </c>
      <c r="AE5" s="62" t="n">
        <v>4</v>
      </c>
      <c r="AF5" s="61">
        <f>IF(COUNTIF($B$5:B5,B5)=1,1,0)</f>
        <v/>
      </c>
      <c r="AG5" s="62" t="n"/>
    </row>
    <row r="6">
      <c r="A6" s="62" t="inlineStr">
        <is>
          <t>ART_0198</t>
        </is>
      </c>
      <c r="B6" s="62" t="inlineStr">
        <is>
          <t>ART_0198_S02</t>
        </is>
      </c>
      <c r="C6" s="62" t="inlineStr">
        <is>
          <t>El Espectador</t>
        </is>
      </c>
      <c r="D6" s="62" t="inlineStr">
        <is>
          <t>Economía y negocios</t>
        </is>
      </c>
      <c r="E6" s="62" t="inlineStr">
        <is>
          <t>Opinión-análisis</t>
        </is>
      </c>
      <c r="F6" s="62" t="inlineStr">
        <is>
          <t>2026-07-10</t>
        </is>
      </c>
      <c r="G6" s="62" t="inlineStr">
        <is>
          <t>El plan pensional fracasará antes de que termine el año.</t>
        </is>
      </c>
      <c r="H6" s="62" t="inlineStr">
        <is>
          <t>El columnista abrió su texto recordando las promesas de campaña.</t>
        </is>
      </c>
      <c r="I6" s="62" t="inlineStr">
        <is>
          <t>Nadie en el Gobierno ha salido a desmentirlo.</t>
        </is>
      </c>
      <c r="J6" s="62" t="inlineStr">
        <is>
          <t>FALSE</t>
        </is>
      </c>
      <c r="K6" s="62" t="n"/>
      <c r="L6" s="62" t="inlineStr">
        <is>
          <t>FALSE</t>
        </is>
      </c>
      <c r="M6" s="62" t="n"/>
      <c r="N6" s="62" t="inlineStr">
        <is>
          <t>FALSE</t>
        </is>
      </c>
      <c r="O6" s="62" t="n"/>
      <c r="P6" s="62" t="inlineStr">
        <is>
          <t>FALSE</t>
        </is>
      </c>
      <c r="Q6" s="62" t="n"/>
      <c r="R6" s="62" t="inlineStr">
        <is>
          <t>FALSE</t>
        </is>
      </c>
      <c r="S6" s="62" t="n"/>
      <c r="T6" s="62" t="inlineStr">
        <is>
          <t>FALSE</t>
        </is>
      </c>
      <c r="U6" s="62" t="n"/>
      <c r="V6" s="62" t="inlineStr">
        <is>
          <t>FALSE</t>
        </is>
      </c>
      <c r="W6" s="62" t="n"/>
      <c r="X6" s="62" t="inlineStr">
        <is>
          <t>FALSE</t>
        </is>
      </c>
      <c r="Y6" s="62" t="n"/>
      <c r="Z6" s="62" t="inlineStr">
        <is>
          <t>TRUE</t>
        </is>
      </c>
      <c r="AA6" s="62" t="inlineStr">
        <is>
          <t>El plan pensional fracasará antes de que termine el año</t>
        </is>
      </c>
      <c r="AB6" s="62" t="inlineStr">
        <is>
          <t>perjudica</t>
        </is>
      </c>
      <c r="AC6" s="62" t="inlineStr">
        <is>
          <t>Gobierno nacional / reforma pensional</t>
        </is>
      </c>
      <c r="AD6" s="62" t="n"/>
      <c r="AE6" s="62" t="n">
        <v>3</v>
      </c>
      <c r="AF6" s="61">
        <f>IF(COUNTIF($B$5:B6,B6)=1,1,0)</f>
        <v/>
      </c>
      <c r="AG6" s="62" t="n"/>
    </row>
    <row r="7">
      <c r="A7" s="62" t="inlineStr">
        <is>
          <t>ART_0245</t>
        </is>
      </c>
      <c r="B7" s="62" t="inlineStr">
        <is>
          <t>ART_0245_S03</t>
        </is>
      </c>
      <c r="C7" s="62" t="inlineStr">
        <is>
          <t>El Tiempo</t>
        </is>
      </c>
      <c r="D7" s="62" t="inlineStr">
        <is>
          <t>Salud</t>
        </is>
      </c>
      <c r="E7" s="62" t="inlineStr">
        <is>
          <t>Noticia dura</t>
        </is>
      </c>
      <c r="F7" s="62" t="inlineStr">
        <is>
          <t>2026-08-20</t>
        </is>
      </c>
      <c r="G7" s="62" t="inlineStr">
        <is>
          <t>El Banco de la República publicará el informe de inflación el próximo martes.</t>
        </is>
      </c>
      <c r="H7" s="62" t="inlineStr">
        <is>
          <t>La medida se conoció durante la sesión ordinaria.</t>
        </is>
      </c>
      <c r="I7" s="62" t="inlineStr">
        <is>
          <t>Analistas esperan el dato con atención.</t>
        </is>
      </c>
      <c r="J7" s="62" t="inlineStr">
        <is>
          <t>FALSE</t>
        </is>
      </c>
      <c r="K7" s="62" t="n"/>
      <c r="L7" s="62" t="inlineStr">
        <is>
          <t>FALSE</t>
        </is>
      </c>
      <c r="M7" s="62" t="n"/>
      <c r="N7" s="62" t="inlineStr">
        <is>
          <t>FALSE</t>
        </is>
      </c>
      <c r="O7" s="62" t="n"/>
      <c r="P7" s="62" t="inlineStr">
        <is>
          <t>FALSE</t>
        </is>
      </c>
      <c r="Q7" s="62" t="n"/>
      <c r="R7" s="62" t="inlineStr">
        <is>
          <t>FALSE</t>
        </is>
      </c>
      <c r="S7" s="62" t="n"/>
      <c r="T7" s="62" t="inlineStr">
        <is>
          <t>FALSE</t>
        </is>
      </c>
      <c r="U7" s="62" t="n"/>
      <c r="V7" s="62" t="inlineStr">
        <is>
          <t>FALSE</t>
        </is>
      </c>
      <c r="W7" s="62" t="n"/>
      <c r="X7" s="62" t="inlineStr">
        <is>
          <t>FALSE</t>
        </is>
      </c>
      <c r="Y7" s="62" t="n"/>
      <c r="Z7" s="62" t="inlineStr">
        <is>
          <t>FALSE</t>
        </is>
      </c>
      <c r="AA7" s="62" t="n"/>
      <c r="AB7" s="62" t="inlineStr">
        <is>
          <t>neutral</t>
        </is>
      </c>
      <c r="AC7" s="62" t="n"/>
      <c r="AD7" s="62" t="n"/>
      <c r="AE7" s="62" t="n"/>
      <c r="AF7" s="61">
        <f>IF(COUNTIF($B$5:B7,B7)=1,1,0)</f>
        <v/>
      </c>
      <c r="AG7" s="62" t="n"/>
    </row>
    <row r="8">
      <c r="A8" s="62" t="inlineStr">
        <is>
          <t>ART_003</t>
        </is>
      </c>
      <c r="B8" s="62" t="inlineStr">
        <is>
          <t>ART_003_S01</t>
        </is>
      </c>
      <c r="C8" s="62" t="inlineStr">
        <is>
          <t>Infobae Colombia</t>
        </is>
      </c>
      <c r="D8" s="62" t="inlineStr">
        <is>
          <t>Política</t>
        </is>
      </c>
      <c r="E8" s="62" t="inlineStr">
        <is>
          <t>Noticia dura</t>
        </is>
      </c>
      <c r="F8" s="62" t="inlineStr">
        <is>
          <t>Fri, 04 Sep 2026 18:20:11 +0000</t>
        </is>
      </c>
      <c r="G8"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H8" s="62" t="n"/>
      <c r="I8" s="62" t="inlineStr">
        <is>
          <t>La colectividad “rechaza contundentemente la violencia política, verbal y simbólica” de la que, según afirma, ha sido víctima la congresista por parte del legislador del Pacto Histórico.</t>
        </is>
      </c>
      <c r="J8" s="62" t="n"/>
      <c r="K8" s="62" t="n"/>
      <c r="L8" s="62" t="n"/>
      <c r="M8" s="62" t="n"/>
      <c r="N8" s="62" t="n"/>
      <c r="O8" s="62" t="n"/>
      <c r="P8" s="62" t="n"/>
      <c r="Q8" s="62" t="n"/>
      <c r="R8" s="62" t="n"/>
      <c r="S8" s="62" t="n"/>
      <c r="T8" s="62" t="n"/>
      <c r="U8" s="62" t="n"/>
      <c r="V8" s="62" t="n"/>
      <c r="W8" s="62" t="n"/>
      <c r="X8" s="62" t="n"/>
      <c r="Y8" s="62" t="n"/>
      <c r="Z8" s="62" t="n"/>
      <c r="AA8" s="62" t="n"/>
      <c r="AB8" s="62" t="n"/>
      <c r="AC8" s="62" t="n"/>
      <c r="AD8" s="62" t="n"/>
      <c r="AE8" s="62" t="n"/>
      <c r="AF8" s="61">
        <f>IF(COUNTIF($B$5:B8,B8)=1,1,0)</f>
        <v/>
      </c>
      <c r="AG8" s="62" t="inlineStr">
        <is>
          <t>https://www.infobae.com/colombia/2026/09/04/alianza-verde-critico-a-david-racero-por-llamar-lavaperros-a-catherine-juvinao-durante-la-discusion-del-presupuesto-general-de-la-nacion-violencia-politica-verbal-y-simbolica/</t>
        </is>
      </c>
    </row>
    <row r="9">
      <c r="A9" s="62" t="inlineStr">
        <is>
          <t>ART_003</t>
        </is>
      </c>
      <c r="B9" s="62" t="inlineStr">
        <is>
          <t>ART_003_S02</t>
        </is>
      </c>
      <c r="C9" s="62" t="inlineStr">
        <is>
          <t>Infobae Colombia</t>
        </is>
      </c>
      <c r="D9" s="62" t="inlineStr">
        <is>
          <t>Política</t>
        </is>
      </c>
      <c r="E9" s="62" t="inlineStr">
        <is>
          <t>Noticia dura</t>
        </is>
      </c>
      <c r="F9" s="62" t="inlineStr">
        <is>
          <t>Fri, 04 Sep 2026 18:20:11 +0000</t>
        </is>
      </c>
      <c r="G9" s="62" t="inlineStr">
        <is>
          <t>La colectividad “rechaza contundentemente la violencia política, verbal y simbólica” de la que, según afirma, ha sido víctima la congresista por parte del legislador del Pacto Histórico.</t>
        </is>
      </c>
      <c r="H9" s="62"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I9" s="62" t="n"/>
      <c r="J9" s="62" t="n"/>
      <c r="K9" s="62" t="n"/>
      <c r="L9" s="62" t="n"/>
      <c r="M9" s="62" t="n"/>
      <c r="N9" s="62" t="n"/>
      <c r="O9" s="62" t="n"/>
      <c r="P9" s="62" t="n"/>
      <c r="Q9" s="62" t="n"/>
      <c r="R9" s="62" t="n"/>
      <c r="S9" s="62" t="n"/>
      <c r="T9" s="62" t="n"/>
      <c r="U9" s="62" t="n"/>
      <c r="V9" s="62" t="n"/>
      <c r="W9" s="62" t="n"/>
      <c r="X9" s="62" t="n"/>
      <c r="Y9" s="62" t="n"/>
      <c r="Z9" s="62" t="n"/>
      <c r="AA9" s="62" t="n"/>
      <c r="AB9" s="62" t="n"/>
      <c r="AC9" s="62" t="n"/>
      <c r="AD9" s="62" t="n"/>
      <c r="AE9" s="62" t="n"/>
      <c r="AF9" s="61">
        <f>IF(COUNTIF($B$5:B9,B9)=1,1,0)</f>
        <v/>
      </c>
      <c r="AG9" s="62" t="inlineStr">
        <is>
          <t>https://www.infobae.com/colombia/2026/09/04/alianza-verde-critico-a-david-racero-por-llamar-lavaperros-a-catherine-juvinao-durante-la-discusion-del-presupuesto-general-de-la-nacion-violencia-politica-verbal-y-simbolica/</t>
        </is>
      </c>
    </row>
    <row r="10">
      <c r="A10" s="62" t="inlineStr">
        <is>
          <t>ART_007</t>
        </is>
      </c>
      <c r="B10" s="62" t="inlineStr">
        <is>
          <t>ART_007_S01</t>
        </is>
      </c>
      <c r="C10" s="62" t="inlineStr">
        <is>
          <t>El Tiempo</t>
        </is>
      </c>
      <c r="D10" s="62" t="inlineStr">
        <is>
          <t>Política</t>
        </is>
      </c>
      <c r="E10" s="62" t="inlineStr">
        <is>
          <t>Noticia dura</t>
        </is>
      </c>
      <c r="F10" s="62" t="inlineStr">
        <is>
          <t>2026-09-04T10:51:14-05:00</t>
        </is>
      </c>
      <c r="G10"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H10" s="62" t="n"/>
      <c r="I10" s="62" t="inlineStr">
        <is>
          <t>Según detalló el mandatario, junto al cabecilla de las Acsn también murieron su pareja, Rosa Angélica Tarazona, alias ‘La Bebecita’, y dos escoltas.</t>
        </is>
      </c>
      <c r="J10" s="62" t="n"/>
      <c r="K10" s="62" t="n"/>
      <c r="L10" s="62" t="n"/>
      <c r="M10" s="62" t="n"/>
      <c r="N10" s="62" t="n"/>
      <c r="O10" s="62" t="n"/>
      <c r="P10" s="62" t="n"/>
      <c r="Q10" s="62" t="n"/>
      <c r="R10" s="62" t="n"/>
      <c r="S10" s="62" t="n"/>
      <c r="T10" s="62" t="n"/>
      <c r="U10" s="62" t="n"/>
      <c r="V10" s="62" t="n"/>
      <c r="W10" s="62" t="n"/>
      <c r="X10" s="62" t="n"/>
      <c r="Y10" s="62" t="n"/>
      <c r="Z10" s="62" t="n"/>
      <c r="AA10" s="62" t="n"/>
      <c r="AB10" s="62" t="n"/>
      <c r="AC10" s="62" t="n"/>
      <c r="AD10" s="62" t="n"/>
      <c r="AE10" s="62" t="n"/>
      <c r="AF10" s="61">
        <f>IF(COUNTIF($B$5:B10,B10)=1,1,0)</f>
        <v/>
      </c>
      <c r="AG10" s="62" t="inlineStr">
        <is>
          <t>https://www.eltiempo.com/politica/abelardo-de-la-espriella/presidente-abelardo-de-la-espriella-y-su-contundente-frase-tras-la-muerte-de-bendito-menor-este-miserable-ahora-esta-a-buen-recaudo-del-infierno-3583557</t>
        </is>
      </c>
    </row>
    <row r="11">
      <c r="A11" s="62" t="inlineStr">
        <is>
          <t>ART_007</t>
        </is>
      </c>
      <c r="B11" s="62" t="inlineStr">
        <is>
          <t>ART_007_S02</t>
        </is>
      </c>
      <c r="C11" s="62" t="inlineStr">
        <is>
          <t>El Tiempo</t>
        </is>
      </c>
      <c r="D11" s="62" t="inlineStr">
        <is>
          <t>Política</t>
        </is>
      </c>
      <c r="E11" s="62" t="inlineStr">
        <is>
          <t>Noticia dura</t>
        </is>
      </c>
      <c r="F11" s="62" t="inlineStr">
        <is>
          <t>2026-09-04T10:51:14-05:00</t>
        </is>
      </c>
      <c r="G11" s="62" t="inlineStr">
        <is>
          <t>Según detalló el mandatario, junto al cabecilla de las Acsn también murieron su pareja, Rosa Angélica Tarazona, alias ‘La Bebecita’, y dos escoltas.</t>
        </is>
      </c>
      <c r="H11" s="62"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I11" s="62" t="n"/>
      <c r="J11" s="62" t="n"/>
      <c r="K11" s="62" t="n"/>
      <c r="L11" s="62" t="n"/>
      <c r="M11" s="62" t="n"/>
      <c r="N11" s="62" t="n"/>
      <c r="O11" s="62" t="n"/>
      <c r="P11" s="62" t="n"/>
      <c r="Q11" s="62" t="n"/>
      <c r="R11" s="62" t="n"/>
      <c r="S11" s="62" t="n"/>
      <c r="T11" s="62" t="n"/>
      <c r="U11" s="62" t="n"/>
      <c r="V11" s="62" t="n"/>
      <c r="W11" s="62" t="n"/>
      <c r="X11" s="62" t="n"/>
      <c r="Y11" s="62" t="n"/>
      <c r="Z11" s="62" t="n"/>
      <c r="AA11" s="62" t="n"/>
      <c r="AB11" s="62" t="n"/>
      <c r="AC11" s="62" t="n"/>
      <c r="AD11" s="62" t="n"/>
      <c r="AE11" s="62" t="n"/>
      <c r="AF11" s="61">
        <f>IF(COUNTIF($B$5:B11,B11)=1,1,0)</f>
        <v/>
      </c>
      <c r="AG11" s="62" t="inlineStr">
        <is>
          <t>https://www.eltiempo.com/politica/abelardo-de-la-espriella/presidente-abelardo-de-la-espriella-y-su-contundente-frase-tras-la-muerte-de-bendito-menor-este-miserable-ahora-esta-a-buen-recaudo-del-infierno-3583557</t>
        </is>
      </c>
    </row>
    <row r="12">
      <c r="A12" s="62" t="inlineStr">
        <is>
          <t>ART_014</t>
        </is>
      </c>
      <c r="B12" s="62" t="inlineStr">
        <is>
          <t>ART_014_S01</t>
        </is>
      </c>
      <c r="C12" s="62" t="inlineStr">
        <is>
          <t>Semana</t>
        </is>
      </c>
      <c r="D12" s="62" t="inlineStr">
        <is>
          <t>Política</t>
        </is>
      </c>
      <c r="E12" s="62" t="inlineStr">
        <is>
          <t>Noticia dura</t>
        </is>
      </c>
      <c r="F12" s="62" t="inlineStr">
        <is>
          <t>Fri, 04 Sep 2026 20:38:57 +0000</t>
        </is>
      </c>
      <c r="G12" s="62" t="inlineStr">
        <is>
          <t>Por medio de su cuenta de Instagram, el presidente Abelardo De La Espriella publicó una historia que no pasó desapercibida y que llamó la atención de los usuarios de las redes sociales.</t>
        </is>
      </c>
      <c r="H12" s="62" t="n"/>
      <c r="I12"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J12" s="62" t="n"/>
      <c r="K12" s="62" t="n"/>
      <c r="L12" s="62" t="n"/>
      <c r="M12" s="62" t="n"/>
      <c r="N12" s="62" t="n"/>
      <c r="O12" s="62" t="n"/>
      <c r="P12" s="62" t="n"/>
      <c r="Q12" s="62" t="n"/>
      <c r="R12" s="62" t="n"/>
      <c r="S12" s="62" t="n"/>
      <c r="T12" s="62" t="n"/>
      <c r="U12" s="62" t="n"/>
      <c r="V12" s="62" t="n"/>
      <c r="W12" s="62" t="n"/>
      <c r="X12" s="62" t="n"/>
      <c r="Y12" s="62" t="n"/>
      <c r="Z12" s="62" t="n"/>
      <c r="AA12" s="62" t="n"/>
      <c r="AB12" s="62" t="n"/>
      <c r="AC12" s="62" t="n"/>
      <c r="AD12" s="62" t="n"/>
      <c r="AE12" s="62" t="n"/>
      <c r="AF12" s="61">
        <f>IF(COUNTIF($B$5:B12,B12)=1,1,0)</f>
        <v/>
      </c>
      <c r="AG12" s="62" t="inlineStr">
        <is>
          <t>https://www.semana.com/politica/articulo/la-publicacion-de-abelardo-de-la-espriella-que-vaticinaba-la-suerte-que-iba-a-tener-alias-bendito-menor-que-impacto-las-redes/202657/</t>
        </is>
      </c>
    </row>
    <row r="13">
      <c r="A13" s="62" t="inlineStr">
        <is>
          <t>ART_014</t>
        </is>
      </c>
      <c r="B13" s="62" t="inlineStr">
        <is>
          <t>ART_014_S02</t>
        </is>
      </c>
      <c r="C13" s="62" t="inlineStr">
        <is>
          <t>Semana</t>
        </is>
      </c>
      <c r="D13" s="62" t="inlineStr">
        <is>
          <t>Política</t>
        </is>
      </c>
      <c r="E13" s="62" t="inlineStr">
        <is>
          <t>Noticia dura</t>
        </is>
      </c>
      <c r="F13" s="62" t="inlineStr">
        <is>
          <t>Fri, 04 Sep 2026 20:38:57 +0000</t>
        </is>
      </c>
      <c r="G13"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H13" s="62" t="inlineStr">
        <is>
          <t>Por medio de su cuenta de Instagram, el presidente Abelardo De La Espriella publicó una historia que no pasó desapercibida y que llamó la atención de los usuarios de las redes sociales.</t>
        </is>
      </c>
      <c r="I13" s="62" t="inlineStr">
        <is>
          <t>“Quien decida continuar atacando a Colombia, encontrará enfrente toda la capacidad legítima del Estado”, expresó la publicación en la cuenta de Instagram del mandatario.</t>
        </is>
      </c>
      <c r="J13" s="62" t="n"/>
      <c r="K13" s="62" t="n"/>
      <c r="L13" s="62" t="n"/>
      <c r="M13" s="62" t="n"/>
      <c r="N13" s="62" t="n"/>
      <c r="O13" s="62" t="n"/>
      <c r="P13" s="62" t="n"/>
      <c r="Q13" s="62" t="n"/>
      <c r="R13" s="62" t="n"/>
      <c r="S13" s="62" t="n"/>
      <c r="T13" s="62" t="n"/>
      <c r="U13" s="62" t="n"/>
      <c r="V13" s="62" t="n"/>
      <c r="W13" s="62" t="n"/>
      <c r="X13" s="62" t="n"/>
      <c r="Y13" s="62" t="n"/>
      <c r="Z13" s="62" t="n"/>
      <c r="AA13" s="62" t="n"/>
      <c r="AB13" s="62" t="n"/>
      <c r="AC13" s="62" t="n"/>
      <c r="AD13" s="62" t="n"/>
      <c r="AE13" s="62" t="n"/>
      <c r="AF13" s="61">
        <f>IF(COUNTIF($B$5:B13,B13)=1,1,0)</f>
        <v/>
      </c>
      <c r="AG13" s="62" t="inlineStr">
        <is>
          <t>https://www.semana.com/politica/articulo/la-publicacion-de-abelardo-de-la-espriella-que-vaticinaba-la-suerte-que-iba-a-tener-alias-bendito-menor-que-impacto-las-redes/202657/</t>
        </is>
      </c>
    </row>
    <row r="14">
      <c r="A14" s="62" t="inlineStr">
        <is>
          <t>ART_014</t>
        </is>
      </c>
      <c r="B14" s="62" t="inlineStr">
        <is>
          <t>ART_014_S03</t>
        </is>
      </c>
      <c r="C14" s="62" t="inlineStr">
        <is>
          <t>Semana</t>
        </is>
      </c>
      <c r="D14" s="62" t="inlineStr">
        <is>
          <t>Política</t>
        </is>
      </c>
      <c r="E14" s="62" t="inlineStr">
        <is>
          <t>Noticia dura</t>
        </is>
      </c>
      <c r="F14" s="62" t="inlineStr">
        <is>
          <t>Fri, 04 Sep 2026 20:38:57 +0000</t>
        </is>
      </c>
      <c r="G14" s="62" t="inlineStr">
        <is>
          <t>“Quien decida continuar atacando a Colombia, encontrará enfrente toda la capacidad legítima del Estado”, expresó la publicación en la cuenta de Instagram del mandatario.</t>
        </is>
      </c>
      <c r="H14" s="62" t="inlineStr">
        <is>
          <t>Se trata de una foto en la que se ve al mandatario junto a integrantes de la Fuerza Pública, la cual está acompañada de un mensaje que vaticinaba la suerte que iba a tener el cabecilla Naín Andrés Pérez, más conocido con el alias de Bendito Menor.</t>
        </is>
      </c>
      <c r="I14" s="62" t="inlineStr">
        <is>
          <t>Frente al caso de alias Bendito Menor, ese peligroso cabecilla fue dado de baja por una acción articulada que desplegó la Policía Nacional en el departamento de La Guajira.</t>
        </is>
      </c>
      <c r="J14" s="62" t="n"/>
      <c r="K14" s="62" t="n"/>
      <c r="L14" s="62" t="n"/>
      <c r="M14" s="62" t="n"/>
      <c r="N14" s="62" t="n"/>
      <c r="O14" s="62" t="n"/>
      <c r="P14" s="62" t="n"/>
      <c r="Q14" s="62" t="n"/>
      <c r="R14" s="62" t="n"/>
      <c r="S14" s="62" t="n"/>
      <c r="T14" s="62" t="n"/>
      <c r="U14" s="62" t="n"/>
      <c r="V14" s="62" t="n"/>
      <c r="W14" s="62" t="n"/>
      <c r="X14" s="62" t="n"/>
      <c r="Y14" s="62" t="n"/>
      <c r="Z14" s="62" t="n"/>
      <c r="AA14" s="62" t="n"/>
      <c r="AB14" s="62" t="n"/>
      <c r="AC14" s="62" t="n"/>
      <c r="AD14" s="62" t="n"/>
      <c r="AE14" s="62" t="n"/>
      <c r="AF14" s="61">
        <f>IF(COUNTIF($B$5:B14,B14)=1,1,0)</f>
        <v/>
      </c>
      <c r="AG14" s="62" t="inlineStr">
        <is>
          <t>https://www.semana.com/politica/articulo/la-publicacion-de-abelardo-de-la-espriella-que-vaticinaba-la-suerte-que-iba-a-tener-alias-bendito-menor-que-impacto-las-redes/202657/</t>
        </is>
      </c>
    </row>
    <row r="15">
      <c r="A15" s="62" t="inlineStr">
        <is>
          <t>ART_014</t>
        </is>
      </c>
      <c r="B15" s="62" t="inlineStr">
        <is>
          <t>ART_014_S04</t>
        </is>
      </c>
      <c r="C15" s="62" t="inlineStr">
        <is>
          <t>Semana</t>
        </is>
      </c>
      <c r="D15" s="62" t="inlineStr">
        <is>
          <t>Política</t>
        </is>
      </c>
      <c r="E15" s="62" t="inlineStr">
        <is>
          <t>Noticia dura</t>
        </is>
      </c>
      <c r="F15" s="62" t="inlineStr">
        <is>
          <t>Fri, 04 Sep 2026 20:38:57 +0000</t>
        </is>
      </c>
      <c r="G15" s="62" t="inlineStr">
        <is>
          <t>Frente al caso de alias Bendito Menor, ese peligroso cabecilla fue dado de baja por una acción articulada que desplegó la Policía Nacional en el departamento de La Guajira.</t>
        </is>
      </c>
      <c r="H15" s="62" t="inlineStr">
        <is>
          <t>“Quien decida continuar atacando a Colombia, encontrará enfrente toda la capacidad legítima del Estado”, expresó la publicación en la cuenta de Instagram del mandatario.</t>
        </is>
      </c>
      <c r="I15" s="62" t="inlineStr">
        <is>
          <t>El presidente De La Espriella, este viernes, 4 de septiembre, reveló detalles de la operación: “Hoy es un gran día para Colombia.</t>
        </is>
      </c>
      <c r="J15" s="62" t="n"/>
      <c r="K15" s="62" t="n"/>
      <c r="L15" s="62" t="n"/>
      <c r="M15" s="62" t="n"/>
      <c r="N15" s="62" t="n"/>
      <c r="O15" s="62" t="n"/>
      <c r="P15" s="62" t="n"/>
      <c r="Q15" s="62" t="n"/>
      <c r="R15" s="62" t="n"/>
      <c r="S15" s="62" t="n"/>
      <c r="T15" s="62" t="n"/>
      <c r="U15" s="62" t="n"/>
      <c r="V15" s="62" t="n"/>
      <c r="W15" s="62" t="n"/>
      <c r="X15" s="62" t="n"/>
      <c r="Y15" s="62" t="n"/>
      <c r="Z15" s="62" t="n"/>
      <c r="AA15" s="62" t="n"/>
      <c r="AB15" s="62" t="n"/>
      <c r="AC15" s="62" t="n"/>
      <c r="AD15" s="62" t="n"/>
      <c r="AE15" s="62" t="n"/>
      <c r="AF15" s="61">
        <f>IF(COUNTIF($B$5:B15,B15)=1,1,0)</f>
        <v/>
      </c>
      <c r="AG15" s="62" t="inlineStr">
        <is>
          <t>https://www.semana.com/politica/articulo/la-publicacion-de-abelardo-de-la-espriella-que-vaticinaba-la-suerte-que-iba-a-tener-alias-bendito-menor-que-impacto-las-redes/202657/</t>
        </is>
      </c>
    </row>
    <row r="16">
      <c r="A16" s="62" t="inlineStr">
        <is>
          <t>ART_014</t>
        </is>
      </c>
      <c r="B16" s="62" t="inlineStr">
        <is>
          <t>ART_014_S05</t>
        </is>
      </c>
      <c r="C16" s="62" t="inlineStr">
        <is>
          <t>Semana</t>
        </is>
      </c>
      <c r="D16" s="62" t="inlineStr">
        <is>
          <t>Política</t>
        </is>
      </c>
      <c r="E16" s="62" t="inlineStr">
        <is>
          <t>Noticia dura</t>
        </is>
      </c>
      <c r="F16" s="62" t="inlineStr">
        <is>
          <t>Fri, 04 Sep 2026 20:38:57 +0000</t>
        </is>
      </c>
      <c r="G16" s="62" t="inlineStr">
        <is>
          <t>El presidente De La Espriella, este viernes, 4 de septiembre, reveló detalles de la operación: “Hoy es un gran día para Colombia.</t>
        </is>
      </c>
      <c r="H16" s="62" t="inlineStr">
        <is>
          <t>Frente al caso de alias Bendito Menor, ese peligroso cabecilla fue dado de baja por una acción articulada que desplegó la Policía Nacional en el departamento de La Guajira.</t>
        </is>
      </c>
      <c r="I16" s="62" t="inlineStr">
        <is>
          <t>Gracias a una operación impecable realizada por nuestra Policía Nacional por un comando especial de la Dijín, se dio de baja a uno de los más peligrosos delincuentes de nuestro país, alias Naín o Bendito Menor”.</t>
        </is>
      </c>
      <c r="J16" s="62" t="n"/>
      <c r="K16" s="62" t="n"/>
      <c r="L16" s="62" t="n"/>
      <c r="M16" s="62" t="n"/>
      <c r="N16" s="62" t="n"/>
      <c r="O16" s="62" t="n"/>
      <c r="P16" s="62" t="n"/>
      <c r="Q16" s="62" t="n"/>
      <c r="R16" s="62" t="n"/>
      <c r="S16" s="62" t="n"/>
      <c r="T16" s="62" t="n"/>
      <c r="U16" s="62" t="n"/>
      <c r="V16" s="62" t="n"/>
      <c r="W16" s="62" t="n"/>
      <c r="X16" s="62" t="n"/>
      <c r="Y16" s="62" t="n"/>
      <c r="Z16" s="62" t="n"/>
      <c r="AA16" s="62" t="n"/>
      <c r="AB16" s="62" t="n"/>
      <c r="AC16" s="62" t="n"/>
      <c r="AD16" s="62" t="n"/>
      <c r="AE16" s="62" t="n"/>
      <c r="AF16" s="61">
        <f>IF(COUNTIF($B$5:B16,B16)=1,1,0)</f>
        <v/>
      </c>
      <c r="AG16" s="62" t="inlineStr">
        <is>
          <t>https://www.semana.com/politica/articulo/la-publicacion-de-abelardo-de-la-espriella-que-vaticinaba-la-suerte-que-iba-a-tener-alias-bendito-menor-que-impacto-las-redes/202657/</t>
        </is>
      </c>
    </row>
    <row r="17">
      <c r="A17" s="62" t="inlineStr">
        <is>
          <t>ART_014</t>
        </is>
      </c>
      <c r="B17" s="62" t="inlineStr">
        <is>
          <t>ART_014_S06</t>
        </is>
      </c>
      <c r="C17" s="62" t="inlineStr">
        <is>
          <t>Semana</t>
        </is>
      </c>
      <c r="D17" s="62" t="inlineStr">
        <is>
          <t>Política</t>
        </is>
      </c>
      <c r="E17" s="62" t="inlineStr">
        <is>
          <t>Noticia dura</t>
        </is>
      </c>
      <c r="F17" s="62" t="inlineStr">
        <is>
          <t>Fri, 04 Sep 2026 20:38:57 +0000</t>
        </is>
      </c>
      <c r="G17" s="62" t="inlineStr">
        <is>
          <t>Gracias a una operación impecable realizada por nuestra Policía Nacional por un comando especial de la Dijín, se dio de baja a uno de los más peligrosos delincuentes de nuestro país, alias Naín o Bendito Menor”.</t>
        </is>
      </c>
      <c r="H17" s="62" t="inlineStr">
        <is>
          <t>El presidente De La Espriella, este viernes, 4 de septiembre, reveló detalles de la operación: “Hoy es un gran día para Colombia.</t>
        </is>
      </c>
      <c r="I17" s="62" t="inlineStr">
        <is>
          <t>“Hoy ha llegado el fin de las actividades criminales de este narcoterrorista que tenía azotada a La Guajira y al Caribe colombiano mediante el narcotráfico, la extorsión y la presión a la población.</t>
        </is>
      </c>
      <c r="J17" s="62" t="n"/>
      <c r="K17" s="62" t="n"/>
      <c r="L17" s="62" t="n"/>
      <c r="M17" s="62" t="n"/>
      <c r="N17" s="62" t="n"/>
      <c r="O17" s="62" t="n"/>
      <c r="P17" s="62" t="n"/>
      <c r="Q17" s="62" t="n"/>
      <c r="R17" s="62" t="n"/>
      <c r="S17" s="62" t="n"/>
      <c r="T17" s="62" t="n"/>
      <c r="U17" s="62" t="n"/>
      <c r="V17" s="62" t="n"/>
      <c r="W17" s="62" t="n"/>
      <c r="X17" s="62" t="n"/>
      <c r="Y17" s="62" t="n"/>
      <c r="Z17" s="62" t="n"/>
      <c r="AA17" s="62" t="n"/>
      <c r="AB17" s="62" t="n"/>
      <c r="AC17" s="62" t="n"/>
      <c r="AD17" s="62" t="n"/>
      <c r="AE17" s="62" t="n"/>
      <c r="AF17" s="61">
        <f>IF(COUNTIF($B$5:B17,B17)=1,1,0)</f>
        <v/>
      </c>
      <c r="AG17" s="62" t="inlineStr">
        <is>
          <t>https://www.semana.com/politica/articulo/la-publicacion-de-abelardo-de-la-espriella-que-vaticinaba-la-suerte-que-iba-a-tener-alias-bendito-menor-que-impacto-las-redes/202657/</t>
        </is>
      </c>
    </row>
    <row r="18">
      <c r="A18" s="62" t="inlineStr">
        <is>
          <t>ART_014</t>
        </is>
      </c>
      <c r="B18" s="62" t="inlineStr">
        <is>
          <t>ART_014_S07</t>
        </is>
      </c>
      <c r="C18" s="62" t="inlineStr">
        <is>
          <t>Semana</t>
        </is>
      </c>
      <c r="D18" s="62" t="inlineStr">
        <is>
          <t>Política</t>
        </is>
      </c>
      <c r="E18" s="62" t="inlineStr">
        <is>
          <t>Noticia dura</t>
        </is>
      </c>
      <c r="F18" s="62" t="inlineStr">
        <is>
          <t>Fri, 04 Sep 2026 20:38:57 +0000</t>
        </is>
      </c>
      <c r="G18" s="62" t="inlineStr">
        <is>
          <t>“Hoy ha llegado el fin de las actividades criminales de este narcoterrorista que tenía azotada a La Guajira y al Caribe colombiano mediante el narcotráfico, la extorsión y la presión a la población.</t>
        </is>
      </c>
      <c r="H18" s="62" t="inlineStr">
        <is>
          <t>Gracias a una operación impecable realizada por nuestra Policía Nacional por un comando especial de la Dijín, se dio de baja a uno de los más peligrosos delincuentes de nuestro país, alias Naín o Bendito Menor”.</t>
        </is>
      </c>
      <c r="I18" s="62" t="inlineStr">
        <is>
          <t>Este delincuente, que no seguirá delinquiendo porque le cayó la mano de hierro del Estado, tenía arrodillada a la población, llena de miedo”, afirmó el mandatario colombiano en una declaración que dio desde La Guajira.</t>
        </is>
      </c>
      <c r="J18" s="62" t="n"/>
      <c r="K18" s="62" t="n"/>
      <c r="L18" s="62" t="n"/>
      <c r="M18" s="62" t="n"/>
      <c r="N18" s="62" t="n"/>
      <c r="O18" s="62" t="n"/>
      <c r="P18" s="62" t="n"/>
      <c r="Q18" s="62" t="n"/>
      <c r="R18" s="62" t="n"/>
      <c r="S18" s="62" t="n"/>
      <c r="T18" s="62" t="n"/>
      <c r="U18" s="62" t="n"/>
      <c r="V18" s="62" t="n"/>
      <c r="W18" s="62" t="n"/>
      <c r="X18" s="62" t="n"/>
      <c r="Y18" s="62" t="n"/>
      <c r="Z18" s="62" t="n"/>
      <c r="AA18" s="62" t="n"/>
      <c r="AB18" s="62" t="n"/>
      <c r="AC18" s="62" t="n"/>
      <c r="AD18" s="62" t="n"/>
      <c r="AE18" s="62" t="n"/>
      <c r="AF18" s="61">
        <f>IF(COUNTIF($B$5:B18,B18)=1,1,0)</f>
        <v/>
      </c>
      <c r="AG18" s="62" t="inlineStr">
        <is>
          <t>https://www.semana.com/politica/articulo/la-publicacion-de-abelardo-de-la-espriella-que-vaticinaba-la-suerte-que-iba-a-tener-alias-bendito-menor-que-impacto-las-redes/202657/</t>
        </is>
      </c>
    </row>
    <row r="19">
      <c r="A19" s="62" t="inlineStr">
        <is>
          <t>ART_014</t>
        </is>
      </c>
      <c r="B19" s="62" t="inlineStr">
        <is>
          <t>ART_014_S08</t>
        </is>
      </c>
      <c r="C19" s="62" t="inlineStr">
        <is>
          <t>Semana</t>
        </is>
      </c>
      <c r="D19" s="62" t="inlineStr">
        <is>
          <t>Política</t>
        </is>
      </c>
      <c r="E19" s="62" t="inlineStr">
        <is>
          <t>Noticia dura</t>
        </is>
      </c>
      <c r="F19" s="62" t="inlineStr">
        <is>
          <t>Fri, 04 Sep 2026 20:38:57 +0000</t>
        </is>
      </c>
      <c r="G19" s="62" t="inlineStr">
        <is>
          <t>Este delincuente, que no seguirá delinquiendo porque le cayó la mano de hierro del Estado, tenía arrodillada a la población, llena de miedo”, afirmó el mandatario colombiano en una declaración que dio desde La Guajira.</t>
        </is>
      </c>
      <c r="H19" s="62" t="inlineStr">
        <is>
          <t>“Hoy ha llegado el fin de las actividades criminales de este narcoterrorista que tenía azotada a La Guajira y al Caribe colombiano mediante el narcotráfico, la extorsión y la presión a la población.</t>
        </is>
      </c>
      <c r="I19" s="62" t="inlineStr">
        <is>
          <t>También expresó: “En el Gobierno del Tigre la gente de bien no volverá a sentir miedo.</t>
        </is>
      </c>
      <c r="J19" s="62" t="n"/>
      <c r="K19" s="62" t="n"/>
      <c r="L19" s="62" t="n"/>
      <c r="M19" s="62" t="n"/>
      <c r="N19" s="62" t="n"/>
      <c r="O19" s="62" t="n"/>
      <c r="P19" s="62" t="n"/>
      <c r="Q19" s="62" t="n"/>
      <c r="R19" s="62" t="n"/>
      <c r="S19" s="62" t="n"/>
      <c r="T19" s="62" t="n"/>
      <c r="U19" s="62" t="n"/>
      <c r="V19" s="62" t="n"/>
      <c r="W19" s="62" t="n"/>
      <c r="X19" s="62" t="n"/>
      <c r="Y19" s="62" t="n"/>
      <c r="Z19" s="62" t="n"/>
      <c r="AA19" s="62" t="n"/>
      <c r="AB19" s="62" t="n"/>
      <c r="AC19" s="62" t="n"/>
      <c r="AD19" s="62" t="n"/>
      <c r="AE19" s="62" t="n"/>
      <c r="AF19" s="61">
        <f>IF(COUNTIF($B$5:B19,B19)=1,1,0)</f>
        <v/>
      </c>
      <c r="AG19" s="62" t="inlineStr">
        <is>
          <t>https://www.semana.com/politica/articulo/la-publicacion-de-abelardo-de-la-espriella-que-vaticinaba-la-suerte-que-iba-a-tener-alias-bendito-menor-que-impacto-las-redes/202657/</t>
        </is>
      </c>
    </row>
    <row r="20">
      <c r="A20" s="62" t="inlineStr">
        <is>
          <t>ART_014</t>
        </is>
      </c>
      <c r="B20" s="62" t="inlineStr">
        <is>
          <t>ART_014_S09</t>
        </is>
      </c>
      <c r="C20" s="62" t="inlineStr">
        <is>
          <t>Semana</t>
        </is>
      </c>
      <c r="D20" s="62" t="inlineStr">
        <is>
          <t>Política</t>
        </is>
      </c>
      <c r="E20" s="62" t="inlineStr">
        <is>
          <t>Noticia dura</t>
        </is>
      </c>
      <c r="F20" s="62" t="inlineStr">
        <is>
          <t>Fri, 04 Sep 2026 20:38:57 +0000</t>
        </is>
      </c>
      <c r="G20" s="62" t="inlineStr">
        <is>
          <t>También expresó: “En el Gobierno del Tigre la gente de bien no volverá a sentir miedo.</t>
        </is>
      </c>
      <c r="H20" s="62" t="inlineStr">
        <is>
          <t>Este delincuente, que no seguirá delinquiendo porque le cayó la mano de hierro del Estado, tenía arrodillada a la población, llena de miedo”, afirmó el mandatario colombiano en una declaración que dio desde La Guajira.</t>
        </is>
      </c>
      <c r="I20" s="62" t="inlineStr">
        <is>
          <t>Los que tienen que sentir pánico y terror son los delincuentes, porque aquellos que no se sometan terminarán de esta forma.</t>
        </is>
      </c>
      <c r="J20" s="62" t="n"/>
      <c r="K20" s="62" t="n"/>
      <c r="L20" s="62" t="n"/>
      <c r="M20" s="62" t="n"/>
      <c r="N20" s="62" t="n"/>
      <c r="O20" s="62" t="n"/>
      <c r="P20" s="62" t="n"/>
      <c r="Q20" s="62" t="n"/>
      <c r="R20" s="62" t="n"/>
      <c r="S20" s="62" t="n"/>
      <c r="T20" s="62" t="n"/>
      <c r="U20" s="62" t="n"/>
      <c r="V20" s="62" t="n"/>
      <c r="W20" s="62" t="n"/>
      <c r="X20" s="62" t="n"/>
      <c r="Y20" s="62" t="n"/>
      <c r="Z20" s="62" t="n"/>
      <c r="AA20" s="62" t="n"/>
      <c r="AB20" s="62" t="n"/>
      <c r="AC20" s="62" t="n"/>
      <c r="AD20" s="62" t="n"/>
      <c r="AE20" s="62" t="n"/>
      <c r="AF20" s="61">
        <f>IF(COUNTIF($B$5:B20,B20)=1,1,0)</f>
        <v/>
      </c>
      <c r="AG20" s="62" t="inlineStr">
        <is>
          <t>https://www.semana.com/politica/articulo/la-publicacion-de-abelardo-de-la-espriella-que-vaticinaba-la-suerte-que-iba-a-tener-alias-bendito-menor-que-impacto-las-redes/202657/</t>
        </is>
      </c>
    </row>
    <row r="21">
      <c r="A21" s="62" t="inlineStr">
        <is>
          <t>ART_014</t>
        </is>
      </c>
      <c r="B21" s="62" t="inlineStr">
        <is>
          <t>ART_014_S10</t>
        </is>
      </c>
      <c r="C21" s="62" t="inlineStr">
        <is>
          <t>Semana</t>
        </is>
      </c>
      <c r="D21" s="62" t="inlineStr">
        <is>
          <t>Política</t>
        </is>
      </c>
      <c r="E21" s="62" t="inlineStr">
        <is>
          <t>Noticia dura</t>
        </is>
      </c>
      <c r="F21" s="62" t="inlineStr">
        <is>
          <t>Fri, 04 Sep 2026 20:38:57 +0000</t>
        </is>
      </c>
      <c r="G21" s="62" t="inlineStr">
        <is>
          <t>Los que tienen que sentir pánico y terror son los delincuentes, porque aquellos que no se sometan terminarán de esta forma.</t>
        </is>
      </c>
      <c r="H21" s="62" t="inlineStr">
        <is>
          <t>También expresó: “En el Gobierno del Tigre la gente de bien no volverá a sentir miedo.</t>
        </is>
      </c>
      <c r="I21" s="62" t="n"/>
      <c r="J21" s="62" t="n"/>
      <c r="K21" s="62" t="n"/>
      <c r="L21" s="62" t="n"/>
      <c r="M21" s="62" t="n"/>
      <c r="N21" s="62" t="n"/>
      <c r="O21" s="62" t="n"/>
      <c r="P21" s="62" t="n"/>
      <c r="Q21" s="62" t="n"/>
      <c r="R21" s="62" t="n"/>
      <c r="S21" s="62" t="n"/>
      <c r="T21" s="62" t="n"/>
      <c r="U21" s="62" t="n"/>
      <c r="V21" s="62" t="n"/>
      <c r="W21" s="62" t="n"/>
      <c r="X21" s="62" t="n"/>
      <c r="Y21" s="62" t="n"/>
      <c r="Z21" s="62" t="n"/>
      <c r="AA21" s="62" t="n"/>
      <c r="AB21" s="62" t="n"/>
      <c r="AC21" s="62" t="n"/>
      <c r="AD21" s="62" t="n"/>
      <c r="AE21" s="62" t="n"/>
      <c r="AF21" s="61">
        <f>IF(COUNTIF($B$5:B21,B21)=1,1,0)</f>
        <v/>
      </c>
      <c r="AG21" s="62" t="inlineStr">
        <is>
          <t>https://www.semana.com/politica/articulo/la-publicacion-de-abelardo-de-la-espriella-que-vaticinaba-la-suerte-que-iba-a-tener-alias-bendito-menor-que-impacto-las-redes/202657/</t>
        </is>
      </c>
    </row>
    <row r="22">
      <c r="A22" s="62" t="inlineStr">
        <is>
          <t>ART_015</t>
        </is>
      </c>
      <c r="B22" s="62" t="inlineStr">
        <is>
          <t>ART_015_S01</t>
        </is>
      </c>
      <c r="C22" s="62" t="inlineStr">
        <is>
          <t>El Tiempo</t>
        </is>
      </c>
      <c r="D22" s="62" t="inlineStr">
        <is>
          <t>Política</t>
        </is>
      </c>
      <c r="E22" s="62" t="inlineStr">
        <is>
          <t>Noticia dura</t>
        </is>
      </c>
      <c r="F22" s="62" t="inlineStr">
        <is>
          <t>2026-09-04T16:28:46-05:00</t>
        </is>
      </c>
      <c r="G22"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H22" s="62" t="n"/>
      <c r="I22" s="62" t="inlineStr">
        <is>
          <t>Trump hizo estas declaraciones en el Despacho Oval al ser consultado por periodistas sobre su amenaza de suspender el comercio con países que mantienen un superávit comercial frente a Estados Unidos.</t>
        </is>
      </c>
      <c r="J22" s="62" t="n"/>
      <c r="K22" s="62" t="n"/>
      <c r="L22" s="62" t="n"/>
      <c r="M22" s="62" t="n"/>
      <c r="N22" s="62" t="n"/>
      <c r="O22" s="62" t="n"/>
      <c r="P22" s="62" t="n"/>
      <c r="Q22" s="62" t="n"/>
      <c r="R22" s="62" t="n"/>
      <c r="S22" s="62" t="n"/>
      <c r="T22" s="62" t="n"/>
      <c r="U22" s="62" t="n"/>
      <c r="V22" s="62" t="n"/>
      <c r="W22" s="62" t="n"/>
      <c r="X22" s="62" t="n"/>
      <c r="Y22" s="62" t="n"/>
      <c r="Z22" s="62" t="n"/>
      <c r="AA22" s="62" t="n"/>
      <c r="AB22" s="62" t="n"/>
      <c r="AC22" s="62" t="n"/>
      <c r="AD22" s="62" t="n"/>
      <c r="AE22" s="62" t="n"/>
      <c r="AF22" s="61">
        <f>IF(COUNTIF($B$5:B22,B22)=1,1,0)</f>
        <v/>
      </c>
      <c r="AG22" s="62" t="inlineStr">
        <is>
          <t>https://www.eltiempo.com/mundo/eeuu-y-canada/tamales-picantes-y-tomates-estas-fueron-las-polemicas-declaraciones-de-trump-sobre-la-relacion-comercial-entre-mexico-y-estados-unidos-3583705</t>
        </is>
      </c>
    </row>
    <row r="23">
      <c r="A23" s="62" t="inlineStr">
        <is>
          <t>ART_015</t>
        </is>
      </c>
      <c r="B23" s="62" t="inlineStr">
        <is>
          <t>ART_015_S02</t>
        </is>
      </c>
      <c r="C23" s="62" t="inlineStr">
        <is>
          <t>El Tiempo</t>
        </is>
      </c>
      <c r="D23" s="62" t="inlineStr">
        <is>
          <t>Política</t>
        </is>
      </c>
      <c r="E23" s="62" t="inlineStr">
        <is>
          <t>Noticia dura</t>
        </is>
      </c>
      <c r="F23" s="62" t="inlineStr">
        <is>
          <t>2026-09-04T16:28:46-05:00</t>
        </is>
      </c>
      <c r="G23" s="62" t="inlineStr">
        <is>
          <t>Trump hizo estas declaraciones en el Despacho Oval al ser consultado por periodistas sobre su amenaza de suspender el comercio con países que mantienen un superávit comercial frente a Estados Unidos.</t>
        </is>
      </c>
      <c r="H23" s="62"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I23" s="62" t="n"/>
      <c r="J23" s="62" t="n"/>
      <c r="K23" s="62" t="n"/>
      <c r="L23" s="62" t="n"/>
      <c r="M23" s="62" t="n"/>
      <c r="N23" s="62" t="n"/>
      <c r="O23" s="62" t="n"/>
      <c r="P23" s="62" t="n"/>
      <c r="Q23" s="62" t="n"/>
      <c r="R23" s="62" t="n"/>
      <c r="S23" s="62" t="n"/>
      <c r="T23" s="62" t="n"/>
      <c r="U23" s="62" t="n"/>
      <c r="V23" s="62" t="n"/>
      <c r="W23" s="62" t="n"/>
      <c r="X23" s="62" t="n"/>
      <c r="Y23" s="62" t="n"/>
      <c r="Z23" s="62" t="n"/>
      <c r="AA23" s="62" t="n"/>
      <c r="AB23" s="62" t="n"/>
      <c r="AC23" s="62" t="n"/>
      <c r="AD23" s="62" t="n"/>
      <c r="AE23" s="62" t="n"/>
      <c r="AF23" s="61">
        <f>IF(COUNTIF($B$5:B23,B23)=1,1,0)</f>
        <v/>
      </c>
      <c r="AG23" s="62" t="inlineStr">
        <is>
          <t>https://www.eltiempo.com/mundo/eeuu-y-canada/tamales-picantes-y-tomates-estas-fueron-las-polemicas-declaraciones-de-trump-sobre-la-relacion-comercial-entre-mexico-y-estados-unidos-3583705</t>
        </is>
      </c>
    </row>
    <row r="24">
      <c r="A24" s="62" t="inlineStr">
        <is>
          <t>ART_016</t>
        </is>
      </c>
      <c r="B24" s="62" t="inlineStr">
        <is>
          <t>ART_016_S01</t>
        </is>
      </c>
      <c r="C24" s="62" t="inlineStr">
        <is>
          <t>El Tiempo</t>
        </is>
      </c>
      <c r="D24" s="62" t="inlineStr">
        <is>
          <t>Política</t>
        </is>
      </c>
      <c r="E24" s="62" t="inlineStr">
        <is>
          <t>Noticia dura</t>
        </is>
      </c>
      <c r="F24" s="62" t="inlineStr">
        <is>
          <t>2026-09-04T16:23:07-05:00</t>
        </is>
      </c>
      <c r="G24" s="62" t="inlineStr">
        <is>
          <t>Después de estar al frente de la Décima Primera Brigada, el brigadier general Óscar del Cristo Díaz Montiel asumió una nueva responsabilidad dentro de la estructura del Ejército.</t>
        </is>
      </c>
      <c r="H24" s="62" t="n"/>
      <c r="I24" s="62" t="inlineStr">
        <is>
          <t>El oficial fue designado comandante del Comando de Educación y Doctrina (Cedoc), desde donde tendrá a cargo los lineamientos para la formación, instrucción y entrenamiento de los integrantes de la Fuerza.</t>
        </is>
      </c>
      <c r="J24" s="62" t="n"/>
      <c r="K24" s="62" t="n"/>
      <c r="L24" s="62" t="n"/>
      <c r="M24" s="62" t="n"/>
      <c r="N24" s="62" t="n"/>
      <c r="O24" s="62" t="n"/>
      <c r="P24" s="62" t="n"/>
      <c r="Q24" s="62" t="n"/>
      <c r="R24" s="62" t="n"/>
      <c r="S24" s="62" t="n"/>
      <c r="T24" s="62" t="n"/>
      <c r="U24" s="62" t="n"/>
      <c r="V24" s="62" t="n"/>
      <c r="W24" s="62" t="n"/>
      <c r="X24" s="62" t="n"/>
      <c r="Y24" s="62" t="n"/>
      <c r="Z24" s="62" t="n"/>
      <c r="AA24" s="62" t="n"/>
      <c r="AB24" s="62" t="n"/>
      <c r="AC24" s="62" t="n"/>
      <c r="AD24" s="62" t="n"/>
      <c r="AE24" s="62" t="n"/>
      <c r="AF24" s="61">
        <f>IF(COUNTIF($B$5:B24,B24)=1,1,0)</f>
        <v/>
      </c>
      <c r="AG24" s="62" t="inlineStr">
        <is>
          <t>https://www.eltiempo.com/justicia/conflicto-y-narcotrafico/general-oscar-diaz-montiel-asume-el-comando-de-educacion-y-doctrina-del-ejercito-3583704</t>
        </is>
      </c>
    </row>
    <row r="25">
      <c r="A25" s="62" t="inlineStr">
        <is>
          <t>ART_016</t>
        </is>
      </c>
      <c r="B25" s="62" t="inlineStr">
        <is>
          <t>ART_016_S02</t>
        </is>
      </c>
      <c r="C25" s="62" t="inlineStr">
        <is>
          <t>El Tiempo</t>
        </is>
      </c>
      <c r="D25" s="62" t="inlineStr">
        <is>
          <t>Política</t>
        </is>
      </c>
      <c r="E25" s="62" t="inlineStr">
        <is>
          <t>Noticia dura</t>
        </is>
      </c>
      <c r="F25" s="62" t="inlineStr">
        <is>
          <t>2026-09-04T16:23:07-05:00</t>
        </is>
      </c>
      <c r="G25" s="62" t="inlineStr">
        <is>
          <t>El oficial fue designado comandante del Comando de Educación y Doctrina (Cedoc), desde donde tendrá a cargo los lineamientos para la formación, instrucción y entrenamiento de los integrantes de la Fuerza.</t>
        </is>
      </c>
      <c r="H25" s="62" t="inlineStr">
        <is>
          <t>Después de estar al frente de la Décima Primera Brigada, el brigadier general Óscar del Cristo Díaz Montiel asumió una nueva responsabilidad dentro de la estructura del Ejército.</t>
        </is>
      </c>
      <c r="I25" s="62" t="n"/>
      <c r="J25" s="62" t="n"/>
      <c r="K25" s="62" t="n"/>
      <c r="L25" s="62" t="n"/>
      <c r="M25" s="62" t="n"/>
      <c r="N25" s="62" t="n"/>
      <c r="O25" s="62" t="n"/>
      <c r="P25" s="62" t="n"/>
      <c r="Q25" s="62" t="n"/>
      <c r="R25" s="62" t="n"/>
      <c r="S25" s="62" t="n"/>
      <c r="T25" s="62" t="n"/>
      <c r="U25" s="62" t="n"/>
      <c r="V25" s="62" t="n"/>
      <c r="W25" s="62" t="n"/>
      <c r="X25" s="62" t="n"/>
      <c r="Y25" s="62" t="n"/>
      <c r="Z25" s="62" t="n"/>
      <c r="AA25" s="62" t="n"/>
      <c r="AB25" s="62" t="n"/>
      <c r="AC25" s="62" t="n"/>
      <c r="AD25" s="62" t="n"/>
      <c r="AE25" s="62" t="n"/>
      <c r="AF25" s="61">
        <f>IF(COUNTIF($B$5:B25,B25)=1,1,0)</f>
        <v/>
      </c>
      <c r="AG25" s="62" t="inlineStr">
        <is>
          <t>https://www.eltiempo.com/justicia/conflicto-y-narcotrafico/general-oscar-diaz-montiel-asume-el-comando-de-educacion-y-doctrina-del-ejercito-3583704</t>
        </is>
      </c>
    </row>
    <row r="26">
      <c r="A26" s="62" t="inlineStr">
        <is>
          <t>ART_026</t>
        </is>
      </c>
      <c r="B26" s="62" t="inlineStr">
        <is>
          <t>ART_026_S01</t>
        </is>
      </c>
      <c r="C26" s="62" t="inlineStr">
        <is>
          <t>Semana</t>
        </is>
      </c>
      <c r="D26" s="62" t="inlineStr">
        <is>
          <t>Política</t>
        </is>
      </c>
      <c r="E26" s="62" t="inlineStr">
        <is>
          <t>Noticia dura</t>
        </is>
      </c>
      <c r="F26" s="62" t="inlineStr">
        <is>
          <t>Thu, 03 Sep 2026 02:25:55 +0000</t>
        </is>
      </c>
      <c r="G26"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H26" s="62" t="n"/>
      <c r="I26" s="62" t="inlineStr">
        <is>
          <t>Según Valora Analitik, la decisión se conoció luego de que el alto tribunal revisara las disposiciones de la reforma que cambiarán las reglas del sistema de pensiones.</t>
        </is>
      </c>
      <c r="J26" s="62" t="n"/>
      <c r="K26" s="62" t="n"/>
      <c r="L26" s="62" t="n"/>
      <c r="M26" s="62" t="n"/>
      <c r="N26" s="62" t="n"/>
      <c r="O26" s="62" t="n"/>
      <c r="P26" s="62" t="n"/>
      <c r="Q26" s="62" t="n"/>
      <c r="R26" s="62" t="n"/>
      <c r="S26" s="62" t="n"/>
      <c r="T26" s="62" t="n"/>
      <c r="U26" s="62" t="n"/>
      <c r="V26" s="62" t="n"/>
      <c r="W26" s="62" t="n"/>
      <c r="X26" s="62" t="n"/>
      <c r="Y26" s="62" t="n"/>
      <c r="Z26" s="62" t="n"/>
      <c r="AA26" s="62" t="n"/>
      <c r="AB26" s="62" t="n"/>
      <c r="AC26" s="62" t="n"/>
      <c r="AD26" s="62" t="n"/>
      <c r="AE26" s="62" t="n"/>
      <c r="AF26" s="61">
        <f>IF(COUNTIF($B$5:B26,B26)=1,1,0)</f>
        <v/>
      </c>
      <c r="AG26" s="62" t="inlineStr">
        <is>
          <t>https://www.semana.com/economia/management/articulo/se-acaba-en-2027-la-corte-constitucional-aclaro-que-pasara-con-el-auxilio-funerario-de-colpensiones/202655/</t>
        </is>
      </c>
    </row>
    <row r="27">
      <c r="A27" s="62" t="inlineStr">
        <is>
          <t>ART_026</t>
        </is>
      </c>
      <c r="B27" s="62" t="inlineStr">
        <is>
          <t>ART_026_S02</t>
        </is>
      </c>
      <c r="C27" s="62" t="inlineStr">
        <is>
          <t>Semana</t>
        </is>
      </c>
      <c r="D27" s="62" t="inlineStr">
        <is>
          <t>Política</t>
        </is>
      </c>
      <c r="E27" s="62" t="inlineStr">
        <is>
          <t>Noticia dura</t>
        </is>
      </c>
      <c r="F27" s="62" t="inlineStr">
        <is>
          <t>Thu, 03 Sep 2026 02:25:55 +0000</t>
        </is>
      </c>
      <c r="G27" s="62" t="inlineStr">
        <is>
          <t>Según Valora Analitik, la decisión se conoció luego de que el alto tribunal revisara las disposiciones de la reforma que cambiarán las reglas del sistema de pensiones.</t>
        </is>
      </c>
      <c r="H27" s="62" t="inlineStr">
        <is>
          <t>La Corte Constitucional señaló que el auxilio funerario contemplado dentro del sistema pensional se mantendrá en Colombia a partir de 2027, despejando así una de las dudas que había surgido alrededor de la entrada en vigencia de la reforma pensional.</t>
        </is>
      </c>
      <c r="I27" s="62" t="inlineStr">
        <is>
          <t>Aunque el nuevo modelo traerá modificaciones para los afiliados, la prestación destinada a cubrir parte de los gastos funerarios continuará vigente.</t>
        </is>
      </c>
      <c r="J27" s="62" t="n"/>
      <c r="K27" s="62" t="n"/>
      <c r="L27" s="62" t="n"/>
      <c r="M27" s="62" t="n"/>
      <c r="N27" s="62" t="n"/>
      <c r="O27" s="62" t="n"/>
      <c r="P27" s="62" t="n"/>
      <c r="Q27" s="62" t="n"/>
      <c r="R27" s="62" t="n"/>
      <c r="S27" s="62" t="n"/>
      <c r="T27" s="62" t="n"/>
      <c r="U27" s="62" t="n"/>
      <c r="V27" s="62" t="n"/>
      <c r="W27" s="62" t="n"/>
      <c r="X27" s="62" t="n"/>
      <c r="Y27" s="62" t="n"/>
      <c r="Z27" s="62" t="n"/>
      <c r="AA27" s="62" t="n"/>
      <c r="AB27" s="62" t="n"/>
      <c r="AC27" s="62" t="n"/>
      <c r="AD27" s="62" t="n"/>
      <c r="AE27" s="62" t="n"/>
      <c r="AF27" s="61">
        <f>IF(COUNTIF($B$5:B27,B27)=1,1,0)</f>
        <v/>
      </c>
      <c r="AG27" s="62" t="inlineStr">
        <is>
          <t>https://www.semana.com/economia/management/articulo/se-acaba-en-2027-la-corte-constitucional-aclaro-que-pasara-con-el-auxilio-funerario-de-colpensiones/202655/</t>
        </is>
      </c>
    </row>
    <row r="28">
      <c r="A28" s="62" t="inlineStr">
        <is>
          <t>ART_026</t>
        </is>
      </c>
      <c r="B28" s="62" t="inlineStr">
        <is>
          <t>ART_026_S03</t>
        </is>
      </c>
      <c r="C28" s="62" t="inlineStr">
        <is>
          <t>Semana</t>
        </is>
      </c>
      <c r="D28" s="62" t="inlineStr">
        <is>
          <t>Política</t>
        </is>
      </c>
      <c r="E28" s="62" t="inlineStr">
        <is>
          <t>Noticia dura</t>
        </is>
      </c>
      <c r="F28" s="62" t="inlineStr">
        <is>
          <t>Thu, 03 Sep 2026 02:25:55 +0000</t>
        </is>
      </c>
      <c r="G28" s="62" t="inlineStr">
        <is>
          <t>Aunque el nuevo modelo traerá modificaciones para los afiliados, la prestación destinada a cubrir parte de los gastos funerarios continuará vigente.</t>
        </is>
      </c>
      <c r="H28" s="62" t="inlineStr">
        <is>
          <t>Según Valora Analitik, la decisión se conoció luego de que el alto tribunal revisara las disposiciones de la reforma que cambiarán las reglas del sistema de pensiones.</t>
        </is>
      </c>
      <c r="I28" s="62" t="inlineStr">
        <is>
          <t>El auxilio funerario es un reconocimiento económico que puede recibir la persona que demuestre haber asumido los gastos del funeral de un afiliado o pensionado fallecido.</t>
        </is>
      </c>
      <c r="J28" s="62" t="n"/>
      <c r="K28" s="62" t="n"/>
      <c r="L28" s="62" t="n"/>
      <c r="M28" s="62" t="n"/>
      <c r="N28" s="62" t="n"/>
      <c r="O28" s="62" t="n"/>
      <c r="P28" s="62" t="n"/>
      <c r="Q28" s="62" t="n"/>
      <c r="R28" s="62" t="n"/>
      <c r="S28" s="62" t="n"/>
      <c r="T28" s="62" t="n"/>
      <c r="U28" s="62" t="n"/>
      <c r="V28" s="62" t="n"/>
      <c r="W28" s="62" t="n"/>
      <c r="X28" s="62" t="n"/>
      <c r="Y28" s="62" t="n"/>
      <c r="Z28" s="62" t="n"/>
      <c r="AA28" s="62" t="n"/>
      <c r="AB28" s="62" t="n"/>
      <c r="AC28" s="62" t="n"/>
      <c r="AD28" s="62" t="n"/>
      <c r="AE28" s="62" t="n"/>
      <c r="AF28" s="61">
        <f>IF(COUNTIF($B$5:B28,B28)=1,1,0)</f>
        <v/>
      </c>
      <c r="AG28" s="62" t="inlineStr">
        <is>
          <t>https://www.semana.com/economia/management/articulo/se-acaba-en-2027-la-corte-constitucional-aclaro-que-pasara-con-el-auxilio-funerario-de-colpensiones/202655/</t>
        </is>
      </c>
    </row>
    <row r="29">
      <c r="A29" s="62" t="inlineStr">
        <is>
          <t>ART_026</t>
        </is>
      </c>
      <c r="B29" s="62" t="inlineStr">
        <is>
          <t>ART_026_S04</t>
        </is>
      </c>
      <c r="C29" s="62" t="inlineStr">
        <is>
          <t>Semana</t>
        </is>
      </c>
      <c r="D29" s="62" t="inlineStr">
        <is>
          <t>Política</t>
        </is>
      </c>
      <c r="E29" s="62" t="inlineStr">
        <is>
          <t>Noticia dura</t>
        </is>
      </c>
      <c r="F29" s="62" t="inlineStr">
        <is>
          <t>Thu, 03 Sep 2026 02:25:55 +0000</t>
        </is>
      </c>
      <c r="G29" s="62" t="inlineStr">
        <is>
          <t>El auxilio funerario es un reconocimiento económico que puede recibir la persona que demuestre haber asumido los gastos del funeral de un afiliado o pensionado fallecido.</t>
        </is>
      </c>
      <c r="H29" s="62" t="inlineStr">
        <is>
          <t>Aunque el nuevo modelo traerá modificaciones para los afiliados, la prestación destinada a cubrir parte de los gastos funerarios continuará vigente.</t>
        </is>
      </c>
      <c r="I29" s="62" t="inlineStr">
        <is>
          <t>Se trata de un apoyo que busca reducir el impacto económico que puede representar para una familia afrontar este tipo de gastos.</t>
        </is>
      </c>
      <c r="J29" s="62" t="n"/>
      <c r="K29" s="62" t="n"/>
      <c r="L29" s="62" t="n"/>
      <c r="M29" s="62" t="n"/>
      <c r="N29" s="62" t="n"/>
      <c r="O29" s="62" t="n"/>
      <c r="P29" s="62" t="n"/>
      <c r="Q29" s="62" t="n"/>
      <c r="R29" s="62" t="n"/>
      <c r="S29" s="62" t="n"/>
      <c r="T29" s="62" t="n"/>
      <c r="U29" s="62" t="n"/>
      <c r="V29" s="62" t="n"/>
      <c r="W29" s="62" t="n"/>
      <c r="X29" s="62" t="n"/>
      <c r="Y29" s="62" t="n"/>
      <c r="Z29" s="62" t="n"/>
      <c r="AA29" s="62" t="n"/>
      <c r="AB29" s="62" t="n"/>
      <c r="AC29" s="62" t="n"/>
      <c r="AD29" s="62" t="n"/>
      <c r="AE29" s="62" t="n"/>
      <c r="AF29" s="61">
        <f>IF(COUNTIF($B$5:B29,B29)=1,1,0)</f>
        <v/>
      </c>
      <c r="AG29" s="62" t="inlineStr">
        <is>
          <t>https://www.semana.com/economia/management/articulo/se-acaba-en-2027-la-corte-constitucional-aclaro-que-pasara-con-el-auxilio-funerario-de-colpensiones/202655/</t>
        </is>
      </c>
    </row>
    <row r="30">
      <c r="A30" s="62" t="inlineStr">
        <is>
          <t>ART_026</t>
        </is>
      </c>
      <c r="B30" s="62" t="inlineStr">
        <is>
          <t>ART_026_S05</t>
        </is>
      </c>
      <c r="C30" s="62" t="inlineStr">
        <is>
          <t>Semana</t>
        </is>
      </c>
      <c r="D30" s="62" t="inlineStr">
        <is>
          <t>Política</t>
        </is>
      </c>
      <c r="E30" s="62" t="inlineStr">
        <is>
          <t>Noticia dura</t>
        </is>
      </c>
      <c r="F30" s="62" t="inlineStr">
        <is>
          <t>Thu, 03 Sep 2026 02:25:55 +0000</t>
        </is>
      </c>
      <c r="G30" s="62" t="inlineStr">
        <is>
          <t>Se trata de un apoyo que busca reducir el impacto económico que puede representar para una familia afrontar este tipo de gastos.</t>
        </is>
      </c>
      <c r="H30" s="62" t="inlineStr">
        <is>
          <t>El auxilio funerario es un reconocimiento económico que puede recibir la persona que demuestre haber asumido los gastos del funeral de un afiliado o pensionado fallecido.</t>
        </is>
      </c>
      <c r="I30" s="62" t="inlineStr">
        <is>
          <t>De acuerdo con lo establecido en las normas que regulan la prestación, el monto del auxilio está relacionado con la situación pensional o salarial que tenía la persona fallecida.</t>
        </is>
      </c>
      <c r="J30" s="62" t="n"/>
      <c r="K30" s="62" t="n"/>
      <c r="L30" s="62" t="n"/>
      <c r="M30" s="62" t="n"/>
      <c r="N30" s="62" t="n"/>
      <c r="O30" s="62" t="n"/>
      <c r="P30" s="62" t="n"/>
      <c r="Q30" s="62" t="n"/>
      <c r="R30" s="62" t="n"/>
      <c r="S30" s="62" t="n"/>
      <c r="T30" s="62" t="n"/>
      <c r="U30" s="62" t="n"/>
      <c r="V30" s="62" t="n"/>
      <c r="W30" s="62" t="n"/>
      <c r="X30" s="62" t="n"/>
      <c r="Y30" s="62" t="n"/>
      <c r="Z30" s="62" t="n"/>
      <c r="AA30" s="62" t="n"/>
      <c r="AB30" s="62" t="n"/>
      <c r="AC30" s="62" t="n"/>
      <c r="AD30" s="62" t="n"/>
      <c r="AE30" s="62" t="n"/>
      <c r="AF30" s="61">
        <f>IF(COUNTIF($B$5:B30,B30)=1,1,0)</f>
        <v/>
      </c>
      <c r="AG30" s="62" t="inlineStr">
        <is>
          <t>https://www.semana.com/economia/management/articulo/se-acaba-en-2027-la-corte-constitucional-aclaro-que-pasara-con-el-auxilio-funerario-de-colpensiones/202655/</t>
        </is>
      </c>
    </row>
    <row r="31">
      <c r="A31" s="62" t="inlineStr">
        <is>
          <t>ART_026</t>
        </is>
      </c>
      <c r="B31" s="62" t="inlineStr">
        <is>
          <t>ART_026_S06</t>
        </is>
      </c>
      <c r="C31" s="62" t="inlineStr">
        <is>
          <t>Semana</t>
        </is>
      </c>
      <c r="D31" s="62" t="inlineStr">
        <is>
          <t>Política</t>
        </is>
      </c>
      <c r="E31" s="62" t="inlineStr">
        <is>
          <t>Noticia dura</t>
        </is>
      </c>
      <c r="F31" s="62" t="inlineStr">
        <is>
          <t>Thu, 03 Sep 2026 02:25:55 +0000</t>
        </is>
      </c>
      <c r="G31" s="62" t="inlineStr">
        <is>
          <t>De acuerdo con lo establecido en las normas que regulan la prestación, el monto del auxilio está relacionado con la situación pensional o salarial que tenía la persona fallecida.</t>
        </is>
      </c>
      <c r="H31" s="62" t="inlineStr">
        <is>
          <t>Se trata de un apoyo que busca reducir el impacto económico que puede representar para una familia afrontar este tipo de gastos.</t>
        </is>
      </c>
      <c r="I31" s="62" t="inlineStr">
        <is>
          <t>Además, existe un límite mínimo y máximo para determinar cuánto dinero puede recibir quien haga la reclamación.</t>
        </is>
      </c>
      <c r="J31" s="62" t="n"/>
      <c r="K31" s="62" t="n"/>
      <c r="L31" s="62" t="n"/>
      <c r="M31" s="62" t="n"/>
      <c r="N31" s="62" t="n"/>
      <c r="O31" s="62" t="n"/>
      <c r="P31" s="62" t="n"/>
      <c r="Q31" s="62" t="n"/>
      <c r="R31" s="62" t="n"/>
      <c r="S31" s="62" t="n"/>
      <c r="T31" s="62" t="n"/>
      <c r="U31" s="62" t="n"/>
      <c r="V31" s="62" t="n"/>
      <c r="W31" s="62" t="n"/>
      <c r="X31" s="62" t="n"/>
      <c r="Y31" s="62" t="n"/>
      <c r="Z31" s="62" t="n"/>
      <c r="AA31" s="62" t="n"/>
      <c r="AB31" s="62" t="n"/>
      <c r="AC31" s="62" t="n"/>
      <c r="AD31" s="62" t="n"/>
      <c r="AE31" s="62" t="n"/>
      <c r="AF31" s="61">
        <f>IF(COUNTIF($B$5:B31,B31)=1,1,0)</f>
        <v/>
      </c>
      <c r="AG31" s="62" t="inlineStr">
        <is>
          <t>https://www.semana.com/economia/management/articulo/se-acaba-en-2027-la-corte-constitucional-aclaro-que-pasara-con-el-auxilio-funerario-de-colpensiones/202655/</t>
        </is>
      </c>
    </row>
    <row r="32">
      <c r="A32" s="62" t="inlineStr">
        <is>
          <t>ART_026</t>
        </is>
      </c>
      <c r="B32" s="62" t="inlineStr">
        <is>
          <t>ART_026_S07</t>
        </is>
      </c>
      <c r="C32" s="62" t="inlineStr">
        <is>
          <t>Semana</t>
        </is>
      </c>
      <c r="D32" s="62" t="inlineStr">
        <is>
          <t>Política</t>
        </is>
      </c>
      <c r="E32" s="62" t="inlineStr">
        <is>
          <t>Noticia dura</t>
        </is>
      </c>
      <c r="F32" s="62" t="inlineStr">
        <is>
          <t>Thu, 03 Sep 2026 02:25:55 +0000</t>
        </is>
      </c>
      <c r="G32" s="62" t="inlineStr">
        <is>
          <t>Además, existe un límite mínimo y máximo para determinar cuánto dinero puede recibir quien haga la reclamación.</t>
        </is>
      </c>
      <c r="H32" s="62" t="inlineStr">
        <is>
          <t>De acuerdo con lo establecido en las normas que regulan la prestación, el monto del auxilio está relacionado con la situación pensional o salarial que tenía la persona fallecida.</t>
        </is>
      </c>
      <c r="I32" s="62" t="inlineStr">
        <is>
          <t>Con la decisión de la Corte, este beneficio no quedará eliminado cuando empiece a aplicarse el nuevo sistema pensional.</t>
        </is>
      </c>
      <c r="J32" s="62" t="n"/>
      <c r="K32" s="62" t="n"/>
      <c r="L32" s="62" t="n"/>
      <c r="M32" s="62" t="n"/>
      <c r="N32" s="62" t="n"/>
      <c r="O32" s="62" t="n"/>
      <c r="P32" s="62" t="n"/>
      <c r="Q32" s="62" t="n"/>
      <c r="R32" s="62" t="n"/>
      <c r="S32" s="62" t="n"/>
      <c r="T32" s="62" t="n"/>
      <c r="U32" s="62" t="n"/>
      <c r="V32" s="62" t="n"/>
      <c r="W32" s="62" t="n"/>
      <c r="X32" s="62" t="n"/>
      <c r="Y32" s="62" t="n"/>
      <c r="Z32" s="62" t="n"/>
      <c r="AA32" s="62" t="n"/>
      <c r="AB32" s="62" t="n"/>
      <c r="AC32" s="62" t="n"/>
      <c r="AD32" s="62" t="n"/>
      <c r="AE32" s="62" t="n"/>
      <c r="AF32" s="61">
        <f>IF(COUNTIF($B$5:B32,B32)=1,1,0)</f>
        <v/>
      </c>
      <c r="AG32" s="62" t="inlineStr">
        <is>
          <t>https://www.semana.com/economia/management/articulo/se-acaba-en-2027-la-corte-constitucional-aclaro-que-pasara-con-el-auxilio-funerario-de-colpensiones/202655/</t>
        </is>
      </c>
    </row>
    <row r="33">
      <c r="A33" s="62" t="inlineStr">
        <is>
          <t>ART_026</t>
        </is>
      </c>
      <c r="B33" s="62" t="inlineStr">
        <is>
          <t>ART_026_S08</t>
        </is>
      </c>
      <c r="C33" s="62" t="inlineStr">
        <is>
          <t>Semana</t>
        </is>
      </c>
      <c r="D33" s="62" t="inlineStr">
        <is>
          <t>Política</t>
        </is>
      </c>
      <c r="E33" s="62" t="inlineStr">
        <is>
          <t>Noticia dura</t>
        </is>
      </c>
      <c r="F33" s="62" t="inlineStr">
        <is>
          <t>Thu, 03 Sep 2026 02:25:55 +0000</t>
        </is>
      </c>
      <c r="G33" s="62" t="inlineStr">
        <is>
          <t>Con la decisión de la Corte, este beneficio no quedará eliminado cuando empiece a aplicarse el nuevo sistema pensional.</t>
        </is>
      </c>
      <c r="H33" s="62" t="inlineStr">
        <is>
          <t>Además, existe un límite mínimo y máximo para determinar cuánto dinero puede recibir quien haga la reclamación.</t>
        </is>
      </c>
      <c r="I33" s="62" t="inlineStr">
        <is>
          <t>Sin embargo, el valor exacto que tendrá el auxilio en 2027 todavía no se puede establecer, pues uno de los factores utilizados para calcularlo depende del salario mínimo que sea fijado para ese año.</t>
        </is>
      </c>
      <c r="J33" s="62" t="n"/>
      <c r="K33" s="62" t="n"/>
      <c r="L33" s="62" t="n"/>
      <c r="M33" s="62" t="n"/>
      <c r="N33" s="62" t="n"/>
      <c r="O33" s="62" t="n"/>
      <c r="P33" s="62" t="n"/>
      <c r="Q33" s="62" t="n"/>
      <c r="R33" s="62" t="n"/>
      <c r="S33" s="62" t="n"/>
      <c r="T33" s="62" t="n"/>
      <c r="U33" s="62" t="n"/>
      <c r="V33" s="62" t="n"/>
      <c r="W33" s="62" t="n"/>
      <c r="X33" s="62" t="n"/>
      <c r="Y33" s="62" t="n"/>
      <c r="Z33" s="62" t="n"/>
      <c r="AA33" s="62" t="n"/>
      <c r="AB33" s="62" t="n"/>
      <c r="AC33" s="62" t="n"/>
      <c r="AD33" s="62" t="n"/>
      <c r="AE33" s="62" t="n"/>
      <c r="AF33" s="61">
        <f>IF(COUNTIF($B$5:B33,B33)=1,1,0)</f>
        <v/>
      </c>
      <c r="AG33" s="62" t="inlineStr">
        <is>
          <t>https://www.semana.com/economia/management/articulo/se-acaba-en-2027-la-corte-constitucional-aclaro-que-pasara-con-el-auxilio-funerario-de-colpensiones/202655/</t>
        </is>
      </c>
    </row>
    <row r="34">
      <c r="A34" s="62" t="inlineStr">
        <is>
          <t>ART_026</t>
        </is>
      </c>
      <c r="B34" s="62" t="inlineStr">
        <is>
          <t>ART_026_S09</t>
        </is>
      </c>
      <c r="C34" s="62" t="inlineStr">
        <is>
          <t>Semana</t>
        </is>
      </c>
      <c r="D34" s="62" t="inlineStr">
        <is>
          <t>Política</t>
        </is>
      </c>
      <c r="E34" s="62" t="inlineStr">
        <is>
          <t>Noticia dura</t>
        </is>
      </c>
      <c r="F34" s="62" t="inlineStr">
        <is>
          <t>Thu, 03 Sep 2026 02:25:55 +0000</t>
        </is>
      </c>
      <c r="G34" s="62" t="inlineStr">
        <is>
          <t>Sin embargo, el valor exacto que tendrá el auxilio en 2027 todavía no se puede establecer, pues uno de los factores utilizados para calcularlo depende del salario mínimo que sea fijado para ese año.</t>
        </is>
      </c>
      <c r="H34" s="62" t="inlineStr">
        <is>
          <t>Con la decisión de la Corte, este beneficio no quedará eliminado cuando empiece a aplicarse el nuevo sistema pensional.</t>
        </is>
      </c>
      <c r="I34" s="62" t="inlineStr">
        <is>
          <t>Actualmente, la legislación contempla que el auxilio funerario debe estar dentro de un rango que va de cinco a diez salarios mínimos mensuales.</t>
        </is>
      </c>
      <c r="J34" s="62" t="n"/>
      <c r="K34" s="62" t="n"/>
      <c r="L34" s="62" t="n"/>
      <c r="M34" s="62" t="n"/>
      <c r="N34" s="62" t="n"/>
      <c r="O34" s="62" t="n"/>
      <c r="P34" s="62" t="n"/>
      <c r="Q34" s="62" t="n"/>
      <c r="R34" s="62" t="n"/>
      <c r="S34" s="62" t="n"/>
      <c r="T34" s="62" t="n"/>
      <c r="U34" s="62" t="n"/>
      <c r="V34" s="62" t="n"/>
      <c r="W34" s="62" t="n"/>
      <c r="X34" s="62" t="n"/>
      <c r="Y34" s="62" t="n"/>
      <c r="Z34" s="62" t="n"/>
      <c r="AA34" s="62" t="n"/>
      <c r="AB34" s="62" t="n"/>
      <c r="AC34" s="62" t="n"/>
      <c r="AD34" s="62" t="n"/>
      <c r="AE34" s="62" t="n"/>
      <c r="AF34" s="61">
        <f>IF(COUNTIF($B$5:B34,B34)=1,1,0)</f>
        <v/>
      </c>
      <c r="AG34" s="62" t="inlineStr">
        <is>
          <t>https://www.semana.com/economia/management/articulo/se-acaba-en-2027-la-corte-constitucional-aclaro-que-pasara-con-el-auxilio-funerario-de-colpensiones/202655/</t>
        </is>
      </c>
    </row>
    <row r="35">
      <c r="A35" s="62" t="inlineStr">
        <is>
          <t>ART_026</t>
        </is>
      </c>
      <c r="B35" s="62" t="inlineStr">
        <is>
          <t>ART_026_S10</t>
        </is>
      </c>
      <c r="C35" s="62" t="inlineStr">
        <is>
          <t>Semana</t>
        </is>
      </c>
      <c r="D35" s="62" t="inlineStr">
        <is>
          <t>Política</t>
        </is>
      </c>
      <c r="E35" s="62" t="inlineStr">
        <is>
          <t>Noticia dura</t>
        </is>
      </c>
      <c r="F35" s="62" t="inlineStr">
        <is>
          <t>Thu, 03 Sep 2026 02:25:55 +0000</t>
        </is>
      </c>
      <c r="G35" s="62" t="inlineStr">
        <is>
          <t>Actualmente, la legislación contempla que el auxilio funerario debe estar dentro de un rango que va de cinco a diez salarios mínimos mensuales.</t>
        </is>
      </c>
      <c r="H35" s="62" t="inlineStr">
        <is>
          <t>Sin embargo, el valor exacto que tendrá el auxilio en 2027 todavía no se puede establecer, pues uno de los factores utilizados para calcularlo depende del salario mínimo que sea fijado para ese año.</t>
        </is>
      </c>
      <c r="I35" s="62" t="n"/>
      <c r="J35" s="62" t="n"/>
      <c r="K35" s="62" t="n"/>
      <c r="L35" s="62" t="n"/>
      <c r="M35" s="62" t="n"/>
      <c r="N35" s="62" t="n"/>
      <c r="O35" s="62" t="n"/>
      <c r="P35" s="62" t="n"/>
      <c r="Q35" s="62" t="n"/>
      <c r="R35" s="62" t="n"/>
      <c r="S35" s="62" t="n"/>
      <c r="T35" s="62" t="n"/>
      <c r="U35" s="62" t="n"/>
      <c r="V35" s="62" t="n"/>
      <c r="W35" s="62" t="n"/>
      <c r="X35" s="62" t="n"/>
      <c r="Y35" s="62" t="n"/>
      <c r="Z35" s="62" t="n"/>
      <c r="AA35" s="62" t="n"/>
      <c r="AB35" s="62" t="n"/>
      <c r="AC35" s="62" t="n"/>
      <c r="AD35" s="62" t="n"/>
      <c r="AE35" s="62" t="n"/>
      <c r="AF35" s="61">
        <f>IF(COUNTIF($B$5:B35,B35)=1,1,0)</f>
        <v/>
      </c>
      <c r="AG35" s="62" t="inlineStr">
        <is>
          <t>https://www.semana.com/economia/management/articulo/se-acaba-en-2027-la-corte-constitucional-aclaro-que-pasara-con-el-auxilio-funerario-de-colpensiones/202655/</t>
        </is>
      </c>
    </row>
    <row r="36">
      <c r="A36" s="62" t="inlineStr">
        <is>
          <t>ART_030</t>
        </is>
      </c>
      <c r="B36" s="62" t="inlineStr">
        <is>
          <t>ART_030_S01</t>
        </is>
      </c>
      <c r="C36" s="62" t="inlineStr">
        <is>
          <t>Semana</t>
        </is>
      </c>
      <c r="D36" s="62" t="inlineStr">
        <is>
          <t>Política</t>
        </is>
      </c>
      <c r="E36" s="62" t="inlineStr">
        <is>
          <t>Opinión-análisis</t>
        </is>
      </c>
      <c r="F36" s="62" t="inlineStr">
        <is>
          <t>Fri, 04 Sep 2026 10:00:00 +0000</t>
        </is>
      </c>
      <c r="G36" s="62" t="inlineStr">
        <is>
          <t>Mucho se ha hablado del “histórico megaacuerdo” petrolero entre los Estados Unidos y Venezuela.</t>
        </is>
      </c>
      <c r="H36" s="62" t="n"/>
      <c r="I36" s="62" t="inlineStr">
        <is>
          <t>Dejando de lado las consideraciones legales y políticas que pudiera tener, habrá que saber cuáles son las eventuales consecuencias que podría tener para nuestro país.</t>
        </is>
      </c>
      <c r="J36" s="62" t="n"/>
      <c r="K36" s="62" t="n"/>
      <c r="L36" s="62" t="n"/>
      <c r="M36" s="62" t="n"/>
      <c r="N36" s="62" t="n"/>
      <c r="O36" s="62" t="n"/>
      <c r="P36" s="62" t="n"/>
      <c r="Q36" s="62" t="n"/>
      <c r="R36" s="62" t="n"/>
      <c r="S36" s="62" t="n"/>
      <c r="T36" s="62" t="n"/>
      <c r="U36" s="62" t="n"/>
      <c r="V36" s="62" t="n"/>
      <c r="W36" s="62" t="n"/>
      <c r="X36" s="62" t="n"/>
      <c r="Y36" s="62" t="n"/>
      <c r="Z36" s="62" t="n"/>
      <c r="AA36" s="62" t="n"/>
      <c r="AB36" s="62" t="n"/>
      <c r="AC36" s="62" t="n"/>
      <c r="AD36" s="62" t="n"/>
      <c r="AE36" s="62" t="n"/>
      <c r="AF36" s="61">
        <f>IF(COUNTIF($B$5:B36,B36)=1,1,0)</f>
        <v/>
      </c>
      <c r="AG36" s="62" t="inlineStr">
        <is>
          <t>https://www.semana.com/opinion/articulo/una-venezuela-prospera-y-democratica-fundamental-para-colombia/202600/</t>
        </is>
      </c>
    </row>
    <row r="37">
      <c r="A37" s="62" t="inlineStr">
        <is>
          <t>ART_030</t>
        </is>
      </c>
      <c r="B37" s="62" t="inlineStr">
        <is>
          <t>ART_030_S02</t>
        </is>
      </c>
      <c r="C37" s="62" t="inlineStr">
        <is>
          <t>Semana</t>
        </is>
      </c>
      <c r="D37" s="62" t="inlineStr">
        <is>
          <t>Política</t>
        </is>
      </c>
      <c r="E37" s="62" t="inlineStr">
        <is>
          <t>Opinión-análisis</t>
        </is>
      </c>
      <c r="F37" s="62" t="inlineStr">
        <is>
          <t>Fri, 04 Sep 2026 10:00:00 +0000</t>
        </is>
      </c>
      <c r="G37" s="62" t="inlineStr">
        <is>
          <t>Dejando de lado las consideraciones legales y políticas que pudiera tener, habrá que saber cuáles son las eventuales consecuencias que podría tener para nuestro país.</t>
        </is>
      </c>
      <c r="H37" s="62" t="inlineStr">
        <is>
          <t>Mucho se ha hablado del “histórico megaacuerdo” petrolero entre los Estados Unidos y Venezuela.</t>
        </is>
      </c>
      <c r="I37" s="62" t="inlineStr">
        <is>
          <t>Hay hechos que son determinantes y que se derivan del transcurrir de los años de existencia de las dos repúblicas.</t>
        </is>
      </c>
      <c r="J37" s="62" t="n"/>
      <c r="K37" s="62" t="n"/>
      <c r="L37" s="62" t="n"/>
      <c r="M37" s="62" t="n"/>
      <c r="N37" s="62" t="n"/>
      <c r="O37" s="62" t="n"/>
      <c r="P37" s="62" t="n"/>
      <c r="Q37" s="62" t="n"/>
      <c r="R37" s="62" t="n"/>
      <c r="S37" s="62" t="n"/>
      <c r="T37" s="62" t="n"/>
      <c r="U37" s="62" t="n"/>
      <c r="V37" s="62" t="n"/>
      <c r="W37" s="62" t="n"/>
      <c r="X37" s="62" t="n"/>
      <c r="Y37" s="62" t="n"/>
      <c r="Z37" s="62" t="n"/>
      <c r="AA37" s="62" t="n"/>
      <c r="AB37" s="62" t="n"/>
      <c r="AC37" s="62" t="n"/>
      <c r="AD37" s="62" t="n"/>
      <c r="AE37" s="62" t="n"/>
      <c r="AF37" s="61">
        <f>IF(COUNTIF($B$5:B37,B37)=1,1,0)</f>
        <v/>
      </c>
      <c r="AG37" s="62" t="inlineStr">
        <is>
          <t>https://www.semana.com/opinion/articulo/una-venezuela-prospera-y-democratica-fundamental-para-colombia/202600/</t>
        </is>
      </c>
    </row>
    <row r="38">
      <c r="A38" s="62" t="inlineStr">
        <is>
          <t>ART_030</t>
        </is>
      </c>
      <c r="B38" s="62" t="inlineStr">
        <is>
          <t>ART_030_S03</t>
        </is>
      </c>
      <c r="C38" s="62" t="inlineStr">
        <is>
          <t>Semana</t>
        </is>
      </c>
      <c r="D38" s="62" t="inlineStr">
        <is>
          <t>Política</t>
        </is>
      </c>
      <c r="E38" s="62" t="inlineStr">
        <is>
          <t>Opinión-análisis</t>
        </is>
      </c>
      <c r="F38" s="62" t="inlineStr">
        <is>
          <t>Fri, 04 Sep 2026 10:00:00 +0000</t>
        </is>
      </c>
      <c r="G38" s="62" t="inlineStr">
        <is>
          <t>Hay hechos que son determinantes y que se derivan del transcurrir de los años de existencia de las dos repúblicas.</t>
        </is>
      </c>
      <c r="H38" s="62" t="inlineStr">
        <is>
          <t>Dejando de lado las consideraciones legales y políticas que pudiera tener, habrá que saber cuáles son las eventuales consecuencias que podría tener para nuestro país.</t>
        </is>
      </c>
      <c r="I38" s="62" t="inlineStr">
        <is>
          <t>Ante todo, Colombia no tiene los recursos que posee Venezuela.</t>
        </is>
      </c>
      <c r="J38" s="62" t="n"/>
      <c r="K38" s="62" t="n"/>
      <c r="L38" s="62" t="n"/>
      <c r="M38" s="62" t="n"/>
      <c r="N38" s="62" t="n"/>
      <c r="O38" s="62" t="n"/>
      <c r="P38" s="62" t="n"/>
      <c r="Q38" s="62" t="n"/>
      <c r="R38" s="62" t="n"/>
      <c r="S38" s="62" t="n"/>
      <c r="T38" s="62" t="n"/>
      <c r="U38" s="62" t="n"/>
      <c r="V38" s="62" t="n"/>
      <c r="W38" s="62" t="n"/>
      <c r="X38" s="62" t="n"/>
      <c r="Y38" s="62" t="n"/>
      <c r="Z38" s="62" t="n"/>
      <c r="AA38" s="62" t="n"/>
      <c r="AB38" s="62" t="n"/>
      <c r="AC38" s="62" t="n"/>
      <c r="AD38" s="62" t="n"/>
      <c r="AE38" s="62" t="n"/>
      <c r="AF38" s="61">
        <f>IF(COUNTIF($B$5:B38,B38)=1,1,0)</f>
        <v/>
      </c>
      <c r="AG38" s="62" t="inlineStr">
        <is>
          <t>https://www.semana.com/opinion/articulo/una-venezuela-prospera-y-democratica-fundamental-para-colombia/202600/</t>
        </is>
      </c>
    </row>
    <row r="39">
      <c r="A39" s="62" t="inlineStr">
        <is>
          <t>ART_030</t>
        </is>
      </c>
      <c r="B39" s="62" t="inlineStr">
        <is>
          <t>ART_030_S04</t>
        </is>
      </c>
      <c r="C39" s="62" t="inlineStr">
        <is>
          <t>Semana</t>
        </is>
      </c>
      <c r="D39" s="62" t="inlineStr">
        <is>
          <t>Política</t>
        </is>
      </c>
      <c r="E39" s="62" t="inlineStr">
        <is>
          <t>Opinión-análisis</t>
        </is>
      </c>
      <c r="F39" s="62" t="inlineStr">
        <is>
          <t>Fri, 04 Sep 2026 10:00:00 +0000</t>
        </is>
      </c>
      <c r="G39" s="62" t="inlineStr">
        <is>
          <t>Ante todo, Colombia no tiene los recursos que posee Venezuela.</t>
        </is>
      </c>
      <c r="H39" s="62" t="inlineStr">
        <is>
          <t>Hay hechos que son determinantes y que se derivan del transcurrir de los años de existencia de las dos repúblicas.</t>
        </is>
      </c>
      <c r="I39" s="62" t="inlineStr">
        <is>
          <t>Se recuerda a algún personaje colombiano que decía a mediados del siglo XX que, por cualquier parte por donde se trazara la línea fronteriza con Venezuela, el petróleo siempre estaría del otro lado.</t>
        </is>
      </c>
      <c r="J39" s="62" t="n"/>
      <c r="K39" s="62" t="n"/>
      <c r="L39" s="62" t="n"/>
      <c r="M39" s="62" t="n"/>
      <c r="N39" s="62" t="n"/>
      <c r="O39" s="62" t="n"/>
      <c r="P39" s="62" t="n"/>
      <c r="Q39" s="62" t="n"/>
      <c r="R39" s="62" t="n"/>
      <c r="S39" s="62" t="n"/>
      <c r="T39" s="62" t="n"/>
      <c r="U39" s="62" t="n"/>
      <c r="V39" s="62" t="n"/>
      <c r="W39" s="62" t="n"/>
      <c r="X39" s="62" t="n"/>
      <c r="Y39" s="62" t="n"/>
      <c r="Z39" s="62" t="n"/>
      <c r="AA39" s="62" t="n"/>
      <c r="AB39" s="62" t="n"/>
      <c r="AC39" s="62" t="n"/>
      <c r="AD39" s="62" t="n"/>
      <c r="AE39" s="62" t="n"/>
      <c r="AF39" s="61">
        <f>IF(COUNTIF($B$5:B39,B39)=1,1,0)</f>
        <v/>
      </c>
      <c r="AG39" s="62" t="inlineStr">
        <is>
          <t>https://www.semana.com/opinion/articulo/una-venezuela-prospera-y-democratica-fundamental-para-colombia/202600/</t>
        </is>
      </c>
    </row>
    <row r="40">
      <c r="A40" s="62" t="inlineStr">
        <is>
          <t>ART_030</t>
        </is>
      </c>
      <c r="B40" s="62" t="inlineStr">
        <is>
          <t>ART_030_S05</t>
        </is>
      </c>
      <c r="C40" s="62" t="inlineStr">
        <is>
          <t>Semana</t>
        </is>
      </c>
      <c r="D40" s="62" t="inlineStr">
        <is>
          <t>Política</t>
        </is>
      </c>
      <c r="E40" s="62" t="inlineStr">
        <is>
          <t>Opinión-análisis</t>
        </is>
      </c>
      <c r="F40" s="62" t="inlineStr">
        <is>
          <t>Fri, 04 Sep 2026 10:00:00 +0000</t>
        </is>
      </c>
      <c r="G40" s="62" t="inlineStr">
        <is>
          <t>Se recuerda a algún personaje colombiano que decía a mediados del siglo XX que, por cualquier parte por donde se trazara la línea fronteriza con Venezuela, el petróleo siempre estaría del otro lado.</t>
        </is>
      </c>
      <c r="H40" s="62" t="inlineStr">
        <is>
          <t>Ante todo, Colombia no tiene los recursos que posee Venezuela.</t>
        </is>
      </c>
      <c r="I40" s="62" t="inlineStr">
        <is>
          <t>No solamente es el petróleo, sino el gas, el hierro, la bauxita, el acero, el coltán, las tierras raras y la energía eléctrica, para no hablar del oro y de algunos otros metales preciosos.</t>
        </is>
      </c>
      <c r="J40" s="62" t="n"/>
      <c r="K40" s="62" t="n"/>
      <c r="L40" s="62" t="n"/>
      <c r="M40" s="62" t="n"/>
      <c r="N40" s="62" t="n"/>
      <c r="O40" s="62" t="n"/>
      <c r="P40" s="62" t="n"/>
      <c r="Q40" s="62" t="n"/>
      <c r="R40" s="62" t="n"/>
      <c r="S40" s="62" t="n"/>
      <c r="T40" s="62" t="n"/>
      <c r="U40" s="62" t="n"/>
      <c r="V40" s="62" t="n"/>
      <c r="W40" s="62" t="n"/>
      <c r="X40" s="62" t="n"/>
      <c r="Y40" s="62" t="n"/>
      <c r="Z40" s="62" t="n"/>
      <c r="AA40" s="62" t="n"/>
      <c r="AB40" s="62" t="n"/>
      <c r="AC40" s="62" t="n"/>
      <c r="AD40" s="62" t="n"/>
      <c r="AE40" s="62" t="n"/>
      <c r="AF40" s="61">
        <f>IF(COUNTIF($B$5:B40,B40)=1,1,0)</f>
        <v/>
      </c>
      <c r="AG40" s="62" t="inlineStr">
        <is>
          <t>https://www.semana.com/opinion/articulo/una-venezuela-prospera-y-democratica-fundamental-para-colombia/202600/</t>
        </is>
      </c>
    </row>
    <row r="41">
      <c r="A41" s="62" t="inlineStr">
        <is>
          <t>ART_030</t>
        </is>
      </c>
      <c r="B41" s="62" t="inlineStr">
        <is>
          <t>ART_030_S06</t>
        </is>
      </c>
      <c r="C41" s="62" t="inlineStr">
        <is>
          <t>Semana</t>
        </is>
      </c>
      <c r="D41" s="62" t="inlineStr">
        <is>
          <t>Política</t>
        </is>
      </c>
      <c r="E41" s="62" t="inlineStr">
        <is>
          <t>Opinión-análisis</t>
        </is>
      </c>
      <c r="F41" s="62" t="inlineStr">
        <is>
          <t>Fri, 04 Sep 2026 10:00:00 +0000</t>
        </is>
      </c>
      <c r="G41" s="62" t="inlineStr">
        <is>
          <t>No solamente es el petróleo, sino el gas, el hierro, la bauxita, el acero, el coltán, las tierras raras y la energía eléctrica, para no hablar del oro y de algunos otros metales preciosos.</t>
        </is>
      </c>
      <c r="H41" s="62" t="inlineStr">
        <is>
          <t>Se recuerda a algún personaje colombiano que decía a mediados del siglo XX que, por cualquier parte por donde se trazara la línea fronteriza con Venezuela, el petróleo siempre estaría del otro lado.</t>
        </is>
      </c>
      <c r="I41"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J41" s="62" t="n"/>
      <c r="K41" s="62" t="n"/>
      <c r="L41" s="62" t="n"/>
      <c r="M41" s="62" t="n"/>
      <c r="N41" s="62" t="n"/>
      <c r="O41" s="62" t="n"/>
      <c r="P41" s="62" t="n"/>
      <c r="Q41" s="62" t="n"/>
      <c r="R41" s="62" t="n"/>
      <c r="S41" s="62" t="n"/>
      <c r="T41" s="62" t="n"/>
      <c r="U41" s="62" t="n"/>
      <c r="V41" s="62" t="n"/>
      <c r="W41" s="62" t="n"/>
      <c r="X41" s="62" t="n"/>
      <c r="Y41" s="62" t="n"/>
      <c r="Z41" s="62" t="n"/>
      <c r="AA41" s="62" t="n"/>
      <c r="AB41" s="62" t="n"/>
      <c r="AC41" s="62" t="n"/>
      <c r="AD41" s="62" t="n"/>
      <c r="AE41" s="62" t="n"/>
      <c r="AF41" s="61">
        <f>IF(COUNTIF($B$5:B41,B41)=1,1,0)</f>
        <v/>
      </c>
      <c r="AG41" s="62" t="inlineStr">
        <is>
          <t>https://www.semana.com/opinion/articulo/una-venezuela-prospera-y-democratica-fundamental-para-colombia/202600/</t>
        </is>
      </c>
    </row>
    <row r="42">
      <c r="A42" s="62" t="inlineStr">
        <is>
          <t>ART_030</t>
        </is>
      </c>
      <c r="B42" s="62" t="inlineStr">
        <is>
          <t>ART_030_S07</t>
        </is>
      </c>
      <c r="C42" s="62" t="inlineStr">
        <is>
          <t>Semana</t>
        </is>
      </c>
      <c r="D42" s="62" t="inlineStr">
        <is>
          <t>Política</t>
        </is>
      </c>
      <c r="E42" s="62" t="inlineStr">
        <is>
          <t>Opinión-análisis</t>
        </is>
      </c>
      <c r="F42" s="62" t="inlineStr">
        <is>
          <t>Fri, 04 Sep 2026 10:00:00 +0000</t>
        </is>
      </c>
      <c r="G42"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H42" s="62" t="inlineStr">
        <is>
          <t>No solamente es el petróleo, sino el gas, el hierro, la bauxita, el acero, el coltán, las tierras raras y la energía eléctrica, para no hablar del oro y de algunos otros metales preciosos.</t>
        </is>
      </c>
      <c r="I42" s="62" t="inlineStr">
        <is>
          <t>A esa condición se ha acostumbrado la población, a la que además le gustan los militares, que son los que dicen la última palabra, incluso en asuntos que van desde la política exterior hasta el manejo de la economía.</t>
        </is>
      </c>
      <c r="J42" s="62" t="n"/>
      <c r="K42" s="62" t="n"/>
      <c r="L42" s="62" t="n"/>
      <c r="M42" s="62" t="n"/>
      <c r="N42" s="62" t="n"/>
      <c r="O42" s="62" t="n"/>
      <c r="P42" s="62" t="n"/>
      <c r="Q42" s="62" t="n"/>
      <c r="R42" s="62" t="n"/>
      <c r="S42" s="62" t="n"/>
      <c r="T42" s="62" t="n"/>
      <c r="U42" s="62" t="n"/>
      <c r="V42" s="62" t="n"/>
      <c r="W42" s="62" t="n"/>
      <c r="X42" s="62" t="n"/>
      <c r="Y42" s="62" t="n"/>
      <c r="Z42" s="62" t="n"/>
      <c r="AA42" s="62" t="n"/>
      <c r="AB42" s="62" t="n"/>
      <c r="AC42" s="62" t="n"/>
      <c r="AD42" s="62" t="n"/>
      <c r="AE42" s="62" t="n"/>
      <c r="AF42" s="61">
        <f>IF(COUNTIF($B$5:B42,B42)=1,1,0)</f>
        <v/>
      </c>
      <c r="AG42" s="62" t="inlineStr">
        <is>
          <t>https://www.semana.com/opinion/articulo/una-venezuela-prospera-y-democratica-fundamental-para-colombia/202600/</t>
        </is>
      </c>
    </row>
    <row r="43">
      <c r="A43" s="62" t="inlineStr">
        <is>
          <t>ART_030</t>
        </is>
      </c>
      <c r="B43" s="62" t="inlineStr">
        <is>
          <t>ART_030_S08</t>
        </is>
      </c>
      <c r="C43" s="62" t="inlineStr">
        <is>
          <t>Semana</t>
        </is>
      </c>
      <c r="D43" s="62" t="inlineStr">
        <is>
          <t>Política</t>
        </is>
      </c>
      <c r="E43" s="62" t="inlineStr">
        <is>
          <t>Opinión-análisis</t>
        </is>
      </c>
      <c r="F43" s="62" t="inlineStr">
        <is>
          <t>Fri, 04 Sep 2026 10:00:00 +0000</t>
        </is>
      </c>
      <c r="G43" s="62" t="inlineStr">
        <is>
          <t>A esa condición se ha acostumbrado la población, a la que además le gustan los militares, que son los que dicen la última palabra, incluso en asuntos que van desde la política exterior hasta el manejo de la economía.</t>
        </is>
      </c>
      <c r="H43" s="62"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I43" s="62" t="inlineStr">
        <is>
          <t>Sabiendo desde hace años que los delincuentes y los grupos armados colombianos consiguen refugio en Venezuela, es indispensable que su gobierno actúe decididamente para reprimirlos y coordine con Colombia acciones efectivas para lograrlo.</t>
        </is>
      </c>
      <c r="J43" s="62" t="n"/>
      <c r="K43" s="62" t="n"/>
      <c r="L43" s="62" t="n"/>
      <c r="M43" s="62" t="n"/>
      <c r="N43" s="62" t="n"/>
      <c r="O43" s="62" t="n"/>
      <c r="P43" s="62" t="n"/>
      <c r="Q43" s="62" t="n"/>
      <c r="R43" s="62" t="n"/>
      <c r="S43" s="62" t="n"/>
      <c r="T43" s="62" t="n"/>
      <c r="U43" s="62" t="n"/>
      <c r="V43" s="62" t="n"/>
      <c r="W43" s="62" t="n"/>
      <c r="X43" s="62" t="n"/>
      <c r="Y43" s="62" t="n"/>
      <c r="Z43" s="62" t="n"/>
      <c r="AA43" s="62" t="n"/>
      <c r="AB43" s="62" t="n"/>
      <c r="AC43" s="62" t="n"/>
      <c r="AD43" s="62" t="n"/>
      <c r="AE43" s="62" t="n"/>
      <c r="AF43" s="61">
        <f>IF(COUNTIF($B$5:B43,B43)=1,1,0)</f>
        <v/>
      </c>
      <c r="AG43" s="62" t="inlineStr">
        <is>
          <t>https://www.semana.com/opinion/articulo/una-venezuela-prospera-y-democratica-fundamental-para-colombia/202600/</t>
        </is>
      </c>
    </row>
    <row r="44">
      <c r="A44" s="62" t="inlineStr">
        <is>
          <t>ART_030</t>
        </is>
      </c>
      <c r="B44" s="62" t="inlineStr">
        <is>
          <t>ART_030_S09</t>
        </is>
      </c>
      <c r="C44" s="62" t="inlineStr">
        <is>
          <t>Semana</t>
        </is>
      </c>
      <c r="D44" s="62" t="inlineStr">
        <is>
          <t>Política</t>
        </is>
      </c>
      <c r="E44" s="62" t="inlineStr">
        <is>
          <t>Opinión-análisis</t>
        </is>
      </c>
      <c r="F44" s="62" t="inlineStr">
        <is>
          <t>Fri, 04 Sep 2026 10:00:00 +0000</t>
        </is>
      </c>
      <c r="G44" s="62" t="inlineStr">
        <is>
          <t>Sabiendo desde hace años que los delincuentes y los grupos armados colombianos consiguen refugio en Venezuela, es indispensable que su gobierno actúe decididamente para reprimirlos y coordine con Colombia acciones efectivas para lograrlo.</t>
        </is>
      </c>
      <c r="H44" s="62" t="inlineStr">
        <is>
          <t>A esa condición se ha acostumbrado la población, a la que además le gustan los militares, que son los que dicen la última palabra, incluso en asuntos que van desde la política exterior hasta el manejo de la economía.</t>
        </is>
      </c>
      <c r="I44" s="62" t="inlineStr">
        <is>
          <t>Venezuela debe saber que Colombia nunca los invadirá, a pesar de que durante muchos años las Fuerzas Armadas venezolanas y algunos dirigentes políticos de ese país así lo preveían.</t>
        </is>
      </c>
      <c r="J44" s="62" t="n"/>
      <c r="K44" s="62" t="n"/>
      <c r="L44" s="62" t="n"/>
      <c r="M44" s="62" t="n"/>
      <c r="N44" s="62" t="n"/>
      <c r="O44" s="62" t="n"/>
      <c r="P44" s="62" t="n"/>
      <c r="Q44" s="62" t="n"/>
      <c r="R44" s="62" t="n"/>
      <c r="S44" s="62" t="n"/>
      <c r="T44" s="62" t="n"/>
      <c r="U44" s="62" t="n"/>
      <c r="V44" s="62" t="n"/>
      <c r="W44" s="62" t="n"/>
      <c r="X44" s="62" t="n"/>
      <c r="Y44" s="62" t="n"/>
      <c r="Z44" s="62" t="n"/>
      <c r="AA44" s="62" t="n"/>
      <c r="AB44" s="62" t="n"/>
      <c r="AC44" s="62" t="n"/>
      <c r="AD44" s="62" t="n"/>
      <c r="AE44" s="62" t="n"/>
      <c r="AF44" s="61">
        <f>IF(COUNTIF($B$5:B44,B44)=1,1,0)</f>
        <v/>
      </c>
      <c r="AG44" s="62" t="inlineStr">
        <is>
          <t>https://www.semana.com/opinion/articulo/una-venezuela-prospera-y-democratica-fundamental-para-colombia/202600/</t>
        </is>
      </c>
    </row>
    <row r="45">
      <c r="A45" s="62" t="inlineStr">
        <is>
          <t>ART_030</t>
        </is>
      </c>
      <c r="B45" s="62" t="inlineStr">
        <is>
          <t>ART_030_S10</t>
        </is>
      </c>
      <c r="C45" s="62" t="inlineStr">
        <is>
          <t>Semana</t>
        </is>
      </c>
      <c r="D45" s="62" t="inlineStr">
        <is>
          <t>Política</t>
        </is>
      </c>
      <c r="E45" s="62" t="inlineStr">
        <is>
          <t>Opinión-análisis</t>
        </is>
      </c>
      <c r="F45" s="62" t="inlineStr">
        <is>
          <t>Fri, 04 Sep 2026 10:00:00 +0000</t>
        </is>
      </c>
      <c r="G45" s="62" t="inlineStr">
        <is>
          <t>Venezuela debe saber que Colombia nunca los invadirá, a pesar de que durante muchos años las Fuerzas Armadas venezolanas y algunos dirigentes políticos de ese país así lo preveían.</t>
        </is>
      </c>
      <c r="H45" s="62" t="inlineStr">
        <is>
          <t>Sabiendo desde hace años que los delincuentes y los grupos armados colombianos consiguen refugio en Venezuela, es indispensable que su gobierno actúe decididamente para reprimirlos y coordine con Colombia acciones efectivas para lograrlo.</t>
        </is>
      </c>
      <c r="I45" s="62" t="n"/>
      <c r="J45" s="62" t="n"/>
      <c r="K45" s="62" t="n"/>
      <c r="L45" s="62" t="n"/>
      <c r="M45" s="62" t="n"/>
      <c r="N45" s="62" t="n"/>
      <c r="O45" s="62" t="n"/>
      <c r="P45" s="62" t="n"/>
      <c r="Q45" s="62" t="n"/>
      <c r="R45" s="62" t="n"/>
      <c r="S45" s="62" t="n"/>
      <c r="T45" s="62" t="n"/>
      <c r="U45" s="62" t="n"/>
      <c r="V45" s="62" t="n"/>
      <c r="W45" s="62" t="n"/>
      <c r="X45" s="62" t="n"/>
      <c r="Y45" s="62" t="n"/>
      <c r="Z45" s="62" t="n"/>
      <c r="AA45" s="62" t="n"/>
      <c r="AB45" s="62" t="n"/>
      <c r="AC45" s="62" t="n"/>
      <c r="AD45" s="62" t="n"/>
      <c r="AE45" s="62" t="n"/>
      <c r="AF45" s="61">
        <f>IF(COUNTIF($B$5:B45,B45)=1,1,0)</f>
        <v/>
      </c>
      <c r="AG45" s="62" t="inlineStr">
        <is>
          <t>https://www.semana.com/opinion/articulo/una-venezuela-prospera-y-democratica-fundamental-para-colombia/202600/</t>
        </is>
      </c>
    </row>
    <row r="46">
      <c r="A46" s="62" t="inlineStr">
        <is>
          <t>ART_031</t>
        </is>
      </c>
      <c r="B46" s="62" t="inlineStr">
        <is>
          <t>ART_031_S01</t>
        </is>
      </c>
      <c r="C46" s="62" t="inlineStr">
        <is>
          <t>El Tiempo</t>
        </is>
      </c>
      <c r="D46" s="62" t="inlineStr">
        <is>
          <t>Política</t>
        </is>
      </c>
      <c r="E46" s="62" t="inlineStr">
        <is>
          <t>Noticia dura</t>
        </is>
      </c>
      <c r="F46" s="62" t="inlineStr">
        <is>
          <t>2026-09-05T01:05:59-05:00</t>
        </is>
      </c>
      <c r="G46" s="62" t="inlineStr">
        <is>
          <t>Llegar a la edad de pensión no significa automáticamente que una persona vaya a recibir una mesada mensual.</t>
        </is>
      </c>
      <c r="H46" s="62" t="n"/>
      <c r="I46" s="62" t="inlineStr">
        <is>
          <t>Para pensionarse también debe cumplir determinadas condiciones, que dependen del régimen al que esté afiliado.</t>
        </is>
      </c>
      <c r="J46" s="62" t="n"/>
      <c r="K46" s="62" t="n"/>
      <c r="L46" s="62" t="n"/>
      <c r="M46" s="62" t="n"/>
      <c r="N46" s="62" t="n"/>
      <c r="O46" s="62" t="n"/>
      <c r="P46" s="62" t="n"/>
      <c r="Q46" s="62" t="n"/>
      <c r="R46" s="62" t="n"/>
      <c r="S46" s="62" t="n"/>
      <c r="T46" s="62" t="n"/>
      <c r="U46" s="62" t="n"/>
      <c r="V46" s="62" t="n"/>
      <c r="W46" s="62" t="n"/>
      <c r="X46" s="62" t="n"/>
      <c r="Y46" s="62" t="n"/>
      <c r="Z46" s="62" t="n"/>
      <c r="AA46" s="62" t="n"/>
      <c r="AB46" s="62" t="n"/>
      <c r="AC46" s="62" t="n"/>
      <c r="AD46" s="62" t="n"/>
      <c r="AE46" s="62" t="n"/>
      <c r="AF46" s="61">
        <f>IF(COUNTIF($B$5:B46,B46)=1,1,0)</f>
        <v/>
      </c>
      <c r="AG46" s="62" t="inlineStr">
        <is>
          <t>https://www.eltiempo.com/economia/finanzas-personales/que-pasa-con-su-dinero-si-no-alcanza-a-cumplir-las-semanas-necesarias-para-pensionarse-consulte-que-hacer-si-esta-en-porvenir-o-colpensiones-3583613</t>
        </is>
      </c>
    </row>
    <row r="47">
      <c r="A47" s="62" t="inlineStr">
        <is>
          <t>ART_031</t>
        </is>
      </c>
      <c r="B47" s="62" t="inlineStr">
        <is>
          <t>ART_031_S02</t>
        </is>
      </c>
      <c r="C47" s="62" t="inlineStr">
        <is>
          <t>El Tiempo</t>
        </is>
      </c>
      <c r="D47" s="62" t="inlineStr">
        <is>
          <t>Política</t>
        </is>
      </c>
      <c r="E47" s="62" t="inlineStr">
        <is>
          <t>Noticia dura</t>
        </is>
      </c>
      <c r="F47" s="62" t="inlineStr">
        <is>
          <t>2026-09-05T01:05:59-05:00</t>
        </is>
      </c>
      <c r="G47" s="62" t="inlineStr">
        <is>
          <t>Para pensionarse también debe cumplir determinadas condiciones, que dependen del régimen al que esté afiliado.</t>
        </is>
      </c>
      <c r="H47" s="62" t="inlineStr">
        <is>
          <t>Llegar a la edad de pensión no significa automáticamente que una persona vaya a recibir una mesada mensual.</t>
        </is>
      </c>
      <c r="I47" s="62" t="n"/>
      <c r="J47" s="62" t="n"/>
      <c r="K47" s="62" t="n"/>
      <c r="L47" s="62" t="n"/>
      <c r="M47" s="62" t="n"/>
      <c r="N47" s="62" t="n"/>
      <c r="O47" s="62" t="n"/>
      <c r="P47" s="62" t="n"/>
      <c r="Q47" s="62" t="n"/>
      <c r="R47" s="62" t="n"/>
      <c r="S47" s="62" t="n"/>
      <c r="T47" s="62" t="n"/>
      <c r="U47" s="62" t="n"/>
      <c r="V47" s="62" t="n"/>
      <c r="W47" s="62" t="n"/>
      <c r="X47" s="62" t="n"/>
      <c r="Y47" s="62" t="n"/>
      <c r="Z47" s="62" t="n"/>
      <c r="AA47" s="62" t="n"/>
      <c r="AB47" s="62" t="n"/>
      <c r="AC47" s="62" t="n"/>
      <c r="AD47" s="62" t="n"/>
      <c r="AE47" s="62" t="n"/>
      <c r="AF47" s="61">
        <f>IF(COUNTIF($B$5:B47,B47)=1,1,0)</f>
        <v/>
      </c>
      <c r="AG47" s="62" t="inlineStr">
        <is>
          <t>https://www.eltiempo.com/economia/finanzas-personales/que-pasa-con-su-dinero-si-no-alcanza-a-cumplir-las-semanas-necesarias-para-pensionarse-consulte-que-hacer-si-esta-en-porvenir-o-colpensiones-3583613</t>
        </is>
      </c>
    </row>
    <row r="48">
      <c r="A48" s="62" t="inlineStr">
        <is>
          <t>ART_033</t>
        </is>
      </c>
      <c r="B48" s="62" t="inlineStr">
        <is>
          <t>ART_033_S01</t>
        </is>
      </c>
      <c r="C48" s="62" t="inlineStr">
        <is>
          <t>El Espectador</t>
        </is>
      </c>
      <c r="D48" s="62" t="inlineStr">
        <is>
          <t>Política</t>
        </is>
      </c>
      <c r="E48" s="62" t="inlineStr">
        <is>
          <t>Noticia dura</t>
        </is>
      </c>
      <c r="F48" s="62" t="inlineStr">
        <is>
          <t>Fri, 04 Sep 2026 23:58:00 +0000</t>
        </is>
      </c>
      <c r="G48" s="62" t="inlineStr">
        <is>
          <t>La aerolínea Avianca confirmó que canceló los tiquetes adquiridos por el expresidente Gustavo Petro para su viaje a México debido a que está incluido en la lista OFAC.</t>
        </is>
      </c>
      <c r="H48" s="62" t="n"/>
      <c r="I48" s="62" t="inlineStr">
        <is>
          <t>El expresidente les respondió.</t>
        </is>
      </c>
      <c r="J48" s="62" t="n"/>
      <c r="K48" s="62" t="n"/>
      <c r="L48" s="62" t="n"/>
      <c r="M48" s="62" t="n"/>
      <c r="N48" s="62" t="n"/>
      <c r="O48" s="62" t="n"/>
      <c r="P48" s="62" t="n"/>
      <c r="Q48" s="62" t="n"/>
      <c r="R48" s="62" t="n"/>
      <c r="S48" s="62" t="n"/>
      <c r="T48" s="62" t="n"/>
      <c r="U48" s="62" t="n"/>
      <c r="V48" s="62" t="n"/>
      <c r="W48" s="62" t="n"/>
      <c r="X48" s="62" t="n"/>
      <c r="Y48" s="62" t="n"/>
      <c r="Z48" s="62" t="n"/>
      <c r="AA48" s="62" t="n"/>
      <c r="AB48" s="62" t="n"/>
      <c r="AC48" s="62" t="n"/>
      <c r="AD48" s="62" t="n"/>
      <c r="AE48" s="62" t="n"/>
      <c r="AF48" s="61">
        <f>IF(COUNTIF($B$5:B48,B48)=1,1,0)</f>
        <v/>
      </c>
      <c r="AG48" s="62" t="inlineStr">
        <is>
          <t>https://www.elespectador.com/politica/avianca-confirma-que-cancelo-tiquetes-de-petro-a-mexico-esto-dijo-el-expresidente/</t>
        </is>
      </c>
    </row>
    <row r="49">
      <c r="A49" s="62" t="inlineStr">
        <is>
          <t>ART_033</t>
        </is>
      </c>
      <c r="B49" s="62" t="inlineStr">
        <is>
          <t>ART_033_S02</t>
        </is>
      </c>
      <c r="C49" s="62" t="inlineStr">
        <is>
          <t>El Espectador</t>
        </is>
      </c>
      <c r="D49" s="62" t="inlineStr">
        <is>
          <t>Política</t>
        </is>
      </c>
      <c r="E49" s="62" t="inlineStr">
        <is>
          <t>Noticia dura</t>
        </is>
      </c>
      <c r="F49" s="62" t="inlineStr">
        <is>
          <t>Fri, 04 Sep 2026 23:58:00 +0000</t>
        </is>
      </c>
      <c r="G49" s="62" t="inlineStr">
        <is>
          <t>El expresidente les respondió.</t>
        </is>
      </c>
      <c r="H49" s="62" t="inlineStr">
        <is>
          <t>La aerolínea Avianca confirmó que canceló los tiquetes adquiridos por el expresidente Gustavo Petro para su viaje a México debido a que está incluido en la lista OFAC.</t>
        </is>
      </c>
      <c r="I49"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J49" s="62" t="n"/>
      <c r="K49" s="62" t="n"/>
      <c r="L49" s="62" t="n"/>
      <c r="M49" s="62" t="n"/>
      <c r="N49" s="62" t="n"/>
      <c r="O49" s="62" t="n"/>
      <c r="P49" s="62" t="n"/>
      <c r="Q49" s="62" t="n"/>
      <c r="R49" s="62" t="n"/>
      <c r="S49" s="62" t="n"/>
      <c r="T49" s="62" t="n"/>
      <c r="U49" s="62" t="n"/>
      <c r="V49" s="62" t="n"/>
      <c r="W49" s="62" t="n"/>
      <c r="X49" s="62" t="n"/>
      <c r="Y49" s="62" t="n"/>
      <c r="Z49" s="62" t="n"/>
      <c r="AA49" s="62" t="n"/>
      <c r="AB49" s="62" t="n"/>
      <c r="AC49" s="62" t="n"/>
      <c r="AD49" s="62" t="n"/>
      <c r="AE49" s="62" t="n"/>
      <c r="AF49" s="61">
        <f>IF(COUNTIF($B$5:B49,B49)=1,1,0)</f>
        <v/>
      </c>
      <c r="AG49" s="62" t="inlineStr">
        <is>
          <t>https://www.elespectador.com/politica/avianca-confirma-que-cancelo-tiquetes-de-petro-a-mexico-esto-dijo-el-expresidente/</t>
        </is>
      </c>
    </row>
    <row r="50">
      <c r="A50" s="62" t="inlineStr">
        <is>
          <t>ART_033</t>
        </is>
      </c>
      <c r="B50" s="62" t="inlineStr">
        <is>
          <t>ART_033_S03</t>
        </is>
      </c>
      <c r="C50" s="62" t="inlineStr">
        <is>
          <t>El Espectador</t>
        </is>
      </c>
      <c r="D50" s="62" t="inlineStr">
        <is>
          <t>Política</t>
        </is>
      </c>
      <c r="E50" s="62" t="inlineStr">
        <is>
          <t>Noticia dura</t>
        </is>
      </c>
      <c r="F50" s="62" t="inlineStr">
        <is>
          <t>Fri, 04 Sep 2026 23:58:00 +0000</t>
        </is>
      </c>
      <c r="G50"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H50" s="62" t="inlineStr">
        <is>
          <t>El expresidente les respondió.</t>
        </is>
      </c>
      <c r="I50"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J50" s="62" t="n"/>
      <c r="K50" s="62" t="n"/>
      <c r="L50" s="62" t="n"/>
      <c r="M50" s="62" t="n"/>
      <c r="N50" s="62" t="n"/>
      <c r="O50" s="62" t="n"/>
      <c r="P50" s="62" t="n"/>
      <c r="Q50" s="62" t="n"/>
      <c r="R50" s="62" t="n"/>
      <c r="S50" s="62" t="n"/>
      <c r="T50" s="62" t="n"/>
      <c r="U50" s="62" t="n"/>
      <c r="V50" s="62" t="n"/>
      <c r="W50" s="62" t="n"/>
      <c r="X50" s="62" t="n"/>
      <c r="Y50" s="62" t="n"/>
      <c r="Z50" s="62" t="n"/>
      <c r="AA50" s="62" t="n"/>
      <c r="AB50" s="62" t="n"/>
      <c r="AC50" s="62" t="n"/>
      <c r="AD50" s="62" t="n"/>
      <c r="AE50" s="62" t="n"/>
      <c r="AF50" s="61">
        <f>IF(COUNTIF($B$5:B50,B50)=1,1,0)</f>
        <v/>
      </c>
      <c r="AG50" s="62" t="inlineStr">
        <is>
          <t>https://www.elespectador.com/politica/avianca-confirma-que-cancelo-tiquetes-de-petro-a-mexico-esto-dijo-el-expresidente/</t>
        </is>
      </c>
    </row>
    <row r="51">
      <c r="A51" s="62" t="inlineStr">
        <is>
          <t>ART_033</t>
        </is>
      </c>
      <c r="B51" s="62" t="inlineStr">
        <is>
          <t>ART_033_S04</t>
        </is>
      </c>
      <c r="C51" s="62" t="inlineStr">
        <is>
          <t>El Espectador</t>
        </is>
      </c>
      <c r="D51" s="62" t="inlineStr">
        <is>
          <t>Política</t>
        </is>
      </c>
      <c r="E51" s="62" t="inlineStr">
        <is>
          <t>Noticia dura</t>
        </is>
      </c>
      <c r="F51" s="62" t="inlineStr">
        <is>
          <t>Fri, 04 Sep 2026 23:58:00 +0000</t>
        </is>
      </c>
      <c r="G51"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H51" s="62"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I51" s="62" t="inlineStr">
        <is>
          <t>Por esta razón, la aerolínea canceló las reservas que fueron hechas por el expresidente Gustavo Petro y reembolsó la totalidad del valor que había sido pagado.</t>
        </is>
      </c>
      <c r="J51" s="62" t="n"/>
      <c r="K51" s="62" t="n"/>
      <c r="L51" s="62" t="n"/>
      <c r="M51" s="62" t="n"/>
      <c r="N51" s="62" t="n"/>
      <c r="O51" s="62" t="n"/>
      <c r="P51" s="62" t="n"/>
      <c r="Q51" s="62" t="n"/>
      <c r="R51" s="62" t="n"/>
      <c r="S51" s="62" t="n"/>
      <c r="T51" s="62" t="n"/>
      <c r="U51" s="62" t="n"/>
      <c r="V51" s="62" t="n"/>
      <c r="W51" s="62" t="n"/>
      <c r="X51" s="62" t="n"/>
      <c r="Y51" s="62" t="n"/>
      <c r="Z51" s="62" t="n"/>
      <c r="AA51" s="62" t="n"/>
      <c r="AB51" s="62" t="n"/>
      <c r="AC51" s="62" t="n"/>
      <c r="AD51" s="62" t="n"/>
      <c r="AE51" s="62" t="n"/>
      <c r="AF51" s="61">
        <f>IF(COUNTIF($B$5:B51,B51)=1,1,0)</f>
        <v/>
      </c>
      <c r="AG51" s="62" t="inlineStr">
        <is>
          <t>https://www.elespectador.com/politica/avianca-confirma-que-cancelo-tiquetes-de-petro-a-mexico-esto-dijo-el-expresidente/</t>
        </is>
      </c>
    </row>
    <row r="52">
      <c r="A52" s="62" t="inlineStr">
        <is>
          <t>ART_033</t>
        </is>
      </c>
      <c r="B52" s="62" t="inlineStr">
        <is>
          <t>ART_033_S05</t>
        </is>
      </c>
      <c r="C52" s="62" t="inlineStr">
        <is>
          <t>El Espectador</t>
        </is>
      </c>
      <c r="D52" s="62" t="inlineStr">
        <is>
          <t>Política</t>
        </is>
      </c>
      <c r="E52" s="62" t="inlineStr">
        <is>
          <t>Noticia dura</t>
        </is>
      </c>
      <c r="F52" s="62" t="inlineStr">
        <is>
          <t>Fri, 04 Sep 2026 23:58:00 +0000</t>
        </is>
      </c>
      <c r="G52" s="62" t="inlineStr">
        <is>
          <t>Por esta razón, la aerolínea canceló las reservas que fueron hechas por el expresidente Gustavo Petro y reembolsó la totalidad del valor que había sido pagado.</t>
        </is>
      </c>
      <c r="H52" s="62"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I52" s="62" t="n"/>
      <c r="J52" s="62" t="n"/>
      <c r="K52" s="62" t="n"/>
      <c r="L52" s="62" t="n"/>
      <c r="M52" s="62" t="n"/>
      <c r="N52" s="62" t="n"/>
      <c r="O52" s="62" t="n"/>
      <c r="P52" s="62" t="n"/>
      <c r="Q52" s="62" t="n"/>
      <c r="R52" s="62" t="n"/>
      <c r="S52" s="62" t="n"/>
      <c r="T52" s="62" t="n"/>
      <c r="U52" s="62" t="n"/>
      <c r="V52" s="62" t="n"/>
      <c r="W52" s="62" t="n"/>
      <c r="X52" s="62" t="n"/>
      <c r="Y52" s="62" t="n"/>
      <c r="Z52" s="62" t="n"/>
      <c r="AA52" s="62" t="n"/>
      <c r="AB52" s="62" t="n"/>
      <c r="AC52" s="62" t="n"/>
      <c r="AD52" s="62" t="n"/>
      <c r="AE52" s="62" t="n"/>
      <c r="AF52" s="61">
        <f>IF(COUNTIF($B$5:B52,B52)=1,1,0)</f>
        <v/>
      </c>
      <c r="AG52" s="62" t="inlineStr">
        <is>
          <t>https://www.elespectador.com/politica/avianca-confirma-que-cancelo-tiquetes-de-petro-a-mexico-esto-dijo-el-expresidente/</t>
        </is>
      </c>
    </row>
    <row r="53">
      <c r="A53" s="62" t="inlineStr">
        <is>
          <t>ART_034</t>
        </is>
      </c>
      <c r="B53" s="62" t="inlineStr">
        <is>
          <t>ART_034_S01</t>
        </is>
      </c>
      <c r="C53" s="62" t="inlineStr">
        <is>
          <t>El Espectador</t>
        </is>
      </c>
      <c r="D53" s="62" t="inlineStr">
        <is>
          <t>Política</t>
        </is>
      </c>
      <c r="E53" s="62" t="inlineStr">
        <is>
          <t>Noticia dura</t>
        </is>
      </c>
      <c r="F53" s="62" t="inlineStr">
        <is>
          <t>Sun, 06 Sep 2026 00:22:17 +0000</t>
        </is>
      </c>
      <c r="G53"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H53" s="62" t="n"/>
      <c r="I53" s="62" t="inlineStr">
        <is>
          <t>Las decisiones se adoptaron en un consejo de seguridad en el que participaron el gobernador de Norte de Santander y altos mandos militares y policiales de la región.</t>
        </is>
      </c>
      <c r="J53" s="62" t="n"/>
      <c r="K53" s="62" t="n"/>
      <c r="L53" s="62" t="n"/>
      <c r="M53" s="62" t="n"/>
      <c r="N53" s="62" t="n"/>
      <c r="O53" s="62" t="n"/>
      <c r="P53" s="62" t="n"/>
      <c r="Q53" s="62" t="n"/>
      <c r="R53" s="62" t="n"/>
      <c r="S53" s="62" t="n"/>
      <c r="T53" s="62" t="n"/>
      <c r="U53" s="62" t="n"/>
      <c r="V53" s="62" t="n"/>
      <c r="W53" s="62" t="n"/>
      <c r="X53" s="62" t="n"/>
      <c r="Y53" s="62" t="n"/>
      <c r="Z53" s="62" t="n"/>
      <c r="AA53" s="62" t="n"/>
      <c r="AB53" s="62" t="n"/>
      <c r="AC53" s="62" t="n"/>
      <c r="AD53" s="62" t="n"/>
      <c r="AE53" s="62" t="n"/>
      <c r="AF53" s="61">
        <f>IF(COUNTIF($B$5:B53,B53)=1,1,0)</f>
        <v/>
      </c>
      <c r="AG53" s="62" t="inlineStr">
        <is>
          <t>https://www.elespectador.com/judicial/mindefensa-anuncia-nuevas-medidas-de-seguridad-tras-ataque-con-drones-del-eln-en-ocana/</t>
        </is>
      </c>
    </row>
    <row r="54">
      <c r="A54" s="62" t="inlineStr">
        <is>
          <t>ART_034</t>
        </is>
      </c>
      <c r="B54" s="62" t="inlineStr">
        <is>
          <t>ART_034_S02</t>
        </is>
      </c>
      <c r="C54" s="62" t="inlineStr">
        <is>
          <t>El Espectador</t>
        </is>
      </c>
      <c r="D54" s="62" t="inlineStr">
        <is>
          <t>Política</t>
        </is>
      </c>
      <c r="E54" s="62" t="inlineStr">
        <is>
          <t>Noticia dura</t>
        </is>
      </c>
      <c r="F54" s="62" t="inlineStr">
        <is>
          <t>Sun, 06 Sep 2026 00:22:17 +0000</t>
        </is>
      </c>
      <c r="G54" s="62" t="inlineStr">
        <is>
          <t>Las decisiones se adoptaron en un consejo de seguridad en el que participaron el gobernador de Norte de Santander y altos mandos militares y policiales de la región.</t>
        </is>
      </c>
      <c r="H54" s="62"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I54"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J54" s="62" t="n"/>
      <c r="K54" s="62" t="n"/>
      <c r="L54" s="62" t="n"/>
      <c r="M54" s="62" t="n"/>
      <c r="N54" s="62" t="n"/>
      <c r="O54" s="62" t="n"/>
      <c r="P54" s="62" t="n"/>
      <c r="Q54" s="62" t="n"/>
      <c r="R54" s="62" t="n"/>
      <c r="S54" s="62" t="n"/>
      <c r="T54" s="62" t="n"/>
      <c r="U54" s="62" t="n"/>
      <c r="V54" s="62" t="n"/>
      <c r="W54" s="62" t="n"/>
      <c r="X54" s="62" t="n"/>
      <c r="Y54" s="62" t="n"/>
      <c r="Z54" s="62" t="n"/>
      <c r="AA54" s="62" t="n"/>
      <c r="AB54" s="62" t="n"/>
      <c r="AC54" s="62" t="n"/>
      <c r="AD54" s="62" t="n"/>
      <c r="AE54" s="62" t="n"/>
      <c r="AF54" s="61">
        <f>IF(COUNTIF($B$5:B54,B54)=1,1,0)</f>
        <v/>
      </c>
      <c r="AG54" s="62" t="inlineStr">
        <is>
          <t>https://www.elespectador.com/judicial/mindefensa-anuncia-nuevas-medidas-de-seguridad-tras-ataque-con-drones-del-eln-en-ocana/</t>
        </is>
      </c>
    </row>
    <row r="55">
      <c r="A55" s="62" t="inlineStr">
        <is>
          <t>ART_034</t>
        </is>
      </c>
      <c r="B55" s="62" t="inlineStr">
        <is>
          <t>ART_034_S03</t>
        </is>
      </c>
      <c r="C55" s="62" t="inlineStr">
        <is>
          <t>El Espectador</t>
        </is>
      </c>
      <c r="D55" s="62" t="inlineStr">
        <is>
          <t>Política</t>
        </is>
      </c>
      <c r="E55" s="62" t="inlineStr">
        <is>
          <t>Noticia dura</t>
        </is>
      </c>
      <c r="F55" s="62" t="inlineStr">
        <is>
          <t>Sun, 06 Sep 2026 00:22:17 +0000</t>
        </is>
      </c>
      <c r="G55"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H55" s="62" t="inlineStr">
        <is>
          <t>Las decisiones se adoptaron en un consejo de seguridad en el que participaron el gobernador de Norte de Santander y altos mandos militares y policiales de la región.</t>
        </is>
      </c>
      <c r="I55" s="62" t="inlineStr">
        <is>
          <t>También se dispuso fortalecer el bloqueo y la contención de los corredores utilizados por los grupos armados ilegales para movilizar hombres, armas, explosivos y recursos ilícitos entre el sur del Cesar y Ocaña.</t>
        </is>
      </c>
      <c r="J55" s="62" t="n"/>
      <c r="K55" s="62" t="n"/>
      <c r="L55" s="62" t="n"/>
      <c r="M55" s="62" t="n"/>
      <c r="N55" s="62" t="n"/>
      <c r="O55" s="62" t="n"/>
      <c r="P55" s="62" t="n"/>
      <c r="Q55" s="62" t="n"/>
      <c r="R55" s="62" t="n"/>
      <c r="S55" s="62" t="n"/>
      <c r="T55" s="62" t="n"/>
      <c r="U55" s="62" t="n"/>
      <c r="V55" s="62" t="n"/>
      <c r="W55" s="62" t="n"/>
      <c r="X55" s="62" t="n"/>
      <c r="Y55" s="62" t="n"/>
      <c r="Z55" s="62" t="n"/>
      <c r="AA55" s="62" t="n"/>
      <c r="AB55" s="62" t="n"/>
      <c r="AC55" s="62" t="n"/>
      <c r="AD55" s="62" t="n"/>
      <c r="AE55" s="62" t="n"/>
      <c r="AF55" s="61">
        <f>IF(COUNTIF($B$5:B55,B55)=1,1,0)</f>
        <v/>
      </c>
      <c r="AG55" s="62" t="inlineStr">
        <is>
          <t>https://www.elespectador.com/judicial/mindefensa-anuncia-nuevas-medidas-de-seguridad-tras-ataque-con-drones-del-eln-en-ocana/</t>
        </is>
      </c>
    </row>
    <row r="56">
      <c r="A56" s="62" t="inlineStr">
        <is>
          <t>ART_034</t>
        </is>
      </c>
      <c r="B56" s="62" t="inlineStr">
        <is>
          <t>ART_034_S04</t>
        </is>
      </c>
      <c r="C56" s="62" t="inlineStr">
        <is>
          <t>El Espectador</t>
        </is>
      </c>
      <c r="D56" s="62" t="inlineStr">
        <is>
          <t>Política</t>
        </is>
      </c>
      <c r="E56" s="62" t="inlineStr">
        <is>
          <t>Noticia dura</t>
        </is>
      </c>
      <c r="F56" s="62" t="inlineStr">
        <is>
          <t>Sun, 06 Sep 2026 00:22:17 +0000</t>
        </is>
      </c>
      <c r="G56" s="62" t="inlineStr">
        <is>
          <t>También se dispuso fortalecer el bloqueo y la contención de los corredores utilizados por los grupos armados ilegales para movilizar hombres, armas, explosivos y recursos ilícitos entre el sur del Cesar y Ocaña.</t>
        </is>
      </c>
      <c r="H56" s="62"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I56" s="62" t="n"/>
      <c r="J56" s="62" t="n"/>
      <c r="K56" s="62" t="n"/>
      <c r="L56" s="62" t="n"/>
      <c r="M56" s="62" t="n"/>
      <c r="N56" s="62" t="n"/>
      <c r="O56" s="62" t="n"/>
      <c r="P56" s="62" t="n"/>
      <c r="Q56" s="62" t="n"/>
      <c r="R56" s="62" t="n"/>
      <c r="S56" s="62" t="n"/>
      <c r="T56" s="62" t="n"/>
      <c r="U56" s="62" t="n"/>
      <c r="V56" s="62" t="n"/>
      <c r="W56" s="62" t="n"/>
      <c r="X56" s="62" t="n"/>
      <c r="Y56" s="62" t="n"/>
      <c r="Z56" s="62" t="n"/>
      <c r="AA56" s="62" t="n"/>
      <c r="AB56" s="62" t="n"/>
      <c r="AC56" s="62" t="n"/>
      <c r="AD56" s="62" t="n"/>
      <c r="AE56" s="62" t="n"/>
      <c r="AF56" s="61">
        <f>IF(COUNTIF($B$5:B56,B56)=1,1,0)</f>
        <v/>
      </c>
      <c r="AG56" s="62" t="inlineStr">
        <is>
          <t>https://www.elespectador.com/judicial/mindefensa-anuncia-nuevas-medidas-de-seguridad-tras-ataque-con-drones-del-eln-en-ocana/</t>
        </is>
      </c>
    </row>
    <row r="57">
      <c r="A57" s="62" t="inlineStr">
        <is>
          <t>ART_036</t>
        </is>
      </c>
      <c r="B57" s="62" t="inlineStr">
        <is>
          <t>ART_036_S01</t>
        </is>
      </c>
      <c r="C57" s="62" t="inlineStr">
        <is>
          <t>Infobae Colombia</t>
        </is>
      </c>
      <c r="D57" s="62" t="inlineStr">
        <is>
          <t>Política</t>
        </is>
      </c>
      <c r="E57" s="62" t="inlineStr">
        <is>
          <t>Noticia dura</t>
        </is>
      </c>
      <c r="F57" s="62" t="inlineStr">
        <is>
          <t>Sat, 05 Sep 2026 23:40:04 +0000</t>
        </is>
      </c>
      <c r="G57"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H57" s="62" t="n"/>
      <c r="I57" s="62" t="inlineStr">
        <is>
          <t>El atentado y los combates que se presentaron posteriormente dejaron tres militares asesinados: el capitán Marco David Pirajón Montezuma y los soldados profesionales Joel Alberto Jiménez Jaramillo y Jhon Carlo Marrugo Manjarrez.</t>
        </is>
      </c>
      <c r="J57" s="62" t="n"/>
      <c r="K57" s="62" t="n"/>
      <c r="L57" s="62" t="n"/>
      <c r="M57" s="62" t="n"/>
      <c r="N57" s="62" t="n"/>
      <c r="O57" s="62" t="n"/>
      <c r="P57" s="62" t="n"/>
      <c r="Q57" s="62" t="n"/>
      <c r="R57" s="62" t="n"/>
      <c r="S57" s="62" t="n"/>
      <c r="T57" s="62" t="n"/>
      <c r="U57" s="62" t="n"/>
      <c r="V57" s="62" t="n"/>
      <c r="W57" s="62" t="n"/>
      <c r="X57" s="62" t="n"/>
      <c r="Y57" s="62" t="n"/>
      <c r="Z57" s="62" t="n"/>
      <c r="AA57" s="62" t="n"/>
      <c r="AB57" s="62" t="n"/>
      <c r="AC57" s="62" t="n"/>
      <c r="AD57" s="62" t="n"/>
      <c r="AE57" s="62" t="n"/>
      <c r="AF57" s="61">
        <f>IF(COUNTIF($B$5:B57,B57)=1,1,0)</f>
        <v/>
      </c>
      <c r="AG57" s="62" t="inlineStr">
        <is>
          <t>https://www.infobae.com/colombia/2026/09/05/toman-medidas-para-reforzar-la-seguridad-en-ocana-y-norte-de-santander-tras-atentado-del-eln-activaran-la-campana-militar-y-policial-esparta/</t>
        </is>
      </c>
    </row>
    <row r="58">
      <c r="A58" s="62" t="inlineStr">
        <is>
          <t>ART_036</t>
        </is>
      </c>
      <c r="B58" s="62" t="inlineStr">
        <is>
          <t>ART_036_S02</t>
        </is>
      </c>
      <c r="C58" s="62" t="inlineStr">
        <is>
          <t>Infobae Colombia</t>
        </is>
      </c>
      <c r="D58" s="62" t="inlineStr">
        <is>
          <t>Política</t>
        </is>
      </c>
      <c r="E58" s="62" t="inlineStr">
        <is>
          <t>Noticia dura</t>
        </is>
      </c>
      <c r="F58" s="62" t="inlineStr">
        <is>
          <t>Sat, 05 Sep 2026 23:40:04 +0000</t>
        </is>
      </c>
      <c r="G58" s="62" t="inlineStr">
        <is>
          <t>El atentado y los combates que se presentaron posteriormente dejaron tres militares asesinados: el capitán Marco David Pirajón Montezuma y los soldados profesionales Joel Alberto Jiménez Jaramillo y Jhon Carlo Marrugo Manjarrez.</t>
        </is>
      </c>
      <c r="H58" s="62"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I58" s="62" t="inlineStr">
        <is>
          <t>Ante la gravedad de estos hechos, se establecieron nuevas medidas para reforzar la seguridad y el control territorial en Ocaña y en la región del Catatumbo.</t>
        </is>
      </c>
      <c r="J58" s="62" t="n"/>
      <c r="K58" s="62" t="n"/>
      <c r="L58" s="62" t="n"/>
      <c r="M58" s="62" t="n"/>
      <c r="N58" s="62" t="n"/>
      <c r="O58" s="62" t="n"/>
      <c r="P58" s="62" t="n"/>
      <c r="Q58" s="62" t="n"/>
      <c r="R58" s="62" t="n"/>
      <c r="S58" s="62" t="n"/>
      <c r="T58" s="62" t="n"/>
      <c r="U58" s="62" t="n"/>
      <c r="V58" s="62" t="n"/>
      <c r="W58" s="62" t="n"/>
      <c r="X58" s="62" t="n"/>
      <c r="Y58" s="62" t="n"/>
      <c r="Z58" s="62" t="n"/>
      <c r="AA58" s="62" t="n"/>
      <c r="AB58" s="62" t="n"/>
      <c r="AC58" s="62" t="n"/>
      <c r="AD58" s="62" t="n"/>
      <c r="AE58" s="62" t="n"/>
      <c r="AF58" s="61">
        <f>IF(COUNTIF($B$5:B58,B58)=1,1,0)</f>
        <v/>
      </c>
      <c r="AG58" s="62" t="inlineStr">
        <is>
          <t>https://www.infobae.com/colombia/2026/09/05/toman-medidas-para-reforzar-la-seguridad-en-ocana-y-norte-de-santander-tras-atentado-del-eln-activaran-la-campana-militar-y-policial-esparta/</t>
        </is>
      </c>
    </row>
    <row r="59">
      <c r="A59" s="62" t="inlineStr">
        <is>
          <t>ART_036</t>
        </is>
      </c>
      <c r="B59" s="62" t="inlineStr">
        <is>
          <t>ART_036_S03</t>
        </is>
      </c>
      <c r="C59" s="62" t="inlineStr">
        <is>
          <t>Infobae Colombia</t>
        </is>
      </c>
      <c r="D59" s="62" t="inlineStr">
        <is>
          <t>Política</t>
        </is>
      </c>
      <c r="E59" s="62" t="inlineStr">
        <is>
          <t>Noticia dura</t>
        </is>
      </c>
      <c r="F59" s="62" t="inlineStr">
        <is>
          <t>Sat, 05 Sep 2026 23:40:04 +0000</t>
        </is>
      </c>
      <c r="G59" s="62" t="inlineStr">
        <is>
          <t>Ante la gravedad de estos hechos, se establecieron nuevas medidas para reforzar la seguridad y el control territorial en Ocaña y en la región del Catatumbo.</t>
        </is>
      </c>
      <c r="H59" s="62" t="inlineStr">
        <is>
          <t>El atentado y los combates que se presentaron posteriormente dejaron tres militares asesinados: el capitán Marco David Pirajón Montezuma y los soldados profesionales Joel Alberto Jiménez Jaramillo y Jhon Carlo Marrugo Manjarrez.</t>
        </is>
      </c>
      <c r="I59"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J59" s="62" t="n"/>
      <c r="K59" s="62" t="n"/>
      <c r="L59" s="62" t="n"/>
      <c r="M59" s="62" t="n"/>
      <c r="N59" s="62" t="n"/>
      <c r="O59" s="62" t="n"/>
      <c r="P59" s="62" t="n"/>
      <c r="Q59" s="62" t="n"/>
      <c r="R59" s="62" t="n"/>
      <c r="S59" s="62" t="n"/>
      <c r="T59" s="62" t="n"/>
      <c r="U59" s="62" t="n"/>
      <c r="V59" s="62" t="n"/>
      <c r="W59" s="62" t="n"/>
      <c r="X59" s="62" t="n"/>
      <c r="Y59" s="62" t="n"/>
      <c r="Z59" s="62" t="n"/>
      <c r="AA59" s="62" t="n"/>
      <c r="AB59" s="62" t="n"/>
      <c r="AC59" s="62" t="n"/>
      <c r="AD59" s="62" t="n"/>
      <c r="AE59" s="62" t="n"/>
      <c r="AF59" s="61">
        <f>IF(COUNTIF($B$5:B59,B59)=1,1,0)</f>
        <v/>
      </c>
      <c r="AG59" s="62" t="inlineStr">
        <is>
          <t>https://www.infobae.com/colombia/2026/09/05/toman-medidas-para-reforzar-la-seguridad-en-ocana-y-norte-de-santander-tras-atentado-del-eln-activaran-la-campana-militar-y-policial-esparta/</t>
        </is>
      </c>
    </row>
    <row r="60">
      <c r="A60" s="62" t="inlineStr">
        <is>
          <t>ART_036</t>
        </is>
      </c>
      <c r="B60" s="62" t="inlineStr">
        <is>
          <t>ART_036_S04</t>
        </is>
      </c>
      <c r="C60" s="62" t="inlineStr">
        <is>
          <t>Infobae Colombia</t>
        </is>
      </c>
      <c r="D60" s="62" t="inlineStr">
        <is>
          <t>Política</t>
        </is>
      </c>
      <c r="E60" s="62" t="inlineStr">
        <is>
          <t>Noticia dura</t>
        </is>
      </c>
      <c r="F60" s="62" t="inlineStr">
        <is>
          <t>Sat, 05 Sep 2026 23:40:04 +0000</t>
        </is>
      </c>
      <c r="G60"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H60" s="62" t="inlineStr">
        <is>
          <t>Ante la gravedad de estos hechos, se establecieron nuevas medidas para reforzar la seguridad y el control territorial en Ocaña y en la región del Catatumbo.</t>
        </is>
      </c>
      <c r="I60" s="62" t="inlineStr">
        <is>
          <t>“Se reforzarán los corredores de movilidad ilegal, las capacidades de inteligencia y la coordinación con la @FiscaliaCol para identificar, capturar y judicializar a los responsables.</t>
        </is>
      </c>
      <c r="J60" s="62" t="n"/>
      <c r="K60" s="62" t="n"/>
      <c r="L60" s="62" t="n"/>
      <c r="M60" s="62" t="n"/>
      <c r="N60" s="62" t="n"/>
      <c r="O60" s="62" t="n"/>
      <c r="P60" s="62" t="n"/>
      <c r="Q60" s="62" t="n"/>
      <c r="R60" s="62" t="n"/>
      <c r="S60" s="62" t="n"/>
      <c r="T60" s="62" t="n"/>
      <c r="U60" s="62" t="n"/>
      <c r="V60" s="62" t="n"/>
      <c r="W60" s="62" t="n"/>
      <c r="X60" s="62" t="n"/>
      <c r="Y60" s="62" t="n"/>
      <c r="Z60" s="62" t="n"/>
      <c r="AA60" s="62" t="n"/>
      <c r="AB60" s="62" t="n"/>
      <c r="AC60" s="62" t="n"/>
      <c r="AD60" s="62" t="n"/>
      <c r="AE60" s="62" t="n"/>
      <c r="AF60" s="61">
        <f>IF(COUNTIF($B$5:B60,B60)=1,1,0)</f>
        <v/>
      </c>
      <c r="AG60" s="62" t="inlineStr">
        <is>
          <t>https://www.infobae.com/colombia/2026/09/05/toman-medidas-para-reforzar-la-seguridad-en-ocana-y-norte-de-santander-tras-atentado-del-eln-activaran-la-campana-militar-y-policial-esparta/</t>
        </is>
      </c>
    </row>
    <row r="61">
      <c r="A61" s="62" t="inlineStr">
        <is>
          <t>ART_036</t>
        </is>
      </c>
      <c r="B61" s="62" t="inlineStr">
        <is>
          <t>ART_036_S05</t>
        </is>
      </c>
      <c r="C61" s="62" t="inlineStr">
        <is>
          <t>Infobae Colombia</t>
        </is>
      </c>
      <c r="D61" s="62" t="inlineStr">
        <is>
          <t>Política</t>
        </is>
      </c>
      <c r="E61" s="62" t="inlineStr">
        <is>
          <t>Noticia dura</t>
        </is>
      </c>
      <c r="F61" s="62" t="inlineStr">
        <is>
          <t>Sat, 05 Sep 2026 23:40:04 +0000</t>
        </is>
      </c>
      <c r="G61" s="62" t="inlineStr">
        <is>
          <t>“Se reforzarán los corredores de movilidad ilegal, las capacidades de inteligencia y la coordinación con la @FiscaliaCol para identificar, capturar y judicializar a los responsables.</t>
        </is>
      </c>
      <c r="H61" s="62"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I61" s="62" t="inlineStr">
        <is>
          <t>Las @FuerzasMilCol y la @PoliciaColombia mantienen desplegadas todas sus capacidades para proteger a la población y enfrentar con contundencia a quienes atenten contra la seguridad del #Catatumbo”, indicaron las Fuerzas Militares en X.</t>
        </is>
      </c>
      <c r="J61" s="62" t="n"/>
      <c r="K61" s="62" t="n"/>
      <c r="L61" s="62" t="n"/>
      <c r="M61" s="62" t="n"/>
      <c r="N61" s="62" t="n"/>
      <c r="O61" s="62" t="n"/>
      <c r="P61" s="62" t="n"/>
      <c r="Q61" s="62" t="n"/>
      <c r="R61" s="62" t="n"/>
      <c r="S61" s="62" t="n"/>
      <c r="T61" s="62" t="n"/>
      <c r="U61" s="62" t="n"/>
      <c r="V61" s="62" t="n"/>
      <c r="W61" s="62" t="n"/>
      <c r="X61" s="62" t="n"/>
      <c r="Y61" s="62" t="n"/>
      <c r="Z61" s="62" t="n"/>
      <c r="AA61" s="62" t="n"/>
      <c r="AB61" s="62" t="n"/>
      <c r="AC61" s="62" t="n"/>
      <c r="AD61" s="62" t="n"/>
      <c r="AE61" s="62" t="n"/>
      <c r="AF61" s="61">
        <f>IF(COUNTIF($B$5:B61,B61)=1,1,0)</f>
        <v/>
      </c>
      <c r="AG61" s="62" t="inlineStr">
        <is>
          <t>https://www.infobae.com/colombia/2026/09/05/toman-medidas-para-reforzar-la-seguridad-en-ocana-y-norte-de-santander-tras-atentado-del-eln-activaran-la-campana-militar-y-policial-esparta/</t>
        </is>
      </c>
    </row>
    <row r="62">
      <c r="A62" s="62" t="inlineStr">
        <is>
          <t>ART_036</t>
        </is>
      </c>
      <c r="B62" s="62" t="inlineStr">
        <is>
          <t>ART_036_S06</t>
        </is>
      </c>
      <c r="C62" s="62" t="inlineStr">
        <is>
          <t>Infobae Colombia</t>
        </is>
      </c>
      <c r="D62" s="62" t="inlineStr">
        <is>
          <t>Política</t>
        </is>
      </c>
      <c r="E62" s="62" t="inlineStr">
        <is>
          <t>Noticia dura</t>
        </is>
      </c>
      <c r="F62" s="62" t="inlineStr">
        <is>
          <t>Sat, 05 Sep 2026 23:40:04 +0000</t>
        </is>
      </c>
      <c r="G62" s="62" t="inlineStr">
        <is>
          <t>Las @FuerzasMilCol y la @PoliciaColombia mantienen desplegadas todas sus capacidades para proteger a la población y enfrentar con contundencia a quienes atenten contra la seguridad del #Catatumbo”, indicaron las Fuerzas Militares en X.</t>
        </is>
      </c>
      <c r="H62" s="62" t="inlineStr">
        <is>
          <t>“Se reforzarán los corredores de movilidad ilegal, las capacidades de inteligencia y la coordinación con la @FiscaliaCol para identificar, capturar y judicializar a los responsables.</t>
        </is>
      </c>
      <c r="I62" s="62" t="n"/>
      <c r="J62" s="62" t="n"/>
      <c r="K62" s="62" t="n"/>
      <c r="L62" s="62" t="n"/>
      <c r="M62" s="62" t="n"/>
      <c r="N62" s="62" t="n"/>
      <c r="O62" s="62" t="n"/>
      <c r="P62" s="62" t="n"/>
      <c r="Q62" s="62" t="n"/>
      <c r="R62" s="62" t="n"/>
      <c r="S62" s="62" t="n"/>
      <c r="T62" s="62" t="n"/>
      <c r="U62" s="62" t="n"/>
      <c r="V62" s="62" t="n"/>
      <c r="W62" s="62" t="n"/>
      <c r="X62" s="62" t="n"/>
      <c r="Y62" s="62" t="n"/>
      <c r="Z62" s="62" t="n"/>
      <c r="AA62" s="62" t="n"/>
      <c r="AB62" s="62" t="n"/>
      <c r="AC62" s="62" t="n"/>
      <c r="AD62" s="62" t="n"/>
      <c r="AE62" s="62" t="n"/>
      <c r="AF62" s="61">
        <f>IF(COUNTIF($B$5:B62,B62)=1,1,0)</f>
        <v/>
      </c>
      <c r="AG62" s="62" t="inlineStr">
        <is>
          <t>https://www.infobae.com/colombia/2026/09/05/toman-medidas-para-reforzar-la-seguridad-en-ocana-y-norte-de-santander-tras-atentado-del-eln-activaran-la-campana-militar-y-policial-esparta/</t>
        </is>
      </c>
    </row>
    <row r="63">
      <c r="A63" s="62" t="inlineStr">
        <is>
          <t>ART_041</t>
        </is>
      </c>
      <c r="B63" s="62" t="inlineStr">
        <is>
          <t>ART_041_S01</t>
        </is>
      </c>
      <c r="C63" s="62" t="inlineStr">
        <is>
          <t>La Silla Vacía</t>
        </is>
      </c>
      <c r="D63" s="62" t="inlineStr">
        <is>
          <t>Política</t>
        </is>
      </c>
      <c r="E63" s="62" t="inlineStr">
        <is>
          <t>Opinión-análisis</t>
        </is>
      </c>
      <c r="F63" s="62" t="inlineStr">
        <is>
          <t>Sat, 05 Sep 2026 19:00:00 +0000</t>
        </is>
      </c>
      <c r="G63" s="62" t="inlineStr">
        <is>
          <t>Durante la última semana causó revuelo la noticia divulgada por Caracol Radio, señalando la existencia de presuntas actas que develaban que el presidente De la Espriella habría ordenado a sus ministros no conceder ruedas de prensa ni entrevistas a medios de comunicación que no fueran ‘amigos’, salvo para temas estratégicos o con previa autorización.</t>
        </is>
      </c>
      <c r="H63" s="62" t="n"/>
      <c r="I63" s="62" t="n"/>
      <c r="J63" s="62" t="n"/>
      <c r="K63" s="62" t="n"/>
      <c r="L63" s="62" t="n"/>
      <c r="M63" s="62" t="n"/>
      <c r="N63" s="62" t="n"/>
      <c r="O63" s="62" t="n"/>
      <c r="P63" s="62" t="n"/>
      <c r="Q63" s="62" t="n"/>
      <c r="R63" s="62" t="n"/>
      <c r="S63" s="62" t="n"/>
      <c r="T63" s="62" t="n"/>
      <c r="U63" s="62" t="n"/>
      <c r="V63" s="62" t="n"/>
      <c r="W63" s="62" t="n"/>
      <c r="X63" s="62" t="n"/>
      <c r="Y63" s="62" t="n"/>
      <c r="Z63" s="62" t="n"/>
      <c r="AA63" s="62" t="n"/>
      <c r="AB63" s="62" t="n"/>
      <c r="AC63" s="62" t="n"/>
      <c r="AD63" s="62" t="n"/>
      <c r="AE63" s="62" t="n"/>
      <c r="AF63" s="61">
        <f>IF(COUNTIF($B$5:B63,B63)=1,1,0)</f>
        <v/>
      </c>
      <c r="AG63" s="62" t="inlineStr">
        <is>
          <t>https://www.lasillavacia.com/red-de-expertos/red-social/la-informacion-publica-no-se-restringe-a-medios-amigos/</t>
        </is>
      </c>
    </row>
    <row r="64">
      <c r="A64" s="62" t="inlineStr">
        <is>
          <t>ART_042</t>
        </is>
      </c>
      <c r="B64" s="62" t="inlineStr">
        <is>
          <t>ART_042_S01</t>
        </is>
      </c>
      <c r="C64" s="62" t="inlineStr">
        <is>
          <t>La Silla Vacía</t>
        </is>
      </c>
      <c r="D64" s="62" t="inlineStr">
        <is>
          <t>Política</t>
        </is>
      </c>
      <c r="E64" s="62" t="inlineStr">
        <is>
          <t>Opinión-análisis</t>
        </is>
      </c>
      <c r="F64" s="62" t="inlineStr">
        <is>
          <t>Sat, 05 Sep 2026 16:33:03 +0000</t>
        </is>
      </c>
      <c r="G64" s="62" t="inlineStr">
        <is>
          <t>¿Operaciones sin Seguridad? Me preguntaba un amigo, que opinaba sobre las anunciadas operaciones militares en Chiribiquete.</t>
        </is>
      </c>
      <c r="H64" s="62" t="n"/>
      <c r="I64" s="62" t="n"/>
      <c r="J64" s="62" t="n"/>
      <c r="K64" s="62" t="n"/>
      <c r="L64" s="62" t="n"/>
      <c r="M64" s="62" t="n"/>
      <c r="N64" s="62" t="n"/>
      <c r="O64" s="62" t="n"/>
      <c r="P64" s="62" t="n"/>
      <c r="Q64" s="62" t="n"/>
      <c r="R64" s="62" t="n"/>
      <c r="S64" s="62" t="n"/>
      <c r="T64" s="62" t="n"/>
      <c r="U64" s="62" t="n"/>
      <c r="V64" s="62" t="n"/>
      <c r="W64" s="62" t="n"/>
      <c r="X64" s="62" t="n"/>
      <c r="Y64" s="62" t="n"/>
      <c r="Z64" s="62" t="n"/>
      <c r="AA64" s="62" t="n"/>
      <c r="AB64" s="62" t="n"/>
      <c r="AC64" s="62" t="n"/>
      <c r="AD64" s="62" t="n"/>
      <c r="AE64" s="62" t="n"/>
      <c r="AF64" s="61">
        <f>IF(COUNTIF($B$5:B64,B64)=1,1,0)</f>
        <v/>
      </c>
      <c r="AG64" s="62" t="inlineStr">
        <is>
          <t>https://www.lasillavacia.com/opinion/operaciones-sin-seguridad/</t>
        </is>
      </c>
    </row>
    <row r="65">
      <c r="A65" s="62" t="inlineStr">
        <is>
          <t>ART_043</t>
        </is>
      </c>
      <c r="B65" s="62" t="inlineStr">
        <is>
          <t>ART_043_S01</t>
        </is>
      </c>
      <c r="C65" s="62" t="inlineStr">
        <is>
          <t>La Silla Vacía</t>
        </is>
      </c>
      <c r="D65" s="62" t="inlineStr">
        <is>
          <t>Política</t>
        </is>
      </c>
      <c r="E65" s="62" t="inlineStr">
        <is>
          <t>Opinión-análisis</t>
        </is>
      </c>
      <c r="F65" s="62" t="inlineStr">
        <is>
          <t>Mon, 31 Aug 2026 18:10:17 +0000</t>
        </is>
      </c>
      <c r="G65" s="62" t="inlineStr">
        <is>
          <t>Tras mantener suspendida su entrada en vigor cerca de dos años, la Corte Constitucional declaró exequible el grueso de la Ley 2381 de 2024 y difirió su vigencia al 1.º de abril de 2027.</t>
        </is>
      </c>
      <c r="H65" s="62" t="n"/>
      <c r="I65" s="62" t="n"/>
      <c r="J65" s="62" t="n"/>
      <c r="K65" s="62" t="n"/>
      <c r="L65" s="62" t="n"/>
      <c r="M65" s="62" t="n"/>
      <c r="N65" s="62" t="n"/>
      <c r="O65" s="62" t="n"/>
      <c r="P65" s="62" t="n"/>
      <c r="Q65" s="62" t="n"/>
      <c r="R65" s="62" t="n"/>
      <c r="S65" s="62" t="n"/>
      <c r="T65" s="62" t="n"/>
      <c r="U65" s="62" t="n"/>
      <c r="V65" s="62" t="n"/>
      <c r="W65" s="62" t="n"/>
      <c r="X65" s="62" t="n"/>
      <c r="Y65" s="62" t="n"/>
      <c r="Z65" s="62" t="n"/>
      <c r="AA65" s="62" t="n"/>
      <c r="AB65" s="62" t="n"/>
      <c r="AC65" s="62" t="n"/>
      <c r="AD65" s="62" t="n"/>
      <c r="AE65" s="62" t="n"/>
      <c r="AF65" s="61">
        <f>IF(COUNTIF($B$5:B65,B65)=1,1,0)</f>
        <v/>
      </c>
      <c r="AG65" s="62" t="inlineStr">
        <is>
          <t>https://www.lasillavacia.com/red-de-expertos/red-de-derecho-constitucional/ganadores-y-perdedores-de-la-reforma-pensional/</t>
        </is>
      </c>
    </row>
    <row r="66">
      <c r="A66" s="62" t="inlineStr">
        <is>
          <t>ART_044</t>
        </is>
      </c>
      <c r="B66" s="62" t="inlineStr">
        <is>
          <t>ART_044_S01</t>
        </is>
      </c>
      <c r="C66" s="62" t="inlineStr">
        <is>
          <t>La Silla Vacía</t>
        </is>
      </c>
      <c r="D66" s="62" t="inlineStr">
        <is>
          <t>Política</t>
        </is>
      </c>
      <c r="E66" s="62" t="inlineStr">
        <is>
          <t>Opinión-análisis</t>
        </is>
      </c>
      <c r="F66" s="62" t="inlineStr">
        <is>
          <t>2025-04-05T05:05:00+00:00</t>
        </is>
      </c>
      <c r="G66" s="62" t="inlineStr">
        <is>
          <t>Se ha dicho que los aranceles del 10 % impuestos por Trump a Colombia tienen algunos efectos positivos y que el país salió relativamente bien librado.</t>
        </is>
      </c>
      <c r="H66" s="62" t="n"/>
      <c r="I66" s="62" t="n"/>
      <c r="J66" s="62" t="n"/>
      <c r="K66" s="62" t="n"/>
      <c r="L66" s="62" t="n"/>
      <c r="M66" s="62" t="n"/>
      <c r="N66" s="62" t="n"/>
      <c r="O66" s="62" t="n"/>
      <c r="P66" s="62" t="n"/>
      <c r="Q66" s="62" t="n"/>
      <c r="R66" s="62" t="n"/>
      <c r="S66" s="62" t="n"/>
      <c r="T66" s="62" t="n"/>
      <c r="U66" s="62" t="n"/>
      <c r="V66" s="62" t="n"/>
      <c r="W66" s="62" t="n"/>
      <c r="X66" s="62" t="n"/>
      <c r="Y66" s="62" t="n"/>
      <c r="Z66" s="62" t="n"/>
      <c r="AA66" s="62" t="n"/>
      <c r="AB66" s="62" t="n"/>
      <c r="AC66" s="62" t="n"/>
      <c r="AD66" s="62" t="n"/>
      <c r="AE66" s="62" t="n"/>
      <c r="AF66" s="61">
        <f>IF(COUNTIF($B$5:B66,B66)=1,1,0)</f>
        <v/>
      </c>
      <c r="AG66" s="62" t="inlineStr">
        <is>
          <t>https://www.lasillavacia.com/red-de-expertos/red-social/colombia-no-sale-tan-bien-librada-con-los-nuevos-aranceles-de-trump/</t>
        </is>
      </c>
    </row>
    <row r="67">
      <c r="A67" s="62" t="inlineStr">
        <is>
          <t>ART_045</t>
        </is>
      </c>
      <c r="B67" s="62" t="inlineStr">
        <is>
          <t>ART_045_S01</t>
        </is>
      </c>
      <c r="C67" s="62" t="inlineStr">
        <is>
          <t>La Silla Vacía</t>
        </is>
      </c>
      <c r="D67" s="62" t="inlineStr">
        <is>
          <t>Política</t>
        </is>
      </c>
      <c r="E67" s="62" t="inlineStr">
        <is>
          <t>Opinión-análisis</t>
        </is>
      </c>
      <c r="F67" s="62" t="inlineStr">
        <is>
          <t>Thu, 27 Aug 2026 13:00:00 +0000</t>
        </is>
      </c>
      <c r="G67" s="62" t="inlineStr">
        <is>
          <t>La reforma pensional colombiana dejó de ser solamente una discusión sobre el futuro de los trabajadores y se convirtió también en un asunto de economía de empresa.</t>
        </is>
      </c>
      <c r="H67" s="62" t="n"/>
      <c r="I67" s="62" t="n"/>
      <c r="J67" s="62" t="n"/>
      <c r="K67" s="62" t="n"/>
      <c r="L67" s="62" t="n"/>
      <c r="M67" s="62" t="n"/>
      <c r="N67" s="62" t="n"/>
      <c r="O67" s="62" t="n"/>
      <c r="P67" s="62" t="n"/>
      <c r="Q67" s="62" t="n"/>
      <c r="R67" s="62" t="n"/>
      <c r="S67" s="62" t="n"/>
      <c r="T67" s="62" t="n"/>
      <c r="U67" s="62" t="n"/>
      <c r="V67" s="62" t="n"/>
      <c r="W67" s="62" t="n"/>
      <c r="X67" s="62" t="n"/>
      <c r="Y67" s="62" t="n"/>
      <c r="Z67" s="62" t="n"/>
      <c r="AA67" s="62" t="n"/>
      <c r="AB67" s="62" t="n"/>
      <c r="AC67" s="62" t="n"/>
      <c r="AD67" s="62" t="n"/>
      <c r="AE67" s="62" t="n"/>
      <c r="AF67" s="61">
        <f>IF(COUNTIF($B$5:B67,B67)=1,1,0)</f>
        <v/>
      </c>
      <c r="AG67" s="62" t="inlineStr">
        <is>
          <t>https://www.lasillavacia.com/red-de-expertos/red-social/pension-un-reto-economico-y-empresarial/</t>
        </is>
      </c>
    </row>
    <row r="68">
      <c r="A68" s="62" t="inlineStr">
        <is>
          <t>ART_046</t>
        </is>
      </c>
      <c r="B68" s="62" t="inlineStr">
        <is>
          <t>ART_046_S01</t>
        </is>
      </c>
      <c r="C68" s="62" t="inlineStr">
        <is>
          <t>La Silla Vacía</t>
        </is>
      </c>
      <c r="D68" s="62" t="inlineStr">
        <is>
          <t>Política</t>
        </is>
      </c>
      <c r="E68" s="62" t="inlineStr">
        <is>
          <t>Opinión-análisis</t>
        </is>
      </c>
      <c r="F68" s="62" t="inlineStr">
        <is>
          <t>Tue, 23 Jun 2026 20:03:13 +0000</t>
        </is>
      </c>
      <c r="G68" s="62" t="inlineStr">
        <is>
          <t>El politólogo Guillermo O’Donnell advirtió que la democracia no se agota en las elecciones porque exige también que el Estado garantice el imperio de la ley en todo el territorio y que los ciudadanos puedan ejercer sus derechos sin coacción.</t>
        </is>
      </c>
      <c r="H68" s="62" t="n"/>
      <c r="I68" s="62" t="n"/>
      <c r="J68" s="62" t="n"/>
      <c r="K68" s="62" t="n"/>
      <c r="L68" s="62" t="n"/>
      <c r="M68" s="62" t="n"/>
      <c r="N68" s="62" t="n"/>
      <c r="O68" s="62" t="n"/>
      <c r="P68" s="62" t="n"/>
      <c r="Q68" s="62" t="n"/>
      <c r="R68" s="62" t="n"/>
      <c r="S68" s="62" t="n"/>
      <c r="T68" s="62" t="n"/>
      <c r="U68" s="62" t="n"/>
      <c r="V68" s="62" t="n"/>
      <c r="W68" s="62" t="n"/>
      <c r="X68" s="62" t="n"/>
      <c r="Y68" s="62" t="n"/>
      <c r="Z68" s="62" t="n"/>
      <c r="AA68" s="62" t="n"/>
      <c r="AB68" s="62" t="n"/>
      <c r="AC68" s="62" t="n"/>
      <c r="AD68" s="62" t="n"/>
      <c r="AE68" s="62" t="n"/>
      <c r="AF68" s="61">
        <f>IF(COUNTIF($B$5:B68,B68)=1,1,0)</f>
        <v/>
      </c>
      <c r="AG68" s="62" t="inlineStr">
        <is>
          <t>https://www.lasillavacia.com/red-de-expertos/red-de-la-paz/elecciones-y-crimen-organizado-una-reflexion-academica/</t>
        </is>
      </c>
    </row>
    <row r="69">
      <c r="A69" s="62" t="inlineStr">
        <is>
          <t>ART_047</t>
        </is>
      </c>
      <c r="B69" s="62" t="inlineStr">
        <is>
          <t>ART_047_S01</t>
        </is>
      </c>
      <c r="C69" s="62" t="inlineStr">
        <is>
          <t>La Silla Vacía</t>
        </is>
      </c>
      <c r="D69" s="62" t="inlineStr">
        <is>
          <t>Política</t>
        </is>
      </c>
      <c r="E69" s="62" t="inlineStr">
        <is>
          <t>Opinión-análisis</t>
        </is>
      </c>
      <c r="F69" s="62" t="inlineStr">
        <is>
          <t>2025-03-24T15:29:59+00:00</t>
        </is>
      </c>
      <c r="G69" s="62" t="inlineStr">
        <is>
          <t>La guerra comercial que ha desatado el presidente Trump en varias zonas del planeta tiene a todos los países en alerta, debido a los posibles efectos negativos que esta puede generar en sus economías.</t>
        </is>
      </c>
      <c r="H69" s="62" t="n"/>
      <c r="I69" s="62" t="n"/>
      <c r="J69" s="62" t="n"/>
      <c r="K69" s="62" t="n"/>
      <c r="L69" s="62" t="n"/>
      <c r="M69" s="62" t="n"/>
      <c r="N69" s="62" t="n"/>
      <c r="O69" s="62" t="n"/>
      <c r="P69" s="62" t="n"/>
      <c r="Q69" s="62" t="n"/>
      <c r="R69" s="62" t="n"/>
      <c r="S69" s="62" t="n"/>
      <c r="T69" s="62" t="n"/>
      <c r="U69" s="62" t="n"/>
      <c r="V69" s="62" t="n"/>
      <c r="W69" s="62" t="n"/>
      <c r="X69" s="62" t="n"/>
      <c r="Y69" s="62" t="n"/>
      <c r="Z69" s="62" t="n"/>
      <c r="AA69" s="62" t="n"/>
      <c r="AB69" s="62" t="n"/>
      <c r="AC69" s="62" t="n"/>
      <c r="AD69" s="62" t="n"/>
      <c r="AE69" s="62" t="n"/>
      <c r="AF69" s="61">
        <f>IF(COUNTIF($B$5:B69,B69)=1,1,0)</f>
        <v/>
      </c>
      <c r="AG69" s="62" t="inlineStr">
        <is>
          <t>https://www.lasillavacia.com/red-de-expertos/red-social/guerra-comercial-de-trump-oportunidad-para-colombia/</t>
        </is>
      </c>
    </row>
    <row r="70">
      <c r="A70" s="62" t="inlineStr">
        <is>
          <t>ART_049</t>
        </is>
      </c>
      <c r="B70" s="62" t="inlineStr">
        <is>
          <t>ART_049_S01</t>
        </is>
      </c>
      <c r="C70" s="62" t="inlineStr">
        <is>
          <t>Infobae Colombia</t>
        </is>
      </c>
      <c r="D70" s="62" t="inlineStr">
        <is>
          <t>Política</t>
        </is>
      </c>
      <c r="E70" s="62" t="inlineStr">
        <is>
          <t>Noticia dura</t>
        </is>
      </c>
      <c r="F70" s="62" t="inlineStr">
        <is>
          <t>2026-08-04T18:45:15Z</t>
        </is>
      </c>
      <c r="G70" s="62" t="inlineStr">
        <is>
          <t>El director de la Dirección de Impuestos y Aduanas Nacionales (Dian) Carlos Betancourt sostuvo que el aumento de aranceles de Estados Unidos a Colombia, que pasó de 10% a 12,5%, fue una decisión unilateral del gobierno de Donald Trump y no una consecuencia de incumplimientos del Estado colombiano, en un contexto marcado por la guerra comercial con China, la estrategia de Washington para fortalecer sus exportaciones y factores geopolíticos.</t>
        </is>
      </c>
      <c r="H70" s="62" t="n"/>
      <c r="I70" s="62" t="n"/>
      <c r="J70" s="62" t="n"/>
      <c r="K70" s="62" t="n"/>
      <c r="L70" s="62" t="n"/>
      <c r="M70" s="62" t="n"/>
      <c r="N70" s="62" t="n"/>
      <c r="O70" s="62" t="n"/>
      <c r="P70" s="62" t="n"/>
      <c r="Q70" s="62" t="n"/>
      <c r="R70" s="62" t="n"/>
      <c r="S70" s="62" t="n"/>
      <c r="T70" s="62" t="n"/>
      <c r="U70" s="62" t="n"/>
      <c r="V70" s="62" t="n"/>
      <c r="W70" s="62" t="n"/>
      <c r="X70" s="62" t="n"/>
      <c r="Y70" s="62" t="n"/>
      <c r="Z70" s="62" t="n"/>
      <c r="AA70" s="62" t="n"/>
      <c r="AB70" s="62" t="n"/>
      <c r="AC70" s="62" t="n"/>
      <c r="AD70" s="62" t="n"/>
      <c r="AE70" s="62" t="n"/>
      <c r="AF70" s="61">
        <f>IF(COUNTIF($B$5:B70,B70)=1,1,0)</f>
        <v/>
      </c>
      <c r="AG70" s="62" t="inlineStr">
        <is>
          <t>https://www.infobae.com/colombia/2026/08/04/el-director-de-la-dian-atribuyo-a-donald-trump-la-subida-de-aranceles-de-estados-unidos-a-colombia-es-una-decision-unilateral/</t>
        </is>
      </c>
    </row>
    <row r="71">
      <c r="A71" s="62" t="inlineStr">
        <is>
          <t>ART_053</t>
        </is>
      </c>
      <c r="B71" s="62" t="inlineStr">
        <is>
          <t>ART_053_S01</t>
        </is>
      </c>
      <c r="C71" s="62" t="inlineStr">
        <is>
          <t>Infobae Colombia</t>
        </is>
      </c>
      <c r="D71" s="62" t="inlineStr">
        <is>
          <t>Política</t>
        </is>
      </c>
      <c r="E71" s="62" t="inlineStr">
        <is>
          <t>Noticia dura</t>
        </is>
      </c>
      <c r="F71" s="62" t="inlineStr">
        <is>
          <t>2026-07-23T23:10:16Z</t>
        </is>
      </c>
      <c r="G71" s="62" t="inlineStr">
        <is>
          <t>La administración del presidente Donald Trump confirmó el jueves 23 de julio de 2026 un nuevo paquete de aranceles para las importaciones provenientes de decenas de países, entre ellos Colombia, decisión que fija un gravamen del 12,5% para los productos colombianos que ingresen al mercado estadounidense.</t>
        </is>
      </c>
      <c r="H71" s="62" t="n"/>
      <c r="I71" s="62" t="n"/>
      <c r="J71" s="62" t="n"/>
      <c r="K71" s="62" t="n"/>
      <c r="L71" s="62" t="n"/>
      <c r="M71" s="62" t="n"/>
      <c r="N71" s="62" t="n"/>
      <c r="O71" s="62" t="n"/>
      <c r="P71" s="62" t="n"/>
      <c r="Q71" s="62" t="n"/>
      <c r="R71" s="62" t="n"/>
      <c r="S71" s="62" t="n"/>
      <c r="T71" s="62" t="n"/>
      <c r="U71" s="62" t="n"/>
      <c r="V71" s="62" t="n"/>
      <c r="W71" s="62" t="n"/>
      <c r="X71" s="62" t="n"/>
      <c r="Y71" s="62" t="n"/>
      <c r="Z71" s="62" t="n"/>
      <c r="AA71" s="62" t="n"/>
      <c r="AB71" s="62" t="n"/>
      <c r="AC71" s="62" t="n"/>
      <c r="AD71" s="62" t="n"/>
      <c r="AE71" s="62" t="n"/>
      <c r="AF71" s="61">
        <f>IF(COUNTIF($B$5:B71,B71)=1,1,0)</f>
        <v/>
      </c>
      <c r="AG71" s="62" t="inlineStr">
        <is>
          <t>https://www.infobae.com/colombia/2026/07/23/estados-unidos-endurecio-los-aranceles-para-colombia-exportaciones-pagaran-un-gravamen-del-125/</t>
        </is>
      </c>
    </row>
    <row r="72">
      <c r="A72" s="62" t="inlineStr">
        <is>
          <t>ART_056</t>
        </is>
      </c>
      <c r="B72" s="62" t="inlineStr">
        <is>
          <t>ART_056_S01</t>
        </is>
      </c>
      <c r="C72" s="62" t="inlineStr">
        <is>
          <t>El Tiempo</t>
        </is>
      </c>
      <c r="D72" s="62" t="inlineStr">
        <is>
          <t>Política</t>
        </is>
      </c>
      <c r="E72" s="62" t="inlineStr">
        <is>
          <t>Opinión-análisis</t>
        </is>
      </c>
      <c r="F72" s="62" t="inlineStr">
        <is>
          <t>2026-05-16T23:45:00-05:00</t>
        </is>
      </c>
      <c r="G72"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H72" s="62" t="n"/>
      <c r="I72" s="62" t="inlineStr">
        <is>
          <t>Si los demás candidatos han quedado rezagados, ha sido en buena medida porque fueron incapaces de usar, con intensidad y eficacia, esas tecnologías.</t>
        </is>
      </c>
      <c r="J72" s="62" t="n"/>
      <c r="K72" s="62" t="n"/>
      <c r="L72" s="62" t="n"/>
      <c r="M72" s="62" t="n"/>
      <c r="N72" s="62" t="n"/>
      <c r="O72" s="62" t="n"/>
      <c r="P72" s="62" t="n"/>
      <c r="Q72" s="62" t="n"/>
      <c r="R72" s="62" t="n"/>
      <c r="S72" s="62" t="n"/>
      <c r="T72" s="62" t="n"/>
      <c r="U72" s="62" t="n"/>
      <c r="V72" s="62" t="n"/>
      <c r="W72" s="62" t="n"/>
      <c r="X72" s="62" t="n"/>
      <c r="Y72" s="62" t="n"/>
      <c r="Z72" s="62" t="n"/>
      <c r="AA72" s="62" t="n"/>
      <c r="AB72" s="62" t="n"/>
      <c r="AC72" s="62" t="n"/>
      <c r="AD72" s="62" t="n"/>
      <c r="AE72" s="62" t="n"/>
      <c r="AF72" s="61">
        <f>IF(COUNTIF($B$5:B72,B72)=1,1,0)</f>
        <v/>
      </c>
      <c r="AG72" s="62" t="inlineStr">
        <is>
          <t>https://www.eltiempo.com/opinion/columnistas/una-batalla-sin-partidos-3556318</t>
        </is>
      </c>
    </row>
    <row r="73">
      <c r="A73" s="62" t="inlineStr">
        <is>
          <t>ART_056</t>
        </is>
      </c>
      <c r="B73" s="62" t="inlineStr">
        <is>
          <t>ART_056_S02</t>
        </is>
      </c>
      <c r="C73" s="62" t="inlineStr">
        <is>
          <t>El Tiempo</t>
        </is>
      </c>
      <c r="D73" s="62" t="inlineStr">
        <is>
          <t>Política</t>
        </is>
      </c>
      <c r="E73" s="62" t="inlineStr">
        <is>
          <t>Opinión-análisis</t>
        </is>
      </c>
      <c r="F73" s="62" t="inlineStr">
        <is>
          <t>2026-05-16T23:45:00-05:00</t>
        </is>
      </c>
      <c r="G73" s="62" t="inlineStr">
        <is>
          <t>Si los demás candidatos han quedado rezagados, ha sido en buena medida porque fueron incapaces de usar, con intensidad y eficacia, esas tecnologías.</t>
        </is>
      </c>
      <c r="H73" s="62"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I73" s="62" t="inlineStr">
        <is>
          <t>Las redes seguirán jugando un papel clave en esta recta final.</t>
        </is>
      </c>
      <c r="J73" s="62" t="n"/>
      <c r="K73" s="62" t="n"/>
      <c r="L73" s="62" t="n"/>
      <c r="M73" s="62" t="n"/>
      <c r="N73" s="62" t="n"/>
      <c r="O73" s="62" t="n"/>
      <c r="P73" s="62" t="n"/>
      <c r="Q73" s="62" t="n"/>
      <c r="R73" s="62" t="n"/>
      <c r="S73" s="62" t="n"/>
      <c r="T73" s="62" t="n"/>
      <c r="U73" s="62" t="n"/>
      <c r="V73" s="62" t="n"/>
      <c r="W73" s="62" t="n"/>
      <c r="X73" s="62" t="n"/>
      <c r="Y73" s="62" t="n"/>
      <c r="Z73" s="62" t="n"/>
      <c r="AA73" s="62" t="n"/>
      <c r="AB73" s="62" t="n"/>
      <c r="AC73" s="62" t="n"/>
      <c r="AD73" s="62" t="n"/>
      <c r="AE73" s="62" t="n"/>
      <c r="AF73" s="61">
        <f>IF(COUNTIF($B$5:B73,B73)=1,1,0)</f>
        <v/>
      </c>
      <c r="AG73" s="62" t="inlineStr">
        <is>
          <t>https://www.eltiempo.com/opinion/columnistas/una-batalla-sin-partidos-3556318</t>
        </is>
      </c>
    </row>
    <row r="74">
      <c r="A74" s="62" t="inlineStr">
        <is>
          <t>ART_056</t>
        </is>
      </c>
      <c r="B74" s="62" t="inlineStr">
        <is>
          <t>ART_056_S03</t>
        </is>
      </c>
      <c r="C74" s="62" t="inlineStr">
        <is>
          <t>El Tiempo</t>
        </is>
      </c>
      <c r="D74" s="62" t="inlineStr">
        <is>
          <t>Política</t>
        </is>
      </c>
      <c r="E74" s="62" t="inlineStr">
        <is>
          <t>Opinión-análisis</t>
        </is>
      </c>
      <c r="F74" s="62" t="inlineStr">
        <is>
          <t>2026-05-16T23:45:00-05:00</t>
        </is>
      </c>
      <c r="G74" s="62" t="inlineStr">
        <is>
          <t>Las redes seguirán jugando un papel clave en esta recta final.</t>
        </is>
      </c>
      <c r="H74" s="62" t="inlineStr">
        <is>
          <t>Si los demás candidatos han quedado rezagados, ha sido en buena medida porque fueron incapaces de usar, con intensidad y eficacia, esas tecnologías.</t>
        </is>
      </c>
      <c r="I74" s="62" t="inlineStr">
        <is>
          <t>Pero ahora, a dos semanas de la primera vuelta y cinco de la segunda, la batalla electoral ha aterrizado en la cruda realidad de las calles de ciudades, y de pueblos medianos y pequeños.</t>
        </is>
      </c>
      <c r="J74" s="62" t="n"/>
      <c r="K74" s="62" t="n"/>
      <c r="L74" s="62" t="n"/>
      <c r="M74" s="62" t="n"/>
      <c r="N74" s="62" t="n"/>
      <c r="O74" s="62" t="n"/>
      <c r="P74" s="62" t="n"/>
      <c r="Q74" s="62" t="n"/>
      <c r="R74" s="62" t="n"/>
      <c r="S74" s="62" t="n"/>
      <c r="T74" s="62" t="n"/>
      <c r="U74" s="62" t="n"/>
      <c r="V74" s="62" t="n"/>
      <c r="W74" s="62" t="n"/>
      <c r="X74" s="62" t="n"/>
      <c r="Y74" s="62" t="n"/>
      <c r="Z74" s="62" t="n"/>
      <c r="AA74" s="62" t="n"/>
      <c r="AB74" s="62" t="n"/>
      <c r="AC74" s="62" t="n"/>
      <c r="AD74" s="62" t="n"/>
      <c r="AE74" s="62" t="n"/>
      <c r="AF74" s="61">
        <f>IF(COUNTIF($B$5:B74,B74)=1,1,0)</f>
        <v/>
      </c>
      <c r="AG74" s="62" t="inlineStr">
        <is>
          <t>https://www.eltiempo.com/opinion/columnistas/una-batalla-sin-partidos-3556318</t>
        </is>
      </c>
    </row>
    <row r="75">
      <c r="A75" s="62" t="inlineStr">
        <is>
          <t>ART_056</t>
        </is>
      </c>
      <c r="B75" s="62" t="inlineStr">
        <is>
          <t>ART_056_S04</t>
        </is>
      </c>
      <c r="C75" s="62" t="inlineStr">
        <is>
          <t>El Tiempo</t>
        </is>
      </c>
      <c r="D75" s="62" t="inlineStr">
        <is>
          <t>Política</t>
        </is>
      </c>
      <c r="E75" s="62" t="inlineStr">
        <is>
          <t>Opinión-análisis</t>
        </is>
      </c>
      <c r="F75" s="62" t="inlineStr">
        <is>
          <t>2026-05-16T23:45:00-05:00</t>
        </is>
      </c>
      <c r="G75" s="62" t="inlineStr">
        <is>
          <t>Pero ahora, a dos semanas de la primera vuelta y cinco de la segunda, la batalla electoral ha aterrizado en la cruda realidad de las calles de ciudades, y de pueblos medianos y pequeños.</t>
        </is>
      </c>
      <c r="H75" s="62" t="inlineStr">
        <is>
          <t>Las redes seguirán jugando un papel clave en esta recta final.</t>
        </is>
      </c>
      <c r="I75" s="62" t="inlineStr">
        <is>
          <t>La chequera del régimen petrista ha regado cientos de municipios con miles y miles de millones de pesos en contratos de obras y servicios, así como en órdenes de trabajo individuales.</t>
        </is>
      </c>
      <c r="J75" s="62" t="n"/>
      <c r="K75" s="62" t="n"/>
      <c r="L75" s="62" t="n"/>
      <c r="M75" s="62" t="n"/>
      <c r="N75" s="62" t="n"/>
      <c r="O75" s="62" t="n"/>
      <c r="P75" s="62" t="n"/>
      <c r="Q75" s="62" t="n"/>
      <c r="R75" s="62" t="n"/>
      <c r="S75" s="62" t="n"/>
      <c r="T75" s="62" t="n"/>
      <c r="U75" s="62" t="n"/>
      <c r="V75" s="62" t="n"/>
      <c r="W75" s="62" t="n"/>
      <c r="X75" s="62" t="n"/>
      <c r="Y75" s="62" t="n"/>
      <c r="Z75" s="62" t="n"/>
      <c r="AA75" s="62" t="n"/>
      <c r="AB75" s="62" t="n"/>
      <c r="AC75" s="62" t="n"/>
      <c r="AD75" s="62" t="n"/>
      <c r="AE75" s="62" t="n"/>
      <c r="AF75" s="61">
        <f>IF(COUNTIF($B$5:B75,B75)=1,1,0)</f>
        <v/>
      </c>
      <c r="AG75" s="62" t="inlineStr">
        <is>
          <t>https://www.eltiempo.com/opinion/columnistas/una-batalla-sin-partidos-3556318</t>
        </is>
      </c>
    </row>
    <row r="76">
      <c r="A76" s="62" t="inlineStr">
        <is>
          <t>ART_056</t>
        </is>
      </c>
      <c r="B76" s="62" t="inlineStr">
        <is>
          <t>ART_056_S05</t>
        </is>
      </c>
      <c r="C76" s="62" t="inlineStr">
        <is>
          <t>El Tiempo</t>
        </is>
      </c>
      <c r="D76" s="62" t="inlineStr">
        <is>
          <t>Política</t>
        </is>
      </c>
      <c r="E76" s="62" t="inlineStr">
        <is>
          <t>Opinión-análisis</t>
        </is>
      </c>
      <c r="F76" s="62" t="inlineStr">
        <is>
          <t>2026-05-16T23:45:00-05:00</t>
        </is>
      </c>
      <c r="G76" s="62" t="inlineStr">
        <is>
          <t>La chequera del régimen petrista ha regado cientos de municipios con miles y miles de millones de pesos en contratos de obras y servicios, así como en órdenes de trabajo individuales.</t>
        </is>
      </c>
      <c r="H76" s="62" t="inlineStr">
        <is>
          <t>Pero ahora, a dos semanas de la primera vuelta y cinco de la segunda, la batalla electoral ha aterrizado en la cruda realidad de las calles de ciudades, y de pueblos medianos y pequeños.</t>
        </is>
      </c>
      <c r="I76" s="62" t="inlineStr">
        <is>
          <t>A ello se suma el apoyo de las bandas armadas que saben que con Cepeda seguirían gozando de la escandalosa impunidad que Petro les ha garantizado.</t>
        </is>
      </c>
      <c r="J76" s="62" t="n"/>
      <c r="K76" s="62" t="n"/>
      <c r="L76" s="62" t="n"/>
      <c r="M76" s="62" t="n"/>
      <c r="N76" s="62" t="n"/>
      <c r="O76" s="62" t="n"/>
      <c r="P76" s="62" t="n"/>
      <c r="Q76" s="62" t="n"/>
      <c r="R76" s="62" t="n"/>
      <c r="S76" s="62" t="n"/>
      <c r="T76" s="62" t="n"/>
      <c r="U76" s="62" t="n"/>
      <c r="V76" s="62" t="n"/>
      <c r="W76" s="62" t="n"/>
      <c r="X76" s="62" t="n"/>
      <c r="Y76" s="62" t="n"/>
      <c r="Z76" s="62" t="n"/>
      <c r="AA76" s="62" t="n"/>
      <c r="AB76" s="62" t="n"/>
      <c r="AC76" s="62" t="n"/>
      <c r="AD76" s="62" t="n"/>
      <c r="AE76" s="62" t="n"/>
      <c r="AF76" s="61">
        <f>IF(COUNTIF($B$5:B76,B76)=1,1,0)</f>
        <v/>
      </c>
      <c r="AG76" s="62" t="inlineStr">
        <is>
          <t>https://www.eltiempo.com/opinion/columnistas/una-batalla-sin-partidos-3556318</t>
        </is>
      </c>
    </row>
    <row r="77">
      <c r="A77" s="62" t="inlineStr">
        <is>
          <t>ART_056</t>
        </is>
      </c>
      <c r="B77" s="62" t="inlineStr">
        <is>
          <t>ART_056_S06</t>
        </is>
      </c>
      <c r="C77" s="62" t="inlineStr">
        <is>
          <t>El Tiempo</t>
        </is>
      </c>
      <c r="D77" s="62" t="inlineStr">
        <is>
          <t>Política</t>
        </is>
      </c>
      <c r="E77" s="62" t="inlineStr">
        <is>
          <t>Opinión-análisis</t>
        </is>
      </c>
      <c r="F77" s="62" t="inlineStr">
        <is>
          <t>2026-05-16T23:45:00-05:00</t>
        </is>
      </c>
      <c r="G77" s="62" t="inlineStr">
        <is>
          <t>A ello se suma el apoyo de las bandas armadas que saben que con Cepeda seguirían gozando de la escandalosa impunidad que Petro les ha garantizado.</t>
        </is>
      </c>
      <c r="H77" s="62" t="inlineStr">
        <is>
          <t>La chequera del régimen petrista ha regado cientos de municipios con miles y miles de millones de pesos en contratos de obras y servicios, así como en órdenes de trabajo individuales.</t>
        </is>
      </c>
      <c r="I77" s="62" t="n"/>
      <c r="J77" s="62" t="n"/>
      <c r="K77" s="62" t="n"/>
      <c r="L77" s="62" t="n"/>
      <c r="M77" s="62" t="n"/>
      <c r="N77" s="62" t="n"/>
      <c r="O77" s="62" t="n"/>
      <c r="P77" s="62" t="n"/>
      <c r="Q77" s="62" t="n"/>
      <c r="R77" s="62" t="n"/>
      <c r="S77" s="62" t="n"/>
      <c r="T77" s="62" t="n"/>
      <c r="U77" s="62" t="n"/>
      <c r="V77" s="62" t="n"/>
      <c r="W77" s="62" t="n"/>
      <c r="X77" s="62" t="n"/>
      <c r="Y77" s="62" t="n"/>
      <c r="Z77" s="62" t="n"/>
      <c r="AA77" s="62" t="n"/>
      <c r="AB77" s="62" t="n"/>
      <c r="AC77" s="62" t="n"/>
      <c r="AD77" s="62" t="n"/>
      <c r="AE77" s="62" t="n"/>
      <c r="AF77" s="61">
        <f>IF(COUNTIF($B$5:B77,B77)=1,1,0)</f>
        <v/>
      </c>
      <c r="AG77" s="62" t="inlineStr">
        <is>
          <t>https://www.eltiempo.com/opinion/columnistas/una-batalla-sin-partidos-3556318</t>
        </is>
      </c>
    </row>
    <row r="78">
      <c r="A78" s="62" t="inlineStr">
        <is>
          <t>ART_057</t>
        </is>
      </c>
      <c r="B78" s="62" t="inlineStr">
        <is>
          <t>ART_057_S01</t>
        </is>
      </c>
      <c r="C78" s="62" t="inlineStr">
        <is>
          <t>El Espectador</t>
        </is>
      </c>
      <c r="D78" s="62" t="inlineStr">
        <is>
          <t>Política</t>
        </is>
      </c>
      <c r="E78" s="62" t="inlineStr">
        <is>
          <t>Noticia dura</t>
        </is>
      </c>
      <c r="F78" s="62" t="inlineStr">
        <is>
          <t>2026-05-12T19:11:23-05:00</t>
        </is>
      </c>
      <c r="G78" s="62" t="inlineStr">
        <is>
          <t>Las pensiones son, por lo general, un tema que, aunque vital, no suele generar muchos titulares en la vida nacional.</t>
        </is>
      </c>
      <c r="H78" s="62" t="n"/>
      <c r="I78" s="62" t="inlineStr">
        <is>
          <t>Suceden en un rimo casi que automático: manejan billones de pesos que involucran el bienestar de millones de personas, pero nadie parece reparar mucho en ellas.</t>
        </is>
      </c>
      <c r="J78" s="62" t="n"/>
      <c r="K78" s="62" t="n"/>
      <c r="L78" s="62" t="n"/>
      <c r="M78" s="62" t="n"/>
      <c r="N78" s="62" t="n"/>
      <c r="O78" s="62" t="n"/>
      <c r="P78" s="62" t="n"/>
      <c r="Q78" s="62" t="n"/>
      <c r="R78" s="62" t="n"/>
      <c r="S78" s="62" t="n"/>
      <c r="T78" s="62" t="n"/>
      <c r="U78" s="62" t="n"/>
      <c r="V78" s="62" t="n"/>
      <c r="W78" s="62" t="n"/>
      <c r="X78" s="62" t="n"/>
      <c r="Y78" s="62" t="n"/>
      <c r="Z78" s="62" t="n"/>
      <c r="AA78" s="62" t="n"/>
      <c r="AB78" s="62" t="n"/>
      <c r="AC78" s="62" t="n"/>
      <c r="AD78" s="62" t="n"/>
      <c r="AE78" s="62" t="n"/>
      <c r="AF78" s="61">
        <f>IF(COUNTIF($B$5:B78,B78)=1,1,0)</f>
        <v/>
      </c>
      <c r="AG78" s="62" t="inlineStr">
        <is>
          <t>https://www.elespectador.com/economia/macroeconomia/pensiones-en-colombia-2026-la-historia-del-enredo-entre-la-reforma-la-corte-constitucional-y-los-fondos-privados/</t>
        </is>
      </c>
    </row>
    <row r="79">
      <c r="A79" s="62" t="inlineStr">
        <is>
          <t>ART_057</t>
        </is>
      </c>
      <c r="B79" s="62" t="inlineStr">
        <is>
          <t>ART_057_S02</t>
        </is>
      </c>
      <c r="C79" s="62" t="inlineStr">
        <is>
          <t>El Espectador</t>
        </is>
      </c>
      <c r="D79" s="62" t="inlineStr">
        <is>
          <t>Política</t>
        </is>
      </c>
      <c r="E79" s="62" t="inlineStr">
        <is>
          <t>Noticia dura</t>
        </is>
      </c>
      <c r="F79" s="62" t="inlineStr">
        <is>
          <t>2026-05-12T19:11:23-05:00</t>
        </is>
      </c>
      <c r="G79" s="62" t="inlineStr">
        <is>
          <t>Suceden en un rimo casi que automático: manejan billones de pesos que involucran el bienestar de millones de personas, pero nadie parece reparar mucho en ellas.</t>
        </is>
      </c>
      <c r="H79" s="62" t="inlineStr">
        <is>
          <t>Las pensiones son, por lo general, un tema que, aunque vital, no suele generar muchos titulares en la vida nacional.</t>
        </is>
      </c>
      <c r="I79"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J79" s="62" t="n"/>
      <c r="K79" s="62" t="n"/>
      <c r="L79" s="62" t="n"/>
      <c r="M79" s="62" t="n"/>
      <c r="N79" s="62" t="n"/>
      <c r="O79" s="62" t="n"/>
      <c r="P79" s="62" t="n"/>
      <c r="Q79" s="62" t="n"/>
      <c r="R79" s="62" t="n"/>
      <c r="S79" s="62" t="n"/>
      <c r="T79" s="62" t="n"/>
      <c r="U79" s="62" t="n"/>
      <c r="V79" s="62" t="n"/>
      <c r="W79" s="62" t="n"/>
      <c r="X79" s="62" t="n"/>
      <c r="Y79" s="62" t="n"/>
      <c r="Z79" s="62" t="n"/>
      <c r="AA79" s="62" t="n"/>
      <c r="AB79" s="62" t="n"/>
      <c r="AC79" s="62" t="n"/>
      <c r="AD79" s="62" t="n"/>
      <c r="AE79" s="62" t="n"/>
      <c r="AF79" s="61">
        <f>IF(COUNTIF($B$5:B79,B79)=1,1,0)</f>
        <v/>
      </c>
      <c r="AG79" s="62" t="inlineStr">
        <is>
          <t>https://www.elespectador.com/economia/macroeconomia/pensiones-en-colombia-2026-la-historia-del-enredo-entre-la-reforma-la-corte-constitucional-y-los-fondos-privados/</t>
        </is>
      </c>
    </row>
    <row r="80">
      <c r="A80" s="62" t="inlineStr">
        <is>
          <t>ART_057</t>
        </is>
      </c>
      <c r="B80" s="62" t="inlineStr">
        <is>
          <t>ART_057_S03</t>
        </is>
      </c>
      <c r="C80" s="62" t="inlineStr">
        <is>
          <t>El Espectador</t>
        </is>
      </c>
      <c r="D80" s="62" t="inlineStr">
        <is>
          <t>Política</t>
        </is>
      </c>
      <c r="E80" s="62" t="inlineStr">
        <is>
          <t>Noticia dura</t>
        </is>
      </c>
      <c r="F80" s="62" t="inlineStr">
        <is>
          <t>2026-05-12T19:11:23-05:00</t>
        </is>
      </c>
      <c r="G80"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H80" s="62" t="inlineStr">
        <is>
          <t>Suceden en un rimo casi que automático: manejan billones de pesos que involucran el bienestar de millones de personas, pero nadie parece reparar mucho en ellas.</t>
        </is>
      </c>
      <c r="I80" s="62" t="inlineStr">
        <is>
          <t>Esto, en voz de expertos y analistas, en directa contravía con lo dispuestos en uno de los dos artículos de la reforma pensional que siguen activos mientras el resto de la iniciativa sigue bajo la lupa de la Corte Constitucional.</t>
        </is>
      </c>
      <c r="J80" s="62" t="n"/>
      <c r="K80" s="62" t="n"/>
      <c r="L80" s="62" t="n"/>
      <c r="M80" s="62" t="n"/>
      <c r="N80" s="62" t="n"/>
      <c r="O80" s="62" t="n"/>
      <c r="P80" s="62" t="n"/>
      <c r="Q80" s="62" t="n"/>
      <c r="R80" s="62" t="n"/>
      <c r="S80" s="62" t="n"/>
      <c r="T80" s="62" t="n"/>
      <c r="U80" s="62" t="n"/>
      <c r="V80" s="62" t="n"/>
      <c r="W80" s="62" t="n"/>
      <c r="X80" s="62" t="n"/>
      <c r="Y80" s="62" t="n"/>
      <c r="Z80" s="62" t="n"/>
      <c r="AA80" s="62" t="n"/>
      <c r="AB80" s="62" t="n"/>
      <c r="AC80" s="62" t="n"/>
      <c r="AD80" s="62" t="n"/>
      <c r="AE80" s="62" t="n"/>
      <c r="AF80" s="61">
        <f>IF(COUNTIF($B$5:B80,B80)=1,1,0)</f>
        <v/>
      </c>
      <c r="AG80" s="62" t="inlineStr">
        <is>
          <t>https://www.elespectador.com/economia/macroeconomia/pensiones-en-colombia-2026-la-historia-del-enredo-entre-la-reforma-la-corte-constitucional-y-los-fondos-privados/</t>
        </is>
      </c>
    </row>
    <row r="81">
      <c r="A81" s="62" t="inlineStr">
        <is>
          <t>ART_057</t>
        </is>
      </c>
      <c r="B81" s="62" t="inlineStr">
        <is>
          <t>ART_057_S04</t>
        </is>
      </c>
      <c r="C81" s="62" t="inlineStr">
        <is>
          <t>El Espectador</t>
        </is>
      </c>
      <c r="D81" s="62" t="inlineStr">
        <is>
          <t>Política</t>
        </is>
      </c>
      <c r="E81" s="62" t="inlineStr">
        <is>
          <t>Noticia dura</t>
        </is>
      </c>
      <c r="F81" s="62" t="inlineStr">
        <is>
          <t>2026-05-12T19:11:23-05:00</t>
        </is>
      </c>
      <c r="G81" s="62" t="inlineStr">
        <is>
          <t>Esto, en voz de expertos y analistas, en directa contravía con lo dispuestos en uno de los dos artículos de la reforma pensional que siguen activos mientras el resto de la iniciativa sigue bajo la lupa de la Corte Constitucional.</t>
        </is>
      </c>
      <c r="H81" s="62"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I81"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J81" s="62" t="n"/>
      <c r="K81" s="62" t="n"/>
      <c r="L81" s="62" t="n"/>
      <c r="M81" s="62" t="n"/>
      <c r="N81" s="62" t="n"/>
      <c r="O81" s="62" t="n"/>
      <c r="P81" s="62" t="n"/>
      <c r="Q81" s="62" t="n"/>
      <c r="R81" s="62" t="n"/>
      <c r="S81" s="62" t="n"/>
      <c r="T81" s="62" t="n"/>
      <c r="U81" s="62" t="n"/>
      <c r="V81" s="62" t="n"/>
      <c r="W81" s="62" t="n"/>
      <c r="X81" s="62" t="n"/>
      <c r="Y81" s="62" t="n"/>
      <c r="Z81" s="62" t="n"/>
      <c r="AA81" s="62" t="n"/>
      <c r="AB81" s="62" t="n"/>
      <c r="AC81" s="62" t="n"/>
      <c r="AD81" s="62" t="n"/>
      <c r="AE81" s="62" t="n"/>
      <c r="AF81" s="61">
        <f>IF(COUNTIF($B$5:B81,B81)=1,1,0)</f>
        <v/>
      </c>
      <c r="AG81" s="62" t="inlineStr">
        <is>
          <t>https://www.elespectador.com/economia/macroeconomia/pensiones-en-colombia-2026-la-historia-del-enredo-entre-la-reforma-la-corte-constitucional-y-los-fondos-privados/</t>
        </is>
      </c>
    </row>
    <row r="82">
      <c r="A82" s="62" t="inlineStr">
        <is>
          <t>ART_057</t>
        </is>
      </c>
      <c r="B82" s="62" t="inlineStr">
        <is>
          <t>ART_057_S05</t>
        </is>
      </c>
      <c r="C82" s="62" t="inlineStr">
        <is>
          <t>El Espectador</t>
        </is>
      </c>
      <c r="D82" s="62" t="inlineStr">
        <is>
          <t>Política</t>
        </is>
      </c>
      <c r="E82" s="62" t="inlineStr">
        <is>
          <t>Noticia dura</t>
        </is>
      </c>
      <c r="F82" s="62" t="inlineStr">
        <is>
          <t>2026-05-12T19:11:23-05:00</t>
        </is>
      </c>
      <c r="G82"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H82" s="62" t="inlineStr">
        <is>
          <t>Esto, en voz de expertos y analistas, en directa contravía con lo dispuestos en uno de los dos artículos de la reforma pensional que siguen activos mientras el resto de la iniciativa sigue bajo la lupa de la Corte Constitucional.</t>
        </is>
      </c>
      <c r="I82" s="62" t="inlineStr">
        <is>
          <t>Entonces, ¿por qué es que no tenemos claras las reglas sobre pensiones para este punto?</t>
        </is>
      </c>
      <c r="J82" s="62" t="n"/>
      <c r="K82" s="62" t="n"/>
      <c r="L82" s="62" t="n"/>
      <c r="M82" s="62" t="n"/>
      <c r="N82" s="62" t="n"/>
      <c r="O82" s="62" t="n"/>
      <c r="P82" s="62" t="n"/>
      <c r="Q82" s="62" t="n"/>
      <c r="R82" s="62" t="n"/>
      <c r="S82" s="62" t="n"/>
      <c r="T82" s="62" t="n"/>
      <c r="U82" s="62" t="n"/>
      <c r="V82" s="62" t="n"/>
      <c r="W82" s="62" t="n"/>
      <c r="X82" s="62" t="n"/>
      <c r="Y82" s="62" t="n"/>
      <c r="Z82" s="62" t="n"/>
      <c r="AA82" s="62" t="n"/>
      <c r="AB82" s="62" t="n"/>
      <c r="AC82" s="62" t="n"/>
      <c r="AD82" s="62" t="n"/>
      <c r="AE82" s="62" t="n"/>
      <c r="AF82" s="61">
        <f>IF(COUNTIF($B$5:B82,B82)=1,1,0)</f>
        <v/>
      </c>
      <c r="AG82" s="62" t="inlineStr">
        <is>
          <t>https://www.elespectador.com/economia/macroeconomia/pensiones-en-colombia-2026-la-historia-del-enredo-entre-la-reforma-la-corte-constitucional-y-los-fondos-privados/</t>
        </is>
      </c>
    </row>
    <row r="83">
      <c r="A83" s="62" t="inlineStr">
        <is>
          <t>ART_057</t>
        </is>
      </c>
      <c r="B83" s="62" t="inlineStr">
        <is>
          <t>ART_057_S06</t>
        </is>
      </c>
      <c r="C83" s="62" t="inlineStr">
        <is>
          <t>El Espectador</t>
        </is>
      </c>
      <c r="D83" s="62" t="inlineStr">
        <is>
          <t>Política</t>
        </is>
      </c>
      <c r="E83" s="62" t="inlineStr">
        <is>
          <t>Noticia dura</t>
        </is>
      </c>
      <c r="F83" s="62" t="inlineStr">
        <is>
          <t>2026-05-12T19:11:23-05:00</t>
        </is>
      </c>
      <c r="G83" s="62" t="inlineStr">
        <is>
          <t>Entonces, ¿por qué es que no tenemos claras las reglas sobre pensiones para este punto?</t>
        </is>
      </c>
      <c r="H83" s="62"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I83" s="62" t="n"/>
      <c r="J83" s="62" t="n"/>
      <c r="K83" s="62" t="n"/>
      <c r="L83" s="62" t="n"/>
      <c r="M83" s="62" t="n"/>
      <c r="N83" s="62" t="n"/>
      <c r="O83" s="62" t="n"/>
      <c r="P83" s="62" t="n"/>
      <c r="Q83" s="62" t="n"/>
      <c r="R83" s="62" t="n"/>
      <c r="S83" s="62" t="n"/>
      <c r="T83" s="62" t="n"/>
      <c r="U83" s="62" t="n"/>
      <c r="V83" s="62" t="n"/>
      <c r="W83" s="62" t="n"/>
      <c r="X83" s="62" t="n"/>
      <c r="Y83" s="62" t="n"/>
      <c r="Z83" s="62" t="n"/>
      <c r="AA83" s="62" t="n"/>
      <c r="AB83" s="62" t="n"/>
      <c r="AC83" s="62" t="n"/>
      <c r="AD83" s="62" t="n"/>
      <c r="AE83" s="62" t="n"/>
      <c r="AF83" s="61">
        <f>IF(COUNTIF($B$5:B83,B83)=1,1,0)</f>
        <v/>
      </c>
      <c r="AG83" s="62" t="inlineStr">
        <is>
          <t>https://www.elespectador.com/economia/macroeconomia/pensiones-en-colombia-2026-la-historia-del-enredo-entre-la-reforma-la-corte-constitucional-y-los-fondos-privados/</t>
        </is>
      </c>
    </row>
    <row r="84">
      <c r="A84" s="62" t="inlineStr">
        <is>
          <t>ART_063</t>
        </is>
      </c>
      <c r="B84" s="62" t="inlineStr">
        <is>
          <t>ART_063_S01</t>
        </is>
      </c>
      <c r="C84" s="62" t="inlineStr">
        <is>
          <t>Infobae Colombia</t>
        </is>
      </c>
      <c r="D84" s="62" t="inlineStr">
        <is>
          <t>Política</t>
        </is>
      </c>
      <c r="E84" s="62" t="inlineStr">
        <is>
          <t>Noticia dura</t>
        </is>
      </c>
      <c r="F84" s="62" t="inlineStr">
        <is>
          <t>2026-09-07T01:06:46Z</t>
        </is>
      </c>
      <c r="G84" s="62"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H84" s="62" t="n"/>
      <c r="I84" s="62" t="inlineStr">
        <is>
          <t>El exfuncionario dijo que el sistema tendrá costos altos desde 2067, cuando se agoten los recursos de un fondo especial.</t>
        </is>
      </c>
      <c r="J84" s="62" t="n"/>
      <c r="K84" s="62" t="n"/>
      <c r="L84" s="62" t="n"/>
      <c r="M84" s="62" t="n"/>
      <c r="N84" s="62" t="n"/>
      <c r="O84" s="62" t="n"/>
      <c r="P84" s="62" t="n"/>
      <c r="Q84" s="62" t="n"/>
      <c r="R84" s="62" t="n"/>
      <c r="S84" s="62" t="n"/>
      <c r="T84" s="62" t="n"/>
      <c r="U84" s="62" t="n"/>
      <c r="V84" s="62" t="n"/>
      <c r="W84" s="62" t="n"/>
      <c r="X84" s="62" t="n"/>
      <c r="Y84" s="62" t="n"/>
      <c r="Z84" s="62" t="n"/>
      <c r="AA84" s="62" t="n"/>
      <c r="AB84" s="62" t="n"/>
      <c r="AC84" s="62" t="n"/>
      <c r="AD84" s="62" t="n"/>
      <c r="AE84" s="62" t="n"/>
      <c r="AF84" s="61">
        <f>IF(COUNTIF($B$5:B84,B84)=1,1,0)</f>
        <v/>
      </c>
      <c r="AG84" s="62" t="inlineStr">
        <is>
          <t>https://www.infobae.com/colombia/2026/09/07/reforma-pensional-confirman-en-que-ano-se-acabara-el-ahorro-de-los-trabajadores-colombianos-y-cuando-colapsara-colpensiones/</t>
        </is>
      </c>
    </row>
    <row r="85">
      <c r="A85" s="62" t="inlineStr">
        <is>
          <t>ART_063</t>
        </is>
      </c>
      <c r="B85" s="62" t="inlineStr">
        <is>
          <t>ART_063_S02</t>
        </is>
      </c>
      <c r="C85" s="62" t="inlineStr">
        <is>
          <t>Infobae Colombia</t>
        </is>
      </c>
      <c r="D85" s="62" t="inlineStr">
        <is>
          <t>Política</t>
        </is>
      </c>
      <c r="E85" s="62" t="inlineStr">
        <is>
          <t>Noticia dura</t>
        </is>
      </c>
      <c r="F85" s="62" t="inlineStr">
        <is>
          <t>2026-09-07T01:06:46Z</t>
        </is>
      </c>
      <c r="G85" s="62" t="inlineStr">
        <is>
          <t>El exfuncionario dijo que el sistema tendrá costos altos desde 2067, cuando se agoten los recursos de un fondo especial.</t>
        </is>
      </c>
      <c r="H85" s="62"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I85" s="62" t="n"/>
      <c r="J85" s="62" t="n"/>
      <c r="K85" s="62" t="n"/>
      <c r="L85" s="62" t="n"/>
      <c r="M85" s="62" t="n"/>
      <c r="N85" s="62" t="n"/>
      <c r="O85" s="62" t="n"/>
      <c r="P85" s="62" t="n"/>
      <c r="Q85" s="62" t="n"/>
      <c r="R85" s="62" t="n"/>
      <c r="S85" s="62" t="n"/>
      <c r="T85" s="62" t="n"/>
      <c r="U85" s="62" t="n"/>
      <c r="V85" s="62" t="n"/>
      <c r="W85" s="62" t="n"/>
      <c r="X85" s="62" t="n"/>
      <c r="Y85" s="62" t="n"/>
      <c r="Z85" s="62" t="n"/>
      <c r="AA85" s="62" t="n"/>
      <c r="AB85" s="62" t="n"/>
      <c r="AC85" s="62" t="n"/>
      <c r="AD85" s="62" t="n"/>
      <c r="AE85" s="62" t="n"/>
      <c r="AF85" s="61">
        <f>IF(COUNTIF($B$5:B85,B85)=1,1,0)</f>
        <v/>
      </c>
      <c r="AG85" s="62" t="inlineStr">
        <is>
          <t>https://www.infobae.com/colombia/2026/09/07/reforma-pensional-confirman-en-que-ano-se-acabara-el-ahorro-de-los-trabajadores-colombianos-y-cuando-colapsara-colpensiones/</t>
        </is>
      </c>
    </row>
    <row r="86">
      <c r="A86" s="62" t="inlineStr">
        <is>
          <t>ART_065</t>
        </is>
      </c>
      <c r="B86" s="62" t="inlineStr">
        <is>
          <t>ART_065_S01</t>
        </is>
      </c>
      <c r="C86" s="62" t="inlineStr">
        <is>
          <t>El Espectador</t>
        </is>
      </c>
      <c r="D86" s="62" t="inlineStr">
        <is>
          <t>Política</t>
        </is>
      </c>
      <c r="E86" s="62" t="inlineStr">
        <is>
          <t>Noticia dura</t>
        </is>
      </c>
      <c r="F86" s="62" t="inlineStr">
        <is>
          <t>2026-09-02T20:27:20-05:00</t>
        </is>
      </c>
      <c r="G86" s="62"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H86" s="62" t="n"/>
      <c r="I86" s="62" t="inlineStr">
        <is>
          <t>De acuerdo con el jefe de la cartera política, el ministro Rodrigo Lara, el eje de esta estrategia será un estatuto antiterrorista que será puesto a discusión en el Congreso.</t>
        </is>
      </c>
      <c r="J86" s="62" t="n"/>
      <c r="K86" s="62" t="n"/>
      <c r="L86" s="62" t="n"/>
      <c r="M86" s="62" t="n"/>
      <c r="N86" s="62" t="n"/>
      <c r="O86" s="62" t="n"/>
      <c r="P86" s="62" t="n"/>
      <c r="Q86" s="62" t="n"/>
      <c r="R86" s="62" t="n"/>
      <c r="S86" s="62" t="n"/>
      <c r="T86" s="62" t="n"/>
      <c r="U86" s="62" t="n"/>
      <c r="V86" s="62" t="n"/>
      <c r="W86" s="62" t="n"/>
      <c r="X86" s="62" t="n"/>
      <c r="Y86" s="62" t="n"/>
      <c r="Z86" s="62" t="n"/>
      <c r="AA86" s="62" t="n"/>
      <c r="AB86" s="62" t="n"/>
      <c r="AC86" s="62" t="n"/>
      <c r="AD86" s="62" t="n"/>
      <c r="AE86" s="62" t="n"/>
      <c r="AF86" s="61">
        <f>IF(COUNTIF($B$5:B86,B86)=1,1,0)</f>
        <v/>
      </c>
      <c r="AG86" s="62" t="inlineStr">
        <is>
          <t>https://www.elespectador.com/politica/gobierno-de-la-espriella-prepara-un-estatuto-antiterrorista-que-sera-radicado-ante-el-congreso-esto-se-sabe/</t>
        </is>
      </c>
    </row>
    <row r="87">
      <c r="A87" s="62" t="inlineStr">
        <is>
          <t>ART_065</t>
        </is>
      </c>
      <c r="B87" s="62" t="inlineStr">
        <is>
          <t>ART_065_S02</t>
        </is>
      </c>
      <c r="C87" s="62" t="inlineStr">
        <is>
          <t>El Espectador</t>
        </is>
      </c>
      <c r="D87" s="62" t="inlineStr">
        <is>
          <t>Política</t>
        </is>
      </c>
      <c r="E87" s="62" t="inlineStr">
        <is>
          <t>Noticia dura</t>
        </is>
      </c>
      <c r="F87" s="62" t="inlineStr">
        <is>
          <t>2026-09-02T20:27:20-05:00</t>
        </is>
      </c>
      <c r="G87" s="62" t="inlineStr">
        <is>
          <t>De acuerdo con el jefe de la cartera política, el ministro Rodrigo Lara, el eje de esta estrategia será un estatuto antiterrorista que será puesto a discusión en el Congreso.</t>
        </is>
      </c>
      <c r="H87" s="62"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I87" s="62" t="inlineStr">
        <is>
          <t>La apuesta obedece directamente a lo que le ha pedido el presidente Abelardo de la Espriella a las fuerzas militares: una ofensiva frontal contra estos grupos.</t>
        </is>
      </c>
      <c r="J87" s="62" t="n"/>
      <c r="K87" s="62" t="n"/>
      <c r="L87" s="62" t="n"/>
      <c r="M87" s="62" t="n"/>
      <c r="N87" s="62" t="n"/>
      <c r="O87" s="62" t="n"/>
      <c r="P87" s="62" t="n"/>
      <c r="Q87" s="62" t="n"/>
      <c r="R87" s="62" t="n"/>
      <c r="S87" s="62" t="n"/>
      <c r="T87" s="62" t="n"/>
      <c r="U87" s="62" t="n"/>
      <c r="V87" s="62" t="n"/>
      <c r="W87" s="62" t="n"/>
      <c r="X87" s="62" t="n"/>
      <c r="Y87" s="62" t="n"/>
      <c r="Z87" s="62" t="n"/>
      <c r="AA87" s="62" t="n"/>
      <c r="AB87" s="62" t="n"/>
      <c r="AC87" s="62" t="n"/>
      <c r="AD87" s="62" t="n"/>
      <c r="AE87" s="62" t="n"/>
      <c r="AF87" s="61">
        <f>IF(COUNTIF($B$5:B87,B87)=1,1,0)</f>
        <v/>
      </c>
      <c r="AG87" s="62" t="inlineStr">
        <is>
          <t>https://www.elespectador.com/politica/gobierno-de-la-espriella-prepara-un-estatuto-antiterrorista-que-sera-radicado-ante-el-congreso-esto-se-sabe/</t>
        </is>
      </c>
    </row>
    <row r="88">
      <c r="A88" s="62" t="inlineStr">
        <is>
          <t>ART_065</t>
        </is>
      </c>
      <c r="B88" s="62" t="inlineStr">
        <is>
          <t>ART_065_S03</t>
        </is>
      </c>
      <c r="C88" s="62" t="inlineStr">
        <is>
          <t>El Espectador</t>
        </is>
      </c>
      <c r="D88" s="62" t="inlineStr">
        <is>
          <t>Política</t>
        </is>
      </c>
      <c r="E88" s="62" t="inlineStr">
        <is>
          <t>Noticia dura</t>
        </is>
      </c>
      <c r="F88" s="62" t="inlineStr">
        <is>
          <t>2026-09-02T20:27:20-05:00</t>
        </is>
      </c>
      <c r="G88" s="62" t="inlineStr">
        <is>
          <t>La apuesta obedece directamente a lo que le ha pedido el presidente Abelardo de la Espriella a las fuerzas militares: una ofensiva frontal contra estos grupos.</t>
        </is>
      </c>
      <c r="H88" s="62" t="inlineStr">
        <is>
          <t>De acuerdo con el jefe de la cartera política, el ministro Rodrigo Lara, el eje de esta estrategia será un estatuto antiterrorista que será puesto a discusión en el Congreso.</t>
        </is>
      </c>
      <c r="I88" s="62" t="inlineStr">
        <is>
          <t>El jefe de Estado ha dicho en varias oportunidades que declarará a dichas estructuras como terroristas, lo que también implica cerrarles la puerta a los diálogos de paz.</t>
        </is>
      </c>
      <c r="J88" s="62" t="n"/>
      <c r="K88" s="62" t="n"/>
      <c r="L88" s="62" t="n"/>
      <c r="M88" s="62" t="n"/>
      <c r="N88" s="62" t="n"/>
      <c r="O88" s="62" t="n"/>
      <c r="P88" s="62" t="n"/>
      <c r="Q88" s="62" t="n"/>
      <c r="R88" s="62" t="n"/>
      <c r="S88" s="62" t="n"/>
      <c r="T88" s="62" t="n"/>
      <c r="U88" s="62" t="n"/>
      <c r="V88" s="62" t="n"/>
      <c r="W88" s="62" t="n"/>
      <c r="X88" s="62" t="n"/>
      <c r="Y88" s="62" t="n"/>
      <c r="Z88" s="62" t="n"/>
      <c r="AA88" s="62" t="n"/>
      <c r="AB88" s="62" t="n"/>
      <c r="AC88" s="62" t="n"/>
      <c r="AD88" s="62" t="n"/>
      <c r="AE88" s="62" t="n"/>
      <c r="AF88" s="61">
        <f>IF(COUNTIF($B$5:B88,B88)=1,1,0)</f>
        <v/>
      </c>
      <c r="AG88" s="62" t="inlineStr">
        <is>
          <t>https://www.elespectador.com/politica/gobierno-de-la-espriella-prepara-un-estatuto-antiterrorista-que-sera-radicado-ante-el-congreso-esto-se-sabe/</t>
        </is>
      </c>
    </row>
    <row r="89">
      <c r="A89" s="62" t="inlineStr">
        <is>
          <t>ART_065</t>
        </is>
      </c>
      <c r="B89" s="62" t="inlineStr">
        <is>
          <t>ART_065_S04</t>
        </is>
      </c>
      <c r="C89" s="62" t="inlineStr">
        <is>
          <t>El Espectador</t>
        </is>
      </c>
      <c r="D89" s="62" t="inlineStr">
        <is>
          <t>Política</t>
        </is>
      </c>
      <c r="E89" s="62" t="inlineStr">
        <is>
          <t>Noticia dura</t>
        </is>
      </c>
      <c r="F89" s="62" t="inlineStr">
        <is>
          <t>2026-09-02T20:27:20-05:00</t>
        </is>
      </c>
      <c r="G89" s="62" t="inlineStr">
        <is>
          <t>El jefe de Estado ha dicho en varias oportunidades que declarará a dichas estructuras como terroristas, lo que también implica cerrarles la puerta a los diálogos de paz.</t>
        </is>
      </c>
      <c r="H89" s="62" t="inlineStr">
        <is>
          <t>La apuesta obedece directamente a lo que le ha pedido el presidente Abelardo de la Espriella a las fuerzas militares: una ofensiva frontal contra estos grupos.</t>
        </is>
      </c>
      <c r="I89" s="62" t="inlineStr">
        <is>
          <t>El ministro Lara aseguró que el estatuto antiterrorista contempla, precisamente, crear esa lista de esos grupos terroristas y darle luz verde a unas herramientas más potentes en materia jurídica para combatirlos.</t>
        </is>
      </c>
      <c r="J89" s="62" t="n"/>
      <c r="K89" s="62" t="n"/>
      <c r="L89" s="62" t="n"/>
      <c r="M89" s="62" t="n"/>
      <c r="N89" s="62" t="n"/>
      <c r="O89" s="62" t="n"/>
      <c r="P89" s="62" t="n"/>
      <c r="Q89" s="62" t="n"/>
      <c r="R89" s="62" t="n"/>
      <c r="S89" s="62" t="n"/>
      <c r="T89" s="62" t="n"/>
      <c r="U89" s="62" t="n"/>
      <c r="V89" s="62" t="n"/>
      <c r="W89" s="62" t="n"/>
      <c r="X89" s="62" t="n"/>
      <c r="Y89" s="62" t="n"/>
      <c r="Z89" s="62" t="n"/>
      <c r="AA89" s="62" t="n"/>
      <c r="AB89" s="62" t="n"/>
      <c r="AC89" s="62" t="n"/>
      <c r="AD89" s="62" t="n"/>
      <c r="AE89" s="62" t="n"/>
      <c r="AF89" s="61">
        <f>IF(COUNTIF($B$5:B89,B89)=1,1,0)</f>
        <v/>
      </c>
      <c r="AG89" s="62" t="inlineStr">
        <is>
          <t>https://www.elespectador.com/politica/gobierno-de-la-espriella-prepara-un-estatuto-antiterrorista-que-sera-radicado-ante-el-congreso-esto-se-sabe/</t>
        </is>
      </c>
    </row>
    <row r="90">
      <c r="A90" s="62" t="inlineStr">
        <is>
          <t>ART_065</t>
        </is>
      </c>
      <c r="B90" s="62" t="inlineStr">
        <is>
          <t>ART_065_S05</t>
        </is>
      </c>
      <c r="C90" s="62" t="inlineStr">
        <is>
          <t>El Espectador</t>
        </is>
      </c>
      <c r="D90" s="62" t="inlineStr">
        <is>
          <t>Política</t>
        </is>
      </c>
      <c r="E90" s="62" t="inlineStr">
        <is>
          <t>Noticia dura</t>
        </is>
      </c>
      <c r="F90" s="62" t="inlineStr">
        <is>
          <t>2026-09-02T20:27:20-05:00</t>
        </is>
      </c>
      <c r="G90" s="62" t="inlineStr">
        <is>
          <t>El ministro Lara aseguró que el estatuto antiterrorista contempla, precisamente, crear esa lista de esos grupos terroristas y darle luz verde a unas herramientas más potentes en materia jurídica para combatirlos.</t>
        </is>
      </c>
      <c r="H90" s="62" t="inlineStr">
        <is>
          <t>El jefe de Estado ha dicho en varias oportunidades que declarará a dichas estructuras como terroristas, lo que también implica cerrarles la puerta a los diálogos de paz.</t>
        </is>
      </c>
      <c r="I90" s="62" t="n"/>
      <c r="J90" s="62" t="n"/>
      <c r="K90" s="62" t="n"/>
      <c r="L90" s="62" t="n"/>
      <c r="M90" s="62" t="n"/>
      <c r="N90" s="62" t="n"/>
      <c r="O90" s="62" t="n"/>
      <c r="P90" s="62" t="n"/>
      <c r="Q90" s="62" t="n"/>
      <c r="R90" s="62" t="n"/>
      <c r="S90" s="62" t="n"/>
      <c r="T90" s="62" t="n"/>
      <c r="U90" s="62" t="n"/>
      <c r="V90" s="62" t="n"/>
      <c r="W90" s="62" t="n"/>
      <c r="X90" s="62" t="n"/>
      <c r="Y90" s="62" t="n"/>
      <c r="Z90" s="62" t="n"/>
      <c r="AA90" s="62" t="n"/>
      <c r="AB90" s="62" t="n"/>
      <c r="AC90" s="62" t="n"/>
      <c r="AD90" s="62" t="n"/>
      <c r="AE90" s="62" t="n"/>
      <c r="AF90" s="61">
        <f>IF(COUNTIF($B$5:B90,B90)=1,1,0)</f>
        <v/>
      </c>
      <c r="AG90" s="62" t="inlineStr">
        <is>
          <t>https://www.elespectador.com/politica/gobierno-de-la-espriella-prepara-un-estatuto-antiterrorista-que-sera-radicado-ante-el-congreso-esto-se-sabe/</t>
        </is>
      </c>
    </row>
    <row r="91">
      <c r="A91" s="62" t="inlineStr">
        <is>
          <t>ART_068</t>
        </is>
      </c>
      <c r="B91" s="62" t="inlineStr">
        <is>
          <t>ART_068_S01</t>
        </is>
      </c>
      <c r="C91" s="62" t="inlineStr">
        <is>
          <t>Semana</t>
        </is>
      </c>
      <c r="D91" s="62" t="inlineStr">
        <is>
          <t>Política</t>
        </is>
      </c>
      <c r="E91" s="62" t="inlineStr">
        <is>
          <t>Noticia dura</t>
        </is>
      </c>
      <c r="F91" s="62" t="inlineStr">
        <is>
          <t>2026-08-03T22:17:10-05:00</t>
        </is>
      </c>
      <c r="G91" s="62" t="inlineStr">
        <is>
          <t>Veinticinco estados demócratas demandaron el lunes al gobierno federal estadounidense al considerar que la nueva política arancelaria del presidente Donald Trump excede sus poderes.</t>
        </is>
      </c>
      <c r="H91" s="62" t="n"/>
      <c r="I91"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J91" s="62" t="n"/>
      <c r="K91" s="62" t="n"/>
      <c r="L91" s="62" t="n"/>
      <c r="M91" s="62" t="n"/>
      <c r="N91" s="62" t="n"/>
      <c r="O91" s="62" t="n"/>
      <c r="P91" s="62" t="n"/>
      <c r="Q91" s="62" t="n"/>
      <c r="R91" s="62" t="n"/>
      <c r="S91" s="62" t="n"/>
      <c r="T91" s="62" t="n"/>
      <c r="U91" s="62" t="n"/>
      <c r="V91" s="62" t="n"/>
      <c r="W91" s="62" t="n"/>
      <c r="X91" s="62" t="n"/>
      <c r="Y91" s="62" t="n"/>
      <c r="Z91" s="62" t="n"/>
      <c r="AA91" s="62" t="n"/>
      <c r="AB91" s="62" t="n"/>
      <c r="AC91" s="62" t="n"/>
      <c r="AD91" s="62" t="n"/>
      <c r="AE91" s="62" t="n"/>
      <c r="AF91" s="61">
        <f>IF(COUNTIF($B$5:B91,B91)=1,1,0)</f>
        <v/>
      </c>
      <c r="AG91" s="62" t="inlineStr">
        <is>
          <t>https://www.semana.com/mundo/articulo/nueva-demanda-contra-aranceles-de-donald-trump-medidas-contra-colombia-podrian-caerse/202610/</t>
        </is>
      </c>
    </row>
    <row r="92">
      <c r="A92" s="62" t="inlineStr">
        <is>
          <t>ART_068</t>
        </is>
      </c>
      <c r="B92" s="62" t="inlineStr">
        <is>
          <t>ART_068_S02</t>
        </is>
      </c>
      <c r="C92" s="62" t="inlineStr">
        <is>
          <t>Semana</t>
        </is>
      </c>
      <c r="D92" s="62" t="inlineStr">
        <is>
          <t>Política</t>
        </is>
      </c>
      <c r="E92" s="62" t="inlineStr">
        <is>
          <t>Noticia dura</t>
        </is>
      </c>
      <c r="F92" s="62" t="inlineStr">
        <is>
          <t>2026-08-03T22:17:10-05:00</t>
        </is>
      </c>
      <c r="G92"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H92" s="62" t="inlineStr">
        <is>
          <t>Veinticinco estados demócratas demandaron el lunes al gobierno federal estadounidense al considerar que la nueva política arancelaria del presidente Donald Trump excede sus poderes.</t>
        </is>
      </c>
      <c r="I92" s="62" t="inlineStr">
        <is>
          <t>Entre dichos países, estaba incluido Colombia, donde se aplicó gravamen del 12,5%.</t>
        </is>
      </c>
      <c r="J92" s="62" t="n"/>
      <c r="K92" s="62" t="n"/>
      <c r="L92" s="62" t="n"/>
      <c r="M92" s="62" t="n"/>
      <c r="N92" s="62" t="n"/>
      <c r="O92" s="62" t="n"/>
      <c r="P92" s="62" t="n"/>
      <c r="Q92" s="62" t="n"/>
      <c r="R92" s="62" t="n"/>
      <c r="S92" s="62" t="n"/>
      <c r="T92" s="62" t="n"/>
      <c r="U92" s="62" t="n"/>
      <c r="V92" s="62" t="n"/>
      <c r="W92" s="62" t="n"/>
      <c r="X92" s="62" t="n"/>
      <c r="Y92" s="62" t="n"/>
      <c r="Z92" s="62" t="n"/>
      <c r="AA92" s="62" t="n"/>
      <c r="AB92" s="62" t="n"/>
      <c r="AC92" s="62" t="n"/>
      <c r="AD92" s="62" t="n"/>
      <c r="AE92" s="62" t="n"/>
      <c r="AF92" s="61">
        <f>IF(COUNTIF($B$5:B92,B92)=1,1,0)</f>
        <v/>
      </c>
      <c r="AG92" s="62" t="inlineStr">
        <is>
          <t>https://www.semana.com/mundo/articulo/nueva-demanda-contra-aranceles-de-donald-trump-medidas-contra-colombia-podrian-caerse/202610/</t>
        </is>
      </c>
    </row>
    <row r="93">
      <c r="A93" s="62" t="inlineStr">
        <is>
          <t>ART_068</t>
        </is>
      </c>
      <c r="B93" s="62" t="inlineStr">
        <is>
          <t>ART_068_S03</t>
        </is>
      </c>
      <c r="C93" s="62" t="inlineStr">
        <is>
          <t>Semana</t>
        </is>
      </c>
      <c r="D93" s="62" t="inlineStr">
        <is>
          <t>Política</t>
        </is>
      </c>
      <c r="E93" s="62" t="inlineStr">
        <is>
          <t>Noticia dura</t>
        </is>
      </c>
      <c r="F93" s="62" t="inlineStr">
        <is>
          <t>2026-08-03T22:17:10-05:00</t>
        </is>
      </c>
      <c r="G93" s="62" t="inlineStr">
        <is>
          <t>Entre dichos países, estaba incluido Colombia, donde se aplicó gravamen del 12,5%.</t>
        </is>
      </c>
      <c r="H93" s="62"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I93"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J93" s="62" t="n"/>
      <c r="K93" s="62" t="n"/>
      <c r="L93" s="62" t="n"/>
      <c r="M93" s="62" t="n"/>
      <c r="N93" s="62" t="n"/>
      <c r="O93" s="62" t="n"/>
      <c r="P93" s="62" t="n"/>
      <c r="Q93" s="62" t="n"/>
      <c r="R93" s="62" t="n"/>
      <c r="S93" s="62" t="n"/>
      <c r="T93" s="62" t="n"/>
      <c r="U93" s="62" t="n"/>
      <c r="V93" s="62" t="n"/>
      <c r="W93" s="62" t="n"/>
      <c r="X93" s="62" t="n"/>
      <c r="Y93" s="62" t="n"/>
      <c r="Z93" s="62" t="n"/>
      <c r="AA93" s="62" t="n"/>
      <c r="AB93" s="62" t="n"/>
      <c r="AC93" s="62" t="n"/>
      <c r="AD93" s="62" t="n"/>
      <c r="AE93" s="62" t="n"/>
      <c r="AF93" s="61">
        <f>IF(COUNTIF($B$5:B93,B93)=1,1,0)</f>
        <v/>
      </c>
      <c r="AG93" s="62" t="inlineStr">
        <is>
          <t>https://www.semana.com/mundo/articulo/nueva-demanda-contra-aranceles-de-donald-trump-medidas-contra-colombia-podrian-caerse/202610/</t>
        </is>
      </c>
    </row>
    <row r="94">
      <c r="A94" s="62" t="inlineStr">
        <is>
          <t>ART_068</t>
        </is>
      </c>
      <c r="B94" s="62" t="inlineStr">
        <is>
          <t>ART_068_S04</t>
        </is>
      </c>
      <c r="C94" s="62" t="inlineStr">
        <is>
          <t>Semana</t>
        </is>
      </c>
      <c r="D94" s="62" t="inlineStr">
        <is>
          <t>Política</t>
        </is>
      </c>
      <c r="E94" s="62" t="inlineStr">
        <is>
          <t>Noticia dura</t>
        </is>
      </c>
      <c r="F94" s="62" t="inlineStr">
        <is>
          <t>2026-08-03T22:17:10-05:00</t>
        </is>
      </c>
      <c r="G94"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H94" s="62" t="inlineStr">
        <is>
          <t>Entre dichos países, estaba incluido Colombia, donde se aplicó gravamen del 12,5%.</t>
        </is>
      </c>
      <c r="I94" s="62" t="inlineStr">
        <is>
          <t>Los aranceles se impusieron tras investigaciones de la USTR sobre denuncias de “trabajo forzado”, realizadas en virtud de la Sección 301 de la Ley de Comercio de 1974.</t>
        </is>
      </c>
      <c r="J94" s="62" t="n"/>
      <c r="K94" s="62" t="n"/>
      <c r="L94" s="62" t="n"/>
      <c r="M94" s="62" t="n"/>
      <c r="N94" s="62" t="n"/>
      <c r="O94" s="62" t="n"/>
      <c r="P94" s="62" t="n"/>
      <c r="Q94" s="62" t="n"/>
      <c r="R94" s="62" t="n"/>
      <c r="S94" s="62" t="n"/>
      <c r="T94" s="62" t="n"/>
      <c r="U94" s="62" t="n"/>
      <c r="V94" s="62" t="n"/>
      <c r="W94" s="62" t="n"/>
      <c r="X94" s="62" t="n"/>
      <c r="Y94" s="62" t="n"/>
      <c r="Z94" s="62" t="n"/>
      <c r="AA94" s="62" t="n"/>
      <c r="AB94" s="62" t="n"/>
      <c r="AC94" s="62" t="n"/>
      <c r="AD94" s="62" t="n"/>
      <c r="AE94" s="62" t="n"/>
      <c r="AF94" s="61">
        <f>IF(COUNTIF($B$5:B94,B94)=1,1,0)</f>
        <v/>
      </c>
      <c r="AG94" s="62" t="inlineStr">
        <is>
          <t>https://www.semana.com/mundo/articulo/nueva-demanda-contra-aranceles-de-donald-trump-medidas-contra-colombia-podrian-caerse/202610/</t>
        </is>
      </c>
    </row>
    <row r="95">
      <c r="A95" s="62" t="inlineStr">
        <is>
          <t>ART_068</t>
        </is>
      </c>
      <c r="B95" s="62" t="inlineStr">
        <is>
          <t>ART_068_S05</t>
        </is>
      </c>
      <c r="C95" s="62" t="inlineStr">
        <is>
          <t>Semana</t>
        </is>
      </c>
      <c r="D95" s="62" t="inlineStr">
        <is>
          <t>Política</t>
        </is>
      </c>
      <c r="E95" s="62" t="inlineStr">
        <is>
          <t>Noticia dura</t>
        </is>
      </c>
      <c r="F95" s="62" t="inlineStr">
        <is>
          <t>2026-08-03T22:17:10-05:00</t>
        </is>
      </c>
      <c r="G95" s="62" t="inlineStr">
        <is>
          <t>Los aranceles se impusieron tras investigaciones de la USTR sobre denuncias de “trabajo forzado”, realizadas en virtud de la Sección 301 de la Ley de Comercio de 1974.</t>
        </is>
      </c>
      <c r="H95" s="62"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I95"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J95" s="62" t="n"/>
      <c r="K95" s="62" t="n"/>
      <c r="L95" s="62" t="n"/>
      <c r="M95" s="62" t="n"/>
      <c r="N95" s="62" t="n"/>
      <c r="O95" s="62" t="n"/>
      <c r="P95" s="62" t="n"/>
      <c r="Q95" s="62" t="n"/>
      <c r="R95" s="62" t="n"/>
      <c r="S95" s="62" t="n"/>
      <c r="T95" s="62" t="n"/>
      <c r="U95" s="62" t="n"/>
      <c r="V95" s="62" t="n"/>
      <c r="W95" s="62" t="n"/>
      <c r="X95" s="62" t="n"/>
      <c r="Y95" s="62" t="n"/>
      <c r="Z95" s="62" t="n"/>
      <c r="AA95" s="62" t="n"/>
      <c r="AB95" s="62" t="n"/>
      <c r="AC95" s="62" t="n"/>
      <c r="AD95" s="62" t="n"/>
      <c r="AE95" s="62" t="n"/>
      <c r="AF95" s="61">
        <f>IF(COUNTIF($B$5:B95,B95)=1,1,0)</f>
        <v/>
      </c>
      <c r="AG95" s="62" t="inlineStr">
        <is>
          <t>https://www.semana.com/mundo/articulo/nueva-demanda-contra-aranceles-de-donald-trump-medidas-contra-colombia-podrian-caerse/202610/</t>
        </is>
      </c>
    </row>
    <row r="96">
      <c r="A96" s="62" t="inlineStr">
        <is>
          <t>ART_068</t>
        </is>
      </c>
      <c r="B96" s="62" t="inlineStr">
        <is>
          <t>ART_068_S06</t>
        </is>
      </c>
      <c r="C96" s="62" t="inlineStr">
        <is>
          <t>Semana</t>
        </is>
      </c>
      <c r="D96" s="62" t="inlineStr">
        <is>
          <t>Política</t>
        </is>
      </c>
      <c r="E96" s="62" t="inlineStr">
        <is>
          <t>Noticia dura</t>
        </is>
      </c>
      <c r="F96" s="62" t="inlineStr">
        <is>
          <t>2026-08-03T22:17:10-05:00</t>
        </is>
      </c>
      <c r="G96"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H96" s="62" t="inlineStr">
        <is>
          <t>Los aranceles se impusieron tras investigaciones de la USTR sobre denuncias de “trabajo forzado”, realizadas en virtud de la Sección 301 de la Ley de Comercio de 1974.</t>
        </is>
      </c>
      <c r="I96" s="62" t="inlineStr">
        <is>
          <t>Washington considera que la mayoría de sus socios comerciales, como la Unión Europea, no se atiene a las mismas exigencias de lucha contra el trabajo forzado que mantiene Estados Unidos.</t>
        </is>
      </c>
      <c r="J96" s="62" t="n"/>
      <c r="K96" s="62" t="n"/>
      <c r="L96" s="62" t="n"/>
      <c r="M96" s="62" t="n"/>
      <c r="N96" s="62" t="n"/>
      <c r="O96" s="62" t="n"/>
      <c r="P96" s="62" t="n"/>
      <c r="Q96" s="62" t="n"/>
      <c r="R96" s="62" t="n"/>
      <c r="S96" s="62" t="n"/>
      <c r="T96" s="62" t="n"/>
      <c r="U96" s="62" t="n"/>
      <c r="V96" s="62" t="n"/>
      <c r="W96" s="62" t="n"/>
      <c r="X96" s="62" t="n"/>
      <c r="Y96" s="62" t="n"/>
      <c r="Z96" s="62" t="n"/>
      <c r="AA96" s="62" t="n"/>
      <c r="AB96" s="62" t="n"/>
      <c r="AC96" s="62" t="n"/>
      <c r="AD96" s="62" t="n"/>
      <c r="AE96" s="62" t="n"/>
      <c r="AF96" s="61">
        <f>IF(COUNTIF($B$5:B96,B96)=1,1,0)</f>
        <v/>
      </c>
      <c r="AG96" s="62" t="inlineStr">
        <is>
          <t>https://www.semana.com/mundo/articulo/nueva-demanda-contra-aranceles-de-donald-trump-medidas-contra-colombia-podrian-caerse/202610/</t>
        </is>
      </c>
    </row>
    <row r="97">
      <c r="A97" s="62" t="inlineStr">
        <is>
          <t>ART_068</t>
        </is>
      </c>
      <c r="B97" s="62" t="inlineStr">
        <is>
          <t>ART_068_S07</t>
        </is>
      </c>
      <c r="C97" s="62" t="inlineStr">
        <is>
          <t>Semana</t>
        </is>
      </c>
      <c r="D97" s="62" t="inlineStr">
        <is>
          <t>Política</t>
        </is>
      </c>
      <c r="E97" s="62" t="inlineStr">
        <is>
          <t>Noticia dura</t>
        </is>
      </c>
      <c r="F97" s="62" t="inlineStr">
        <is>
          <t>2026-08-03T22:17:10-05:00</t>
        </is>
      </c>
      <c r="G97" s="62" t="inlineStr">
        <is>
          <t>Washington considera que la mayoría de sus socios comerciales, como la Unión Europea, no se atiene a las mismas exigencias de lucha contra el trabajo forzado que mantiene Estados Unidos.</t>
        </is>
      </c>
      <c r="H97" s="62"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I97" s="62" t="inlineStr">
        <is>
          <t>Desde que asumió el cargo por su segundo mandato, Trump ha trastocado el comercio mundial al imponer aranceles de amplio alcance tanto a aliados como a adversarios.</t>
        </is>
      </c>
      <c r="J97" s="62" t="n"/>
      <c r="K97" s="62" t="n"/>
      <c r="L97" s="62" t="n"/>
      <c r="M97" s="62" t="n"/>
      <c r="N97" s="62" t="n"/>
      <c r="O97" s="62" t="n"/>
      <c r="P97" s="62" t="n"/>
      <c r="Q97" s="62" t="n"/>
      <c r="R97" s="62" t="n"/>
      <c r="S97" s="62" t="n"/>
      <c r="T97" s="62" t="n"/>
      <c r="U97" s="62" t="n"/>
      <c r="V97" s="62" t="n"/>
      <c r="W97" s="62" t="n"/>
      <c r="X97" s="62" t="n"/>
      <c r="Y97" s="62" t="n"/>
      <c r="Z97" s="62" t="n"/>
      <c r="AA97" s="62" t="n"/>
      <c r="AB97" s="62" t="n"/>
      <c r="AC97" s="62" t="n"/>
      <c r="AD97" s="62" t="n"/>
      <c r="AE97" s="62" t="n"/>
      <c r="AF97" s="61">
        <f>IF(COUNTIF($B$5:B97,B97)=1,1,0)</f>
        <v/>
      </c>
      <c r="AG97" s="62" t="inlineStr">
        <is>
          <t>https://www.semana.com/mundo/articulo/nueva-demanda-contra-aranceles-de-donald-trump-medidas-contra-colombia-podrian-caerse/202610/</t>
        </is>
      </c>
    </row>
    <row r="98">
      <c r="A98" s="62" t="inlineStr">
        <is>
          <t>ART_068</t>
        </is>
      </c>
      <c r="B98" s="62" t="inlineStr">
        <is>
          <t>ART_068_S08</t>
        </is>
      </c>
      <c r="C98" s="62" t="inlineStr">
        <is>
          <t>Semana</t>
        </is>
      </c>
      <c r="D98" s="62" t="inlineStr">
        <is>
          <t>Política</t>
        </is>
      </c>
      <c r="E98" s="62" t="inlineStr">
        <is>
          <t>Noticia dura</t>
        </is>
      </c>
      <c r="F98" s="62" t="inlineStr">
        <is>
          <t>2026-08-03T22:17:10-05:00</t>
        </is>
      </c>
      <c r="G98" s="62" t="inlineStr">
        <is>
          <t>Desde que asumió el cargo por su segundo mandato, Trump ha trastocado el comercio mundial al imponer aranceles de amplio alcance tanto a aliados como a adversarios.</t>
        </is>
      </c>
      <c r="H98" s="62" t="inlineStr">
        <is>
          <t>Washington considera que la mayoría de sus socios comerciales, como la Unión Europea, no se atiene a las mismas exigencias de lucha contra el trabajo forzado que mantiene Estados Unidos.</t>
        </is>
      </c>
      <c r="I98" s="62" t="inlineStr">
        <is>
          <t>El mandatario ha sostenido que los socios comerciales de Estados Unidos se han estado aprovechando de la mayor economía del mundo y ha buscado utilizar los aranceles como palanca para lograr nuevos acuerdos comerciales.</t>
        </is>
      </c>
      <c r="J98" s="62" t="n"/>
      <c r="K98" s="62" t="n"/>
      <c r="L98" s="62" t="n"/>
      <c r="M98" s="62" t="n"/>
      <c r="N98" s="62" t="n"/>
      <c r="O98" s="62" t="n"/>
      <c r="P98" s="62" t="n"/>
      <c r="Q98" s="62" t="n"/>
      <c r="R98" s="62" t="n"/>
      <c r="S98" s="62" t="n"/>
      <c r="T98" s="62" t="n"/>
      <c r="U98" s="62" t="n"/>
      <c r="V98" s="62" t="n"/>
      <c r="W98" s="62" t="n"/>
      <c r="X98" s="62" t="n"/>
      <c r="Y98" s="62" t="n"/>
      <c r="Z98" s="62" t="n"/>
      <c r="AA98" s="62" t="n"/>
      <c r="AB98" s="62" t="n"/>
      <c r="AC98" s="62" t="n"/>
      <c r="AD98" s="62" t="n"/>
      <c r="AE98" s="62" t="n"/>
      <c r="AF98" s="61">
        <f>IF(COUNTIF($B$5:B98,B98)=1,1,0)</f>
        <v/>
      </c>
      <c r="AG98" s="62" t="inlineStr">
        <is>
          <t>https://www.semana.com/mundo/articulo/nueva-demanda-contra-aranceles-de-donald-trump-medidas-contra-colombia-podrian-caerse/202610/</t>
        </is>
      </c>
    </row>
    <row r="99">
      <c r="A99" s="62" t="inlineStr">
        <is>
          <t>ART_068</t>
        </is>
      </c>
      <c r="B99" s="62" t="inlineStr">
        <is>
          <t>ART_068_S09</t>
        </is>
      </c>
      <c r="C99" s="62" t="inlineStr">
        <is>
          <t>Semana</t>
        </is>
      </c>
      <c r="D99" s="62" t="inlineStr">
        <is>
          <t>Política</t>
        </is>
      </c>
      <c r="E99" s="62" t="inlineStr">
        <is>
          <t>Noticia dura</t>
        </is>
      </c>
      <c r="F99" s="62" t="inlineStr">
        <is>
          <t>2026-08-03T22:17:10-05:00</t>
        </is>
      </c>
      <c r="G99" s="62" t="inlineStr">
        <is>
          <t>El mandatario ha sostenido que los socios comerciales de Estados Unidos se han estado aprovechando de la mayor economía del mundo y ha buscado utilizar los aranceles como palanca para lograr nuevos acuerdos comerciales.</t>
        </is>
      </c>
      <c r="H99" s="62" t="inlineStr">
        <is>
          <t>Desde que asumió el cargo por su segundo mandato, Trump ha trastocado el comercio mundial al imponer aranceles de amplio alcance tanto a aliados como a adversarios.</t>
        </is>
      </c>
      <c r="I99" s="62" t="inlineStr">
        <is>
          <t>Su primera ronda de aranceles fue anulada por la Corte Suprema de Estados Unidos en febrero, por lo que Trump los reemplazó con un gravamen global del 10 %.</t>
        </is>
      </c>
      <c r="J99" s="62" t="n"/>
      <c r="K99" s="62" t="n"/>
      <c r="L99" s="62" t="n"/>
      <c r="M99" s="62" t="n"/>
      <c r="N99" s="62" t="n"/>
      <c r="O99" s="62" t="n"/>
      <c r="P99" s="62" t="n"/>
      <c r="Q99" s="62" t="n"/>
      <c r="R99" s="62" t="n"/>
      <c r="S99" s="62" t="n"/>
      <c r="T99" s="62" t="n"/>
      <c r="U99" s="62" t="n"/>
      <c r="V99" s="62" t="n"/>
      <c r="W99" s="62" t="n"/>
      <c r="X99" s="62" t="n"/>
      <c r="Y99" s="62" t="n"/>
      <c r="Z99" s="62" t="n"/>
      <c r="AA99" s="62" t="n"/>
      <c r="AB99" s="62" t="n"/>
      <c r="AC99" s="62" t="n"/>
      <c r="AD99" s="62" t="n"/>
      <c r="AE99" s="62" t="n"/>
      <c r="AF99" s="61">
        <f>IF(COUNTIF($B$5:B99,B99)=1,1,0)</f>
        <v/>
      </c>
      <c r="AG99" s="62" t="inlineStr">
        <is>
          <t>https://www.semana.com/mundo/articulo/nueva-demanda-contra-aranceles-de-donald-trump-medidas-contra-colombia-podrian-caerse/202610/</t>
        </is>
      </c>
    </row>
    <row r="100">
      <c r="A100" s="62" t="inlineStr">
        <is>
          <t>ART_068</t>
        </is>
      </c>
      <c r="B100" s="62" t="inlineStr">
        <is>
          <t>ART_068_S10</t>
        </is>
      </c>
      <c r="C100" s="62" t="inlineStr">
        <is>
          <t>Semana</t>
        </is>
      </c>
      <c r="D100" s="62" t="inlineStr">
        <is>
          <t>Política</t>
        </is>
      </c>
      <c r="E100" s="62" t="inlineStr">
        <is>
          <t>Noticia dura</t>
        </is>
      </c>
      <c r="F100" s="62" t="inlineStr">
        <is>
          <t>2026-08-03T22:17:10-05:00</t>
        </is>
      </c>
      <c r="G100" s="62" t="inlineStr">
        <is>
          <t>Su primera ronda de aranceles fue anulada por la Corte Suprema de Estados Unidos en febrero, por lo que Trump los reemplazó con un gravamen global del 10 %.</t>
        </is>
      </c>
      <c r="H100" s="62" t="inlineStr">
        <is>
          <t>El mandatario ha sostenido que los socios comerciales de Estados Unidos se han estado aprovechando de la mayor economía del mundo y ha buscado utilizar los aranceles como palanca para lograr nuevos acuerdos comerciales.</t>
        </is>
      </c>
      <c r="I100" s="62" t="n"/>
      <c r="J100" s="62" t="n"/>
      <c r="K100" s="62" t="n"/>
      <c r="L100" s="62" t="n"/>
      <c r="M100" s="62" t="n"/>
      <c r="N100" s="62" t="n"/>
      <c r="O100" s="62" t="n"/>
      <c r="P100" s="62" t="n"/>
      <c r="Q100" s="62" t="n"/>
      <c r="R100" s="62" t="n"/>
      <c r="S100" s="62" t="n"/>
      <c r="T100" s="62" t="n"/>
      <c r="U100" s="62" t="n"/>
      <c r="V100" s="62" t="n"/>
      <c r="W100" s="62" t="n"/>
      <c r="X100" s="62" t="n"/>
      <c r="Y100" s="62" t="n"/>
      <c r="Z100" s="62" t="n"/>
      <c r="AA100" s="62" t="n"/>
      <c r="AB100" s="62" t="n"/>
      <c r="AC100" s="62" t="n"/>
      <c r="AD100" s="62" t="n"/>
      <c r="AE100" s="62" t="n"/>
      <c r="AF100" s="61">
        <f>IF(COUNTIF($B$5:B100,B100)=1,1,0)</f>
        <v/>
      </c>
      <c r="AG100" s="62" t="inlineStr">
        <is>
          <t>https://www.semana.com/mundo/articulo/nueva-demanda-contra-aranceles-de-donald-trump-medidas-contra-colombia-podrian-caerse/202610/</t>
        </is>
      </c>
    </row>
    <row r="101">
      <c r="A101" s="62" t="inlineStr">
        <is>
          <t>ART_097</t>
        </is>
      </c>
      <c r="B101" s="62" t="inlineStr">
        <is>
          <t>ART_097_S01</t>
        </is>
      </c>
      <c r="C101" s="62" t="inlineStr">
        <is>
          <t>El Tiempo</t>
        </is>
      </c>
      <c r="D101" s="62" t="inlineStr">
        <is>
          <t>Economía y negocios</t>
        </is>
      </c>
      <c r="E101" s="62" t="inlineStr">
        <is>
          <t>Noticia dura</t>
        </is>
      </c>
      <c r="F101" s="62" t="inlineStr">
        <is>
          <t>2026-09-09T00:01:00-05:00</t>
        </is>
      </c>
      <c r="G101" s="62" t="inlineStr">
        <is>
          <t>El Banco de la República ha endurecido su política monetaria, mantiene las tasas de interés en niveles históricamente altos (12 por ciento) y lleva meses intentando enfriar la demanda.</t>
        </is>
      </c>
      <c r="H101" s="62" t="n"/>
      <c r="I101" s="62" t="inlineStr">
        <is>
          <t>Pese a ello, la inflación volvió a acelerarse y llegó a 6,24 por ciento en agosto, más del doble de la meta del 3 por ciento.</t>
        </is>
      </c>
      <c r="J101" s="62" t="n"/>
      <c r="K101" s="62" t="n"/>
      <c r="L101" s="62" t="n"/>
      <c r="M101" s="62" t="n"/>
      <c r="N101" s="62" t="n"/>
      <c r="O101" s="62" t="n"/>
      <c r="P101" s="62" t="n"/>
      <c r="Q101" s="62" t="n"/>
      <c r="R101" s="62" t="n"/>
      <c r="S101" s="62" t="n"/>
      <c r="T101" s="62" t="n"/>
      <c r="U101" s="62" t="n"/>
      <c r="V101" s="62" t="n"/>
      <c r="W101" s="62" t="n"/>
      <c r="X101" s="62" t="n"/>
      <c r="Y101" s="62" t="n"/>
      <c r="Z101" s="62" t="n"/>
      <c r="AA101" s="62" t="n"/>
      <c r="AB101" s="62" t="n"/>
      <c r="AC101" s="62" t="n"/>
      <c r="AD101" s="62" t="n"/>
      <c r="AE101" s="62" t="n"/>
      <c r="AF101" s="61">
        <f>IF(COUNTIF($B$5:B101,B101)=1,1,0)</f>
        <v/>
      </c>
      <c r="AG101" s="62" t="inlineStr">
        <is>
          <t>https://www.eltiempo.com/economia/sectores/advierten-que-el-persistente-incumplimiento-del-objetivo-de-inflacion-afecta-la-confianza-en-la-meta-del-emisor-3584541</t>
        </is>
      </c>
    </row>
    <row r="102">
      <c r="A102" s="62" t="inlineStr">
        <is>
          <t>ART_097</t>
        </is>
      </c>
      <c r="B102" s="62" t="inlineStr">
        <is>
          <t>ART_097_S02</t>
        </is>
      </c>
      <c r="C102" s="62" t="inlineStr">
        <is>
          <t>El Tiempo</t>
        </is>
      </c>
      <c r="D102" s="62" t="inlineStr">
        <is>
          <t>Economía y negocios</t>
        </is>
      </c>
      <c r="E102" s="62" t="inlineStr">
        <is>
          <t>Noticia dura</t>
        </is>
      </c>
      <c r="F102" s="62" t="inlineStr">
        <is>
          <t>2026-09-09T00:01:00-05:00</t>
        </is>
      </c>
      <c r="G102" s="62" t="inlineStr">
        <is>
          <t>Pese a ello, la inflación volvió a acelerarse y llegó a 6,24 por ciento en agosto, más del doble de la meta del 3 por ciento.</t>
        </is>
      </c>
      <c r="H102" s="62" t="inlineStr">
        <is>
          <t>El Banco de la República ha endurecido su política monetaria, mantiene las tasas de interés en niveles históricamente altos (12 por ciento) y lleva meses intentando enfriar la demanda.</t>
        </is>
      </c>
      <c r="I102" s="62"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J102" s="62" t="n"/>
      <c r="K102" s="62" t="n"/>
      <c r="L102" s="62" t="n"/>
      <c r="M102" s="62" t="n"/>
      <c r="N102" s="62" t="n"/>
      <c r="O102" s="62" t="n"/>
      <c r="P102" s="62" t="n"/>
      <c r="Q102" s="62" t="n"/>
      <c r="R102" s="62" t="n"/>
      <c r="S102" s="62" t="n"/>
      <c r="T102" s="62" t="n"/>
      <c r="U102" s="62" t="n"/>
      <c r="V102" s="62" t="n"/>
      <c r="W102" s="62" t="n"/>
      <c r="X102" s="62" t="n"/>
      <c r="Y102" s="62" t="n"/>
      <c r="Z102" s="62" t="n"/>
      <c r="AA102" s="62" t="n"/>
      <c r="AB102" s="62" t="n"/>
      <c r="AC102" s="62" t="n"/>
      <c r="AD102" s="62" t="n"/>
      <c r="AE102" s="62" t="n"/>
      <c r="AF102" s="61">
        <f>IF(COUNTIF($B$5:B102,B102)=1,1,0)</f>
        <v/>
      </c>
      <c r="AG102" s="62" t="inlineStr">
        <is>
          <t>https://www.eltiempo.com/economia/sectores/advierten-que-el-persistente-incumplimiento-del-objetivo-de-inflacion-afecta-la-confianza-en-la-meta-del-emisor-3584541</t>
        </is>
      </c>
    </row>
    <row r="103">
      <c r="A103" s="62" t="inlineStr">
        <is>
          <t>ART_097</t>
        </is>
      </c>
      <c r="B103" s="62" t="inlineStr">
        <is>
          <t>ART_097_S03</t>
        </is>
      </c>
      <c r="C103" s="62" t="inlineStr">
        <is>
          <t>El Tiempo</t>
        </is>
      </c>
      <c r="D103" s="62" t="inlineStr">
        <is>
          <t>Economía y negocios</t>
        </is>
      </c>
      <c r="E103" s="62" t="inlineStr">
        <is>
          <t>Noticia dura</t>
        </is>
      </c>
      <c r="F103" s="62" t="inlineStr">
        <is>
          <t>2026-09-09T00:01:00-05:00</t>
        </is>
      </c>
      <c r="G103" s="62"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H103" s="62" t="inlineStr">
        <is>
          <t>Pese a ello, la inflación volvió a acelerarse y llegó a 6,24 por ciento en agosto, más del doble de la meta del 3 por ciento.</t>
        </is>
      </c>
      <c r="I103" s="62" t="inlineStr">
        <is>
          <t>¿Por qué las decisiones del Emisor todavía no consiguen doblegar la inflación?</t>
        </is>
      </c>
      <c r="J103" s="62" t="n"/>
      <c r="K103" s="62" t="n"/>
      <c r="L103" s="62" t="n"/>
      <c r="M103" s="62" t="n"/>
      <c r="N103" s="62" t="n"/>
      <c r="O103" s="62" t="n"/>
      <c r="P103" s="62" t="n"/>
      <c r="Q103" s="62" t="n"/>
      <c r="R103" s="62" t="n"/>
      <c r="S103" s="62" t="n"/>
      <c r="T103" s="62" t="n"/>
      <c r="U103" s="62" t="n"/>
      <c r="V103" s="62" t="n"/>
      <c r="W103" s="62" t="n"/>
      <c r="X103" s="62" t="n"/>
      <c r="Y103" s="62" t="n"/>
      <c r="Z103" s="62" t="n"/>
      <c r="AA103" s="62" t="n"/>
      <c r="AB103" s="62" t="n"/>
      <c r="AC103" s="62" t="n"/>
      <c r="AD103" s="62" t="n"/>
      <c r="AE103" s="62" t="n"/>
      <c r="AF103" s="61">
        <f>IF(COUNTIF($B$5:B103,B103)=1,1,0)</f>
        <v/>
      </c>
      <c r="AG103" s="62" t="inlineStr">
        <is>
          <t>https://www.eltiempo.com/economia/sectores/advierten-que-el-persistente-incumplimiento-del-objetivo-de-inflacion-afecta-la-confianza-en-la-meta-del-emisor-3584541</t>
        </is>
      </c>
    </row>
    <row r="104">
      <c r="A104" s="62" t="inlineStr">
        <is>
          <t>ART_097</t>
        </is>
      </c>
      <c r="B104" s="62" t="inlineStr">
        <is>
          <t>ART_097_S04</t>
        </is>
      </c>
      <c r="C104" s="62" t="inlineStr">
        <is>
          <t>El Tiempo</t>
        </is>
      </c>
      <c r="D104" s="62" t="inlineStr">
        <is>
          <t>Economía y negocios</t>
        </is>
      </c>
      <c r="E104" s="62" t="inlineStr">
        <is>
          <t>Noticia dura</t>
        </is>
      </c>
      <c r="F104" s="62" t="inlineStr">
        <is>
          <t>2026-09-09T00:01:00-05:00</t>
        </is>
      </c>
      <c r="G104" s="62" t="inlineStr">
        <is>
          <t>¿Por qué las decisiones del Emisor todavía no consiguen doblegar la inflación?</t>
        </is>
      </c>
      <c r="H104" s="62"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I104" s="62" t="inlineStr">
        <is>
          <t>Lo preocupante, advierten algunos economistas consultados, es que Colombia completa varios años lejos de la meta, mientras las señales que llegan desde el propio Banco de la República indican que converger hacia ese objetivo tomará más tiempo.</t>
        </is>
      </c>
      <c r="J104" s="62" t="n"/>
      <c r="K104" s="62" t="n"/>
      <c r="L104" s="62" t="n"/>
      <c r="M104" s="62" t="n"/>
      <c r="N104" s="62" t="n"/>
      <c r="O104" s="62" t="n"/>
      <c r="P104" s="62" t="n"/>
      <c r="Q104" s="62" t="n"/>
      <c r="R104" s="62" t="n"/>
      <c r="S104" s="62" t="n"/>
      <c r="T104" s="62" t="n"/>
      <c r="U104" s="62" t="n"/>
      <c r="V104" s="62" t="n"/>
      <c r="W104" s="62" t="n"/>
      <c r="X104" s="62" t="n"/>
      <c r="Y104" s="62" t="n"/>
      <c r="Z104" s="62" t="n"/>
      <c r="AA104" s="62" t="n"/>
      <c r="AB104" s="62" t="n"/>
      <c r="AC104" s="62" t="n"/>
      <c r="AD104" s="62" t="n"/>
      <c r="AE104" s="62" t="n"/>
      <c r="AF104" s="61">
        <f>IF(COUNTIF($B$5:B104,B104)=1,1,0)</f>
        <v/>
      </c>
      <c r="AG104" s="62" t="inlineStr">
        <is>
          <t>https://www.eltiempo.com/economia/sectores/advierten-que-el-persistente-incumplimiento-del-objetivo-de-inflacion-afecta-la-confianza-en-la-meta-del-emisor-3584541</t>
        </is>
      </c>
    </row>
    <row r="105">
      <c r="A105" s="62" t="inlineStr">
        <is>
          <t>ART_097</t>
        </is>
      </c>
      <c r="B105" s="62" t="inlineStr">
        <is>
          <t>ART_097_S05</t>
        </is>
      </c>
      <c r="C105" s="62" t="inlineStr">
        <is>
          <t>El Tiempo</t>
        </is>
      </c>
      <c r="D105" s="62" t="inlineStr">
        <is>
          <t>Economía y negocios</t>
        </is>
      </c>
      <c r="E105" s="62" t="inlineStr">
        <is>
          <t>Noticia dura</t>
        </is>
      </c>
      <c r="F105" s="62" t="inlineStr">
        <is>
          <t>2026-09-09T00:01:00-05:00</t>
        </is>
      </c>
      <c r="G105" s="62" t="inlineStr">
        <is>
          <t>Lo preocupante, advierten algunos economistas consultados, es que Colombia completa varios años lejos de la meta, mientras las señales que llegan desde el propio Banco de la República indican que converger hacia ese objetivo tomará más tiempo.</t>
        </is>
      </c>
      <c r="H105" s="62" t="inlineStr">
        <is>
          <t>¿Por qué las decisiones del Emisor todavía no consiguen doblegar la inflación?</t>
        </is>
      </c>
      <c r="I105" s="62" t="inlineStr">
        <is>
          <t>“Solo se regresaría a esa meta hacia mediados de 2028”, señaló recientemente Leonardo Villar, gerente del Emisor.</t>
        </is>
      </c>
      <c r="J105" s="62" t="n"/>
      <c r="K105" s="62" t="n"/>
      <c r="L105" s="62" t="n"/>
      <c r="M105" s="62" t="n"/>
      <c r="N105" s="62" t="n"/>
      <c r="O105" s="62" t="n"/>
      <c r="P105" s="62" t="n"/>
      <c r="Q105" s="62" t="n"/>
      <c r="R105" s="62" t="n"/>
      <c r="S105" s="62" t="n"/>
      <c r="T105" s="62" t="n"/>
      <c r="U105" s="62" t="n"/>
      <c r="V105" s="62" t="n"/>
      <c r="W105" s="62" t="n"/>
      <c r="X105" s="62" t="n"/>
      <c r="Y105" s="62" t="n"/>
      <c r="Z105" s="62" t="n"/>
      <c r="AA105" s="62" t="n"/>
      <c r="AB105" s="62" t="n"/>
      <c r="AC105" s="62" t="n"/>
      <c r="AD105" s="62" t="n"/>
      <c r="AE105" s="62" t="n"/>
      <c r="AF105" s="61">
        <f>IF(COUNTIF($B$5:B105,B105)=1,1,0)</f>
        <v/>
      </c>
      <c r="AG105" s="62" t="inlineStr">
        <is>
          <t>https://www.eltiempo.com/economia/sectores/advierten-que-el-persistente-incumplimiento-del-objetivo-de-inflacion-afecta-la-confianza-en-la-meta-del-emisor-3584541</t>
        </is>
      </c>
    </row>
    <row r="106">
      <c r="A106" s="62" t="inlineStr">
        <is>
          <t>ART_097</t>
        </is>
      </c>
      <c r="B106" s="62" t="inlineStr">
        <is>
          <t>ART_097_S06</t>
        </is>
      </c>
      <c r="C106" s="62" t="inlineStr">
        <is>
          <t>El Tiempo</t>
        </is>
      </c>
      <c r="D106" s="62" t="inlineStr">
        <is>
          <t>Economía y negocios</t>
        </is>
      </c>
      <c r="E106" s="62" t="inlineStr">
        <is>
          <t>Noticia dura</t>
        </is>
      </c>
      <c r="F106" s="62" t="inlineStr">
        <is>
          <t>2026-09-09T00:01:00-05:00</t>
        </is>
      </c>
      <c r="G106" s="62" t="inlineStr">
        <is>
          <t>“Solo se regresaría a esa meta hacia mediados de 2028”, señaló recientemente Leonardo Villar, gerente del Emisor.</t>
        </is>
      </c>
      <c r="H106" s="62" t="inlineStr">
        <is>
          <t>Lo preocupante, advierten algunos economistas consultados, es que Colombia completa varios años lejos de la meta, mientras las señales que llegan desde el propio Banco de la República indican que converger hacia ese objetivo tomará más tiempo.</t>
        </is>
      </c>
      <c r="I106" s="62" t="inlineStr">
        <is>
          <t>De ahí surge otra pregunta que comienza a ganar espacio entre los analistas: ¿una demora tan prolongada puede terminar afectando la credibilidad de la autoridad monetaria?</t>
        </is>
      </c>
      <c r="J106" s="62" t="n"/>
      <c r="K106" s="62" t="n"/>
      <c r="L106" s="62" t="n"/>
      <c r="M106" s="62" t="n"/>
      <c r="N106" s="62" t="n"/>
      <c r="O106" s="62" t="n"/>
      <c r="P106" s="62" t="n"/>
      <c r="Q106" s="62" t="n"/>
      <c r="R106" s="62" t="n"/>
      <c r="S106" s="62" t="n"/>
      <c r="T106" s="62" t="n"/>
      <c r="U106" s="62" t="n"/>
      <c r="V106" s="62" t="n"/>
      <c r="W106" s="62" t="n"/>
      <c r="X106" s="62" t="n"/>
      <c r="Y106" s="62" t="n"/>
      <c r="Z106" s="62" t="n"/>
      <c r="AA106" s="62" t="n"/>
      <c r="AB106" s="62" t="n"/>
      <c r="AC106" s="62" t="n"/>
      <c r="AD106" s="62" t="n"/>
      <c r="AE106" s="62" t="n"/>
      <c r="AF106" s="61">
        <f>IF(COUNTIF($B$5:B106,B106)=1,1,0)</f>
        <v/>
      </c>
      <c r="AG106" s="62" t="inlineStr">
        <is>
          <t>https://www.eltiempo.com/economia/sectores/advierten-que-el-persistente-incumplimiento-del-objetivo-de-inflacion-afecta-la-confianza-en-la-meta-del-emisor-3584541</t>
        </is>
      </c>
    </row>
    <row r="107">
      <c r="A107" s="62" t="inlineStr">
        <is>
          <t>ART_097</t>
        </is>
      </c>
      <c r="B107" s="62" t="inlineStr">
        <is>
          <t>ART_097_S07</t>
        </is>
      </c>
      <c r="C107" s="62" t="inlineStr">
        <is>
          <t>El Tiempo</t>
        </is>
      </c>
      <c r="D107" s="62" t="inlineStr">
        <is>
          <t>Economía y negocios</t>
        </is>
      </c>
      <c r="E107" s="62" t="inlineStr">
        <is>
          <t>Noticia dura</t>
        </is>
      </c>
      <c r="F107" s="62" t="inlineStr">
        <is>
          <t>2026-09-09T00:01:00-05:00</t>
        </is>
      </c>
      <c r="G107" s="62" t="inlineStr">
        <is>
          <t>De ahí surge otra pregunta que comienza a ganar espacio entre los analistas: ¿una demora tan prolongada puede terminar afectando la credibilidad de la autoridad monetaria?</t>
        </is>
      </c>
      <c r="H107" s="62" t="inlineStr">
        <is>
          <t>“Solo se regresaría a esa meta hacia mediados de 2028”, señaló recientemente Leonardo Villar, gerente del Emisor.</t>
        </is>
      </c>
      <c r="I107" s="62" t="inlineStr">
        <is>
          <t>La respuesta de los consultados apunta menos a una falla de la política monetaria que a los límites de la herramienta que tiene el Banco para combatir las presiones actuales.</t>
        </is>
      </c>
      <c r="J107" s="62" t="n"/>
      <c r="K107" s="62" t="n"/>
      <c r="L107" s="62" t="n"/>
      <c r="M107" s="62" t="n"/>
      <c r="N107" s="62" t="n"/>
      <c r="O107" s="62" t="n"/>
      <c r="P107" s="62" t="n"/>
      <c r="Q107" s="62" t="n"/>
      <c r="R107" s="62" t="n"/>
      <c r="S107" s="62" t="n"/>
      <c r="T107" s="62" t="n"/>
      <c r="U107" s="62" t="n"/>
      <c r="V107" s="62" t="n"/>
      <c r="W107" s="62" t="n"/>
      <c r="X107" s="62" t="n"/>
      <c r="Y107" s="62" t="n"/>
      <c r="Z107" s="62" t="n"/>
      <c r="AA107" s="62" t="n"/>
      <c r="AB107" s="62" t="n"/>
      <c r="AC107" s="62" t="n"/>
      <c r="AD107" s="62" t="n"/>
      <c r="AE107" s="62" t="n"/>
      <c r="AF107" s="61">
        <f>IF(COUNTIF($B$5:B107,B107)=1,1,0)</f>
        <v/>
      </c>
      <c r="AG107" s="62" t="inlineStr">
        <is>
          <t>https://www.eltiempo.com/economia/sectores/advierten-que-el-persistente-incumplimiento-del-objetivo-de-inflacion-afecta-la-confianza-en-la-meta-del-emisor-3584541</t>
        </is>
      </c>
    </row>
    <row r="108">
      <c r="A108" s="62" t="inlineStr">
        <is>
          <t>ART_097</t>
        </is>
      </c>
      <c r="B108" s="62" t="inlineStr">
        <is>
          <t>ART_097_S08</t>
        </is>
      </c>
      <c r="C108" s="62" t="inlineStr">
        <is>
          <t>El Tiempo</t>
        </is>
      </c>
      <c r="D108" s="62" t="inlineStr">
        <is>
          <t>Economía y negocios</t>
        </is>
      </c>
      <c r="E108" s="62" t="inlineStr">
        <is>
          <t>Noticia dura</t>
        </is>
      </c>
      <c r="F108" s="62" t="inlineStr">
        <is>
          <t>2026-09-09T00:01:00-05:00</t>
        </is>
      </c>
      <c r="G108" s="62" t="inlineStr">
        <is>
          <t>La respuesta de los consultados apunta menos a una falla de la política monetaria que a los límites de la herramienta que tiene el Banco para combatir las presiones actuales.</t>
        </is>
      </c>
      <c r="H108" s="62" t="inlineStr">
        <is>
          <t>De ahí surge otra pregunta que comienza a ganar espacio entre los analistas: ¿una demora tan prolongada puede terminar afectando la credibilidad de la autoridad monetaria?</t>
        </is>
      </c>
      <c r="I108" s="62" t="inlineStr">
        <is>
          <t>Alimentos, energía y clima están jugando en contra, mientras el elevado aumento del salario mínimo, el gasto público y el deterioro fiscal agregan presión.</t>
        </is>
      </c>
      <c r="J108" s="62" t="n"/>
      <c r="K108" s="62" t="n"/>
      <c r="L108" s="62" t="n"/>
      <c r="M108" s="62" t="n"/>
      <c r="N108" s="62" t="n"/>
      <c r="O108" s="62" t="n"/>
      <c r="P108" s="62" t="n"/>
      <c r="Q108" s="62" t="n"/>
      <c r="R108" s="62" t="n"/>
      <c r="S108" s="62" t="n"/>
      <c r="T108" s="62" t="n"/>
      <c r="U108" s="62" t="n"/>
      <c r="V108" s="62" t="n"/>
      <c r="W108" s="62" t="n"/>
      <c r="X108" s="62" t="n"/>
      <c r="Y108" s="62" t="n"/>
      <c r="Z108" s="62" t="n"/>
      <c r="AA108" s="62" t="n"/>
      <c r="AB108" s="62" t="n"/>
      <c r="AC108" s="62" t="n"/>
      <c r="AD108" s="62" t="n"/>
      <c r="AE108" s="62" t="n"/>
      <c r="AF108" s="61">
        <f>IF(COUNTIF($B$5:B108,B108)=1,1,0)</f>
        <v/>
      </c>
      <c r="AG108" s="62" t="inlineStr">
        <is>
          <t>https://www.eltiempo.com/economia/sectores/advierten-que-el-persistente-incumplimiento-del-objetivo-de-inflacion-afecta-la-confianza-en-la-meta-del-emisor-3584541</t>
        </is>
      </c>
    </row>
    <row r="109">
      <c r="A109" s="62" t="inlineStr">
        <is>
          <t>ART_097</t>
        </is>
      </c>
      <c r="B109" s="62" t="inlineStr">
        <is>
          <t>ART_097_S09</t>
        </is>
      </c>
      <c r="C109" s="62" t="inlineStr">
        <is>
          <t>El Tiempo</t>
        </is>
      </c>
      <c r="D109" s="62" t="inlineStr">
        <is>
          <t>Economía y negocios</t>
        </is>
      </c>
      <c r="E109" s="62" t="inlineStr">
        <is>
          <t>Noticia dura</t>
        </is>
      </c>
      <c r="F109" s="62" t="inlineStr">
        <is>
          <t>2026-09-09T00:01:00-05:00</t>
        </is>
      </c>
      <c r="G109" s="62" t="inlineStr">
        <is>
          <t>Alimentos, energía y clima están jugando en contra, mientras el elevado aumento del salario mínimo, el gasto público y el deterioro fiscal agregan presión.</t>
        </is>
      </c>
      <c r="H109" s="62" t="inlineStr">
        <is>
          <t>La respuesta de los consultados apunta menos a una falla de la política monetaria que a los límites de la herramienta que tiene el Banco para combatir las presiones actuales.</t>
        </is>
      </c>
      <c r="I109" s="62" t="inlineStr">
        <is>
          <t>El problema es que, cuanto más tiempo permanezca alta la inflación, mayor será el riesgo de que hogares y empresas comiencen a verla como algo permanente.</t>
        </is>
      </c>
      <c r="J109" s="62" t="n"/>
      <c r="K109" s="62" t="n"/>
      <c r="L109" s="62" t="n"/>
      <c r="M109" s="62" t="n"/>
      <c r="N109" s="62" t="n"/>
      <c r="O109" s="62" t="n"/>
      <c r="P109" s="62" t="n"/>
      <c r="Q109" s="62" t="n"/>
      <c r="R109" s="62" t="n"/>
      <c r="S109" s="62" t="n"/>
      <c r="T109" s="62" t="n"/>
      <c r="U109" s="62" t="n"/>
      <c r="V109" s="62" t="n"/>
      <c r="W109" s="62" t="n"/>
      <c r="X109" s="62" t="n"/>
      <c r="Y109" s="62" t="n"/>
      <c r="Z109" s="62" t="n"/>
      <c r="AA109" s="62" t="n"/>
      <c r="AB109" s="62" t="n"/>
      <c r="AC109" s="62" t="n"/>
      <c r="AD109" s="62" t="n"/>
      <c r="AE109" s="62" t="n"/>
      <c r="AF109" s="61">
        <f>IF(COUNTIF($B$5:B109,B109)=1,1,0)</f>
        <v/>
      </c>
      <c r="AG109" s="62" t="inlineStr">
        <is>
          <t>https://www.eltiempo.com/economia/sectores/advierten-que-el-persistente-incumplimiento-del-objetivo-de-inflacion-afecta-la-confianza-en-la-meta-del-emisor-3584541</t>
        </is>
      </c>
    </row>
    <row r="110">
      <c r="A110" s="62" t="inlineStr">
        <is>
          <t>ART_097</t>
        </is>
      </c>
      <c r="B110" s="62" t="inlineStr">
        <is>
          <t>ART_097_S10</t>
        </is>
      </c>
      <c r="C110" s="62" t="inlineStr">
        <is>
          <t>El Tiempo</t>
        </is>
      </c>
      <c r="D110" s="62" t="inlineStr">
        <is>
          <t>Economía y negocios</t>
        </is>
      </c>
      <c r="E110" s="62" t="inlineStr">
        <is>
          <t>Noticia dura</t>
        </is>
      </c>
      <c r="F110" s="62" t="inlineStr">
        <is>
          <t>2026-09-09T00:01:00-05:00</t>
        </is>
      </c>
      <c r="G110" s="62" t="inlineStr">
        <is>
          <t>El problema es que, cuanto más tiempo permanezca alta la inflación, mayor será el riesgo de que hogares y empresas comiencen a verla como algo permanente.</t>
        </is>
      </c>
      <c r="H110" s="62" t="inlineStr">
        <is>
          <t>Alimentos, energía y clima están jugando en contra, mientras el elevado aumento del salario mínimo, el gasto público y el deterioro fiscal agregan presión.</t>
        </is>
      </c>
      <c r="I110" s="62" t="inlineStr">
        <is>
          <t>Munir Jalil, director de investigaciones económicas de BTG Pactual Colombia, descarta que el resultado de agosto pueda atribuirse a un Banco de la República que no esté haciendo su tarea.</t>
        </is>
      </c>
      <c r="J110" s="62" t="n"/>
      <c r="K110" s="62" t="n"/>
      <c r="L110" s="62" t="n"/>
      <c r="M110" s="62" t="n"/>
      <c r="N110" s="62" t="n"/>
      <c r="O110" s="62" t="n"/>
      <c r="P110" s="62" t="n"/>
      <c r="Q110" s="62" t="n"/>
      <c r="R110" s="62" t="n"/>
      <c r="S110" s="62" t="n"/>
      <c r="T110" s="62" t="n"/>
      <c r="U110" s="62" t="n"/>
      <c r="V110" s="62" t="n"/>
      <c r="W110" s="62" t="n"/>
      <c r="X110" s="62" t="n"/>
      <c r="Y110" s="62" t="n"/>
      <c r="Z110" s="62" t="n"/>
      <c r="AA110" s="62" t="n"/>
      <c r="AB110" s="62" t="n"/>
      <c r="AC110" s="62" t="n"/>
      <c r="AD110" s="62" t="n"/>
      <c r="AE110" s="62" t="n"/>
      <c r="AF110" s="61">
        <f>IF(COUNTIF($B$5:B110,B110)=1,1,0)</f>
        <v/>
      </c>
      <c r="AG110" s="62" t="inlineStr">
        <is>
          <t>https://www.eltiempo.com/economia/sectores/advierten-que-el-persistente-incumplimiento-del-objetivo-de-inflacion-afecta-la-confianza-en-la-meta-del-emisor-3584541</t>
        </is>
      </c>
    </row>
    <row r="111">
      <c r="A111" s="62" t="inlineStr">
        <is>
          <t>ART_097</t>
        </is>
      </c>
      <c r="B111" s="62" t="inlineStr">
        <is>
          <t>ART_097_S11</t>
        </is>
      </c>
      <c r="C111" s="62" t="inlineStr">
        <is>
          <t>El Tiempo</t>
        </is>
      </c>
      <c r="D111" s="62" t="inlineStr">
        <is>
          <t>Economía y negocios</t>
        </is>
      </c>
      <c r="E111" s="62" t="inlineStr">
        <is>
          <t>Noticia dura</t>
        </is>
      </c>
      <c r="F111" s="62" t="inlineStr">
        <is>
          <t>2026-09-09T00:01:00-05:00</t>
        </is>
      </c>
      <c r="G111" s="62" t="inlineStr">
        <is>
          <t>Munir Jalil, director de investigaciones económicas de BTG Pactual Colombia, descarta que el resultado de agosto pueda atribuirse a un Banco de la República que no esté haciendo su tarea.</t>
        </is>
      </c>
      <c r="H111" s="62" t="inlineStr">
        <is>
          <t>El problema es que, cuanto más tiempo permanezca alta la inflación, mayor será el riesgo de que hogares y empresas comiencen a verla como algo permanente.</t>
        </is>
      </c>
      <c r="I111" s="62" t="inlineStr">
        <is>
          <t>Sin embargo, reconoce que después de mantener una política restrictiva durante meses, un dato como este “sí levanta la pregunta de qué debe suceder para que la inflación baje”.</t>
        </is>
      </c>
      <c r="J111" s="62" t="n"/>
      <c r="K111" s="62" t="n"/>
      <c r="L111" s="62" t="n"/>
      <c r="M111" s="62" t="n"/>
      <c r="N111" s="62" t="n"/>
      <c r="O111" s="62" t="n"/>
      <c r="P111" s="62" t="n"/>
      <c r="Q111" s="62" t="n"/>
      <c r="R111" s="62" t="n"/>
      <c r="S111" s="62" t="n"/>
      <c r="T111" s="62" t="n"/>
      <c r="U111" s="62" t="n"/>
      <c r="V111" s="62" t="n"/>
      <c r="W111" s="62" t="n"/>
      <c r="X111" s="62" t="n"/>
      <c r="Y111" s="62" t="n"/>
      <c r="Z111" s="62" t="n"/>
      <c r="AA111" s="62" t="n"/>
      <c r="AB111" s="62" t="n"/>
      <c r="AC111" s="62" t="n"/>
      <c r="AD111" s="62" t="n"/>
      <c r="AE111" s="62" t="n"/>
      <c r="AF111" s="61">
        <f>IF(COUNTIF($B$5:B111,B111)=1,1,0)</f>
        <v/>
      </c>
      <c r="AG111" s="62" t="inlineStr">
        <is>
          <t>https://www.eltiempo.com/economia/sectores/advierten-que-el-persistente-incumplimiento-del-objetivo-de-inflacion-afecta-la-confianza-en-la-meta-del-emisor-3584541</t>
        </is>
      </c>
    </row>
    <row r="112">
      <c r="A112" s="62" t="inlineStr">
        <is>
          <t>ART_097</t>
        </is>
      </c>
      <c r="B112" s="62" t="inlineStr">
        <is>
          <t>ART_097_S12</t>
        </is>
      </c>
      <c r="C112" s="62" t="inlineStr">
        <is>
          <t>El Tiempo</t>
        </is>
      </c>
      <c r="D112" s="62" t="inlineStr">
        <is>
          <t>Economía y negocios</t>
        </is>
      </c>
      <c r="E112" s="62" t="inlineStr">
        <is>
          <t>Noticia dura</t>
        </is>
      </c>
      <c r="F112" s="62" t="inlineStr">
        <is>
          <t>2026-09-09T00:01:00-05:00</t>
        </is>
      </c>
      <c r="G112" s="62" t="inlineStr">
        <is>
          <t>Sin embargo, reconoce que después de mantener una política restrictiva durante meses, un dato como este “sí levanta la pregunta de qué debe suceder para que la inflación baje”.</t>
        </is>
      </c>
      <c r="H112" s="62" t="inlineStr">
        <is>
          <t>Munir Jalil, director de investigaciones económicas de BTG Pactual Colombia, descarta que el resultado de agosto pueda atribuirse a un Banco de la República que no esté haciendo su tarea.</t>
        </is>
      </c>
      <c r="I112" s="62" t="n"/>
      <c r="J112" s="62" t="n"/>
      <c r="K112" s="62" t="n"/>
      <c r="L112" s="62" t="n"/>
      <c r="M112" s="62" t="n"/>
      <c r="N112" s="62" t="n"/>
      <c r="O112" s="62" t="n"/>
      <c r="P112" s="62" t="n"/>
      <c r="Q112" s="62" t="n"/>
      <c r="R112" s="62" t="n"/>
      <c r="S112" s="62" t="n"/>
      <c r="T112" s="62" t="n"/>
      <c r="U112" s="62" t="n"/>
      <c r="V112" s="62" t="n"/>
      <c r="W112" s="62" t="n"/>
      <c r="X112" s="62" t="n"/>
      <c r="Y112" s="62" t="n"/>
      <c r="Z112" s="62" t="n"/>
      <c r="AA112" s="62" t="n"/>
      <c r="AB112" s="62" t="n"/>
      <c r="AC112" s="62" t="n"/>
      <c r="AD112" s="62" t="n"/>
      <c r="AE112" s="62" t="n"/>
      <c r="AF112" s="61">
        <f>IF(COUNTIF($B$5:B112,B112)=1,1,0)</f>
        <v/>
      </c>
      <c r="AG112" s="62" t="inlineStr">
        <is>
          <t>https://www.eltiempo.com/economia/sectores/advierten-que-el-persistente-incumplimiento-del-objetivo-de-inflacion-afecta-la-confianza-en-la-meta-del-emisor-3584541</t>
        </is>
      </c>
    </row>
    <row r="113">
      <c r="A113" s="62" t="inlineStr">
        <is>
          <t>ART_172</t>
        </is>
      </c>
      <c r="B113" s="62" t="inlineStr">
        <is>
          <t>ART_172_S01</t>
        </is>
      </c>
      <c r="C113" s="62" t="inlineStr">
        <is>
          <t>La Silla Vacía</t>
        </is>
      </c>
      <c r="D113" s="62" t="inlineStr">
        <is>
          <t>Economía y negocios</t>
        </is>
      </c>
      <c r="E113" s="62" t="inlineStr">
        <is>
          <t>Noticia dura</t>
        </is>
      </c>
      <c r="F113" s="62" t="inlineStr">
        <is>
          <t>Tue, 25 Aug 2026 23:52:59 +0000</t>
        </is>
      </c>
      <c r="G113" s="62" t="inlineStr">
        <is>
          <t>Circula en redes sociales que el gobierno del presidente Abelardo de la Espriella eliminó el pago de las horas extras de los vigilantes ( 1 , 2 , 3 , 4 , 5 , 6 , 7 ).</t>
        </is>
      </c>
      <c r="H113" s="62" t="n"/>
      <c r="I113" s="62" t="inlineStr">
        <is>
          <t>Pero eso es falso.</t>
        </is>
      </c>
      <c r="J113" s="62" t="n"/>
      <c r="K113" s="62" t="n"/>
      <c r="L113" s="62" t="n"/>
      <c r="M113" s="62" t="n"/>
      <c r="N113" s="62" t="n"/>
      <c r="O113" s="62" t="n"/>
      <c r="P113" s="62" t="n"/>
      <c r="Q113" s="62" t="n"/>
      <c r="R113" s="62" t="n"/>
      <c r="S113" s="62" t="n"/>
      <c r="T113" s="62" t="n"/>
      <c r="U113" s="62" t="n"/>
      <c r="V113" s="62" t="n"/>
      <c r="W113" s="62" t="n"/>
      <c r="X113" s="62" t="n"/>
      <c r="Y113" s="62" t="n"/>
      <c r="Z113" s="62" t="n"/>
      <c r="AA113" s="62" t="n"/>
      <c r="AB113" s="62" t="n"/>
      <c r="AC113" s="62" t="n"/>
      <c r="AD113" s="62" t="n"/>
      <c r="AE113" s="62" t="n"/>
      <c r="AF113" s="61">
        <f>IF(COUNTIF($B$5:B113,B113)=1,1,0)</f>
        <v/>
      </c>
      <c r="AG113" s="62" t="inlineStr">
        <is>
          <t>https://www.lasillavacia.com/detector-de-mentiras/falso/abelardo-no-elimino-extras-a-vigilantes-al-derogar-circular-del-mintrabajo/</t>
        </is>
      </c>
    </row>
    <row r="114">
      <c r="A114" s="62" t="inlineStr">
        <is>
          <t>ART_172</t>
        </is>
      </c>
      <c r="B114" s="62" t="inlineStr">
        <is>
          <t>ART_172_S02</t>
        </is>
      </c>
      <c r="C114" s="62" t="inlineStr">
        <is>
          <t>La Silla Vacía</t>
        </is>
      </c>
      <c r="D114" s="62" t="inlineStr">
        <is>
          <t>Economía y negocios</t>
        </is>
      </c>
      <c r="E114" s="62" t="inlineStr">
        <is>
          <t>Noticia dura</t>
        </is>
      </c>
      <c r="F114" s="62" t="inlineStr">
        <is>
          <t>Tue, 25 Aug 2026 23:52:59 +0000</t>
        </is>
      </c>
      <c r="G114" s="62" t="inlineStr">
        <is>
          <t>Pero eso es falso.</t>
        </is>
      </c>
      <c r="H114" s="62" t="inlineStr">
        <is>
          <t>Circula en redes sociales que el gobierno del presidente Abelardo de la Espriella eliminó el pago de las horas extras de los vigilantes ( 1 , 2 , 3 , 4 , 5 , 6 , 7 ).</t>
        </is>
      </c>
      <c r="I114" s="62" t="inlineStr">
        <is>
          <t>El gobierno derogó una circular del Ministerio del Trabajo que daba orientaciones sobre la jornada y las horas extras en el sector de vigilancia.</t>
        </is>
      </c>
      <c r="J114" s="62" t="n"/>
      <c r="K114" s="62" t="n"/>
      <c r="L114" s="62" t="n"/>
      <c r="M114" s="62" t="n"/>
      <c r="N114" s="62" t="n"/>
      <c r="O114" s="62" t="n"/>
      <c r="P114" s="62" t="n"/>
      <c r="Q114" s="62" t="n"/>
      <c r="R114" s="62" t="n"/>
      <c r="S114" s="62" t="n"/>
      <c r="T114" s="62" t="n"/>
      <c r="U114" s="62" t="n"/>
      <c r="V114" s="62" t="n"/>
      <c r="W114" s="62" t="n"/>
      <c r="X114" s="62" t="n"/>
      <c r="Y114" s="62" t="n"/>
      <c r="Z114" s="62" t="n"/>
      <c r="AA114" s="62" t="n"/>
      <c r="AB114" s="62" t="n"/>
      <c r="AC114" s="62" t="n"/>
      <c r="AD114" s="62" t="n"/>
      <c r="AE114" s="62" t="n"/>
      <c r="AF114" s="61">
        <f>IF(COUNTIF($B$5:B114,B114)=1,1,0)</f>
        <v/>
      </c>
      <c r="AG114" s="62" t="inlineStr">
        <is>
          <t>https://www.lasillavacia.com/detector-de-mentiras/falso/abelardo-no-elimino-extras-a-vigilantes-al-derogar-circular-del-mintrabajo/</t>
        </is>
      </c>
    </row>
    <row r="115">
      <c r="A115" s="62" t="inlineStr">
        <is>
          <t>ART_172</t>
        </is>
      </c>
      <c r="B115" s="62" t="inlineStr">
        <is>
          <t>ART_172_S03</t>
        </is>
      </c>
      <c r="C115" s="62" t="inlineStr">
        <is>
          <t>La Silla Vacía</t>
        </is>
      </c>
      <c r="D115" s="62" t="inlineStr">
        <is>
          <t>Economía y negocios</t>
        </is>
      </c>
      <c r="E115" s="62" t="inlineStr">
        <is>
          <t>Noticia dura</t>
        </is>
      </c>
      <c r="F115" s="62" t="inlineStr">
        <is>
          <t>Tue, 25 Aug 2026 23:52:59 +0000</t>
        </is>
      </c>
      <c r="G115" s="62" t="inlineStr">
        <is>
          <t>El gobierno derogó una circular del Ministerio del Trabajo que daba orientaciones sobre la jornada y las horas extras en el sector de vigilancia.</t>
        </is>
      </c>
      <c r="H115" s="62" t="inlineStr">
        <is>
          <t>Pero eso es falso.</t>
        </is>
      </c>
      <c r="I115" s="62" t="inlineStr">
        <is>
          <t>Pero esa decisión no elimina el derecho al pago del trabajo suplementario, ni de los recargos nocturnos, dominicales y festivos, que siguen vigentes por ley para ese sector.</t>
        </is>
      </c>
      <c r="J115" s="62" t="n"/>
      <c r="K115" s="62" t="n"/>
      <c r="L115" s="62" t="n"/>
      <c r="M115" s="62" t="n"/>
      <c r="N115" s="62" t="n"/>
      <c r="O115" s="62" t="n"/>
      <c r="P115" s="62" t="n"/>
      <c r="Q115" s="62" t="n"/>
      <c r="R115" s="62" t="n"/>
      <c r="S115" s="62" t="n"/>
      <c r="T115" s="62" t="n"/>
      <c r="U115" s="62" t="n"/>
      <c r="V115" s="62" t="n"/>
      <c r="W115" s="62" t="n"/>
      <c r="X115" s="62" t="n"/>
      <c r="Y115" s="62" t="n"/>
      <c r="Z115" s="62" t="n"/>
      <c r="AA115" s="62" t="n"/>
      <c r="AB115" s="62" t="n"/>
      <c r="AC115" s="62" t="n"/>
      <c r="AD115" s="62" t="n"/>
      <c r="AE115" s="62" t="n"/>
      <c r="AF115" s="61">
        <f>IF(COUNTIF($B$5:B115,B115)=1,1,0)</f>
        <v/>
      </c>
      <c r="AG115" s="62" t="inlineStr">
        <is>
          <t>https://www.lasillavacia.com/detector-de-mentiras/falso/abelardo-no-elimino-extras-a-vigilantes-al-derogar-circular-del-mintrabajo/</t>
        </is>
      </c>
    </row>
    <row r="116">
      <c r="A116" s="62" t="inlineStr">
        <is>
          <t>ART_172</t>
        </is>
      </c>
      <c r="B116" s="62" t="inlineStr">
        <is>
          <t>ART_172_S04</t>
        </is>
      </c>
      <c r="C116" s="62" t="inlineStr">
        <is>
          <t>La Silla Vacía</t>
        </is>
      </c>
      <c r="D116" s="62" t="inlineStr">
        <is>
          <t>Economía y negocios</t>
        </is>
      </c>
      <c r="E116" s="62" t="inlineStr">
        <is>
          <t>Noticia dura</t>
        </is>
      </c>
      <c r="F116" s="62" t="inlineStr">
        <is>
          <t>Tue, 25 Aug 2026 23:52:59 +0000</t>
        </is>
      </c>
      <c r="G116" s="62" t="inlineStr">
        <is>
          <t>Pero esa decisión no elimina el derecho al pago del trabajo suplementario, ni de los recargos nocturnos, dominicales y festivos, que siguen vigentes por ley para ese sector.</t>
        </is>
      </c>
      <c r="H116" s="62" t="inlineStr">
        <is>
          <t>El gobierno derogó una circular del Ministerio del Trabajo que daba orientaciones sobre la jornada y las horas extras en el sector de vigilancia.</t>
        </is>
      </c>
      <c r="I116" s="62" t="inlineStr">
        <is>
          <t>Una circular es un documento administrativo de menor rango que da lineamientos pero en ningún caso modifica, cambia o deroga una ley aprobada por el Congreso.</t>
        </is>
      </c>
      <c r="J116" s="62" t="n"/>
      <c r="K116" s="62" t="n"/>
      <c r="L116" s="62" t="n"/>
      <c r="M116" s="62" t="n"/>
      <c r="N116" s="62" t="n"/>
      <c r="O116" s="62" t="n"/>
      <c r="P116" s="62" t="n"/>
      <c r="Q116" s="62" t="n"/>
      <c r="R116" s="62" t="n"/>
      <c r="S116" s="62" t="n"/>
      <c r="T116" s="62" t="n"/>
      <c r="U116" s="62" t="n"/>
      <c r="V116" s="62" t="n"/>
      <c r="W116" s="62" t="n"/>
      <c r="X116" s="62" t="n"/>
      <c r="Y116" s="62" t="n"/>
      <c r="Z116" s="62" t="n"/>
      <c r="AA116" s="62" t="n"/>
      <c r="AB116" s="62" t="n"/>
      <c r="AC116" s="62" t="n"/>
      <c r="AD116" s="62" t="n"/>
      <c r="AE116" s="62" t="n"/>
      <c r="AF116" s="61">
        <f>IF(COUNTIF($B$5:B116,B116)=1,1,0)</f>
        <v/>
      </c>
      <c r="AG116" s="62" t="inlineStr">
        <is>
          <t>https://www.lasillavacia.com/detector-de-mentiras/falso/abelardo-no-elimino-extras-a-vigilantes-al-derogar-circular-del-mintrabajo/</t>
        </is>
      </c>
    </row>
    <row r="117">
      <c r="A117" s="62" t="inlineStr">
        <is>
          <t>ART_172</t>
        </is>
      </c>
      <c r="B117" s="62" t="inlineStr">
        <is>
          <t>ART_172_S05</t>
        </is>
      </c>
      <c r="C117" s="62" t="inlineStr">
        <is>
          <t>La Silla Vacía</t>
        </is>
      </c>
      <c r="D117" s="62" t="inlineStr">
        <is>
          <t>Economía y negocios</t>
        </is>
      </c>
      <c r="E117" s="62" t="inlineStr">
        <is>
          <t>Noticia dura</t>
        </is>
      </c>
      <c r="F117" s="62" t="inlineStr">
        <is>
          <t>Tue, 25 Aug 2026 23:52:59 +0000</t>
        </is>
      </c>
      <c r="G117" s="62" t="inlineStr">
        <is>
          <t>Una circular es un documento administrativo de menor rango que da lineamientos pero en ningún caso modifica, cambia o deroga una ley aprobada por el Congreso.</t>
        </is>
      </c>
      <c r="H117" s="62" t="inlineStr">
        <is>
          <t>Pero esa decisión no elimina el derecho al pago del trabajo suplementario, ni de los recargos nocturnos, dominicales y festivos, que siguen vigentes por ley para ese sector.</t>
        </is>
      </c>
      <c r="I117" s="62" t="inlineStr">
        <is>
          <t>El Detector de Mentiras encontró que el 20 de agosto el Ministerio del Trabajo expidió la Resolución 2708 de 2026, que dejó sin efectos 11 circulares expedidas durante el gobierno de Gustavo Petro.</t>
        </is>
      </c>
      <c r="J117" s="62" t="n"/>
      <c r="K117" s="62" t="n"/>
      <c r="L117" s="62" t="n"/>
      <c r="M117" s="62" t="n"/>
      <c r="N117" s="62" t="n"/>
      <c r="O117" s="62" t="n"/>
      <c r="P117" s="62" t="n"/>
      <c r="Q117" s="62" t="n"/>
      <c r="R117" s="62" t="n"/>
      <c r="S117" s="62" t="n"/>
      <c r="T117" s="62" t="n"/>
      <c r="U117" s="62" t="n"/>
      <c r="V117" s="62" t="n"/>
      <c r="W117" s="62" t="n"/>
      <c r="X117" s="62" t="n"/>
      <c r="Y117" s="62" t="n"/>
      <c r="Z117" s="62" t="n"/>
      <c r="AA117" s="62" t="n"/>
      <c r="AB117" s="62" t="n"/>
      <c r="AC117" s="62" t="n"/>
      <c r="AD117" s="62" t="n"/>
      <c r="AE117" s="62" t="n"/>
      <c r="AF117" s="61">
        <f>IF(COUNTIF($B$5:B117,B117)=1,1,0)</f>
        <v/>
      </c>
      <c r="AG117" s="62" t="inlineStr">
        <is>
          <t>https://www.lasillavacia.com/detector-de-mentiras/falso/abelardo-no-elimino-extras-a-vigilantes-al-derogar-circular-del-mintrabajo/</t>
        </is>
      </c>
    </row>
    <row r="118">
      <c r="A118" s="62" t="inlineStr">
        <is>
          <t>ART_172</t>
        </is>
      </c>
      <c r="B118" s="62" t="inlineStr">
        <is>
          <t>ART_172_S06</t>
        </is>
      </c>
      <c r="C118" s="62" t="inlineStr">
        <is>
          <t>La Silla Vacía</t>
        </is>
      </c>
      <c r="D118" s="62" t="inlineStr">
        <is>
          <t>Economía y negocios</t>
        </is>
      </c>
      <c r="E118" s="62" t="inlineStr">
        <is>
          <t>Noticia dura</t>
        </is>
      </c>
      <c r="F118" s="62" t="inlineStr">
        <is>
          <t>Tue, 25 Aug 2026 23:52:59 +0000</t>
        </is>
      </c>
      <c r="G118" s="62" t="inlineStr">
        <is>
          <t>El Detector de Mentiras encontró que el 20 de agosto el Ministerio del Trabajo expidió la Resolución 2708 de 2026, que dejó sin efectos 11 circulares expedidas durante el gobierno de Gustavo Petro.</t>
        </is>
      </c>
      <c r="H118" s="62" t="inlineStr">
        <is>
          <t>Una circular es un documento administrativo de menor rango que da lineamientos pero en ningún caso modifica, cambia o deroga una ley aprobada por el Congreso.</t>
        </is>
      </c>
      <c r="I118" s="62" t="n"/>
      <c r="J118" s="62" t="n"/>
      <c r="K118" s="62" t="n"/>
      <c r="L118" s="62" t="n"/>
      <c r="M118" s="62" t="n"/>
      <c r="N118" s="62" t="n"/>
      <c r="O118" s="62" t="n"/>
      <c r="P118" s="62" t="n"/>
      <c r="Q118" s="62" t="n"/>
      <c r="R118" s="62" t="n"/>
      <c r="S118" s="62" t="n"/>
      <c r="T118" s="62" t="n"/>
      <c r="U118" s="62" t="n"/>
      <c r="V118" s="62" t="n"/>
      <c r="W118" s="62" t="n"/>
      <c r="X118" s="62" t="n"/>
      <c r="Y118" s="62" t="n"/>
      <c r="Z118" s="62" t="n"/>
      <c r="AA118" s="62" t="n"/>
      <c r="AB118" s="62" t="n"/>
      <c r="AC118" s="62" t="n"/>
      <c r="AD118" s="62" t="n"/>
      <c r="AE118" s="62" t="n"/>
      <c r="AF118" s="61">
        <f>IF(COUNTIF($B$5:B118,B118)=1,1,0)</f>
        <v/>
      </c>
      <c r="AG118" s="62" t="inlineStr">
        <is>
          <t>https://www.lasillavacia.com/detector-de-mentiras/falso/abelardo-no-elimino-extras-a-vigilantes-al-derogar-circular-del-mintrabajo/</t>
        </is>
      </c>
    </row>
    <row r="119">
      <c r="A119" s="62" t="inlineStr">
        <is>
          <t>ART_180</t>
        </is>
      </c>
      <c r="B119" s="62" t="inlineStr">
        <is>
          <t>ART_180_S01</t>
        </is>
      </c>
      <c r="C119" s="62" t="inlineStr">
        <is>
          <t>La Silla Vacía</t>
        </is>
      </c>
      <c r="D119" s="62" t="inlineStr">
        <is>
          <t>Economía y negocios</t>
        </is>
      </c>
      <c r="E119" s="62" t="inlineStr">
        <is>
          <t>Opinión-análisis</t>
        </is>
      </c>
      <c r="F119" s="62" t="inlineStr">
        <is>
          <t>Sun, 28 Dec 2025 15:45:53 +0000</t>
        </is>
      </c>
      <c r="G119" s="62" t="inlineStr">
        <is>
          <t>Desde un punto de vista del largo plazo, la discusión sobre el incremento del salario mínimo en Colombia para el año 2026 va más allá de la habitual negociación tripartita de fin de año y debe ser comprendida en el centro de un debate más profundo sobre el modelo de acumulación y desarrollo del país.</t>
        </is>
      </c>
      <c r="H119" s="62" t="n"/>
      <c r="I119" s="62"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J119" s="62" t="n"/>
      <c r="K119" s="62" t="n"/>
      <c r="L119" s="62" t="n"/>
      <c r="M119" s="62" t="n"/>
      <c r="N119" s="62" t="n"/>
      <c r="O119" s="62" t="n"/>
      <c r="P119" s="62" t="n"/>
      <c r="Q119" s="62" t="n"/>
      <c r="R119" s="62" t="n"/>
      <c r="S119" s="62" t="n"/>
      <c r="T119" s="62" t="n"/>
      <c r="U119" s="62" t="n"/>
      <c r="V119" s="62" t="n"/>
      <c r="W119" s="62" t="n"/>
      <c r="X119" s="62" t="n"/>
      <c r="Y119" s="62" t="n"/>
      <c r="Z119" s="62" t="n"/>
      <c r="AA119" s="62" t="n"/>
      <c r="AB119" s="62" t="n"/>
      <c r="AC119" s="62" t="n"/>
      <c r="AD119" s="62" t="n"/>
      <c r="AE119" s="62" t="n"/>
      <c r="AF119" s="61">
        <f>IF(COUNTIF($B$5:B119,B119)=1,1,0)</f>
        <v/>
      </c>
      <c r="AG119" s="62" t="inlineStr">
        <is>
          <t>https://www.lasillavacia.com/red-de-expertos/red-social/el-salario-minimo-para-2026-y-el-giro-del-modelo-economico-en-colombia/</t>
        </is>
      </c>
    </row>
    <row r="120">
      <c r="A120" s="62" t="inlineStr">
        <is>
          <t>ART_180</t>
        </is>
      </c>
      <c r="B120" s="62" t="inlineStr">
        <is>
          <t>ART_180_S02</t>
        </is>
      </c>
      <c r="C120" s="62" t="inlineStr">
        <is>
          <t>La Silla Vacía</t>
        </is>
      </c>
      <c r="D120" s="62" t="inlineStr">
        <is>
          <t>Economía y negocios</t>
        </is>
      </c>
      <c r="E120" s="62" t="inlineStr">
        <is>
          <t>Opinión-análisis</t>
        </is>
      </c>
      <c r="F120" s="62" t="inlineStr">
        <is>
          <t>Sun, 28 Dec 2025 15:45:53 +0000</t>
        </is>
      </c>
      <c r="G120" s="62"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H120" s="62" t="inlineStr">
        <is>
          <t>Desde un punto de vista del largo plazo, la discusión sobre el incremento del salario mínimo en Colombia para el año 2026 va más allá de la habitual negociación tripartita de fin de año y debe ser comprendida en el centro de un debate más profundo sobre el modelo de acumulación y desarrollo del país.</t>
        </is>
      </c>
      <c r="I120" s="62" t="inlineStr">
        <is>
          <t>Además, una medida que, correctamente acompañada y siendo parte de una estrategia productiva, debe ser coherente con un nuevo modelo de crecimiento y desarrollo en el que el trabajo y la demanda interna son más relevantes.</t>
        </is>
      </c>
      <c r="J120" s="62" t="n"/>
      <c r="K120" s="62" t="n"/>
      <c r="L120" s="62" t="n"/>
      <c r="M120" s="62" t="n"/>
      <c r="N120" s="62" t="n"/>
      <c r="O120" s="62" t="n"/>
      <c r="P120" s="62" t="n"/>
      <c r="Q120" s="62" t="n"/>
      <c r="R120" s="62" t="n"/>
      <c r="S120" s="62" t="n"/>
      <c r="T120" s="62" t="n"/>
      <c r="U120" s="62" t="n"/>
      <c r="V120" s="62" t="n"/>
      <c r="W120" s="62" t="n"/>
      <c r="X120" s="62" t="n"/>
      <c r="Y120" s="62" t="n"/>
      <c r="Z120" s="62" t="n"/>
      <c r="AA120" s="62" t="n"/>
      <c r="AB120" s="62" t="n"/>
      <c r="AC120" s="62" t="n"/>
      <c r="AD120" s="62" t="n"/>
      <c r="AE120" s="62" t="n"/>
      <c r="AF120" s="61">
        <f>IF(COUNTIF($B$5:B120,B120)=1,1,0)</f>
        <v/>
      </c>
      <c r="AG120" s="62" t="inlineStr">
        <is>
          <t>https://www.lasillavacia.com/red-de-expertos/red-social/el-salario-minimo-para-2026-y-el-giro-del-modelo-economico-en-colombia/</t>
        </is>
      </c>
    </row>
    <row r="121">
      <c r="A121" s="62" t="inlineStr">
        <is>
          <t>ART_180</t>
        </is>
      </c>
      <c r="B121" s="62" t="inlineStr">
        <is>
          <t>ART_180_S03</t>
        </is>
      </c>
      <c r="C121" s="62" t="inlineStr">
        <is>
          <t>La Silla Vacía</t>
        </is>
      </c>
      <c r="D121" s="62" t="inlineStr">
        <is>
          <t>Economía y negocios</t>
        </is>
      </c>
      <c r="E121" s="62" t="inlineStr">
        <is>
          <t>Opinión-análisis</t>
        </is>
      </c>
      <c r="F121" s="62" t="inlineStr">
        <is>
          <t>Sun, 28 Dec 2025 15:45:53 +0000</t>
        </is>
      </c>
      <c r="G121" s="62" t="inlineStr">
        <is>
          <t>Además, una medida que, correctamente acompañada y siendo parte de una estrategia productiva, debe ser coherente con un nuevo modelo de crecimiento y desarrollo en el que el trabajo y la demanda interna son más relevantes.</t>
        </is>
      </c>
      <c r="H121" s="62"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I121" s="62" t="inlineStr">
        <is>
          <t>Con la postura del gobierno, anticipando un incremento de dos dígitos que se aproxime a lo que la OIT denomina salario vital se han vuelto a hacer presentes las predicciones apocalípticas sobre los efectos adversos de la medida.</t>
        </is>
      </c>
      <c r="J121" s="62" t="n"/>
      <c r="K121" s="62" t="n"/>
      <c r="L121" s="62" t="n"/>
      <c r="M121" s="62" t="n"/>
      <c r="N121" s="62" t="n"/>
      <c r="O121" s="62" t="n"/>
      <c r="P121" s="62" t="n"/>
      <c r="Q121" s="62" t="n"/>
      <c r="R121" s="62" t="n"/>
      <c r="S121" s="62" t="n"/>
      <c r="T121" s="62" t="n"/>
      <c r="U121" s="62" t="n"/>
      <c r="V121" s="62" t="n"/>
      <c r="W121" s="62" t="n"/>
      <c r="X121" s="62" t="n"/>
      <c r="Y121" s="62" t="n"/>
      <c r="Z121" s="62" t="n"/>
      <c r="AA121" s="62" t="n"/>
      <c r="AB121" s="62" t="n"/>
      <c r="AC121" s="62" t="n"/>
      <c r="AD121" s="62" t="n"/>
      <c r="AE121" s="62" t="n"/>
      <c r="AF121" s="61">
        <f>IF(COUNTIF($B$5:B121,B121)=1,1,0)</f>
        <v/>
      </c>
      <c r="AG121" s="62" t="inlineStr">
        <is>
          <t>https://www.lasillavacia.com/red-de-expertos/red-social/el-salario-minimo-para-2026-y-el-giro-del-modelo-economico-en-colombia/</t>
        </is>
      </c>
    </row>
    <row r="122">
      <c r="A122" s="62" t="inlineStr">
        <is>
          <t>ART_180</t>
        </is>
      </c>
      <c r="B122" s="62" t="inlineStr">
        <is>
          <t>ART_180_S04</t>
        </is>
      </c>
      <c r="C122" s="62" t="inlineStr">
        <is>
          <t>La Silla Vacía</t>
        </is>
      </c>
      <c r="D122" s="62" t="inlineStr">
        <is>
          <t>Economía y negocios</t>
        </is>
      </c>
      <c r="E122" s="62" t="inlineStr">
        <is>
          <t>Opinión-análisis</t>
        </is>
      </c>
      <c r="F122" s="62" t="inlineStr">
        <is>
          <t>Sun, 28 Dec 2025 15:45:53 +0000</t>
        </is>
      </c>
      <c r="G122" s="62" t="inlineStr">
        <is>
          <t>Con la postura del gobierno, anticipando un incremento de dos dígitos que se aproxime a lo que la OIT denomina salario vital se han vuelto a hacer presentes las predicciones apocalípticas sobre los efectos adversos de la medida.</t>
        </is>
      </c>
      <c r="H122" s="62" t="inlineStr">
        <is>
          <t>Además, una medida que, correctamente acompañada y siendo parte de una estrategia productiva, debe ser coherente con un nuevo modelo de crecimiento y desarrollo en el que el trabajo y la demanda interna son más relevantes.</t>
        </is>
      </c>
      <c r="I122" s="62" t="inlineStr">
        <is>
          <t>Estas predicciones que habían acompañado los aumentos del salario mínimo en 2023 y 2024 — augurando la pérdida masiva de empleo, inflación desbordada y migración a la informalidad— no se materializaron.</t>
        </is>
      </c>
      <c r="J122" s="62" t="n"/>
      <c r="K122" s="62" t="n"/>
      <c r="L122" s="62" t="n"/>
      <c r="M122" s="62" t="n"/>
      <c r="N122" s="62" t="n"/>
      <c r="O122" s="62" t="n"/>
      <c r="P122" s="62" t="n"/>
      <c r="Q122" s="62" t="n"/>
      <c r="R122" s="62" t="n"/>
      <c r="S122" s="62" t="n"/>
      <c r="T122" s="62" t="n"/>
      <c r="U122" s="62" t="n"/>
      <c r="V122" s="62" t="n"/>
      <c r="W122" s="62" t="n"/>
      <c r="X122" s="62" t="n"/>
      <c r="Y122" s="62" t="n"/>
      <c r="Z122" s="62" t="n"/>
      <c r="AA122" s="62" t="n"/>
      <c r="AB122" s="62" t="n"/>
      <c r="AC122" s="62" t="n"/>
      <c r="AD122" s="62" t="n"/>
      <c r="AE122" s="62" t="n"/>
      <c r="AF122" s="61">
        <f>IF(COUNTIF($B$5:B122,B122)=1,1,0)</f>
        <v/>
      </c>
      <c r="AG122" s="62" t="inlineStr">
        <is>
          <t>https://www.lasillavacia.com/red-de-expertos/red-social/el-salario-minimo-para-2026-y-el-giro-del-modelo-economico-en-colombia/</t>
        </is>
      </c>
    </row>
    <row r="123">
      <c r="A123" s="62" t="inlineStr">
        <is>
          <t>ART_180</t>
        </is>
      </c>
      <c r="B123" s="62" t="inlineStr">
        <is>
          <t>ART_180_S05</t>
        </is>
      </c>
      <c r="C123" s="62" t="inlineStr">
        <is>
          <t>La Silla Vacía</t>
        </is>
      </c>
      <c r="D123" s="62" t="inlineStr">
        <is>
          <t>Economía y negocios</t>
        </is>
      </c>
      <c r="E123" s="62" t="inlineStr">
        <is>
          <t>Opinión-análisis</t>
        </is>
      </c>
      <c r="F123" s="62" t="inlineStr">
        <is>
          <t>Sun, 28 Dec 2025 15:45:53 +0000</t>
        </is>
      </c>
      <c r="G123" s="62" t="inlineStr">
        <is>
          <t>Estas predicciones que habían acompañado los aumentos del salario mínimo en 2023 y 2024 — augurando la pérdida masiva de empleo, inflación desbordada y migración a la informalidad— no se materializaron.</t>
        </is>
      </c>
      <c r="H123" s="62" t="inlineStr">
        <is>
          <t>Con la postura del gobierno, anticipando un incremento de dos dígitos que se aproxime a lo que la OIT denomina salario vital se han vuelto a hacer presentes las predicciones apocalípticas sobre los efectos adversos de la medida.</t>
        </is>
      </c>
      <c r="I123" s="62"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J123" s="62" t="n"/>
      <c r="K123" s="62" t="n"/>
      <c r="L123" s="62" t="n"/>
      <c r="M123" s="62" t="n"/>
      <c r="N123" s="62" t="n"/>
      <c r="O123" s="62" t="n"/>
      <c r="P123" s="62" t="n"/>
      <c r="Q123" s="62" t="n"/>
      <c r="R123" s="62" t="n"/>
      <c r="S123" s="62" t="n"/>
      <c r="T123" s="62" t="n"/>
      <c r="U123" s="62" t="n"/>
      <c r="V123" s="62" t="n"/>
      <c r="W123" s="62" t="n"/>
      <c r="X123" s="62" t="n"/>
      <c r="Y123" s="62" t="n"/>
      <c r="Z123" s="62" t="n"/>
      <c r="AA123" s="62" t="n"/>
      <c r="AB123" s="62" t="n"/>
      <c r="AC123" s="62" t="n"/>
      <c r="AD123" s="62" t="n"/>
      <c r="AE123" s="62" t="n"/>
      <c r="AF123" s="61">
        <f>IF(COUNTIF($B$5:B123,B123)=1,1,0)</f>
        <v/>
      </c>
      <c r="AG123" s="62" t="inlineStr">
        <is>
          <t>https://www.lasillavacia.com/red-de-expertos/red-social/el-salario-minimo-para-2026-y-el-giro-del-modelo-economico-en-colombia/</t>
        </is>
      </c>
    </row>
    <row r="124">
      <c r="A124" s="62" t="inlineStr">
        <is>
          <t>ART_180</t>
        </is>
      </c>
      <c r="B124" s="62" t="inlineStr">
        <is>
          <t>ART_180_S06</t>
        </is>
      </c>
      <c r="C124" s="62" t="inlineStr">
        <is>
          <t>La Silla Vacía</t>
        </is>
      </c>
      <c r="D124" s="62" t="inlineStr">
        <is>
          <t>Economía y negocios</t>
        </is>
      </c>
      <c r="E124" s="62" t="inlineStr">
        <is>
          <t>Opinión-análisis</t>
        </is>
      </c>
      <c r="F124" s="62" t="inlineStr">
        <is>
          <t>Sun, 28 Dec 2025 15:45:53 +0000</t>
        </is>
      </c>
      <c r="G124" s="62"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H124" s="62" t="inlineStr">
        <is>
          <t>Estas predicciones que habían acompañado los aumentos del salario mínimo en 2023 y 2024 — augurando la pérdida masiva de empleo, inflación desbordada y migración a la informalidad— no se materializaron.</t>
        </is>
      </c>
      <c r="I124" s="62" t="inlineStr">
        <is>
          <t>Este comportamiento de las variables macroeconómicas desmonta el argumento de que subir salarios es “populista” o “irresponsable”.</t>
        </is>
      </c>
      <c r="J124" s="62" t="n"/>
      <c r="K124" s="62" t="n"/>
      <c r="L124" s="62" t="n"/>
      <c r="M124" s="62" t="n"/>
      <c r="N124" s="62" t="n"/>
      <c r="O124" s="62" t="n"/>
      <c r="P124" s="62" t="n"/>
      <c r="Q124" s="62" t="n"/>
      <c r="R124" s="62" t="n"/>
      <c r="S124" s="62" t="n"/>
      <c r="T124" s="62" t="n"/>
      <c r="U124" s="62" t="n"/>
      <c r="V124" s="62" t="n"/>
      <c r="W124" s="62" t="n"/>
      <c r="X124" s="62" t="n"/>
      <c r="Y124" s="62" t="n"/>
      <c r="Z124" s="62" t="n"/>
      <c r="AA124" s="62" t="n"/>
      <c r="AB124" s="62" t="n"/>
      <c r="AC124" s="62" t="n"/>
      <c r="AD124" s="62" t="n"/>
      <c r="AE124" s="62" t="n"/>
      <c r="AF124" s="61">
        <f>IF(COUNTIF($B$5:B124,B124)=1,1,0)</f>
        <v/>
      </c>
      <c r="AG124" s="62" t="inlineStr">
        <is>
          <t>https://www.lasillavacia.com/red-de-expertos/red-social/el-salario-minimo-para-2026-y-el-giro-del-modelo-economico-en-colombia/</t>
        </is>
      </c>
    </row>
    <row r="125">
      <c r="A125" s="62" t="inlineStr">
        <is>
          <t>ART_180</t>
        </is>
      </c>
      <c r="B125" s="62" t="inlineStr">
        <is>
          <t>ART_180_S07</t>
        </is>
      </c>
      <c r="C125" s="62" t="inlineStr">
        <is>
          <t>La Silla Vacía</t>
        </is>
      </c>
      <c r="D125" s="62" t="inlineStr">
        <is>
          <t>Economía y negocios</t>
        </is>
      </c>
      <c r="E125" s="62" t="inlineStr">
        <is>
          <t>Opinión-análisis</t>
        </is>
      </c>
      <c r="F125" s="62" t="inlineStr">
        <is>
          <t>Sun, 28 Dec 2025 15:45:53 +0000</t>
        </is>
      </c>
      <c r="G125" s="62" t="inlineStr">
        <is>
          <t>Este comportamiento de las variables macroeconómicas desmonta el argumento de que subir salarios es “populista” o “irresponsable”.</t>
        </is>
      </c>
      <c r="H125" s="62"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I125" s="62" t="inlineStr">
        <is>
          <t>Sin embargo, si nos lleva a una discusión más profunda, pues sugiere que la demanda interna deprimida puede responder al estímulo salarial.</t>
        </is>
      </c>
      <c r="J125" s="62" t="n"/>
      <c r="K125" s="62" t="n"/>
      <c r="L125" s="62" t="n"/>
      <c r="M125" s="62" t="n"/>
      <c r="N125" s="62" t="n"/>
      <c r="O125" s="62" t="n"/>
      <c r="P125" s="62" t="n"/>
      <c r="Q125" s="62" t="n"/>
      <c r="R125" s="62" t="n"/>
      <c r="S125" s="62" t="n"/>
      <c r="T125" s="62" t="n"/>
      <c r="U125" s="62" t="n"/>
      <c r="V125" s="62" t="n"/>
      <c r="W125" s="62" t="n"/>
      <c r="X125" s="62" t="n"/>
      <c r="Y125" s="62" t="n"/>
      <c r="Z125" s="62" t="n"/>
      <c r="AA125" s="62" t="n"/>
      <c r="AB125" s="62" t="n"/>
      <c r="AC125" s="62" t="n"/>
      <c r="AD125" s="62" t="n"/>
      <c r="AE125" s="62" t="n"/>
      <c r="AF125" s="61">
        <f>IF(COUNTIF($B$5:B125,B125)=1,1,0)</f>
        <v/>
      </c>
      <c r="AG125" s="62" t="inlineStr">
        <is>
          <t>https://www.lasillavacia.com/red-de-expertos/red-social/el-salario-minimo-para-2026-y-el-giro-del-modelo-economico-en-colombia/</t>
        </is>
      </c>
    </row>
    <row r="126">
      <c r="A126" s="62" t="inlineStr">
        <is>
          <t>ART_180</t>
        </is>
      </c>
      <c r="B126" s="62" t="inlineStr">
        <is>
          <t>ART_180_S08</t>
        </is>
      </c>
      <c r="C126" s="62" t="inlineStr">
        <is>
          <t>La Silla Vacía</t>
        </is>
      </c>
      <c r="D126" s="62" t="inlineStr">
        <is>
          <t>Economía y negocios</t>
        </is>
      </c>
      <c r="E126" s="62" t="inlineStr">
        <is>
          <t>Opinión-análisis</t>
        </is>
      </c>
      <c r="F126" s="62" t="inlineStr">
        <is>
          <t>Sun, 28 Dec 2025 15:45:53 +0000</t>
        </is>
      </c>
      <c r="G126" s="62" t="inlineStr">
        <is>
          <t>Sin embargo, si nos lleva a una discusión más profunda, pues sugiere que la demanda interna deprimida puede responder al estímulo salarial.</t>
        </is>
      </c>
      <c r="H126" s="62" t="inlineStr">
        <is>
          <t>Este comportamiento de las variables macroeconómicas desmonta el argumento de que subir salarios es “populista” o “irresponsable”.</t>
        </is>
      </c>
      <c r="I126" s="62" t="inlineStr">
        <is>
          <t>Un primer argumento teórico en torno a los mecanismos de fortalecimiento de la participación de los trabajadores en el ingreso nacional descansa en las tesis del crecimiento impulsado por la demanda.</t>
        </is>
      </c>
      <c r="J126" s="62" t="n"/>
      <c r="K126" s="62" t="n"/>
      <c r="L126" s="62" t="n"/>
      <c r="M126" s="62" t="n"/>
      <c r="N126" s="62" t="n"/>
      <c r="O126" s="62" t="n"/>
      <c r="P126" s="62" t="n"/>
      <c r="Q126" s="62" t="n"/>
      <c r="R126" s="62" t="n"/>
      <c r="S126" s="62" t="n"/>
      <c r="T126" s="62" t="n"/>
      <c r="U126" s="62" t="n"/>
      <c r="V126" s="62" t="n"/>
      <c r="W126" s="62" t="n"/>
      <c r="X126" s="62" t="n"/>
      <c r="Y126" s="62" t="n"/>
      <c r="Z126" s="62" t="n"/>
      <c r="AA126" s="62" t="n"/>
      <c r="AB126" s="62" t="n"/>
      <c r="AC126" s="62" t="n"/>
      <c r="AD126" s="62" t="n"/>
      <c r="AE126" s="62" t="n"/>
      <c r="AF126" s="61">
        <f>IF(COUNTIF($B$5:B126,B126)=1,1,0)</f>
        <v/>
      </c>
      <c r="AG126" s="62" t="inlineStr">
        <is>
          <t>https://www.lasillavacia.com/red-de-expertos/red-social/el-salario-minimo-para-2026-y-el-giro-del-modelo-economico-en-colombia/</t>
        </is>
      </c>
    </row>
    <row r="127">
      <c r="A127" s="62" t="inlineStr">
        <is>
          <t>ART_180</t>
        </is>
      </c>
      <c r="B127" s="62" t="inlineStr">
        <is>
          <t>ART_180_S09</t>
        </is>
      </c>
      <c r="C127" s="62" t="inlineStr">
        <is>
          <t>La Silla Vacía</t>
        </is>
      </c>
      <c r="D127" s="62" t="inlineStr">
        <is>
          <t>Economía y negocios</t>
        </is>
      </c>
      <c r="E127" s="62" t="inlineStr">
        <is>
          <t>Opinión-análisis</t>
        </is>
      </c>
      <c r="F127" s="62" t="inlineStr">
        <is>
          <t>Sun, 28 Dec 2025 15:45:53 +0000</t>
        </is>
      </c>
      <c r="G127" s="62" t="inlineStr">
        <is>
          <t>Un primer argumento teórico en torno a los mecanismos de fortalecimiento de la participación de los trabajadores en el ingreso nacional descansa en las tesis del crecimiento impulsado por la demanda.</t>
        </is>
      </c>
      <c r="H127" s="62" t="inlineStr">
        <is>
          <t>Sin embargo, si nos lleva a una discusión más profunda, pues sugiere que la demanda interna deprimida puede responder al estímulo salarial.</t>
        </is>
      </c>
      <c r="I127" s="62" t="inlineStr">
        <is>
          <t>La idea de que cada peso adicional en el bolsillo de los trabajadores se traduce en demanda efectiva.</t>
        </is>
      </c>
      <c r="J127" s="62" t="n"/>
      <c r="K127" s="62" t="n"/>
      <c r="L127" s="62" t="n"/>
      <c r="M127" s="62" t="n"/>
      <c r="N127" s="62" t="n"/>
      <c r="O127" s="62" t="n"/>
      <c r="P127" s="62" t="n"/>
      <c r="Q127" s="62" t="n"/>
      <c r="R127" s="62" t="n"/>
      <c r="S127" s="62" t="n"/>
      <c r="T127" s="62" t="n"/>
      <c r="U127" s="62" t="n"/>
      <c r="V127" s="62" t="n"/>
      <c r="W127" s="62" t="n"/>
      <c r="X127" s="62" t="n"/>
      <c r="Y127" s="62" t="n"/>
      <c r="Z127" s="62" t="n"/>
      <c r="AA127" s="62" t="n"/>
      <c r="AB127" s="62" t="n"/>
      <c r="AC127" s="62" t="n"/>
      <c r="AD127" s="62" t="n"/>
      <c r="AE127" s="62" t="n"/>
      <c r="AF127" s="61">
        <f>IF(COUNTIF($B$5:B127,B127)=1,1,0)</f>
        <v/>
      </c>
      <c r="AG127" s="62" t="inlineStr">
        <is>
          <t>https://www.lasillavacia.com/red-de-expertos/red-social/el-salario-minimo-para-2026-y-el-giro-del-modelo-economico-en-colombia/</t>
        </is>
      </c>
    </row>
    <row r="128">
      <c r="A128" s="62" t="inlineStr">
        <is>
          <t>ART_180</t>
        </is>
      </c>
      <c r="B128" s="62" t="inlineStr">
        <is>
          <t>ART_180_S10</t>
        </is>
      </c>
      <c r="C128" s="62" t="inlineStr">
        <is>
          <t>La Silla Vacía</t>
        </is>
      </c>
      <c r="D128" s="62" t="inlineStr">
        <is>
          <t>Economía y negocios</t>
        </is>
      </c>
      <c r="E128" s="62" t="inlineStr">
        <is>
          <t>Opinión-análisis</t>
        </is>
      </c>
      <c r="F128" s="62" t="inlineStr">
        <is>
          <t>Sun, 28 Dec 2025 15:45:53 +0000</t>
        </is>
      </c>
      <c r="G128" s="62" t="inlineStr">
        <is>
          <t>La idea de que cada peso adicional en el bolsillo de los trabajadores se traduce en demanda efectiva.</t>
        </is>
      </c>
      <c r="H128" s="62" t="inlineStr">
        <is>
          <t>Un primer argumento teórico en torno a los mecanismos de fortalecimiento de la participación de los trabajadores en el ingreso nacional descansa en las tesis del crecimiento impulsado por la demanda.</t>
        </is>
      </c>
      <c r="I128" s="62" t="inlineStr">
        <is>
          <t>No se destina a cuentas en paraísos fiscales ni a especulación financiera; se convierte en alimentos, electrodomésticos, matrículas escolares y adquisición de servicios.</t>
        </is>
      </c>
      <c r="J128" s="62" t="n"/>
      <c r="K128" s="62" t="n"/>
      <c r="L128" s="62" t="n"/>
      <c r="M128" s="62" t="n"/>
      <c r="N128" s="62" t="n"/>
      <c r="O128" s="62" t="n"/>
      <c r="P128" s="62" t="n"/>
      <c r="Q128" s="62" t="n"/>
      <c r="R128" s="62" t="n"/>
      <c r="S128" s="62" t="n"/>
      <c r="T128" s="62" t="n"/>
      <c r="U128" s="62" t="n"/>
      <c r="V128" s="62" t="n"/>
      <c r="W128" s="62" t="n"/>
      <c r="X128" s="62" t="n"/>
      <c r="Y128" s="62" t="n"/>
      <c r="Z128" s="62" t="n"/>
      <c r="AA128" s="62" t="n"/>
      <c r="AB128" s="62" t="n"/>
      <c r="AC128" s="62" t="n"/>
      <c r="AD128" s="62" t="n"/>
      <c r="AE128" s="62" t="n"/>
      <c r="AF128" s="61">
        <f>IF(COUNTIF($B$5:B128,B128)=1,1,0)</f>
        <v/>
      </c>
      <c r="AG128" s="62" t="inlineStr">
        <is>
          <t>https://www.lasillavacia.com/red-de-expertos/red-social/el-salario-minimo-para-2026-y-el-giro-del-modelo-economico-en-colombia/</t>
        </is>
      </c>
    </row>
    <row r="129">
      <c r="A129" s="62" t="inlineStr">
        <is>
          <t>ART_180</t>
        </is>
      </c>
      <c r="B129" s="62" t="inlineStr">
        <is>
          <t>ART_180_S11</t>
        </is>
      </c>
      <c r="C129" s="62" t="inlineStr">
        <is>
          <t>La Silla Vacía</t>
        </is>
      </c>
      <c r="D129" s="62" t="inlineStr">
        <is>
          <t>Economía y negocios</t>
        </is>
      </c>
      <c r="E129" s="62" t="inlineStr">
        <is>
          <t>Opinión-análisis</t>
        </is>
      </c>
      <c r="F129" s="62" t="inlineStr">
        <is>
          <t>Sun, 28 Dec 2025 15:45:53 +0000</t>
        </is>
      </c>
      <c r="G129" s="62" t="inlineStr">
        <is>
          <t>No se destina a cuentas en paraísos fiscales ni a especulación financiera; se convierte en alimentos, electrodomésticos, matrículas escolares y adquisición de servicios.</t>
        </is>
      </c>
      <c r="H129" s="62" t="inlineStr">
        <is>
          <t>La idea de que cada peso adicional en el bolsillo de los trabajadores se traduce en demanda efectiva.</t>
        </is>
      </c>
      <c r="I129" s="62" t="inlineStr">
        <is>
          <t>Una vieja frase del economista polaco Michał Kalecki reza “los trabajadores gastan todo lo que ganan, mientras que los empresarios ganan todo lo que gastan”.</t>
        </is>
      </c>
      <c r="J129" s="62" t="n"/>
      <c r="K129" s="62" t="n"/>
      <c r="L129" s="62" t="n"/>
      <c r="M129" s="62" t="n"/>
      <c r="N129" s="62" t="n"/>
      <c r="O129" s="62" t="n"/>
      <c r="P129" s="62" t="n"/>
      <c r="Q129" s="62" t="n"/>
      <c r="R129" s="62" t="n"/>
      <c r="S129" s="62" t="n"/>
      <c r="T129" s="62" t="n"/>
      <c r="U129" s="62" t="n"/>
      <c r="V129" s="62" t="n"/>
      <c r="W129" s="62" t="n"/>
      <c r="X129" s="62" t="n"/>
      <c r="Y129" s="62" t="n"/>
      <c r="Z129" s="62" t="n"/>
      <c r="AA129" s="62" t="n"/>
      <c r="AB129" s="62" t="n"/>
      <c r="AC129" s="62" t="n"/>
      <c r="AD129" s="62" t="n"/>
      <c r="AE129" s="62" t="n"/>
      <c r="AF129" s="61">
        <f>IF(COUNTIF($B$5:B129,B129)=1,1,0)</f>
        <v/>
      </c>
      <c r="AG129" s="62" t="inlineStr">
        <is>
          <t>https://www.lasillavacia.com/red-de-expertos/red-social/el-salario-minimo-para-2026-y-el-giro-del-modelo-economico-en-colombia/</t>
        </is>
      </c>
    </row>
    <row r="130">
      <c r="A130" s="62" t="inlineStr">
        <is>
          <t>ART_180</t>
        </is>
      </c>
      <c r="B130" s="62" t="inlineStr">
        <is>
          <t>ART_180_S12</t>
        </is>
      </c>
      <c r="C130" s="62" t="inlineStr">
        <is>
          <t>La Silla Vacía</t>
        </is>
      </c>
      <c r="D130" s="62" t="inlineStr">
        <is>
          <t>Economía y negocios</t>
        </is>
      </c>
      <c r="E130" s="62" t="inlineStr">
        <is>
          <t>Opinión-análisis</t>
        </is>
      </c>
      <c r="F130" s="62" t="inlineStr">
        <is>
          <t>Sun, 28 Dec 2025 15:45:53 +0000</t>
        </is>
      </c>
      <c r="G130" s="62" t="inlineStr">
        <is>
          <t>Una vieja frase del economista polaco Michał Kalecki reza “los trabajadores gastan todo lo que ganan, mientras que los empresarios ganan todo lo que gastan”.</t>
        </is>
      </c>
      <c r="H130" s="62" t="inlineStr">
        <is>
          <t>No se destina a cuentas en paraísos fiscales ni a especulación financiera; se convierte en alimentos, electrodomésticos, matrículas escolares y adquisición de servicios.</t>
        </is>
      </c>
      <c r="I130" s="62" t="n"/>
      <c r="J130" s="62" t="n"/>
      <c r="K130" s="62" t="n"/>
      <c r="L130" s="62" t="n"/>
      <c r="M130" s="62" t="n"/>
      <c r="N130" s="62" t="n"/>
      <c r="O130" s="62" t="n"/>
      <c r="P130" s="62" t="n"/>
      <c r="Q130" s="62" t="n"/>
      <c r="R130" s="62" t="n"/>
      <c r="S130" s="62" t="n"/>
      <c r="T130" s="62" t="n"/>
      <c r="U130" s="62" t="n"/>
      <c r="V130" s="62" t="n"/>
      <c r="W130" s="62" t="n"/>
      <c r="X130" s="62" t="n"/>
      <c r="Y130" s="62" t="n"/>
      <c r="Z130" s="62" t="n"/>
      <c r="AA130" s="62" t="n"/>
      <c r="AB130" s="62" t="n"/>
      <c r="AC130" s="62" t="n"/>
      <c r="AD130" s="62" t="n"/>
      <c r="AE130" s="62" t="n"/>
      <c r="AF130" s="61">
        <f>IF(COUNTIF($B$5:B130,B130)=1,1,0)</f>
        <v/>
      </c>
      <c r="AG130" s="62" t="inlineStr">
        <is>
          <t>https://www.lasillavacia.com/red-de-expertos/red-social/el-salario-minimo-para-2026-y-el-giro-del-modelo-economico-en-colombia/</t>
        </is>
      </c>
    </row>
    <row r="131">
      <c r="A131" s="62" t="inlineStr">
        <is>
          <t>ART_213</t>
        </is>
      </c>
      <c r="B131" s="62" t="inlineStr">
        <is>
          <t>ART_213_S01</t>
        </is>
      </c>
      <c r="C131" s="62" t="inlineStr">
        <is>
          <t>Semana</t>
        </is>
      </c>
      <c r="D131" s="62" t="inlineStr">
        <is>
          <t>Economía y negocios</t>
        </is>
      </c>
      <c r="E131" s="62" t="inlineStr">
        <is>
          <t>Noticia dura</t>
        </is>
      </c>
      <c r="F131" s="62" t="inlineStr">
        <is>
          <t>Tue, 08 Sep 2026 20:14:54 +0000</t>
        </is>
      </c>
      <c r="G131" s="62" t="inlineStr">
        <is>
          <t>Una amplia expectativa había este martes, 8 de septiembre, alrededor de la reunión de la junta directiva de la Andi, el gremio de los empresarios más poderosos del país.</t>
        </is>
      </c>
      <c r="H131" s="62" t="n"/>
      <c r="I131" s="62" t="inlineStr">
        <is>
          <t>Se sabía que harían cambios, y así lo anunciaron al término del encuentro.</t>
        </is>
      </c>
      <c r="J131" s="62" t="n"/>
      <c r="K131" s="62" t="n"/>
      <c r="L131" s="62" t="n"/>
      <c r="M131" s="62" t="n"/>
      <c r="N131" s="62" t="n"/>
      <c r="O131" s="62" t="n"/>
      <c r="P131" s="62" t="n"/>
      <c r="Q131" s="62" t="n"/>
      <c r="R131" s="62" t="n"/>
      <c r="S131" s="62" t="n"/>
      <c r="T131" s="62" t="n"/>
      <c r="U131" s="62" t="n"/>
      <c r="V131" s="62" t="n"/>
      <c r="W131" s="62" t="n"/>
      <c r="X131" s="62" t="n"/>
      <c r="Y131" s="62" t="n"/>
      <c r="Z131" s="62" t="n"/>
      <c r="AA131" s="62" t="n"/>
      <c r="AB131" s="62" t="n"/>
      <c r="AC131" s="62" t="n"/>
      <c r="AD131" s="62" t="n"/>
      <c r="AE131" s="62" t="n"/>
      <c r="AF131" s="61">
        <f>IF(COUNTIF($B$5:B131,B131)=1,1,0)</f>
        <v/>
      </c>
      <c r="AG131" s="62" t="inlineStr">
        <is>
          <t>https://www.semana.com/economia/empresas/articulo/junta-directiva-de-la-andi-concluye-reunion-y-estos-son-los-cambios-que-decidieron-hacer/202654/</t>
        </is>
      </c>
    </row>
    <row r="132">
      <c r="A132" s="62" t="inlineStr">
        <is>
          <t>ART_213</t>
        </is>
      </c>
      <c r="B132" s="62" t="inlineStr">
        <is>
          <t>ART_213_S02</t>
        </is>
      </c>
      <c r="C132" s="62" t="inlineStr">
        <is>
          <t>Semana</t>
        </is>
      </c>
      <c r="D132" s="62" t="inlineStr">
        <is>
          <t>Economía y negocios</t>
        </is>
      </c>
      <c r="E132" s="62" t="inlineStr">
        <is>
          <t>Noticia dura</t>
        </is>
      </c>
      <c r="F132" s="62" t="inlineStr">
        <is>
          <t>Tue, 08 Sep 2026 20:14:54 +0000</t>
        </is>
      </c>
      <c r="G132" s="62" t="inlineStr">
        <is>
          <t>Se sabía que harían cambios, y así lo anunciaron al término del encuentro.</t>
        </is>
      </c>
      <c r="H132" s="62" t="inlineStr">
        <is>
          <t>Una amplia expectativa había este martes, 8 de septiembre, alrededor de la reunión de la junta directiva de la Andi, el gremio de los empresarios más poderosos del país.</t>
        </is>
      </c>
      <c r="I132" s="62" t="inlineStr">
        <is>
          <t>De esa manera, la nueva Junta de Dirección General de la ANDI – Asociación Nacional de Empresarios de Colombia, en su primera sesión del 8 de septiembre, eligió la nueva Mesa Directiva para el periodo 2026-2027.</t>
        </is>
      </c>
      <c r="J132" s="62" t="n"/>
      <c r="K132" s="62" t="n"/>
      <c r="L132" s="62" t="n"/>
      <c r="M132" s="62" t="n"/>
      <c r="N132" s="62" t="n"/>
      <c r="O132" s="62" t="n"/>
      <c r="P132" s="62" t="n"/>
      <c r="Q132" s="62" t="n"/>
      <c r="R132" s="62" t="n"/>
      <c r="S132" s="62" t="n"/>
      <c r="T132" s="62" t="n"/>
      <c r="U132" s="62" t="n"/>
      <c r="V132" s="62" t="n"/>
      <c r="W132" s="62" t="n"/>
      <c r="X132" s="62" t="n"/>
      <c r="Y132" s="62" t="n"/>
      <c r="Z132" s="62" t="n"/>
      <c r="AA132" s="62" t="n"/>
      <c r="AB132" s="62" t="n"/>
      <c r="AC132" s="62" t="n"/>
      <c r="AD132" s="62" t="n"/>
      <c r="AE132" s="62" t="n"/>
      <c r="AF132" s="61">
        <f>IF(COUNTIF($B$5:B132,B132)=1,1,0)</f>
        <v/>
      </c>
      <c r="AG132" s="62" t="inlineStr">
        <is>
          <t>https://www.semana.com/economia/empresas/articulo/junta-directiva-de-la-andi-concluye-reunion-y-estos-son-los-cambios-que-decidieron-hacer/202654/</t>
        </is>
      </c>
    </row>
    <row r="133">
      <c r="A133" s="62" t="inlineStr">
        <is>
          <t>ART_213</t>
        </is>
      </c>
      <c r="B133" s="62" t="inlineStr">
        <is>
          <t>ART_213_S03</t>
        </is>
      </c>
      <c r="C133" s="62" t="inlineStr">
        <is>
          <t>Semana</t>
        </is>
      </c>
      <c r="D133" s="62" t="inlineStr">
        <is>
          <t>Economía y negocios</t>
        </is>
      </c>
      <c r="E133" s="62" t="inlineStr">
        <is>
          <t>Noticia dura</t>
        </is>
      </c>
      <c r="F133" s="62" t="inlineStr">
        <is>
          <t>Tue, 08 Sep 2026 20:14:54 +0000</t>
        </is>
      </c>
      <c r="G133" s="62" t="inlineStr">
        <is>
          <t>De esa manera, la nueva Junta de Dirección General de la ANDI – Asociación Nacional de Empresarios de Colombia, en su primera sesión del 8 de septiembre, eligió la nueva Mesa Directiva para el periodo 2026-2027.</t>
        </is>
      </c>
      <c r="H133" s="62" t="inlineStr">
        <is>
          <t>Se sabía que harían cambios, y así lo anunciaron al término del encuentro.</t>
        </is>
      </c>
      <c r="I133" s="62" t="inlineStr">
        <is>
          <t>Como presidente de la Junta fue elegido Rodolfo Castillo García, fundador y presidente de Icoharinas, y como vicepresidente, María del Rosario Gómez Jaramillo, socia directora de DG&amp;A Abogados.</t>
        </is>
      </c>
      <c r="J133" s="62" t="n"/>
      <c r="K133" s="62" t="n"/>
      <c r="L133" s="62" t="n"/>
      <c r="M133" s="62" t="n"/>
      <c r="N133" s="62" t="n"/>
      <c r="O133" s="62" t="n"/>
      <c r="P133" s="62" t="n"/>
      <c r="Q133" s="62" t="n"/>
      <c r="R133" s="62" t="n"/>
      <c r="S133" s="62" t="n"/>
      <c r="T133" s="62" t="n"/>
      <c r="U133" s="62" t="n"/>
      <c r="V133" s="62" t="n"/>
      <c r="W133" s="62" t="n"/>
      <c r="X133" s="62" t="n"/>
      <c r="Y133" s="62" t="n"/>
      <c r="Z133" s="62" t="n"/>
      <c r="AA133" s="62" t="n"/>
      <c r="AB133" s="62" t="n"/>
      <c r="AC133" s="62" t="n"/>
      <c r="AD133" s="62" t="n"/>
      <c r="AE133" s="62" t="n"/>
      <c r="AF133" s="61">
        <f>IF(COUNTIF($B$5:B133,B133)=1,1,0)</f>
        <v/>
      </c>
      <c r="AG133" s="62" t="inlineStr">
        <is>
          <t>https://www.semana.com/economia/empresas/articulo/junta-directiva-de-la-andi-concluye-reunion-y-estos-son-los-cambios-que-decidieron-hacer/202654/</t>
        </is>
      </c>
    </row>
    <row r="134">
      <c r="A134" s="62" t="inlineStr">
        <is>
          <t>ART_213</t>
        </is>
      </c>
      <c r="B134" s="62" t="inlineStr">
        <is>
          <t>ART_213_S04</t>
        </is>
      </c>
      <c r="C134" s="62" t="inlineStr">
        <is>
          <t>Semana</t>
        </is>
      </c>
      <c r="D134" s="62" t="inlineStr">
        <is>
          <t>Economía y negocios</t>
        </is>
      </c>
      <c r="E134" s="62" t="inlineStr">
        <is>
          <t>Noticia dura</t>
        </is>
      </c>
      <c r="F134" s="62" t="inlineStr">
        <is>
          <t>Tue, 08 Sep 2026 20:14:54 +0000</t>
        </is>
      </c>
      <c r="G134" s="62" t="inlineStr">
        <is>
          <t>Como presidente de la Junta fue elegido Rodolfo Castillo García, fundador y presidente de Icoharinas, y como vicepresidente, María del Rosario Gómez Jaramillo, socia directora de DG&amp;A Abogados.</t>
        </is>
      </c>
      <c r="H134" s="62" t="inlineStr">
        <is>
          <t>De esa manera, la nueva Junta de Dirección General de la ANDI – Asociación Nacional de Empresarios de Colombia, en su primera sesión del 8 de septiembre, eligió la nueva Mesa Directiva para el periodo 2026-2027.</t>
        </is>
      </c>
      <c r="I134" s="62"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J134" s="62" t="n"/>
      <c r="K134" s="62" t="n"/>
      <c r="L134" s="62" t="n"/>
      <c r="M134" s="62" t="n"/>
      <c r="N134" s="62" t="n"/>
      <c r="O134" s="62" t="n"/>
      <c r="P134" s="62" t="n"/>
      <c r="Q134" s="62" t="n"/>
      <c r="R134" s="62" t="n"/>
      <c r="S134" s="62" t="n"/>
      <c r="T134" s="62" t="n"/>
      <c r="U134" s="62" t="n"/>
      <c r="V134" s="62" t="n"/>
      <c r="W134" s="62" t="n"/>
      <c r="X134" s="62" t="n"/>
      <c r="Y134" s="62" t="n"/>
      <c r="Z134" s="62" t="n"/>
      <c r="AA134" s="62" t="n"/>
      <c r="AB134" s="62" t="n"/>
      <c r="AC134" s="62" t="n"/>
      <c r="AD134" s="62" t="n"/>
      <c r="AE134" s="62" t="n"/>
      <c r="AF134" s="61">
        <f>IF(COUNTIF($B$5:B134,B134)=1,1,0)</f>
        <v/>
      </c>
      <c r="AG134" s="62" t="inlineStr">
        <is>
          <t>https://www.semana.com/economia/empresas/articulo/junta-directiva-de-la-andi-concluye-reunion-y-estos-son-los-cambios-que-decidieron-hacer/202654/</t>
        </is>
      </c>
    </row>
    <row r="135">
      <c r="A135" s="62" t="inlineStr">
        <is>
          <t>ART_213</t>
        </is>
      </c>
      <c r="B135" s="62" t="inlineStr">
        <is>
          <t>ART_213_S05</t>
        </is>
      </c>
      <c r="C135" s="62" t="inlineStr">
        <is>
          <t>Semana</t>
        </is>
      </c>
      <c r="D135" s="62" t="inlineStr">
        <is>
          <t>Economía y negocios</t>
        </is>
      </c>
      <c r="E135" s="62" t="inlineStr">
        <is>
          <t>Noticia dura</t>
        </is>
      </c>
      <c r="F135" s="62" t="inlineStr">
        <is>
          <t>Tue, 08 Sep 2026 20:14:54 +0000</t>
        </is>
      </c>
      <c r="G135" s="62"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H135" s="62" t="inlineStr">
        <is>
          <t>Como presidente de la Junta fue elegido Rodolfo Castillo García, fundador y presidente de Icoharinas, y como vicepresidente, María del Rosario Gómez Jaramillo, socia directora de DG&amp;A Abogados.</t>
        </is>
      </c>
      <c r="I135" s="62" t="inlineStr">
        <is>
          <t>El gremio sobrepasa los 80 años desde su primera aparición, lo que ocurrió en la ciudad de Medellín, y desde entonces ha sido uno de los gremios empresariales más poderosos e influyentes en el país.</t>
        </is>
      </c>
      <c r="J135" s="62" t="n"/>
      <c r="K135" s="62" t="n"/>
      <c r="L135" s="62" t="n"/>
      <c r="M135" s="62" t="n"/>
      <c r="N135" s="62" t="n"/>
      <c r="O135" s="62" t="n"/>
      <c r="P135" s="62" t="n"/>
      <c r="Q135" s="62" t="n"/>
      <c r="R135" s="62" t="n"/>
      <c r="S135" s="62" t="n"/>
      <c r="T135" s="62" t="n"/>
      <c r="U135" s="62" t="n"/>
      <c r="V135" s="62" t="n"/>
      <c r="W135" s="62" t="n"/>
      <c r="X135" s="62" t="n"/>
      <c r="Y135" s="62" t="n"/>
      <c r="Z135" s="62" t="n"/>
      <c r="AA135" s="62" t="n"/>
      <c r="AB135" s="62" t="n"/>
      <c r="AC135" s="62" t="n"/>
      <c r="AD135" s="62" t="n"/>
      <c r="AE135" s="62" t="n"/>
      <c r="AF135" s="61">
        <f>IF(COUNTIF($B$5:B135,B135)=1,1,0)</f>
        <v/>
      </c>
      <c r="AG135" s="62" t="inlineStr">
        <is>
          <t>https://www.semana.com/economia/empresas/articulo/junta-directiva-de-la-andi-concluye-reunion-y-estos-son-los-cambios-que-decidieron-hacer/202654/</t>
        </is>
      </c>
    </row>
    <row r="136">
      <c r="A136" s="62" t="inlineStr">
        <is>
          <t>ART_213</t>
        </is>
      </c>
      <c r="B136" s="62" t="inlineStr">
        <is>
          <t>ART_213_S06</t>
        </is>
      </c>
      <c r="C136" s="62" t="inlineStr">
        <is>
          <t>Semana</t>
        </is>
      </c>
      <c r="D136" s="62" t="inlineStr">
        <is>
          <t>Economía y negocios</t>
        </is>
      </c>
      <c r="E136" s="62" t="inlineStr">
        <is>
          <t>Noticia dura</t>
        </is>
      </c>
      <c r="F136" s="62" t="inlineStr">
        <is>
          <t>Tue, 08 Sep 2026 20:14:54 +0000</t>
        </is>
      </c>
      <c r="G136" s="62" t="inlineStr">
        <is>
          <t>El gremio sobrepasa los 80 años desde su primera aparición, lo que ocurrió en la ciudad de Medellín, y desde entonces ha sido uno de los gremios empresariales más poderosos e influyentes en el país.</t>
        </is>
      </c>
      <c r="H136" s="62"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I136" s="62"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J136" s="62" t="n"/>
      <c r="K136" s="62" t="n"/>
      <c r="L136" s="62" t="n"/>
      <c r="M136" s="62" t="n"/>
      <c r="N136" s="62" t="n"/>
      <c r="O136" s="62" t="n"/>
      <c r="P136" s="62" t="n"/>
      <c r="Q136" s="62" t="n"/>
      <c r="R136" s="62" t="n"/>
      <c r="S136" s="62" t="n"/>
      <c r="T136" s="62" t="n"/>
      <c r="U136" s="62" t="n"/>
      <c r="V136" s="62" t="n"/>
      <c r="W136" s="62" t="n"/>
      <c r="X136" s="62" t="n"/>
      <c r="Y136" s="62" t="n"/>
      <c r="Z136" s="62" t="n"/>
      <c r="AA136" s="62" t="n"/>
      <c r="AB136" s="62" t="n"/>
      <c r="AC136" s="62" t="n"/>
      <c r="AD136" s="62" t="n"/>
      <c r="AE136" s="62" t="n"/>
      <c r="AF136" s="61">
        <f>IF(COUNTIF($B$5:B136,B136)=1,1,0)</f>
        <v/>
      </c>
      <c r="AG136" s="62" t="inlineStr">
        <is>
          <t>https://www.semana.com/economia/empresas/articulo/junta-directiva-de-la-andi-concluye-reunion-y-estos-son-los-cambios-que-decidieron-hacer/202654/</t>
        </is>
      </c>
    </row>
    <row r="137">
      <c r="A137" s="62" t="inlineStr">
        <is>
          <t>ART_213</t>
        </is>
      </c>
      <c r="B137" s="62" t="inlineStr">
        <is>
          <t>ART_213_S07</t>
        </is>
      </c>
      <c r="C137" s="62" t="inlineStr">
        <is>
          <t>Semana</t>
        </is>
      </c>
      <c r="D137" s="62" t="inlineStr">
        <is>
          <t>Economía y negocios</t>
        </is>
      </c>
      <c r="E137" s="62" t="inlineStr">
        <is>
          <t>Noticia dura</t>
        </is>
      </c>
      <c r="F137" s="62" t="inlineStr">
        <is>
          <t>Tue, 08 Sep 2026 20:14:54 +0000</t>
        </is>
      </c>
      <c r="G137" s="62"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H137" s="62" t="inlineStr">
        <is>
          <t>El gremio sobrepasa los 80 años desde su primera aparición, lo que ocurrió en la ciudad de Medellín, y desde entonces ha sido uno de los gremios empresariales más poderosos e influyentes en el país.</t>
        </is>
      </c>
      <c r="I137" s="62" t="inlineStr">
        <is>
          <t>Opera con sucursales en Barranquilla, Bogotá, Bucaramanga, Cali, Cartagena, Cúcuta, Ibagué, Manizales, Pereira, Santander de Quilichao y Villavicencio.</t>
        </is>
      </c>
      <c r="J137" s="62" t="n"/>
      <c r="K137" s="62" t="n"/>
      <c r="L137" s="62" t="n"/>
      <c r="M137" s="62" t="n"/>
      <c r="N137" s="62" t="n"/>
      <c r="O137" s="62" t="n"/>
      <c r="P137" s="62" t="n"/>
      <c r="Q137" s="62" t="n"/>
      <c r="R137" s="62" t="n"/>
      <c r="S137" s="62" t="n"/>
      <c r="T137" s="62" t="n"/>
      <c r="U137" s="62" t="n"/>
      <c r="V137" s="62" t="n"/>
      <c r="W137" s="62" t="n"/>
      <c r="X137" s="62" t="n"/>
      <c r="Y137" s="62" t="n"/>
      <c r="Z137" s="62" t="n"/>
      <c r="AA137" s="62" t="n"/>
      <c r="AB137" s="62" t="n"/>
      <c r="AC137" s="62" t="n"/>
      <c r="AD137" s="62" t="n"/>
      <c r="AE137" s="62" t="n"/>
      <c r="AF137" s="61">
        <f>IF(COUNTIF($B$5:B137,B137)=1,1,0)</f>
        <v/>
      </c>
      <c r="AG137" s="62" t="inlineStr">
        <is>
          <t>https://www.semana.com/economia/empresas/articulo/junta-directiva-de-la-andi-concluye-reunion-y-estos-son-los-cambios-que-decidieron-hacer/202654/</t>
        </is>
      </c>
    </row>
    <row r="138">
      <c r="A138" s="62" t="inlineStr">
        <is>
          <t>ART_213</t>
        </is>
      </c>
      <c r="B138" s="62" t="inlineStr">
        <is>
          <t>ART_213_S08</t>
        </is>
      </c>
      <c r="C138" s="62" t="inlineStr">
        <is>
          <t>Semana</t>
        </is>
      </c>
      <c r="D138" s="62" t="inlineStr">
        <is>
          <t>Economía y negocios</t>
        </is>
      </c>
      <c r="E138" s="62" t="inlineStr">
        <is>
          <t>Noticia dura</t>
        </is>
      </c>
      <c r="F138" s="62" t="inlineStr">
        <is>
          <t>Tue, 08 Sep 2026 20:14:54 +0000</t>
        </is>
      </c>
      <c r="G138" s="62" t="inlineStr">
        <is>
          <t>Opera con sucursales en Barranquilla, Bogotá, Bucaramanga, Cali, Cartagena, Cúcuta, Ibagué, Manizales, Pereira, Santander de Quilichao y Villavicencio.</t>
        </is>
      </c>
      <c r="H138" s="62"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I138" s="62" t="inlineStr">
        <is>
          <t>Como gremio, están comprometidos con la reactivación económica del país, a través de propuestas que generen empleo de calidad y aceleren el crecimiento en el corto plazo.</t>
        </is>
      </c>
      <c r="J138" s="62" t="n"/>
      <c r="K138" s="62" t="n"/>
      <c r="L138" s="62" t="n"/>
      <c r="M138" s="62" t="n"/>
      <c r="N138" s="62" t="n"/>
      <c r="O138" s="62" t="n"/>
      <c r="P138" s="62" t="n"/>
      <c r="Q138" s="62" t="n"/>
      <c r="R138" s="62" t="n"/>
      <c r="S138" s="62" t="n"/>
      <c r="T138" s="62" t="n"/>
      <c r="U138" s="62" t="n"/>
      <c r="V138" s="62" t="n"/>
      <c r="W138" s="62" t="n"/>
      <c r="X138" s="62" t="n"/>
      <c r="Y138" s="62" t="n"/>
      <c r="Z138" s="62" t="n"/>
      <c r="AA138" s="62" t="n"/>
      <c r="AB138" s="62" t="n"/>
      <c r="AC138" s="62" t="n"/>
      <c r="AD138" s="62" t="n"/>
      <c r="AE138" s="62" t="n"/>
      <c r="AF138" s="61">
        <f>IF(COUNTIF($B$5:B138,B138)=1,1,0)</f>
        <v/>
      </c>
      <c r="AG138" s="62" t="inlineStr">
        <is>
          <t>https://www.semana.com/economia/empresas/articulo/junta-directiva-de-la-andi-concluye-reunion-y-estos-son-los-cambios-que-decidieron-hacer/202654/</t>
        </is>
      </c>
    </row>
    <row r="139">
      <c r="A139" s="62" t="inlineStr">
        <is>
          <t>ART_213</t>
        </is>
      </c>
      <c r="B139" s="62" t="inlineStr">
        <is>
          <t>ART_213_S09</t>
        </is>
      </c>
      <c r="C139" s="62" t="inlineStr">
        <is>
          <t>Semana</t>
        </is>
      </c>
      <c r="D139" s="62" t="inlineStr">
        <is>
          <t>Economía y negocios</t>
        </is>
      </c>
      <c r="E139" s="62" t="inlineStr">
        <is>
          <t>Noticia dura</t>
        </is>
      </c>
      <c r="F139" s="62" t="inlineStr">
        <is>
          <t>Tue, 08 Sep 2026 20:14:54 +0000</t>
        </is>
      </c>
      <c r="G139" s="62" t="inlineStr">
        <is>
          <t>Como gremio, están comprometidos con la reactivación económica del país, a través de propuestas que generen empleo de calidad y aceleren el crecimiento en el corto plazo.</t>
        </is>
      </c>
      <c r="H139" s="62" t="inlineStr">
        <is>
          <t>Opera con sucursales en Barranquilla, Bogotá, Bucaramanga, Cali, Cartagena, Cúcuta, Ibagué, Manizales, Pereira, Santander de Quilichao y Villavicencio.</t>
        </is>
      </c>
      <c r="I139" s="62" t="n"/>
      <c r="J139" s="62" t="n"/>
      <c r="K139" s="62" t="n"/>
      <c r="L139" s="62" t="n"/>
      <c r="M139" s="62" t="n"/>
      <c r="N139" s="62" t="n"/>
      <c r="O139" s="62" t="n"/>
      <c r="P139" s="62" t="n"/>
      <c r="Q139" s="62" t="n"/>
      <c r="R139" s="62" t="n"/>
      <c r="S139" s="62" t="n"/>
      <c r="T139" s="62" t="n"/>
      <c r="U139" s="62" t="n"/>
      <c r="V139" s="62" t="n"/>
      <c r="W139" s="62" t="n"/>
      <c r="X139" s="62" t="n"/>
      <c r="Y139" s="62" t="n"/>
      <c r="Z139" s="62" t="n"/>
      <c r="AA139" s="62" t="n"/>
      <c r="AB139" s="62" t="n"/>
      <c r="AC139" s="62" t="n"/>
      <c r="AD139" s="62" t="n"/>
      <c r="AE139" s="62" t="n"/>
      <c r="AF139" s="61">
        <f>IF(COUNTIF($B$5:B139,B139)=1,1,0)</f>
        <v/>
      </c>
      <c r="AG139" s="62" t="inlineStr">
        <is>
          <t>https://www.semana.com/economia/empresas/articulo/junta-directiva-de-la-andi-concluye-reunion-y-estos-son-los-cambios-que-decidieron-hacer/202654/</t>
        </is>
      </c>
    </row>
    <row r="140">
      <c r="A140" s="62" t="inlineStr">
        <is>
          <t>ART_214</t>
        </is>
      </c>
      <c r="B140" s="62" t="inlineStr">
        <is>
          <t>ART_214_S01</t>
        </is>
      </c>
      <c r="C140" s="62" t="inlineStr">
        <is>
          <t>Infobae Colombia</t>
        </is>
      </c>
      <c r="D140" s="62" t="inlineStr">
        <is>
          <t>Salud</t>
        </is>
      </c>
      <c r="E140" s="62" t="inlineStr">
        <is>
          <t>Noticia dura</t>
        </is>
      </c>
      <c r="F140" s="62" t="inlineStr">
        <is>
          <t>2026-09-05T02:30:10Z</t>
        </is>
      </c>
      <c r="G140" s="62" t="inlineStr">
        <is>
          <t>Uno de los problemas que el gobierno de Abelardo de la Espriella heredó de la administración de Gustavo Petro fue la crisis de la salud, debido a la billonaria deuda de las EPS, la deficiente atención a los usuarios y las denuncias por la falta de medicamentos, en especial para pacientes con enfermedades graves.</t>
        </is>
      </c>
      <c r="H140" s="62" t="n"/>
      <c r="I140" s="62" t="inlineStr">
        <is>
          <t>Debido a eso, el presidente De la Espriella dejó claro que liquidará las entidades que no funcionen en el país, pues su objetivo es que se mejore cuanto antes la atención en salud, que es uno de sus frentes en los primeros meses de su gestión.</t>
        </is>
      </c>
      <c r="J140" s="62" t="n"/>
      <c r="K140" s="62" t="n"/>
      <c r="L140" s="62" t="n"/>
      <c r="M140" s="62" t="n"/>
      <c r="N140" s="62" t="n"/>
      <c r="O140" s="62" t="n"/>
      <c r="P140" s="62" t="n"/>
      <c r="Q140" s="62" t="n"/>
      <c r="R140" s="62" t="n"/>
      <c r="S140" s="62" t="n"/>
      <c r="T140" s="62" t="n"/>
      <c r="U140" s="62" t="n"/>
      <c r="V140" s="62" t="n"/>
      <c r="W140" s="62" t="n"/>
      <c r="X140" s="62" t="n"/>
      <c r="Y140" s="62" t="n"/>
      <c r="Z140" s="62" t="n"/>
      <c r="AA140" s="62" t="n"/>
      <c r="AB140" s="62" t="n"/>
      <c r="AC140" s="62" t="n"/>
      <c r="AD140" s="62" t="n"/>
      <c r="AE140" s="62" t="n"/>
      <c r="AF140" s="61">
        <f>IF(COUNTIF($B$5:B140,B140)=1,1,0)</f>
        <v/>
      </c>
      <c r="AG140" s="62" t="inlineStr">
        <is>
          <t>https://www.infobae.com/colombia/2026/09/05/abelardo-de-la-espriella-anuncio-que-liquidara-las-eps-que-no-sean-viables-para-corregir-el-desastre-que-dejo-el-regimen/</t>
        </is>
      </c>
    </row>
    <row r="141">
      <c r="A141" s="62" t="inlineStr">
        <is>
          <t>ART_214</t>
        </is>
      </c>
      <c r="B141" s="62" t="inlineStr">
        <is>
          <t>ART_214_S02</t>
        </is>
      </c>
      <c r="C141" s="62" t="inlineStr">
        <is>
          <t>Infobae Colombia</t>
        </is>
      </c>
      <c r="D141" s="62" t="inlineStr">
        <is>
          <t>Salud</t>
        </is>
      </c>
      <c r="E141" s="62" t="inlineStr">
        <is>
          <t>Noticia dura</t>
        </is>
      </c>
      <c r="F141" s="62" t="inlineStr">
        <is>
          <t>2026-09-05T02:30:10Z</t>
        </is>
      </c>
      <c r="G141" s="62" t="inlineStr">
        <is>
          <t>Debido a eso, el presidente De la Espriella dejó claro que liquidará las entidades que no funcionen en el país, pues su objetivo es que se mejore cuanto antes la atención en salud, que es uno de sus frentes en los primeros meses de su gestión.</t>
        </is>
      </c>
      <c r="H141" s="62" t="inlineStr">
        <is>
          <t>Uno de los problemas que el gobierno de Abelardo de la Espriella heredó de la administración de Gustavo Petro fue la crisis de la salud, debido a la billonaria deuda de las EPS, la deficiente atención a los usuarios y las denuncias por la falta de medicamentos, en especial para pacientes con enfermedades graves.</t>
        </is>
      </c>
      <c r="I141" s="62"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J141" s="62" t="n"/>
      <c r="K141" s="62" t="n"/>
      <c r="L141" s="62" t="n"/>
      <c r="M141" s="62" t="n"/>
      <c r="N141" s="62" t="n"/>
      <c r="O141" s="62" t="n"/>
      <c r="P141" s="62" t="n"/>
      <c r="Q141" s="62" t="n"/>
      <c r="R141" s="62" t="n"/>
      <c r="S141" s="62" t="n"/>
      <c r="T141" s="62" t="n"/>
      <c r="U141" s="62" t="n"/>
      <c r="V141" s="62" t="n"/>
      <c r="W141" s="62" t="n"/>
      <c r="X141" s="62" t="n"/>
      <c r="Y141" s="62" t="n"/>
      <c r="Z141" s="62" t="n"/>
      <c r="AA141" s="62" t="n"/>
      <c r="AB141" s="62" t="n"/>
      <c r="AC141" s="62" t="n"/>
      <c r="AD141" s="62" t="n"/>
      <c r="AE141" s="62" t="n"/>
      <c r="AF141" s="61">
        <f>IF(COUNTIF($B$5:B141,B141)=1,1,0)</f>
        <v/>
      </c>
      <c r="AG141" s="62" t="inlineStr">
        <is>
          <t>https://www.infobae.com/colombia/2026/09/05/abelardo-de-la-espriella-anuncio-que-liquidara-las-eps-que-no-sean-viables-para-corregir-el-desastre-que-dejo-el-regimen/</t>
        </is>
      </c>
    </row>
    <row r="142">
      <c r="A142" s="62" t="inlineStr">
        <is>
          <t>ART_214</t>
        </is>
      </c>
      <c r="B142" s="62" t="inlineStr">
        <is>
          <t>ART_214_S03</t>
        </is>
      </c>
      <c r="C142" s="62" t="inlineStr">
        <is>
          <t>Infobae Colombia</t>
        </is>
      </c>
      <c r="D142" s="62" t="inlineStr">
        <is>
          <t>Salud</t>
        </is>
      </c>
      <c r="E142" s="62" t="inlineStr">
        <is>
          <t>Noticia dura</t>
        </is>
      </c>
      <c r="F142" s="62" t="inlineStr">
        <is>
          <t>2026-09-05T02:30:10Z</t>
        </is>
      </c>
      <c r="G142" s="62"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H142" s="62" t="inlineStr">
        <is>
          <t>Debido a eso, el presidente De la Espriella dejó claro que liquidará las entidades que no funcionen en el país, pues su objetivo es que se mejore cuanto antes la atención en salud, que es uno de sus frentes en los primeros meses de su gestión.</t>
        </is>
      </c>
      <c r="I142" s="62"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J142" s="62" t="n"/>
      <c r="K142" s="62" t="n"/>
      <c r="L142" s="62" t="n"/>
      <c r="M142" s="62" t="n"/>
      <c r="N142" s="62" t="n"/>
      <c r="O142" s="62" t="n"/>
      <c r="P142" s="62" t="n"/>
      <c r="Q142" s="62" t="n"/>
      <c r="R142" s="62" t="n"/>
      <c r="S142" s="62" t="n"/>
      <c r="T142" s="62" t="n"/>
      <c r="U142" s="62" t="n"/>
      <c r="V142" s="62" t="n"/>
      <c r="W142" s="62" t="n"/>
      <c r="X142" s="62" t="n"/>
      <c r="Y142" s="62" t="n"/>
      <c r="Z142" s="62" t="n"/>
      <c r="AA142" s="62" t="n"/>
      <c r="AB142" s="62" t="n"/>
      <c r="AC142" s="62" t="n"/>
      <c r="AD142" s="62" t="n"/>
      <c r="AE142" s="62" t="n"/>
      <c r="AF142" s="61">
        <f>IF(COUNTIF($B$5:B142,B142)=1,1,0)</f>
        <v/>
      </c>
      <c r="AG142" s="62" t="inlineStr">
        <is>
          <t>https://www.infobae.com/colombia/2026/09/05/abelardo-de-la-espriella-anuncio-que-liquidara-las-eps-que-no-sean-viables-para-corregir-el-desastre-que-dejo-el-regimen/</t>
        </is>
      </c>
    </row>
    <row r="143">
      <c r="A143" s="62" t="inlineStr">
        <is>
          <t>ART_214</t>
        </is>
      </c>
      <c r="B143" s="62" t="inlineStr">
        <is>
          <t>ART_214_S04</t>
        </is>
      </c>
      <c r="C143" s="62" t="inlineStr">
        <is>
          <t>Infobae Colombia</t>
        </is>
      </c>
      <c r="D143" s="62" t="inlineStr">
        <is>
          <t>Salud</t>
        </is>
      </c>
      <c r="E143" s="62" t="inlineStr">
        <is>
          <t>Noticia dura</t>
        </is>
      </c>
      <c r="F143" s="62" t="inlineStr">
        <is>
          <t>2026-09-05T02:30:10Z</t>
        </is>
      </c>
      <c r="G143" s="62"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H143" s="62"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I143" s="62"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J143" s="62" t="n"/>
      <c r="K143" s="62" t="n"/>
      <c r="L143" s="62" t="n"/>
      <c r="M143" s="62" t="n"/>
      <c r="N143" s="62" t="n"/>
      <c r="O143" s="62" t="n"/>
      <c r="P143" s="62" t="n"/>
      <c r="Q143" s="62" t="n"/>
      <c r="R143" s="62" t="n"/>
      <c r="S143" s="62" t="n"/>
      <c r="T143" s="62" t="n"/>
      <c r="U143" s="62" t="n"/>
      <c r="V143" s="62" t="n"/>
      <c r="W143" s="62" t="n"/>
      <c r="X143" s="62" t="n"/>
      <c r="Y143" s="62" t="n"/>
      <c r="Z143" s="62" t="n"/>
      <c r="AA143" s="62" t="n"/>
      <c r="AB143" s="62" t="n"/>
      <c r="AC143" s="62" t="n"/>
      <c r="AD143" s="62" t="n"/>
      <c r="AE143" s="62" t="n"/>
      <c r="AF143" s="61">
        <f>IF(COUNTIF($B$5:B143,B143)=1,1,0)</f>
        <v/>
      </c>
      <c r="AG143" s="62" t="inlineStr">
        <is>
          <t>https://www.infobae.com/colombia/2026/09/05/abelardo-de-la-espriella-anuncio-que-liquidara-las-eps-que-no-sean-viables-para-corregir-el-desastre-que-dejo-el-regimen/</t>
        </is>
      </c>
    </row>
    <row r="144">
      <c r="A144" s="62" t="inlineStr">
        <is>
          <t>ART_214</t>
        </is>
      </c>
      <c r="B144" s="62" t="inlineStr">
        <is>
          <t>ART_214_S05</t>
        </is>
      </c>
      <c r="C144" s="62" t="inlineStr">
        <is>
          <t>Infobae Colombia</t>
        </is>
      </c>
      <c r="D144" s="62" t="inlineStr">
        <is>
          <t>Salud</t>
        </is>
      </c>
      <c r="E144" s="62" t="inlineStr">
        <is>
          <t>Noticia dura</t>
        </is>
      </c>
      <c r="F144" s="62" t="inlineStr">
        <is>
          <t>2026-09-05T02:30:10Z</t>
        </is>
      </c>
      <c r="G144" s="62"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H144" s="62"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I144" s="62" t="inlineStr">
        <is>
          <t>De la Espriella aseguró que ese rezago se enfrentará a partir de “los casos de mayor urgencia y riesgo” y con orden financiero.</t>
        </is>
      </c>
      <c r="J144" s="62" t="n"/>
      <c r="K144" s="62" t="n"/>
      <c r="L144" s="62" t="n"/>
      <c r="M144" s="62" t="n"/>
      <c r="N144" s="62" t="n"/>
      <c r="O144" s="62" t="n"/>
      <c r="P144" s="62" t="n"/>
      <c r="Q144" s="62" t="n"/>
      <c r="R144" s="62" t="n"/>
      <c r="S144" s="62" t="n"/>
      <c r="T144" s="62" t="n"/>
      <c r="U144" s="62" t="n"/>
      <c r="V144" s="62" t="n"/>
      <c r="W144" s="62" t="n"/>
      <c r="X144" s="62" t="n"/>
      <c r="Y144" s="62" t="n"/>
      <c r="Z144" s="62" t="n"/>
      <c r="AA144" s="62" t="n"/>
      <c r="AB144" s="62" t="n"/>
      <c r="AC144" s="62" t="n"/>
      <c r="AD144" s="62" t="n"/>
      <c r="AE144" s="62" t="n"/>
      <c r="AF144" s="61">
        <f>IF(COUNTIF($B$5:B144,B144)=1,1,0)</f>
        <v/>
      </c>
      <c r="AG144" s="62" t="inlineStr">
        <is>
          <t>https://www.infobae.com/colombia/2026/09/05/abelardo-de-la-espriella-anuncio-que-liquidara-las-eps-que-no-sean-viables-para-corregir-el-desastre-que-dejo-el-regimen/</t>
        </is>
      </c>
    </row>
    <row r="145">
      <c r="A145" s="62" t="inlineStr">
        <is>
          <t>ART_214</t>
        </is>
      </c>
      <c r="B145" s="62" t="inlineStr">
        <is>
          <t>ART_214_S06</t>
        </is>
      </c>
      <c r="C145" s="62" t="inlineStr">
        <is>
          <t>Infobae Colombia</t>
        </is>
      </c>
      <c r="D145" s="62" t="inlineStr">
        <is>
          <t>Salud</t>
        </is>
      </c>
      <c r="E145" s="62" t="inlineStr">
        <is>
          <t>Noticia dura</t>
        </is>
      </c>
      <c r="F145" s="62" t="inlineStr">
        <is>
          <t>2026-09-05T02:30:10Z</t>
        </is>
      </c>
      <c r="G145" s="62" t="inlineStr">
        <is>
          <t>De la Espriella aseguró que ese rezago se enfrentará a partir de “los casos de mayor urgencia y riesgo” y con orden financiero.</t>
        </is>
      </c>
      <c r="H145" s="62"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I145" s="62" t="inlineStr">
        <is>
          <t>“El país necesita conocer con exactitud cuánto se debe, quién le debe a quién y cuál será el mecanismo para sanear esas obligaciones”, sostuvo.</t>
        </is>
      </c>
      <c r="J145" s="62" t="n"/>
      <c r="K145" s="62" t="n"/>
      <c r="L145" s="62" t="n"/>
      <c r="M145" s="62" t="n"/>
      <c r="N145" s="62" t="n"/>
      <c r="O145" s="62" t="n"/>
      <c r="P145" s="62" t="n"/>
      <c r="Q145" s="62" t="n"/>
      <c r="R145" s="62" t="n"/>
      <c r="S145" s="62" t="n"/>
      <c r="T145" s="62" t="n"/>
      <c r="U145" s="62" t="n"/>
      <c r="V145" s="62" t="n"/>
      <c r="W145" s="62" t="n"/>
      <c r="X145" s="62" t="n"/>
      <c r="Y145" s="62" t="n"/>
      <c r="Z145" s="62" t="n"/>
      <c r="AA145" s="62" t="n"/>
      <c r="AB145" s="62" t="n"/>
      <c r="AC145" s="62" t="n"/>
      <c r="AD145" s="62" t="n"/>
      <c r="AE145" s="62" t="n"/>
      <c r="AF145" s="61">
        <f>IF(COUNTIF($B$5:B145,B145)=1,1,0)</f>
        <v/>
      </c>
      <c r="AG145" s="62" t="inlineStr">
        <is>
          <t>https://www.infobae.com/colombia/2026/09/05/abelardo-de-la-espriella-anuncio-que-liquidara-las-eps-que-no-sean-viables-para-corregir-el-desastre-que-dejo-el-regimen/</t>
        </is>
      </c>
    </row>
    <row r="146">
      <c r="A146" s="62" t="inlineStr">
        <is>
          <t>ART_214</t>
        </is>
      </c>
      <c r="B146" s="62" t="inlineStr">
        <is>
          <t>ART_214_S07</t>
        </is>
      </c>
      <c r="C146" s="62" t="inlineStr">
        <is>
          <t>Infobae Colombia</t>
        </is>
      </c>
      <c r="D146" s="62" t="inlineStr">
        <is>
          <t>Salud</t>
        </is>
      </c>
      <c r="E146" s="62" t="inlineStr">
        <is>
          <t>Noticia dura</t>
        </is>
      </c>
      <c r="F146" s="62" t="inlineStr">
        <is>
          <t>2026-09-05T02:30:10Z</t>
        </is>
      </c>
      <c r="G146" s="62" t="inlineStr">
        <is>
          <t>“El país necesita conocer con exactitud cuánto se debe, quién le debe a quién y cuál será el mecanismo para sanear esas obligaciones”, sostuvo.</t>
        </is>
      </c>
      <c r="H146" s="62" t="inlineStr">
        <is>
          <t>De la Espriella aseguró que ese rezago se enfrentará a partir de “los casos de mayor urgencia y riesgo” y con orden financiero.</t>
        </is>
      </c>
      <c r="I146" s="62" t="inlineStr">
        <is>
          <t>El mandatario agregó que la ministra de Salud, Ana María Vesga, está concentrada en la situación del sector, y afirmó: “En 30 días se han visto soluciones y vamos a seguir llevándole soluciones a nuestra gente en todos los rincones del país”.</t>
        </is>
      </c>
      <c r="J146" s="62" t="n"/>
      <c r="K146" s="62" t="n"/>
      <c r="L146" s="62" t="n"/>
      <c r="M146" s="62" t="n"/>
      <c r="N146" s="62" t="n"/>
      <c r="O146" s="62" t="n"/>
      <c r="P146" s="62" t="n"/>
      <c r="Q146" s="62" t="n"/>
      <c r="R146" s="62" t="n"/>
      <c r="S146" s="62" t="n"/>
      <c r="T146" s="62" t="n"/>
      <c r="U146" s="62" t="n"/>
      <c r="V146" s="62" t="n"/>
      <c r="W146" s="62" t="n"/>
      <c r="X146" s="62" t="n"/>
      <c r="Y146" s="62" t="n"/>
      <c r="Z146" s="62" t="n"/>
      <c r="AA146" s="62" t="n"/>
      <c r="AB146" s="62" t="n"/>
      <c r="AC146" s="62" t="n"/>
      <c r="AD146" s="62" t="n"/>
      <c r="AE146" s="62" t="n"/>
      <c r="AF146" s="61">
        <f>IF(COUNTIF($B$5:B146,B146)=1,1,0)</f>
        <v/>
      </c>
      <c r="AG146" s="62" t="inlineStr">
        <is>
          <t>https://www.infobae.com/colombia/2026/09/05/abelardo-de-la-espriella-anuncio-que-liquidara-las-eps-que-no-sean-viables-para-corregir-el-desastre-que-dejo-el-regimen/</t>
        </is>
      </c>
    </row>
    <row r="147">
      <c r="A147" s="62" t="inlineStr">
        <is>
          <t>ART_214</t>
        </is>
      </c>
      <c r="B147" s="62" t="inlineStr">
        <is>
          <t>ART_214_S08</t>
        </is>
      </c>
      <c r="C147" s="62" t="inlineStr">
        <is>
          <t>Infobae Colombia</t>
        </is>
      </c>
      <c r="D147" s="62" t="inlineStr">
        <is>
          <t>Salud</t>
        </is>
      </c>
      <c r="E147" s="62" t="inlineStr">
        <is>
          <t>Noticia dura</t>
        </is>
      </c>
      <c r="F147" s="62" t="inlineStr">
        <is>
          <t>2026-09-05T02:30:10Z</t>
        </is>
      </c>
      <c r="G147" s="62" t="inlineStr">
        <is>
          <t>El mandatario agregó que la ministra de Salud, Ana María Vesga, está concentrada en la situación del sector, y afirmó: “En 30 días se han visto soluciones y vamos a seguir llevándole soluciones a nuestra gente en todos los rincones del país”.</t>
        </is>
      </c>
      <c r="H147" s="62" t="inlineStr">
        <is>
          <t>“El país necesita conocer con exactitud cuánto se debe, quién le debe a quién y cuál será el mecanismo para sanear esas obligaciones”, sostuvo.</t>
        </is>
      </c>
      <c r="I147" s="62" t="inlineStr">
        <is>
          <t>El jefe de Estado señaló que la financiación de la salud se calculará con “criterios técnicos” y contemplará diferencias territoriales, al sostener que el costo de prestar servicios en una gran ciudad no es el mismo que en una zona apartada.</t>
        </is>
      </c>
      <c r="J147" s="62" t="n"/>
      <c r="K147" s="62" t="n"/>
      <c r="L147" s="62" t="n"/>
      <c r="M147" s="62" t="n"/>
      <c r="N147" s="62" t="n"/>
      <c r="O147" s="62" t="n"/>
      <c r="P147" s="62" t="n"/>
      <c r="Q147" s="62" t="n"/>
      <c r="R147" s="62" t="n"/>
      <c r="S147" s="62" t="n"/>
      <c r="T147" s="62" t="n"/>
      <c r="U147" s="62" t="n"/>
      <c r="V147" s="62" t="n"/>
      <c r="W147" s="62" t="n"/>
      <c r="X147" s="62" t="n"/>
      <c r="Y147" s="62" t="n"/>
      <c r="Z147" s="62" t="n"/>
      <c r="AA147" s="62" t="n"/>
      <c r="AB147" s="62" t="n"/>
      <c r="AC147" s="62" t="n"/>
      <c r="AD147" s="62" t="n"/>
      <c r="AE147" s="62" t="n"/>
      <c r="AF147" s="61">
        <f>IF(COUNTIF($B$5:B147,B147)=1,1,0)</f>
        <v/>
      </c>
      <c r="AG147" s="62" t="inlineStr">
        <is>
          <t>https://www.infobae.com/colombia/2026/09/05/abelardo-de-la-espriella-anuncio-que-liquidara-las-eps-que-no-sean-viables-para-corregir-el-desastre-que-dejo-el-regimen/</t>
        </is>
      </c>
    </row>
    <row r="148">
      <c r="A148" s="62" t="inlineStr">
        <is>
          <t>ART_214</t>
        </is>
      </c>
      <c r="B148" s="62" t="inlineStr">
        <is>
          <t>ART_214_S09</t>
        </is>
      </c>
      <c r="C148" s="62" t="inlineStr">
        <is>
          <t>Infobae Colombia</t>
        </is>
      </c>
      <c r="D148" s="62" t="inlineStr">
        <is>
          <t>Salud</t>
        </is>
      </c>
      <c r="E148" s="62" t="inlineStr">
        <is>
          <t>Noticia dura</t>
        </is>
      </c>
      <c r="F148" s="62" t="inlineStr">
        <is>
          <t>2026-09-05T02:30:10Z</t>
        </is>
      </c>
      <c r="G148" s="62" t="inlineStr">
        <is>
          <t>El jefe de Estado señaló que la financiación de la salud se calculará con “criterios técnicos” y contemplará diferencias territoriales, al sostener que el costo de prestar servicios en una gran ciudad no es el mismo que en una zona apartada.</t>
        </is>
      </c>
      <c r="H148" s="62" t="inlineStr">
        <is>
          <t>El mandatario agregó que la ministra de Salud, Ana María Vesga, está concentrada en la situación del sector, y afirmó: “En 30 días se han visto soluciones y vamos a seguir llevándole soluciones a nuestra gente en todos los rincones del país”.</t>
        </is>
      </c>
      <c r="I148" s="62" t="inlineStr">
        <is>
          <t>Además, anunció que su política buscará fortalecer la prevención y la atención primaria, con “mejores controles” sobre los recursos, condiciones dignas para el personal sanitario y “una lucha frontal contra la corrupción”.</t>
        </is>
      </c>
      <c r="J148" s="62" t="n"/>
      <c r="K148" s="62" t="n"/>
      <c r="L148" s="62" t="n"/>
      <c r="M148" s="62" t="n"/>
      <c r="N148" s="62" t="n"/>
      <c r="O148" s="62" t="n"/>
      <c r="P148" s="62" t="n"/>
      <c r="Q148" s="62" t="n"/>
      <c r="R148" s="62" t="n"/>
      <c r="S148" s="62" t="n"/>
      <c r="T148" s="62" t="n"/>
      <c r="U148" s="62" t="n"/>
      <c r="V148" s="62" t="n"/>
      <c r="W148" s="62" t="n"/>
      <c r="X148" s="62" t="n"/>
      <c r="Y148" s="62" t="n"/>
      <c r="Z148" s="62" t="n"/>
      <c r="AA148" s="62" t="n"/>
      <c r="AB148" s="62" t="n"/>
      <c r="AC148" s="62" t="n"/>
      <c r="AD148" s="62" t="n"/>
      <c r="AE148" s="62" t="n"/>
      <c r="AF148" s="61">
        <f>IF(COUNTIF($B$5:B148,B148)=1,1,0)</f>
        <v/>
      </c>
      <c r="AG148" s="62" t="inlineStr">
        <is>
          <t>https://www.infobae.com/colombia/2026/09/05/abelardo-de-la-espriella-anuncio-que-liquidara-las-eps-que-no-sean-viables-para-corregir-el-desastre-que-dejo-el-regimen/</t>
        </is>
      </c>
    </row>
    <row r="149">
      <c r="A149" s="62" t="inlineStr">
        <is>
          <t>ART_214</t>
        </is>
      </c>
      <c r="B149" s="62" t="inlineStr">
        <is>
          <t>ART_214_S10</t>
        </is>
      </c>
      <c r="C149" s="62" t="inlineStr">
        <is>
          <t>Infobae Colombia</t>
        </is>
      </c>
      <c r="D149" s="62" t="inlineStr">
        <is>
          <t>Salud</t>
        </is>
      </c>
      <c r="E149" s="62" t="inlineStr">
        <is>
          <t>Noticia dura</t>
        </is>
      </c>
      <c r="F149" s="62" t="inlineStr">
        <is>
          <t>2026-09-05T02:30:10Z</t>
        </is>
      </c>
      <c r="G149" s="62" t="inlineStr">
        <is>
          <t>Además, anunció que su política buscará fortalecer la prevención y la atención primaria, con “mejores controles” sobre los recursos, condiciones dignas para el personal sanitario y “una lucha frontal contra la corrupción”.</t>
        </is>
      </c>
      <c r="H149" s="62" t="inlineStr">
        <is>
          <t>El jefe de Estado señaló que la financiación de la salud se calculará con “criterios técnicos” y contemplará diferencias territoriales, al sostener que el costo de prestar servicios en una gran ciudad no es el mismo que en una zona apartada.</t>
        </is>
      </c>
      <c r="I149" s="62" t="n"/>
      <c r="J149" s="62" t="n"/>
      <c r="K149" s="62" t="n"/>
      <c r="L149" s="62" t="n"/>
      <c r="M149" s="62" t="n"/>
      <c r="N149" s="62" t="n"/>
      <c r="O149" s="62" t="n"/>
      <c r="P149" s="62" t="n"/>
      <c r="Q149" s="62" t="n"/>
      <c r="R149" s="62" t="n"/>
      <c r="S149" s="62" t="n"/>
      <c r="T149" s="62" t="n"/>
      <c r="U149" s="62" t="n"/>
      <c r="V149" s="62" t="n"/>
      <c r="W149" s="62" t="n"/>
      <c r="X149" s="62" t="n"/>
      <c r="Y149" s="62" t="n"/>
      <c r="Z149" s="62" t="n"/>
      <c r="AA149" s="62" t="n"/>
      <c r="AB149" s="62" t="n"/>
      <c r="AC149" s="62" t="n"/>
      <c r="AD149" s="62" t="n"/>
      <c r="AE149" s="62" t="n"/>
      <c r="AF149" s="61">
        <f>IF(COUNTIF($B$5:B149,B149)=1,1,0)</f>
        <v/>
      </c>
      <c r="AG149" s="62" t="inlineStr">
        <is>
          <t>https://www.infobae.com/colombia/2026/09/05/abelardo-de-la-espriella-anuncio-que-liquidara-las-eps-que-no-sean-viables-para-corregir-el-desastre-que-dejo-el-regimen/</t>
        </is>
      </c>
    </row>
    <row r="150">
      <c r="A150" s="62" t="inlineStr">
        <is>
          <t>ART_215</t>
        </is>
      </c>
      <c r="B150" s="62" t="inlineStr">
        <is>
          <t>ART_215_S01</t>
        </is>
      </c>
      <c r="C150" s="62" t="inlineStr">
        <is>
          <t>Infobae Colombia</t>
        </is>
      </c>
      <c r="D150" s="62" t="inlineStr">
        <is>
          <t>Salud</t>
        </is>
      </c>
      <c r="E150" s="62" t="inlineStr">
        <is>
          <t>Noticia dura</t>
        </is>
      </c>
      <c r="F150" s="62" t="inlineStr">
        <is>
          <t>2026-09-06T19:19:19Z</t>
        </is>
      </c>
      <c r="G150" s="62" t="inlineStr">
        <is>
          <t>La ministra de Salud, Ana María Vesga, aseguró en su cuenta oficial de X que el Gobierno de Gustavo Petro dejó una crisis humanitaria, financiera y operativa en el sistema de salud de Colombia.</t>
        </is>
      </c>
      <c r="H150" s="62" t="n"/>
      <c r="I150" s="62" t="inlineStr">
        <is>
          <t>En su mensaje, la funcionaria pidió no olvidar cómo recibieron el sistema de salud el pasado 7 de agosto de 2026.</t>
        </is>
      </c>
      <c r="J150" s="62" t="n"/>
      <c r="K150" s="62" t="n"/>
      <c r="L150" s="62" t="n"/>
      <c r="M150" s="62" t="n"/>
      <c r="N150" s="62" t="n"/>
      <c r="O150" s="62" t="n"/>
      <c r="P150" s="62" t="n"/>
      <c r="Q150" s="62" t="n"/>
      <c r="R150" s="62" t="n"/>
      <c r="S150" s="62" t="n"/>
      <c r="T150" s="62" t="n"/>
      <c r="U150" s="62" t="n"/>
      <c r="V150" s="62" t="n"/>
      <c r="W150" s="62" t="n"/>
      <c r="X150" s="62" t="n"/>
      <c r="Y150" s="62" t="n"/>
      <c r="Z150" s="62" t="n"/>
      <c r="AA150" s="62" t="n"/>
      <c r="AB150" s="62" t="n"/>
      <c r="AC150" s="62" t="n"/>
      <c r="AD150" s="62" t="n"/>
      <c r="AE150" s="62" t="n"/>
      <c r="AF150" s="61">
        <f>IF(COUNTIF($B$5:B150,B150)=1,1,0)</f>
        <v/>
      </c>
      <c r="AG150" s="62" t="inlineStr">
        <is>
          <t>https://www.infobae.com/colombia/2026/09/06/ministra-de-salud-aseguro-que-gobierno-petro-dejo-el-sistema-en-crisis-humanitaria-financiera-y-operativa-sin-hablar-de-la-invasion-politica/</t>
        </is>
      </c>
    </row>
    <row r="151">
      <c r="A151" s="62" t="inlineStr">
        <is>
          <t>ART_215</t>
        </is>
      </c>
      <c r="B151" s="62" t="inlineStr">
        <is>
          <t>ART_215_S02</t>
        </is>
      </c>
      <c r="C151" s="62" t="inlineStr">
        <is>
          <t>Infobae Colombia</t>
        </is>
      </c>
      <c r="D151" s="62" t="inlineStr">
        <is>
          <t>Salud</t>
        </is>
      </c>
      <c r="E151" s="62" t="inlineStr">
        <is>
          <t>Noticia dura</t>
        </is>
      </c>
      <c r="F151" s="62" t="inlineStr">
        <is>
          <t>2026-09-06T19:19:19Z</t>
        </is>
      </c>
      <c r="G151" s="62" t="inlineStr">
        <is>
          <t>En su mensaje, la funcionaria pidió no olvidar cómo recibieron el sistema de salud el pasado 7 de agosto de 2026.</t>
        </is>
      </c>
      <c r="H151" s="62" t="inlineStr">
        <is>
          <t>La ministra de Salud, Ana María Vesga, aseguró en su cuenta oficial de X que el Gobierno de Gustavo Petro dejó una crisis humanitaria, financiera y operativa en el sistema de salud de Colombia.</t>
        </is>
      </c>
      <c r="I151" s="62" t="inlineStr">
        <is>
          <t>Según afirmó, miles de pacientes estaban desatendidos y se registraban deudas billonarias con hospitales, clínicas y proveedores de medicamentos.</t>
        </is>
      </c>
      <c r="J151" s="62" t="n"/>
      <c r="K151" s="62" t="n"/>
      <c r="L151" s="62" t="n"/>
      <c r="M151" s="62" t="n"/>
      <c r="N151" s="62" t="n"/>
      <c r="O151" s="62" t="n"/>
      <c r="P151" s="62" t="n"/>
      <c r="Q151" s="62" t="n"/>
      <c r="R151" s="62" t="n"/>
      <c r="S151" s="62" t="n"/>
      <c r="T151" s="62" t="n"/>
      <c r="U151" s="62" t="n"/>
      <c r="V151" s="62" t="n"/>
      <c r="W151" s="62" t="n"/>
      <c r="X151" s="62" t="n"/>
      <c r="Y151" s="62" t="n"/>
      <c r="Z151" s="62" t="n"/>
      <c r="AA151" s="62" t="n"/>
      <c r="AB151" s="62" t="n"/>
      <c r="AC151" s="62" t="n"/>
      <c r="AD151" s="62" t="n"/>
      <c r="AE151" s="62" t="n"/>
      <c r="AF151" s="61">
        <f>IF(COUNTIF($B$5:B151,B151)=1,1,0)</f>
        <v/>
      </c>
      <c r="AG151" s="62" t="inlineStr">
        <is>
          <t>https://www.infobae.com/colombia/2026/09/06/ministra-de-salud-aseguro-que-gobierno-petro-dejo-el-sistema-en-crisis-humanitaria-financiera-y-operativa-sin-hablar-de-la-invasion-politica/</t>
        </is>
      </c>
    </row>
    <row r="152">
      <c r="A152" s="62" t="inlineStr">
        <is>
          <t>ART_215</t>
        </is>
      </c>
      <c r="B152" s="62" t="inlineStr">
        <is>
          <t>ART_215_S03</t>
        </is>
      </c>
      <c r="C152" s="62" t="inlineStr">
        <is>
          <t>Infobae Colombia</t>
        </is>
      </c>
      <c r="D152" s="62" t="inlineStr">
        <is>
          <t>Salud</t>
        </is>
      </c>
      <c r="E152" s="62" t="inlineStr">
        <is>
          <t>Noticia dura</t>
        </is>
      </c>
      <c r="F152" s="62" t="inlineStr">
        <is>
          <t>2026-09-06T19:19:19Z</t>
        </is>
      </c>
      <c r="G152" s="62" t="inlineStr">
        <is>
          <t>Según afirmó, miles de pacientes estaban desatendidos y se registraban deudas billonarias con hospitales, clínicas y proveedores de medicamentos.</t>
        </is>
      </c>
      <c r="H152" s="62" t="inlineStr">
        <is>
          <t>En su mensaje, la funcionaria pidió no olvidar cómo recibieron el sistema de salud el pasado 7 de agosto de 2026.</t>
        </is>
      </c>
      <c r="I152" s="62" t="inlineStr">
        <is>
          <t>“No olvidemos el sistema de salud que recibimos el 7 de agosto: miles de pacientes desatendidos, muchos de ellos críticos; deudas billonarias con hospitales, clínicas y proveedores de medicamentos (sic)”, expresó Vesga.</t>
        </is>
      </c>
      <c r="J152" s="62" t="n"/>
      <c r="K152" s="62" t="n"/>
      <c r="L152" s="62" t="n"/>
      <c r="M152" s="62" t="n"/>
      <c r="N152" s="62" t="n"/>
      <c r="O152" s="62" t="n"/>
      <c r="P152" s="62" t="n"/>
      <c r="Q152" s="62" t="n"/>
      <c r="R152" s="62" t="n"/>
      <c r="S152" s="62" t="n"/>
      <c r="T152" s="62" t="n"/>
      <c r="U152" s="62" t="n"/>
      <c r="V152" s="62" t="n"/>
      <c r="W152" s="62" t="n"/>
      <c r="X152" s="62" t="n"/>
      <c r="Y152" s="62" t="n"/>
      <c r="Z152" s="62" t="n"/>
      <c r="AA152" s="62" t="n"/>
      <c r="AB152" s="62" t="n"/>
      <c r="AC152" s="62" t="n"/>
      <c r="AD152" s="62" t="n"/>
      <c r="AE152" s="62" t="n"/>
      <c r="AF152" s="61">
        <f>IF(COUNTIF($B$5:B152,B152)=1,1,0)</f>
        <v/>
      </c>
      <c r="AG152" s="62" t="inlineStr">
        <is>
          <t>https://www.infobae.com/colombia/2026/09/06/ministra-de-salud-aseguro-que-gobierno-petro-dejo-el-sistema-en-crisis-humanitaria-financiera-y-operativa-sin-hablar-de-la-invasion-politica/</t>
        </is>
      </c>
    </row>
    <row r="153">
      <c r="A153" s="62" t="inlineStr">
        <is>
          <t>ART_215</t>
        </is>
      </c>
      <c r="B153" s="62" t="inlineStr">
        <is>
          <t>ART_215_S04</t>
        </is>
      </c>
      <c r="C153" s="62" t="inlineStr">
        <is>
          <t>Infobae Colombia</t>
        </is>
      </c>
      <c r="D153" s="62" t="inlineStr">
        <is>
          <t>Salud</t>
        </is>
      </c>
      <c r="E153" s="62" t="inlineStr">
        <is>
          <t>Noticia dura</t>
        </is>
      </c>
      <c r="F153" s="62" t="inlineStr">
        <is>
          <t>2026-09-06T19:19:19Z</t>
        </is>
      </c>
      <c r="G153" s="62" t="inlineStr">
        <is>
          <t>“No olvidemos el sistema de salud que recibimos el 7 de agosto: miles de pacientes desatendidos, muchos de ellos críticos; deudas billonarias con hospitales, clínicas y proveedores de medicamentos (sic)”, expresó Vesga.</t>
        </is>
      </c>
      <c r="H153" s="62" t="inlineStr">
        <is>
          <t>Según afirmó, miles de pacientes estaban desatendidos y se registraban deudas billonarias con hospitales, clínicas y proveedores de medicamentos.</t>
        </is>
      </c>
      <c r="I153" s="62" t="inlineStr">
        <is>
          <t>Asimismo, indicó que, durante la administración de Gustavo Petro, se intervinieron siete EPS que, según sus declaraciones, tenían más de 22 millones de afiliados que recibían “una atención deficiente”.</t>
        </is>
      </c>
      <c r="J153" s="62" t="n"/>
      <c r="K153" s="62" t="n"/>
      <c r="L153" s="62" t="n"/>
      <c r="M153" s="62" t="n"/>
      <c r="N153" s="62" t="n"/>
      <c r="O153" s="62" t="n"/>
      <c r="P153" s="62" t="n"/>
      <c r="Q153" s="62" t="n"/>
      <c r="R153" s="62" t="n"/>
      <c r="S153" s="62" t="n"/>
      <c r="T153" s="62" t="n"/>
      <c r="U153" s="62" t="n"/>
      <c r="V153" s="62" t="n"/>
      <c r="W153" s="62" t="n"/>
      <c r="X153" s="62" t="n"/>
      <c r="Y153" s="62" t="n"/>
      <c r="Z153" s="62" t="n"/>
      <c r="AA153" s="62" t="n"/>
      <c r="AB153" s="62" t="n"/>
      <c r="AC153" s="62" t="n"/>
      <c r="AD153" s="62" t="n"/>
      <c r="AE153" s="62" t="n"/>
      <c r="AF153" s="61">
        <f>IF(COUNTIF($B$5:B153,B153)=1,1,0)</f>
        <v/>
      </c>
      <c r="AG153" s="62" t="inlineStr">
        <is>
          <t>https://www.infobae.com/colombia/2026/09/06/ministra-de-salud-aseguro-que-gobierno-petro-dejo-el-sistema-en-crisis-humanitaria-financiera-y-operativa-sin-hablar-de-la-invasion-politica/</t>
        </is>
      </c>
    </row>
    <row r="154">
      <c r="A154" s="62" t="inlineStr">
        <is>
          <t>ART_215</t>
        </is>
      </c>
      <c r="B154" s="62" t="inlineStr">
        <is>
          <t>ART_215_S05</t>
        </is>
      </c>
      <c r="C154" s="62" t="inlineStr">
        <is>
          <t>Infobae Colombia</t>
        </is>
      </c>
      <c r="D154" s="62" t="inlineStr">
        <is>
          <t>Salud</t>
        </is>
      </c>
      <c r="E154" s="62" t="inlineStr">
        <is>
          <t>Noticia dura</t>
        </is>
      </c>
      <c r="F154" s="62" t="inlineStr">
        <is>
          <t>2026-09-06T19:19:19Z</t>
        </is>
      </c>
      <c r="G154" s="62" t="inlineStr">
        <is>
          <t>Asimismo, indicó que, durante la administración de Gustavo Petro, se intervinieron siete EPS que, según sus declaraciones, tenían más de 22 millones de afiliados que recibían “una atención deficiente”.</t>
        </is>
      </c>
      <c r="H154" s="62" t="inlineStr">
        <is>
          <t>“No olvidemos el sistema de salud que recibimos el 7 de agosto: miles de pacientes desatendidos, muchos de ellos críticos; deudas billonarias con hospitales, clínicas y proveedores de medicamentos (sic)”, expresó Vesga.</t>
        </is>
      </c>
      <c r="I154" s="62" t="inlineStr">
        <is>
          <t>Según Ana María Vesga, se desató una crisis humanitaria, financiera y operativa.</t>
        </is>
      </c>
      <c r="J154" s="62" t="n"/>
      <c r="K154" s="62" t="n"/>
      <c r="L154" s="62" t="n"/>
      <c r="M154" s="62" t="n"/>
      <c r="N154" s="62" t="n"/>
      <c r="O154" s="62" t="n"/>
      <c r="P154" s="62" t="n"/>
      <c r="Q154" s="62" t="n"/>
      <c r="R154" s="62" t="n"/>
      <c r="S154" s="62" t="n"/>
      <c r="T154" s="62" t="n"/>
      <c r="U154" s="62" t="n"/>
      <c r="V154" s="62" t="n"/>
      <c r="W154" s="62" t="n"/>
      <c r="X154" s="62" t="n"/>
      <c r="Y154" s="62" t="n"/>
      <c r="Z154" s="62" t="n"/>
      <c r="AA154" s="62" t="n"/>
      <c r="AB154" s="62" t="n"/>
      <c r="AC154" s="62" t="n"/>
      <c r="AD154" s="62" t="n"/>
      <c r="AE154" s="62" t="n"/>
      <c r="AF154" s="61">
        <f>IF(COUNTIF($B$5:B154,B154)=1,1,0)</f>
        <v/>
      </c>
      <c r="AG154" s="62" t="inlineStr">
        <is>
          <t>https://www.infobae.com/colombia/2026/09/06/ministra-de-salud-aseguro-que-gobierno-petro-dejo-el-sistema-en-crisis-humanitaria-financiera-y-operativa-sin-hablar-de-la-invasion-politica/</t>
        </is>
      </c>
    </row>
    <row r="155">
      <c r="A155" s="62" t="inlineStr">
        <is>
          <t>ART_215</t>
        </is>
      </c>
      <c r="B155" s="62" t="inlineStr">
        <is>
          <t>ART_215_S06</t>
        </is>
      </c>
      <c r="C155" s="62" t="inlineStr">
        <is>
          <t>Infobae Colombia</t>
        </is>
      </c>
      <c r="D155" s="62" t="inlineStr">
        <is>
          <t>Salud</t>
        </is>
      </c>
      <c r="E155" s="62" t="inlineStr">
        <is>
          <t>Noticia dura</t>
        </is>
      </c>
      <c r="F155" s="62" t="inlineStr">
        <is>
          <t>2026-09-06T19:19:19Z</t>
        </is>
      </c>
      <c r="G155" s="62" t="inlineStr">
        <is>
          <t>Según Ana María Vesga, se desató una crisis humanitaria, financiera y operativa.</t>
        </is>
      </c>
      <c r="H155" s="62" t="inlineStr">
        <is>
          <t>Asimismo, indicó que, durante la administración de Gustavo Petro, se intervinieron siete EPS que, según sus declaraciones, tenían más de 22 millones de afiliados que recibían “una atención deficiente”.</t>
        </is>
      </c>
      <c r="I155" s="62" t="inlineStr">
        <is>
          <t>La ministra de Salud también denunció una supuesta “invasión política” en las instituciones encargadas de la salud en Colombia y un “derroche presupuestal”.</t>
        </is>
      </c>
      <c r="J155" s="62" t="n"/>
      <c r="K155" s="62" t="n"/>
      <c r="L155" s="62" t="n"/>
      <c r="M155" s="62" t="n"/>
      <c r="N155" s="62" t="n"/>
      <c r="O155" s="62" t="n"/>
      <c r="P155" s="62" t="n"/>
      <c r="Q155" s="62" t="n"/>
      <c r="R155" s="62" t="n"/>
      <c r="S155" s="62" t="n"/>
      <c r="T155" s="62" t="n"/>
      <c r="U155" s="62" t="n"/>
      <c r="V155" s="62" t="n"/>
      <c r="W155" s="62" t="n"/>
      <c r="X155" s="62" t="n"/>
      <c r="Y155" s="62" t="n"/>
      <c r="Z155" s="62" t="n"/>
      <c r="AA155" s="62" t="n"/>
      <c r="AB155" s="62" t="n"/>
      <c r="AC155" s="62" t="n"/>
      <c r="AD155" s="62" t="n"/>
      <c r="AE155" s="62" t="n"/>
      <c r="AF155" s="61">
        <f>IF(COUNTIF($B$5:B155,B155)=1,1,0)</f>
        <v/>
      </c>
      <c r="AG155" s="62" t="inlineStr">
        <is>
          <t>https://www.infobae.com/colombia/2026/09/06/ministra-de-salud-aseguro-que-gobierno-petro-dejo-el-sistema-en-crisis-humanitaria-financiera-y-operativa-sin-hablar-de-la-invasion-politica/</t>
        </is>
      </c>
    </row>
    <row r="156">
      <c r="A156" s="62" t="inlineStr">
        <is>
          <t>ART_215</t>
        </is>
      </c>
      <c r="B156" s="62" t="inlineStr">
        <is>
          <t>ART_215_S07</t>
        </is>
      </c>
      <c r="C156" s="62" t="inlineStr">
        <is>
          <t>Infobae Colombia</t>
        </is>
      </c>
      <c r="D156" s="62" t="inlineStr">
        <is>
          <t>Salud</t>
        </is>
      </c>
      <c r="E156" s="62" t="inlineStr">
        <is>
          <t>Noticia dura</t>
        </is>
      </c>
      <c r="F156" s="62" t="inlineStr">
        <is>
          <t>2026-09-06T19:19:19Z</t>
        </is>
      </c>
      <c r="G156" s="62" t="inlineStr">
        <is>
          <t>La ministra de Salud también denunció una supuesta “invasión política” en las instituciones encargadas de la salud en Colombia y un “derroche presupuestal”.</t>
        </is>
      </c>
      <c r="H156" s="62" t="inlineStr">
        <is>
          <t>Según Ana María Vesga, se desató una crisis humanitaria, financiera y operativa.</t>
        </is>
      </c>
      <c r="I156" s="62" t="inlineStr">
        <is>
          <t>“Siete EPS intervenidas, con más de 22 millones de afiliados que recibían una atención deficiente.</t>
        </is>
      </c>
      <c r="J156" s="62" t="n"/>
      <c r="K156" s="62" t="n"/>
      <c r="L156" s="62" t="n"/>
      <c r="M156" s="62" t="n"/>
      <c r="N156" s="62" t="n"/>
      <c r="O156" s="62" t="n"/>
      <c r="P156" s="62" t="n"/>
      <c r="Q156" s="62" t="n"/>
      <c r="R156" s="62" t="n"/>
      <c r="S156" s="62" t="n"/>
      <c r="T156" s="62" t="n"/>
      <c r="U156" s="62" t="n"/>
      <c r="V156" s="62" t="n"/>
      <c r="W156" s="62" t="n"/>
      <c r="X156" s="62" t="n"/>
      <c r="Y156" s="62" t="n"/>
      <c r="Z156" s="62" t="n"/>
      <c r="AA156" s="62" t="n"/>
      <c r="AB156" s="62" t="n"/>
      <c r="AC156" s="62" t="n"/>
      <c r="AD156" s="62" t="n"/>
      <c r="AE156" s="62" t="n"/>
      <c r="AF156" s="61">
        <f>IF(COUNTIF($B$5:B156,B156)=1,1,0)</f>
        <v/>
      </c>
      <c r="AG156" s="62" t="inlineStr">
        <is>
          <t>https://www.infobae.com/colombia/2026/09/06/ministra-de-salud-aseguro-que-gobierno-petro-dejo-el-sistema-en-crisis-humanitaria-financiera-y-operativa-sin-hablar-de-la-invasion-politica/</t>
        </is>
      </c>
    </row>
    <row r="157">
      <c r="A157" s="62" t="inlineStr">
        <is>
          <t>ART_215</t>
        </is>
      </c>
      <c r="B157" s="62" t="inlineStr">
        <is>
          <t>ART_215_S08</t>
        </is>
      </c>
      <c r="C157" s="62" t="inlineStr">
        <is>
          <t>Infobae Colombia</t>
        </is>
      </c>
      <c r="D157" s="62" t="inlineStr">
        <is>
          <t>Salud</t>
        </is>
      </c>
      <c r="E157" s="62" t="inlineStr">
        <is>
          <t>Noticia dura</t>
        </is>
      </c>
      <c r="F157" s="62" t="inlineStr">
        <is>
          <t>2026-09-06T19:19:19Z</t>
        </is>
      </c>
      <c r="G157" s="62" t="inlineStr">
        <is>
          <t>“Siete EPS intervenidas, con más de 22 millones de afiliados que recibían una atención deficiente.</t>
        </is>
      </c>
      <c r="H157" s="62" t="inlineStr">
        <is>
          <t>La ministra de Salud también denunció una supuesta “invasión política” en las instituciones encargadas de la salud en Colombia y un “derroche presupuestal”.</t>
        </is>
      </c>
      <c r="I157" s="62" t="n"/>
      <c r="J157" s="62" t="n"/>
      <c r="K157" s="62" t="n"/>
      <c r="L157" s="62" t="n"/>
      <c r="M157" s="62" t="n"/>
      <c r="N157" s="62" t="n"/>
      <c r="O157" s="62" t="n"/>
      <c r="P157" s="62" t="n"/>
      <c r="Q157" s="62" t="n"/>
      <c r="R157" s="62" t="n"/>
      <c r="S157" s="62" t="n"/>
      <c r="T157" s="62" t="n"/>
      <c r="U157" s="62" t="n"/>
      <c r="V157" s="62" t="n"/>
      <c r="W157" s="62" t="n"/>
      <c r="X157" s="62" t="n"/>
      <c r="Y157" s="62" t="n"/>
      <c r="Z157" s="62" t="n"/>
      <c r="AA157" s="62" t="n"/>
      <c r="AB157" s="62" t="n"/>
      <c r="AC157" s="62" t="n"/>
      <c r="AD157" s="62" t="n"/>
      <c r="AE157" s="62" t="n"/>
      <c r="AF157" s="61">
        <f>IF(COUNTIF($B$5:B157,B157)=1,1,0)</f>
        <v/>
      </c>
      <c r="AG157" s="62" t="inlineStr">
        <is>
          <t>https://www.infobae.com/colombia/2026/09/06/ministra-de-salud-aseguro-que-gobierno-petro-dejo-el-sistema-en-crisis-humanitaria-financiera-y-operativa-sin-hablar-de-la-invasion-politica/</t>
        </is>
      </c>
    </row>
    <row r="158">
      <c r="A158" s="62" t="inlineStr">
        <is>
          <t>ART_221</t>
        </is>
      </c>
      <c r="B158" s="62" t="inlineStr">
        <is>
          <t>ART_221_S01</t>
        </is>
      </c>
      <c r="C158" s="62" t="inlineStr">
        <is>
          <t>El Tiempo</t>
        </is>
      </c>
      <c r="D158" s="62" t="inlineStr">
        <is>
          <t>Salud</t>
        </is>
      </c>
      <c r="E158" s="62" t="inlineStr">
        <is>
          <t>Noticia dura</t>
        </is>
      </c>
      <c r="F158" s="62" t="inlineStr">
        <is>
          <t>2026-01-22T16:35:02-05:00</t>
        </is>
      </c>
      <c r="G158" s="62" t="inlineStr">
        <is>
          <t>La posibilidad de una liquidación generalizada y acelerada de las Entidades Promotoras de Salud (EPS), planteada por el presidente Gustavo Petro, encendieron una nueva alarma en el ya tensionado sistema de salud colombiano.</t>
        </is>
      </c>
      <c r="H158" s="62" t="n"/>
      <c r="I158" s="62"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J158" s="62" t="n"/>
      <c r="K158" s="62" t="n"/>
      <c r="L158" s="62" t="n"/>
      <c r="M158" s="62" t="n"/>
      <c r="N158" s="62" t="n"/>
      <c r="O158" s="62" t="n"/>
      <c r="P158" s="62" t="n"/>
      <c r="Q158" s="62" t="n"/>
      <c r="R158" s="62" t="n"/>
      <c r="S158" s="62" t="n"/>
      <c r="T158" s="62" t="n"/>
      <c r="U158" s="62" t="n"/>
      <c r="V158" s="62" t="n"/>
      <c r="W158" s="62" t="n"/>
      <c r="X158" s="62" t="n"/>
      <c r="Y158" s="62" t="n"/>
      <c r="Z158" s="62" t="n"/>
      <c r="AA158" s="62" t="n"/>
      <c r="AB158" s="62" t="n"/>
      <c r="AC158" s="62" t="n"/>
      <c r="AD158" s="62" t="n"/>
      <c r="AE158" s="62" t="n"/>
      <c r="AF158" s="61">
        <f>IF(COUNTIF($B$5:B158,B158)=1,1,0)</f>
        <v/>
      </c>
      <c r="AG158" s="62" t="inlineStr">
        <is>
          <t>https://www.eltiempo.com/salud/liquidar-eps-podria-provocar-una-crisis-sin-precedentes-y-pondria-en-riesgo-a-millones-de-pacientes-advierten-exministros-y-actores-del-sector-salud-3526372</t>
        </is>
      </c>
    </row>
    <row r="159">
      <c r="A159" s="62" t="inlineStr">
        <is>
          <t>ART_221</t>
        </is>
      </c>
      <c r="B159" s="62" t="inlineStr">
        <is>
          <t>ART_221_S02</t>
        </is>
      </c>
      <c r="C159" s="62" t="inlineStr">
        <is>
          <t>El Tiempo</t>
        </is>
      </c>
      <c r="D159" s="62" t="inlineStr">
        <is>
          <t>Salud</t>
        </is>
      </c>
      <c r="E159" s="62" t="inlineStr">
        <is>
          <t>Noticia dura</t>
        </is>
      </c>
      <c r="F159" s="62" t="inlineStr">
        <is>
          <t>2026-01-22T16:35:02-05:00</t>
        </is>
      </c>
      <c r="G159" s="62"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H159" s="62" t="inlineStr">
        <is>
          <t>La posibilidad de una liquidación generalizada y acelerada de las Entidades Promotoras de Salud (EPS), planteada por el presidente Gustavo Petro, encendieron una nueva alarma en el ya tensionado sistema de salud colombiano.</t>
        </is>
      </c>
      <c r="I159" s="62"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J159" s="62" t="n"/>
      <c r="K159" s="62" t="n"/>
      <c r="L159" s="62" t="n"/>
      <c r="M159" s="62" t="n"/>
      <c r="N159" s="62" t="n"/>
      <c r="O159" s="62" t="n"/>
      <c r="P159" s="62" t="n"/>
      <c r="Q159" s="62" t="n"/>
      <c r="R159" s="62" t="n"/>
      <c r="S159" s="62" t="n"/>
      <c r="T159" s="62" t="n"/>
      <c r="U159" s="62" t="n"/>
      <c r="V159" s="62" t="n"/>
      <c r="W159" s="62" t="n"/>
      <c r="X159" s="62" t="n"/>
      <c r="Y159" s="62" t="n"/>
      <c r="Z159" s="62" t="n"/>
      <c r="AA159" s="62" t="n"/>
      <c r="AB159" s="62" t="n"/>
      <c r="AC159" s="62" t="n"/>
      <c r="AD159" s="62" t="n"/>
      <c r="AE159" s="62" t="n"/>
      <c r="AF159" s="61">
        <f>IF(COUNTIF($B$5:B159,B159)=1,1,0)</f>
        <v/>
      </c>
      <c r="AG159" s="62" t="inlineStr">
        <is>
          <t>https://www.eltiempo.com/salud/liquidar-eps-podria-provocar-una-crisis-sin-precedentes-y-pondria-en-riesgo-a-millones-de-pacientes-advierten-exministros-y-actores-del-sector-salud-3526372</t>
        </is>
      </c>
    </row>
    <row r="160">
      <c r="A160" s="62" t="inlineStr">
        <is>
          <t>ART_221</t>
        </is>
      </c>
      <c r="B160" s="62" t="inlineStr">
        <is>
          <t>ART_221_S03</t>
        </is>
      </c>
      <c r="C160" s="62" t="inlineStr">
        <is>
          <t>El Tiempo</t>
        </is>
      </c>
      <c r="D160" s="62" t="inlineStr">
        <is>
          <t>Salud</t>
        </is>
      </c>
      <c r="E160" s="62" t="inlineStr">
        <is>
          <t>Noticia dura</t>
        </is>
      </c>
      <c r="F160" s="62" t="inlineStr">
        <is>
          <t>2026-01-22T16:35:02-05:00</t>
        </is>
      </c>
      <c r="G160" s="62"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H160" s="62"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I160" s="62" t="inlineStr">
        <is>
          <t>En conjunto, estas entidades suman más de 23 millones de afiliados.</t>
        </is>
      </c>
      <c r="J160" s="62" t="n"/>
      <c r="K160" s="62" t="n"/>
      <c r="L160" s="62" t="n"/>
      <c r="M160" s="62" t="n"/>
      <c r="N160" s="62" t="n"/>
      <c r="O160" s="62" t="n"/>
      <c r="P160" s="62" t="n"/>
      <c r="Q160" s="62" t="n"/>
      <c r="R160" s="62" t="n"/>
      <c r="S160" s="62" t="n"/>
      <c r="T160" s="62" t="n"/>
      <c r="U160" s="62" t="n"/>
      <c r="V160" s="62" t="n"/>
      <c r="W160" s="62" t="n"/>
      <c r="X160" s="62" t="n"/>
      <c r="Y160" s="62" t="n"/>
      <c r="Z160" s="62" t="n"/>
      <c r="AA160" s="62" t="n"/>
      <c r="AB160" s="62" t="n"/>
      <c r="AC160" s="62" t="n"/>
      <c r="AD160" s="62" t="n"/>
      <c r="AE160" s="62" t="n"/>
      <c r="AF160" s="61">
        <f>IF(COUNTIF($B$5:B160,B160)=1,1,0)</f>
        <v/>
      </c>
      <c r="AG160" s="62" t="inlineStr">
        <is>
          <t>https://www.eltiempo.com/salud/liquidar-eps-podria-provocar-una-crisis-sin-precedentes-y-pondria-en-riesgo-a-millones-de-pacientes-advierten-exministros-y-actores-del-sector-salud-3526372</t>
        </is>
      </c>
    </row>
    <row r="161">
      <c r="A161" s="62" t="inlineStr">
        <is>
          <t>ART_221</t>
        </is>
      </c>
      <c r="B161" s="62" t="inlineStr">
        <is>
          <t>ART_221_S04</t>
        </is>
      </c>
      <c r="C161" s="62" t="inlineStr">
        <is>
          <t>El Tiempo</t>
        </is>
      </c>
      <c r="D161" s="62" t="inlineStr">
        <is>
          <t>Salud</t>
        </is>
      </c>
      <c r="E161" s="62" t="inlineStr">
        <is>
          <t>Noticia dura</t>
        </is>
      </c>
      <c r="F161" s="62" t="inlineStr">
        <is>
          <t>2026-01-22T16:35:02-05:00</t>
        </is>
      </c>
      <c r="G161" s="62" t="inlineStr">
        <is>
          <t>En conjunto, estas entidades suman más de 23 millones de afiliados.</t>
        </is>
      </c>
      <c r="H161" s="62"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I161" s="62" t="inlineStr">
        <is>
          <t>La liquidación simultánea o escalonada de estas aseguradoras, según expertos, no sería un simple trámite administrativo: implicaría redefinir el destino de casi la mitad de los usuarios del sistema.</t>
        </is>
      </c>
      <c r="J161" s="62" t="n"/>
      <c r="K161" s="62" t="n"/>
      <c r="L161" s="62" t="n"/>
      <c r="M161" s="62" t="n"/>
      <c r="N161" s="62" t="n"/>
      <c r="O161" s="62" t="n"/>
      <c r="P161" s="62" t="n"/>
      <c r="Q161" s="62" t="n"/>
      <c r="R161" s="62" t="n"/>
      <c r="S161" s="62" t="n"/>
      <c r="T161" s="62" t="n"/>
      <c r="U161" s="62" t="n"/>
      <c r="V161" s="62" t="n"/>
      <c r="W161" s="62" t="n"/>
      <c r="X161" s="62" t="n"/>
      <c r="Y161" s="62" t="n"/>
      <c r="Z161" s="62" t="n"/>
      <c r="AA161" s="62" t="n"/>
      <c r="AB161" s="62" t="n"/>
      <c r="AC161" s="62" t="n"/>
      <c r="AD161" s="62" t="n"/>
      <c r="AE161" s="62" t="n"/>
      <c r="AF161" s="61">
        <f>IF(COUNTIF($B$5:B161,B161)=1,1,0)</f>
        <v/>
      </c>
      <c r="AG161" s="62" t="inlineStr">
        <is>
          <t>https://www.eltiempo.com/salud/liquidar-eps-podria-provocar-una-crisis-sin-precedentes-y-pondria-en-riesgo-a-millones-de-pacientes-advierten-exministros-y-actores-del-sector-salud-3526372</t>
        </is>
      </c>
    </row>
    <row r="162">
      <c r="A162" s="62" t="inlineStr">
        <is>
          <t>ART_221</t>
        </is>
      </c>
      <c r="B162" s="62" t="inlineStr">
        <is>
          <t>ART_221_S05</t>
        </is>
      </c>
      <c r="C162" s="62" t="inlineStr">
        <is>
          <t>El Tiempo</t>
        </is>
      </c>
      <c r="D162" s="62" t="inlineStr">
        <is>
          <t>Salud</t>
        </is>
      </c>
      <c r="E162" s="62" t="inlineStr">
        <is>
          <t>Noticia dura</t>
        </is>
      </c>
      <c r="F162" s="62" t="inlineStr">
        <is>
          <t>2026-01-22T16:35:02-05:00</t>
        </is>
      </c>
      <c r="G162" s="62" t="inlineStr">
        <is>
          <t>La liquidación simultánea o escalonada de estas aseguradoras, según expertos, no sería un simple trámite administrativo: implicaría redefinir el destino de casi la mitad de los usuarios del sistema.</t>
        </is>
      </c>
      <c r="H162" s="62" t="inlineStr">
        <is>
          <t>En conjunto, estas entidades suman más de 23 millones de afiliados.</t>
        </is>
      </c>
      <c r="I162" s="62" t="inlineStr">
        <is>
          <t>En ese sentido, el pronunciamiento de los distintos actores del sector surge como respuesta directa a las advertencias presidenciales sobre una eventual liquidación de las EPS que actualmente se encuentran bajo medida de intervención.</t>
        </is>
      </c>
      <c r="J162" s="62" t="n"/>
      <c r="K162" s="62" t="n"/>
      <c r="L162" s="62" t="n"/>
      <c r="M162" s="62" t="n"/>
      <c r="N162" s="62" t="n"/>
      <c r="O162" s="62" t="n"/>
      <c r="P162" s="62" t="n"/>
      <c r="Q162" s="62" t="n"/>
      <c r="R162" s="62" t="n"/>
      <c r="S162" s="62" t="n"/>
      <c r="T162" s="62" t="n"/>
      <c r="U162" s="62" t="n"/>
      <c r="V162" s="62" t="n"/>
      <c r="W162" s="62" t="n"/>
      <c r="X162" s="62" t="n"/>
      <c r="Y162" s="62" t="n"/>
      <c r="Z162" s="62" t="n"/>
      <c r="AA162" s="62" t="n"/>
      <c r="AB162" s="62" t="n"/>
      <c r="AC162" s="62" t="n"/>
      <c r="AD162" s="62" t="n"/>
      <c r="AE162" s="62" t="n"/>
      <c r="AF162" s="61">
        <f>IF(COUNTIF($B$5:B162,B162)=1,1,0)</f>
        <v/>
      </c>
      <c r="AG162" s="62" t="inlineStr">
        <is>
          <t>https://www.eltiempo.com/salud/liquidar-eps-podria-provocar-una-crisis-sin-precedentes-y-pondria-en-riesgo-a-millones-de-pacientes-advierten-exministros-y-actores-del-sector-salud-3526372</t>
        </is>
      </c>
    </row>
    <row r="163">
      <c r="A163" s="62" t="inlineStr">
        <is>
          <t>ART_221</t>
        </is>
      </c>
      <c r="B163" s="62" t="inlineStr">
        <is>
          <t>ART_221_S06</t>
        </is>
      </c>
      <c r="C163" s="62" t="inlineStr">
        <is>
          <t>El Tiempo</t>
        </is>
      </c>
      <c r="D163" s="62" t="inlineStr">
        <is>
          <t>Salud</t>
        </is>
      </c>
      <c r="E163" s="62" t="inlineStr">
        <is>
          <t>Noticia dura</t>
        </is>
      </c>
      <c r="F163" s="62" t="inlineStr">
        <is>
          <t>2026-01-22T16:35:02-05:00</t>
        </is>
      </c>
      <c r="G163" s="62" t="inlineStr">
        <is>
          <t>En ese sentido, el pronunciamiento de los distintos actores del sector surge como respuesta directa a las advertencias presidenciales sobre una eventual liquidación de las EPS que actualmente se encuentran bajo medida de intervención.</t>
        </is>
      </c>
      <c r="H163" s="62" t="inlineStr">
        <is>
          <t>La liquidación simultánea o escalonada de estas aseguradoras, según expertos, no sería un simple trámite administrativo: implicaría redefinir el destino de casi la mitad de los usuarios del sistema.</t>
        </is>
      </c>
      <c r="I163" s="62" t="inlineStr">
        <is>
          <t>Según el documento, adoptar una medida “generalizada y apresurada” sin un plan probado y sin un sustituto operativo claro podría desencadenar una crisis asistencial, financiera y funcional “sin precedentes” en el sistema de salud.</t>
        </is>
      </c>
      <c r="J163" s="62" t="n"/>
      <c r="K163" s="62" t="n"/>
      <c r="L163" s="62" t="n"/>
      <c r="M163" s="62" t="n"/>
      <c r="N163" s="62" t="n"/>
      <c r="O163" s="62" t="n"/>
      <c r="P163" s="62" t="n"/>
      <c r="Q163" s="62" t="n"/>
      <c r="R163" s="62" t="n"/>
      <c r="S163" s="62" t="n"/>
      <c r="T163" s="62" t="n"/>
      <c r="U163" s="62" t="n"/>
      <c r="V163" s="62" t="n"/>
      <c r="W163" s="62" t="n"/>
      <c r="X163" s="62" t="n"/>
      <c r="Y163" s="62" t="n"/>
      <c r="Z163" s="62" t="n"/>
      <c r="AA163" s="62" t="n"/>
      <c r="AB163" s="62" t="n"/>
      <c r="AC163" s="62" t="n"/>
      <c r="AD163" s="62" t="n"/>
      <c r="AE163" s="62" t="n"/>
      <c r="AF163" s="61">
        <f>IF(COUNTIF($B$5:B163,B163)=1,1,0)</f>
        <v/>
      </c>
      <c r="AG163" s="62" t="inlineStr">
        <is>
          <t>https://www.eltiempo.com/salud/liquidar-eps-podria-provocar-una-crisis-sin-precedentes-y-pondria-en-riesgo-a-millones-de-pacientes-advierten-exministros-y-actores-del-sector-salud-3526372</t>
        </is>
      </c>
    </row>
    <row r="164">
      <c r="A164" s="62" t="inlineStr">
        <is>
          <t>ART_221</t>
        </is>
      </c>
      <c r="B164" s="62" t="inlineStr">
        <is>
          <t>ART_221_S07</t>
        </is>
      </c>
      <c r="C164" s="62" t="inlineStr">
        <is>
          <t>El Tiempo</t>
        </is>
      </c>
      <c r="D164" s="62" t="inlineStr">
        <is>
          <t>Salud</t>
        </is>
      </c>
      <c r="E164" s="62" t="inlineStr">
        <is>
          <t>Noticia dura</t>
        </is>
      </c>
      <c r="F164" s="62" t="inlineStr">
        <is>
          <t>2026-01-22T16:35:02-05:00</t>
        </is>
      </c>
      <c r="G164" s="62" t="inlineStr">
        <is>
          <t>Según el documento, adoptar una medida “generalizada y apresurada” sin un plan probado y sin un sustituto operativo claro podría desencadenar una crisis asistencial, financiera y funcional “sin precedentes” en el sistema de salud.</t>
        </is>
      </c>
      <c r="H164" s="62" t="inlineStr">
        <is>
          <t>En ese sentido, el pronunciamiento de los distintos actores del sector surge como respuesta directa a las advertencias presidenciales sobre una eventual liquidación de las EPS que actualmente se encuentran bajo medida de intervención.</t>
        </is>
      </c>
      <c r="I164" s="62" t="inlineStr">
        <is>
          <t>Las organizaciones firmantes señalaron que, pese a las heterogeneidades y dificultades que enfrentan, las EPS cumplen hoy funciones esenciales para el funcionamiento del sistema.</t>
        </is>
      </c>
      <c r="J164" s="62" t="n"/>
      <c r="K164" s="62" t="n"/>
      <c r="L164" s="62" t="n"/>
      <c r="M164" s="62" t="n"/>
      <c r="N164" s="62" t="n"/>
      <c r="O164" s="62" t="n"/>
      <c r="P164" s="62" t="n"/>
      <c r="Q164" s="62" t="n"/>
      <c r="R164" s="62" t="n"/>
      <c r="S164" s="62" t="n"/>
      <c r="T164" s="62" t="n"/>
      <c r="U164" s="62" t="n"/>
      <c r="V164" s="62" t="n"/>
      <c r="W164" s="62" t="n"/>
      <c r="X164" s="62" t="n"/>
      <c r="Y164" s="62" t="n"/>
      <c r="Z164" s="62" t="n"/>
      <c r="AA164" s="62" t="n"/>
      <c r="AB164" s="62" t="n"/>
      <c r="AC164" s="62" t="n"/>
      <c r="AD164" s="62" t="n"/>
      <c r="AE164" s="62" t="n"/>
      <c r="AF164" s="61">
        <f>IF(COUNTIF($B$5:B164,B164)=1,1,0)</f>
        <v/>
      </c>
      <c r="AG164" s="62" t="inlineStr">
        <is>
          <t>https://www.eltiempo.com/salud/liquidar-eps-podria-provocar-una-crisis-sin-precedentes-y-pondria-en-riesgo-a-millones-de-pacientes-advierten-exministros-y-actores-del-sector-salud-3526372</t>
        </is>
      </c>
    </row>
    <row r="165">
      <c r="A165" s="62" t="inlineStr">
        <is>
          <t>ART_221</t>
        </is>
      </c>
      <c r="B165" s="62" t="inlineStr">
        <is>
          <t>ART_221_S08</t>
        </is>
      </c>
      <c r="C165" s="62" t="inlineStr">
        <is>
          <t>El Tiempo</t>
        </is>
      </c>
      <c r="D165" s="62" t="inlineStr">
        <is>
          <t>Salud</t>
        </is>
      </c>
      <c r="E165" s="62" t="inlineStr">
        <is>
          <t>Noticia dura</t>
        </is>
      </c>
      <c r="F165" s="62" t="inlineStr">
        <is>
          <t>2026-01-22T16:35:02-05:00</t>
        </is>
      </c>
      <c r="G165" s="62" t="inlineStr">
        <is>
          <t>Las organizaciones firmantes señalaron que, pese a las heterogeneidades y dificultades que enfrentan, las EPS cumplen hoy funciones esenciales para el funcionamiento del sistema.</t>
        </is>
      </c>
      <c r="H165" s="62" t="inlineStr">
        <is>
          <t>Según el documento, adoptar una medida “generalizada y apresurada” sin un plan probado y sin un sustituto operativo claro podría desencadenar una crisis asistencial, financiera y funcional “sin precedentes” en el sistema de salud.</t>
        </is>
      </c>
      <c r="I165" s="62"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J165" s="62" t="n"/>
      <c r="K165" s="62" t="n"/>
      <c r="L165" s="62" t="n"/>
      <c r="M165" s="62" t="n"/>
      <c r="N165" s="62" t="n"/>
      <c r="O165" s="62" t="n"/>
      <c r="P165" s="62" t="n"/>
      <c r="Q165" s="62" t="n"/>
      <c r="R165" s="62" t="n"/>
      <c r="S165" s="62" t="n"/>
      <c r="T165" s="62" t="n"/>
      <c r="U165" s="62" t="n"/>
      <c r="V165" s="62" t="n"/>
      <c r="W165" s="62" t="n"/>
      <c r="X165" s="62" t="n"/>
      <c r="Y165" s="62" t="n"/>
      <c r="Z165" s="62" t="n"/>
      <c r="AA165" s="62" t="n"/>
      <c r="AB165" s="62" t="n"/>
      <c r="AC165" s="62" t="n"/>
      <c r="AD165" s="62" t="n"/>
      <c r="AE165" s="62" t="n"/>
      <c r="AF165" s="61">
        <f>IF(COUNTIF($B$5:B165,B165)=1,1,0)</f>
        <v/>
      </c>
      <c r="AG165" s="62" t="inlineStr">
        <is>
          <t>https://www.eltiempo.com/salud/liquidar-eps-podria-provocar-una-crisis-sin-precedentes-y-pondria-en-riesgo-a-millones-de-pacientes-advierten-exministros-y-actores-del-sector-salud-3526372</t>
        </is>
      </c>
    </row>
    <row r="166">
      <c r="A166" s="62" t="inlineStr">
        <is>
          <t>ART_221</t>
        </is>
      </c>
      <c r="B166" s="62" t="inlineStr">
        <is>
          <t>ART_221_S09</t>
        </is>
      </c>
      <c r="C166" s="62" t="inlineStr">
        <is>
          <t>El Tiempo</t>
        </is>
      </c>
      <c r="D166" s="62" t="inlineStr">
        <is>
          <t>Salud</t>
        </is>
      </c>
      <c r="E166" s="62" t="inlineStr">
        <is>
          <t>Noticia dura</t>
        </is>
      </c>
      <c r="F166" s="62" t="inlineStr">
        <is>
          <t>2026-01-22T16:35:02-05:00</t>
        </is>
      </c>
      <c r="G166" s="62"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H166" s="62" t="inlineStr">
        <is>
          <t>Las organizaciones firmantes señalaron que, pese a las heterogeneidades y dificultades que enfrentan, las EPS cumplen hoy funciones esenciales para el funcionamiento del sistema.</t>
        </is>
      </c>
      <c r="I166" s="62" t="inlineStr">
        <is>
          <t>Eliminar de forma abrupta estos agentes, sin que exista una entidad pública o privada con capacidad operativa probada para reemplazarlos, generaría un vacío inmediato que el Estado no está en condiciones de asumir.</t>
        </is>
      </c>
      <c r="J166" s="62" t="n"/>
      <c r="K166" s="62" t="n"/>
      <c r="L166" s="62" t="n"/>
      <c r="M166" s="62" t="n"/>
      <c r="N166" s="62" t="n"/>
      <c r="O166" s="62" t="n"/>
      <c r="P166" s="62" t="n"/>
      <c r="Q166" s="62" t="n"/>
      <c r="R166" s="62" t="n"/>
      <c r="S166" s="62" t="n"/>
      <c r="T166" s="62" t="n"/>
      <c r="U166" s="62" t="n"/>
      <c r="V166" s="62" t="n"/>
      <c r="W166" s="62" t="n"/>
      <c r="X166" s="62" t="n"/>
      <c r="Y166" s="62" t="n"/>
      <c r="Z166" s="62" t="n"/>
      <c r="AA166" s="62" t="n"/>
      <c r="AB166" s="62" t="n"/>
      <c r="AC166" s="62" t="n"/>
      <c r="AD166" s="62" t="n"/>
      <c r="AE166" s="62" t="n"/>
      <c r="AF166" s="61">
        <f>IF(COUNTIF($B$5:B166,B166)=1,1,0)</f>
        <v/>
      </c>
      <c r="AG166" s="62" t="inlineStr">
        <is>
          <t>https://www.eltiempo.com/salud/liquidar-eps-podria-provocar-una-crisis-sin-precedentes-y-pondria-en-riesgo-a-millones-de-pacientes-advierten-exministros-y-actores-del-sector-salud-3526372</t>
        </is>
      </c>
    </row>
    <row r="167">
      <c r="A167" s="62" t="inlineStr">
        <is>
          <t>ART_221</t>
        </is>
      </c>
      <c r="B167" s="62" t="inlineStr">
        <is>
          <t>ART_221_S10</t>
        </is>
      </c>
      <c r="C167" s="62" t="inlineStr">
        <is>
          <t>El Tiempo</t>
        </is>
      </c>
      <c r="D167" s="62" t="inlineStr">
        <is>
          <t>Salud</t>
        </is>
      </c>
      <c r="E167" s="62" t="inlineStr">
        <is>
          <t>Noticia dura</t>
        </is>
      </c>
      <c r="F167" s="62" t="inlineStr">
        <is>
          <t>2026-01-22T16:35:02-05:00</t>
        </is>
      </c>
      <c r="G167" s="62" t="inlineStr">
        <is>
          <t>Eliminar de forma abrupta estos agentes, sin que exista una entidad pública o privada con capacidad operativa probada para reemplazarlos, generaría un vacío inmediato que el Estado no está en condiciones de asumir.</t>
        </is>
      </c>
      <c r="H167" s="62"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I167" s="62"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J167" s="62" t="n"/>
      <c r="K167" s="62" t="n"/>
      <c r="L167" s="62" t="n"/>
      <c r="M167" s="62" t="n"/>
      <c r="N167" s="62" t="n"/>
      <c r="O167" s="62" t="n"/>
      <c r="P167" s="62" t="n"/>
      <c r="Q167" s="62" t="n"/>
      <c r="R167" s="62" t="n"/>
      <c r="S167" s="62" t="n"/>
      <c r="T167" s="62" t="n"/>
      <c r="U167" s="62" t="n"/>
      <c r="V167" s="62" t="n"/>
      <c r="W167" s="62" t="n"/>
      <c r="X167" s="62" t="n"/>
      <c r="Y167" s="62" t="n"/>
      <c r="Z167" s="62" t="n"/>
      <c r="AA167" s="62" t="n"/>
      <c r="AB167" s="62" t="n"/>
      <c r="AC167" s="62" t="n"/>
      <c r="AD167" s="62" t="n"/>
      <c r="AE167" s="62" t="n"/>
      <c r="AF167" s="61">
        <f>IF(COUNTIF($B$5:B167,B167)=1,1,0)</f>
        <v/>
      </c>
      <c r="AG167" s="62" t="inlineStr">
        <is>
          <t>https://www.eltiempo.com/salud/liquidar-eps-podria-provocar-una-crisis-sin-precedentes-y-pondria-en-riesgo-a-millones-de-pacientes-advierten-exministros-y-actores-del-sector-salud-3526372</t>
        </is>
      </c>
    </row>
    <row r="168">
      <c r="A168" s="62" t="inlineStr">
        <is>
          <t>ART_221</t>
        </is>
      </c>
      <c r="B168" s="62" t="inlineStr">
        <is>
          <t>ART_221_S11</t>
        </is>
      </c>
      <c r="C168" s="62" t="inlineStr">
        <is>
          <t>El Tiempo</t>
        </is>
      </c>
      <c r="D168" s="62" t="inlineStr">
        <is>
          <t>Salud</t>
        </is>
      </c>
      <c r="E168" s="62" t="inlineStr">
        <is>
          <t>Noticia dura</t>
        </is>
      </c>
      <c r="F168" s="62" t="inlineStr">
        <is>
          <t>2026-01-22T16:35:02-05:00</t>
        </is>
      </c>
      <c r="G168" s="62"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H168" s="62" t="inlineStr">
        <is>
          <t>Eliminar de forma abrupta estos agentes, sin que exista una entidad pública o privada con capacidad operativa probada para reemplazarlos, generaría un vacío inmediato que el Estado no está en condiciones de asumir.</t>
        </is>
      </c>
      <c r="I168" s="62" t="inlineStr">
        <is>
          <t>Uno de los puntos más sensibles del pronunciamiento está relacionado con el impacto directo que tendría una eventual liquidación de las EPS intervenidas sobre los pacientes, especialmente aquellos que padecen enfermedades huérfanas, crónicas o de alto costo, así como quienes requieren tratamientos continuos.</t>
        </is>
      </c>
      <c r="J168" s="62" t="n"/>
      <c r="K168" s="62" t="n"/>
      <c r="L168" s="62" t="n"/>
      <c r="M168" s="62" t="n"/>
      <c r="N168" s="62" t="n"/>
      <c r="O168" s="62" t="n"/>
      <c r="P168" s="62" t="n"/>
      <c r="Q168" s="62" t="n"/>
      <c r="R168" s="62" t="n"/>
      <c r="S168" s="62" t="n"/>
      <c r="T168" s="62" t="n"/>
      <c r="U168" s="62" t="n"/>
      <c r="V168" s="62" t="n"/>
      <c r="W168" s="62" t="n"/>
      <c r="X168" s="62" t="n"/>
      <c r="Y168" s="62" t="n"/>
      <c r="Z168" s="62" t="n"/>
      <c r="AA168" s="62" t="n"/>
      <c r="AB168" s="62" t="n"/>
      <c r="AC168" s="62" t="n"/>
      <c r="AD168" s="62" t="n"/>
      <c r="AE168" s="62" t="n"/>
      <c r="AF168" s="61">
        <f>IF(COUNTIF($B$5:B168,B168)=1,1,0)</f>
        <v/>
      </c>
      <c r="AG168" s="62" t="inlineStr">
        <is>
          <t>https://www.eltiempo.com/salud/liquidar-eps-podria-provocar-una-crisis-sin-precedentes-y-pondria-en-riesgo-a-millones-de-pacientes-advierten-exministros-y-actores-del-sector-salud-3526372</t>
        </is>
      </c>
    </row>
    <row r="169">
      <c r="A169" s="62" t="inlineStr">
        <is>
          <t>ART_221</t>
        </is>
      </c>
      <c r="B169" s="62" t="inlineStr">
        <is>
          <t>ART_221_S12</t>
        </is>
      </c>
      <c r="C169" s="62" t="inlineStr">
        <is>
          <t>El Tiempo</t>
        </is>
      </c>
      <c r="D169" s="62" t="inlineStr">
        <is>
          <t>Salud</t>
        </is>
      </c>
      <c r="E169" s="62" t="inlineStr">
        <is>
          <t>Noticia dura</t>
        </is>
      </c>
      <c r="F169" s="62" t="inlineStr">
        <is>
          <t>2026-01-22T16:35:02-05:00</t>
        </is>
      </c>
      <c r="G169" s="62" t="inlineStr">
        <is>
          <t>Uno de los puntos más sensibles del pronunciamiento está relacionado con el impacto directo que tendría una eventual liquidación de las EPS intervenidas sobre los pacientes, especialmente aquellos que padecen enfermedades huérfanas, crónicas o de alto costo, así como quienes requieren tratamientos continuos.</t>
        </is>
      </c>
      <c r="H169" s="62"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I169" s="62" t="n"/>
      <c r="J169" s="62" t="n"/>
      <c r="K169" s="62" t="n"/>
      <c r="L169" s="62" t="n"/>
      <c r="M169" s="62" t="n"/>
      <c r="N169" s="62" t="n"/>
      <c r="O169" s="62" t="n"/>
      <c r="P169" s="62" t="n"/>
      <c r="Q169" s="62" t="n"/>
      <c r="R169" s="62" t="n"/>
      <c r="S169" s="62" t="n"/>
      <c r="T169" s="62" t="n"/>
      <c r="U169" s="62" t="n"/>
      <c r="V169" s="62" t="n"/>
      <c r="W169" s="62" t="n"/>
      <c r="X169" s="62" t="n"/>
      <c r="Y169" s="62" t="n"/>
      <c r="Z169" s="62" t="n"/>
      <c r="AA169" s="62" t="n"/>
      <c r="AB169" s="62" t="n"/>
      <c r="AC169" s="62" t="n"/>
      <c r="AD169" s="62" t="n"/>
      <c r="AE169" s="62" t="n"/>
      <c r="AF169" s="61">
        <f>IF(COUNTIF($B$5:B169,B169)=1,1,0)</f>
        <v/>
      </c>
      <c r="AG169" s="62" t="inlineStr">
        <is>
          <t>https://www.eltiempo.com/salud/liquidar-eps-podria-provocar-una-crisis-sin-precedentes-y-pondria-en-riesgo-a-millones-de-pacientes-advierten-exministros-y-actores-del-sector-salud-3526372</t>
        </is>
      </c>
    </row>
    <row r="170">
      <c r="A170" s="62" t="inlineStr">
        <is>
          <t>ART_222</t>
        </is>
      </c>
      <c r="B170" s="62" t="inlineStr">
        <is>
          <t>ART_222_S01</t>
        </is>
      </c>
      <c r="C170" s="62" t="inlineStr">
        <is>
          <t>El Tiempo</t>
        </is>
      </c>
      <c r="D170" s="62" t="inlineStr">
        <is>
          <t>Salud</t>
        </is>
      </c>
      <c r="E170" s="62" t="inlineStr">
        <is>
          <t>Noticia dura</t>
        </is>
      </c>
      <c r="F170" s="62" t="inlineStr">
        <is>
          <t>2026-06-02T12:37:17-05:00</t>
        </is>
      </c>
      <c r="G170" s="62" t="inlineStr">
        <is>
          <t>Varios usuarios de la Nueva EPS amanecieron hoy, 2 de mayo, encadenados en la sede de Bucaramanga como forma de protesta.</t>
        </is>
      </c>
      <c r="H170" s="62" t="n"/>
      <c r="I170" s="62" t="inlineStr">
        <is>
          <t>Denuncian que no han recibido atención adecuada, que no les han entregado medicamentos y que tampoco se han autorizado tratamientos para pacientes con enfermedades graves, como cáncer.</t>
        </is>
      </c>
      <c r="J170" s="62" t="n"/>
      <c r="K170" s="62" t="n"/>
      <c r="L170" s="62" t="n"/>
      <c r="M170" s="62" t="n"/>
      <c r="N170" s="62" t="n"/>
      <c r="O170" s="62" t="n"/>
      <c r="P170" s="62" t="n"/>
      <c r="Q170" s="62" t="n"/>
      <c r="R170" s="62" t="n"/>
      <c r="S170" s="62" t="n"/>
      <c r="T170" s="62" t="n"/>
      <c r="U170" s="62" t="n"/>
      <c r="V170" s="62" t="n"/>
      <c r="W170" s="62" t="n"/>
      <c r="X170" s="62" t="n"/>
      <c r="Y170" s="62" t="n"/>
      <c r="Z170" s="62" t="n"/>
      <c r="AA170" s="62" t="n"/>
      <c r="AB170" s="62" t="n"/>
      <c r="AC170" s="62" t="n"/>
      <c r="AD170" s="62" t="n"/>
      <c r="AE170" s="62" t="n"/>
      <c r="AF170" s="61">
        <f>IF(COUNTIF($B$5:B170,B170)=1,1,0)</f>
        <v/>
      </c>
      <c r="AG170" s="62" t="inlineStr">
        <is>
          <t>https://www.eltiempo.com/colombia/santander/protesta-masiva-de-varios-pacientes-de-la-nueva-eps-en-bucaramanga-denuncian-que-no-entregan-medicamentos-ni-aprueban-tratamientos-se-encadenaron-3561435</t>
        </is>
      </c>
    </row>
    <row r="171">
      <c r="A171" s="62" t="inlineStr">
        <is>
          <t>ART_222</t>
        </is>
      </c>
      <c r="B171" s="62" t="inlineStr">
        <is>
          <t>ART_222_S02</t>
        </is>
      </c>
      <c r="C171" s="62" t="inlineStr">
        <is>
          <t>El Tiempo</t>
        </is>
      </c>
      <c r="D171" s="62" t="inlineStr">
        <is>
          <t>Salud</t>
        </is>
      </c>
      <c r="E171" s="62" t="inlineStr">
        <is>
          <t>Noticia dura</t>
        </is>
      </c>
      <c r="F171" s="62" t="inlineStr">
        <is>
          <t>2026-06-02T12:37:17-05:00</t>
        </is>
      </c>
      <c r="G171" s="62" t="inlineStr">
        <is>
          <t>Denuncian que no han recibido atención adecuada, que no les han entregado medicamentos y que tampoco se han autorizado tratamientos para pacientes con enfermedades graves, como cáncer.</t>
        </is>
      </c>
      <c r="H171" s="62" t="inlineStr">
        <is>
          <t>Varios usuarios de la Nueva EPS amanecieron hoy, 2 de mayo, encadenados en la sede de Bucaramanga como forma de protesta.</t>
        </is>
      </c>
      <c r="I171" s="62" t="n"/>
      <c r="J171" s="62" t="n"/>
      <c r="K171" s="62" t="n"/>
      <c r="L171" s="62" t="n"/>
      <c r="M171" s="62" t="n"/>
      <c r="N171" s="62" t="n"/>
      <c r="O171" s="62" t="n"/>
      <c r="P171" s="62" t="n"/>
      <c r="Q171" s="62" t="n"/>
      <c r="R171" s="62" t="n"/>
      <c r="S171" s="62" t="n"/>
      <c r="T171" s="62" t="n"/>
      <c r="U171" s="62" t="n"/>
      <c r="V171" s="62" t="n"/>
      <c r="W171" s="62" t="n"/>
      <c r="X171" s="62" t="n"/>
      <c r="Y171" s="62" t="n"/>
      <c r="Z171" s="62" t="n"/>
      <c r="AA171" s="62" t="n"/>
      <c r="AB171" s="62" t="n"/>
      <c r="AC171" s="62" t="n"/>
      <c r="AD171" s="62" t="n"/>
      <c r="AE171" s="62" t="n"/>
      <c r="AF171" s="61">
        <f>IF(COUNTIF($B$5:B171,B171)=1,1,0)</f>
        <v/>
      </c>
      <c r="AG171" s="62" t="inlineStr">
        <is>
          <t>https://www.eltiempo.com/colombia/santander/protesta-masiva-de-varios-pacientes-de-la-nueva-eps-en-bucaramanga-denuncian-que-no-entregan-medicamentos-ni-aprueban-tratamientos-se-encadenaron-3561435</t>
        </is>
      </c>
    </row>
    <row r="172">
      <c r="A172" s="62" t="inlineStr">
        <is>
          <t>ART_225</t>
        </is>
      </c>
      <c r="B172" s="62" t="inlineStr">
        <is>
          <t>ART_225_S01</t>
        </is>
      </c>
      <c r="C172" s="62" t="inlineStr">
        <is>
          <t>El Espectador</t>
        </is>
      </c>
      <c r="D172" s="62" t="inlineStr">
        <is>
          <t>Salud</t>
        </is>
      </c>
      <c r="E172" s="62" t="inlineStr">
        <is>
          <t>Opinión-análisis</t>
        </is>
      </c>
      <c r="F172" s="62" t="inlineStr">
        <is>
          <t>2026-03-19T00:00:00-05:00</t>
        </is>
      </c>
      <c r="G172" s="62" t="inlineStr">
        <is>
          <t>La solicitud que hizo el presidente Gustavo Petro durante el último Consejo de Ministros al Minsalud, Guillermo Alfonso Jaramillo, de liquidar todas las EPS que estén en quiebra —sin especificar cuáles— prendió las alarmas entre los actores del sistema y sus usuarios.</t>
        </is>
      </c>
      <c r="H172" s="62" t="n"/>
      <c r="I172" s="62"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J172" s="62" t="n"/>
      <c r="K172" s="62" t="n"/>
      <c r="L172" s="62" t="n"/>
      <c r="M172" s="62" t="n"/>
      <c r="N172" s="62" t="n"/>
      <c r="O172" s="62" t="n"/>
      <c r="P172" s="62" t="n"/>
      <c r="Q172" s="62" t="n"/>
      <c r="R172" s="62" t="n"/>
      <c r="S172" s="62" t="n"/>
      <c r="T172" s="62" t="n"/>
      <c r="U172" s="62" t="n"/>
      <c r="V172" s="62" t="n"/>
      <c r="W172" s="62" t="n"/>
      <c r="X172" s="62" t="n"/>
      <c r="Y172" s="62" t="n"/>
      <c r="Z172" s="62" t="n"/>
      <c r="AA172" s="62" t="n"/>
      <c r="AB172" s="62" t="n"/>
      <c r="AC172" s="62" t="n"/>
      <c r="AD172" s="62" t="n"/>
      <c r="AE172" s="62" t="n"/>
      <c r="AF172" s="61">
        <f>IF(COUNTIF($B$5:B172,B172)=1,1,0)</f>
        <v/>
      </c>
      <c r="AG172" s="62" t="inlineStr">
        <is>
          <t>https://www.elespectador.com/opinion/editorial/el-sistema-de-salud-no-se-puede-reorganizar-a-las-carreras/</t>
        </is>
      </c>
    </row>
    <row r="173">
      <c r="A173" s="62" t="inlineStr">
        <is>
          <t>ART_225</t>
        </is>
      </c>
      <c r="B173" s="62" t="inlineStr">
        <is>
          <t>ART_225_S02</t>
        </is>
      </c>
      <c r="C173" s="62" t="inlineStr">
        <is>
          <t>El Espectador</t>
        </is>
      </c>
      <c r="D173" s="62" t="inlineStr">
        <is>
          <t>Salud</t>
        </is>
      </c>
      <c r="E173" s="62" t="inlineStr">
        <is>
          <t>Opinión-análisis</t>
        </is>
      </c>
      <c r="F173" s="62" t="inlineStr">
        <is>
          <t>2026-03-19T00:00:00-05:00</t>
        </is>
      </c>
      <c r="G173" s="62"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H173" s="62" t="inlineStr">
        <is>
          <t>La solicitud que hizo el presidente Gustavo Petro durante el último Consejo de Ministros al Minsalud, Guillermo Alfonso Jaramillo, de liquidar todas las EPS que estén en quiebra —sin especificar cuáles— prendió las alarmas entre los actores del sistema y sus usuarios.</t>
        </is>
      </c>
      <c r="I173" s="62"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J173" s="62" t="n"/>
      <c r="K173" s="62" t="n"/>
      <c r="L173" s="62" t="n"/>
      <c r="M173" s="62" t="n"/>
      <c r="N173" s="62" t="n"/>
      <c r="O173" s="62" t="n"/>
      <c r="P173" s="62" t="n"/>
      <c r="Q173" s="62" t="n"/>
      <c r="R173" s="62" t="n"/>
      <c r="S173" s="62" t="n"/>
      <c r="T173" s="62" t="n"/>
      <c r="U173" s="62" t="n"/>
      <c r="V173" s="62" t="n"/>
      <c r="W173" s="62" t="n"/>
      <c r="X173" s="62" t="n"/>
      <c r="Y173" s="62" t="n"/>
      <c r="Z173" s="62" t="n"/>
      <c r="AA173" s="62" t="n"/>
      <c r="AB173" s="62" t="n"/>
      <c r="AC173" s="62" t="n"/>
      <c r="AD173" s="62" t="n"/>
      <c r="AE173" s="62" t="n"/>
      <c r="AF173" s="61">
        <f>IF(COUNTIF($B$5:B173,B173)=1,1,0)</f>
        <v/>
      </c>
      <c r="AG173" s="62" t="inlineStr">
        <is>
          <t>https://www.elespectador.com/opinion/editorial/el-sistema-de-salud-no-se-puede-reorganizar-a-las-carreras/</t>
        </is>
      </c>
    </row>
    <row r="174">
      <c r="A174" s="62" t="inlineStr">
        <is>
          <t>ART_225</t>
        </is>
      </c>
      <c r="B174" s="62" t="inlineStr">
        <is>
          <t>ART_225_S03</t>
        </is>
      </c>
      <c r="C174" s="62" t="inlineStr">
        <is>
          <t>El Espectador</t>
        </is>
      </c>
      <c r="D174" s="62" t="inlineStr">
        <is>
          <t>Salud</t>
        </is>
      </c>
      <c r="E174" s="62" t="inlineStr">
        <is>
          <t>Opinión-análisis</t>
        </is>
      </c>
      <c r="F174" s="62" t="inlineStr">
        <is>
          <t>2026-03-19T00:00:00-05:00</t>
        </is>
      </c>
      <c r="G174" s="62"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H174" s="62"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I174" s="62" t="inlineStr">
        <is>
          <t>Hay que ser claros: la liquidación de las EPS no es un proceso nuevo ni mucho menos ilegal.</t>
        </is>
      </c>
      <c r="J174" s="62" t="n"/>
      <c r="K174" s="62" t="n"/>
      <c r="L174" s="62" t="n"/>
      <c r="M174" s="62" t="n"/>
      <c r="N174" s="62" t="n"/>
      <c r="O174" s="62" t="n"/>
      <c r="P174" s="62" t="n"/>
      <c r="Q174" s="62" t="n"/>
      <c r="R174" s="62" t="n"/>
      <c r="S174" s="62" t="n"/>
      <c r="T174" s="62" t="n"/>
      <c r="U174" s="62" t="n"/>
      <c r="V174" s="62" t="n"/>
      <c r="W174" s="62" t="n"/>
      <c r="X174" s="62" t="n"/>
      <c r="Y174" s="62" t="n"/>
      <c r="Z174" s="62" t="n"/>
      <c r="AA174" s="62" t="n"/>
      <c r="AB174" s="62" t="n"/>
      <c r="AC174" s="62" t="n"/>
      <c r="AD174" s="62" t="n"/>
      <c r="AE174" s="62" t="n"/>
      <c r="AF174" s="61">
        <f>IF(COUNTIF($B$5:B174,B174)=1,1,0)</f>
        <v/>
      </c>
      <c r="AG174" s="62" t="inlineStr">
        <is>
          <t>https://www.elespectador.com/opinion/editorial/el-sistema-de-salud-no-se-puede-reorganizar-a-las-carreras/</t>
        </is>
      </c>
    </row>
    <row r="175">
      <c r="A175" s="62" t="inlineStr">
        <is>
          <t>ART_225</t>
        </is>
      </c>
      <c r="B175" s="62" t="inlineStr">
        <is>
          <t>ART_225_S04</t>
        </is>
      </c>
      <c r="C175" s="62" t="inlineStr">
        <is>
          <t>El Espectador</t>
        </is>
      </c>
      <c r="D175" s="62" t="inlineStr">
        <is>
          <t>Salud</t>
        </is>
      </c>
      <c r="E175" s="62" t="inlineStr">
        <is>
          <t>Opinión-análisis</t>
        </is>
      </c>
      <c r="F175" s="62" t="inlineStr">
        <is>
          <t>2026-03-19T00:00:00-05:00</t>
        </is>
      </c>
      <c r="G175" s="62" t="inlineStr">
        <is>
          <t>Hay que ser claros: la liquidación de las EPS no es un proceso nuevo ni mucho menos ilegal.</t>
        </is>
      </c>
      <c r="H175" s="62"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I175" s="62" t="inlineStr">
        <is>
          <t>Como reporta la Asociación Colombiana de Hospitales y Clínicas (ACHC), 44 EPS han pasado por este proceso durante los últimos gobiernos.</t>
        </is>
      </c>
      <c r="J175" s="62" t="n"/>
      <c r="K175" s="62" t="n"/>
      <c r="L175" s="62" t="n"/>
      <c r="M175" s="62" t="n"/>
      <c r="N175" s="62" t="n"/>
      <c r="O175" s="62" t="n"/>
      <c r="P175" s="62" t="n"/>
      <c r="Q175" s="62" t="n"/>
      <c r="R175" s="62" t="n"/>
      <c r="S175" s="62" t="n"/>
      <c r="T175" s="62" t="n"/>
      <c r="U175" s="62" t="n"/>
      <c r="V175" s="62" t="n"/>
      <c r="W175" s="62" t="n"/>
      <c r="X175" s="62" t="n"/>
      <c r="Y175" s="62" t="n"/>
      <c r="Z175" s="62" t="n"/>
      <c r="AA175" s="62" t="n"/>
      <c r="AB175" s="62" t="n"/>
      <c r="AC175" s="62" t="n"/>
      <c r="AD175" s="62" t="n"/>
      <c r="AE175" s="62" t="n"/>
      <c r="AF175" s="61">
        <f>IF(COUNTIF($B$5:B175,B175)=1,1,0)</f>
        <v/>
      </c>
      <c r="AG175" s="62" t="inlineStr">
        <is>
          <t>https://www.elespectador.com/opinion/editorial/el-sistema-de-salud-no-se-puede-reorganizar-a-las-carreras/</t>
        </is>
      </c>
    </row>
    <row r="176">
      <c r="A176" s="62" t="inlineStr">
        <is>
          <t>ART_225</t>
        </is>
      </c>
      <c r="B176" s="62" t="inlineStr">
        <is>
          <t>ART_225_S05</t>
        </is>
      </c>
      <c r="C176" s="62" t="inlineStr">
        <is>
          <t>El Espectador</t>
        </is>
      </c>
      <c r="D176" s="62" t="inlineStr">
        <is>
          <t>Salud</t>
        </is>
      </c>
      <c r="E176" s="62" t="inlineStr">
        <is>
          <t>Opinión-análisis</t>
        </is>
      </c>
      <c r="F176" s="62" t="inlineStr">
        <is>
          <t>2026-03-19T00:00:00-05:00</t>
        </is>
      </c>
      <c r="G176" s="62" t="inlineStr">
        <is>
          <t>Como reporta la Asociación Colombiana de Hospitales y Clínicas (ACHC), 44 EPS han pasado por este proceso durante los últimos gobiernos.</t>
        </is>
      </c>
      <c r="H176" s="62" t="inlineStr">
        <is>
          <t>Hay que ser claros: la liquidación de las EPS no es un proceso nuevo ni mucho menos ilegal.</t>
        </is>
      </c>
      <c r="I176" s="62" t="inlineStr">
        <is>
          <t>Según la Superintendencia Nacional de Salud, en el gobierno de Andrés Pastrana fueron liquidadas nueve EPS; en los de Álvaro Uribe, cinco; en los de Juan Manuel Santos, 18; y en el de Iván Duque, 10.</t>
        </is>
      </c>
      <c r="J176" s="62" t="n"/>
      <c r="K176" s="62" t="n"/>
      <c r="L176" s="62" t="n"/>
      <c r="M176" s="62" t="n"/>
      <c r="N176" s="62" t="n"/>
      <c r="O176" s="62" t="n"/>
      <c r="P176" s="62" t="n"/>
      <c r="Q176" s="62" t="n"/>
      <c r="R176" s="62" t="n"/>
      <c r="S176" s="62" t="n"/>
      <c r="T176" s="62" t="n"/>
      <c r="U176" s="62" t="n"/>
      <c r="V176" s="62" t="n"/>
      <c r="W176" s="62" t="n"/>
      <c r="X176" s="62" t="n"/>
      <c r="Y176" s="62" t="n"/>
      <c r="Z176" s="62" t="n"/>
      <c r="AA176" s="62" t="n"/>
      <c r="AB176" s="62" t="n"/>
      <c r="AC176" s="62" t="n"/>
      <c r="AD176" s="62" t="n"/>
      <c r="AE176" s="62" t="n"/>
      <c r="AF176" s="61">
        <f>IF(COUNTIF($B$5:B176,B176)=1,1,0)</f>
        <v/>
      </c>
      <c r="AG176" s="62" t="inlineStr">
        <is>
          <t>https://www.elespectador.com/opinion/editorial/el-sistema-de-salud-no-se-puede-reorganizar-a-las-carreras/</t>
        </is>
      </c>
    </row>
    <row r="177">
      <c r="A177" s="62" t="inlineStr">
        <is>
          <t>ART_225</t>
        </is>
      </c>
      <c r="B177" s="62" t="inlineStr">
        <is>
          <t>ART_225_S06</t>
        </is>
      </c>
      <c r="C177" s="62" t="inlineStr">
        <is>
          <t>El Espectador</t>
        </is>
      </c>
      <c r="D177" s="62" t="inlineStr">
        <is>
          <t>Salud</t>
        </is>
      </c>
      <c r="E177" s="62" t="inlineStr">
        <is>
          <t>Opinión-análisis</t>
        </is>
      </c>
      <c r="F177" s="62" t="inlineStr">
        <is>
          <t>2026-03-19T00:00:00-05:00</t>
        </is>
      </c>
      <c r="G177" s="62" t="inlineStr">
        <is>
          <t>Según la Superintendencia Nacional de Salud, en el gobierno de Andrés Pastrana fueron liquidadas nueve EPS; en los de Álvaro Uribe, cinco; en los de Juan Manuel Santos, 18; y en el de Iván Duque, 10.</t>
        </is>
      </c>
      <c r="H177" s="62" t="inlineStr">
        <is>
          <t>Como reporta la Asociación Colombiana de Hospitales y Clínicas (ACHC), 44 EPS han pasado por este proceso durante los últimos gobiernos.</t>
        </is>
      </c>
      <c r="I177" s="62"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J177" s="62" t="n"/>
      <c r="K177" s="62" t="n"/>
      <c r="L177" s="62" t="n"/>
      <c r="M177" s="62" t="n"/>
      <c r="N177" s="62" t="n"/>
      <c r="O177" s="62" t="n"/>
      <c r="P177" s="62" t="n"/>
      <c r="Q177" s="62" t="n"/>
      <c r="R177" s="62" t="n"/>
      <c r="S177" s="62" t="n"/>
      <c r="T177" s="62" t="n"/>
      <c r="U177" s="62" t="n"/>
      <c r="V177" s="62" t="n"/>
      <c r="W177" s="62" t="n"/>
      <c r="X177" s="62" t="n"/>
      <c r="Y177" s="62" t="n"/>
      <c r="Z177" s="62" t="n"/>
      <c r="AA177" s="62" t="n"/>
      <c r="AB177" s="62" t="n"/>
      <c r="AC177" s="62" t="n"/>
      <c r="AD177" s="62" t="n"/>
      <c r="AE177" s="62" t="n"/>
      <c r="AF177" s="61">
        <f>IF(COUNTIF($B$5:B177,B177)=1,1,0)</f>
        <v/>
      </c>
      <c r="AG177" s="62" t="inlineStr">
        <is>
          <t>https://www.elespectador.com/opinion/editorial/el-sistema-de-salud-no-se-puede-reorganizar-a-las-carreras/</t>
        </is>
      </c>
    </row>
    <row r="178">
      <c r="A178" s="62" t="inlineStr">
        <is>
          <t>ART_225</t>
        </is>
      </c>
      <c r="B178" s="62" t="inlineStr">
        <is>
          <t>ART_225_S07</t>
        </is>
      </c>
      <c r="C178" s="62" t="inlineStr">
        <is>
          <t>El Espectador</t>
        </is>
      </c>
      <c r="D178" s="62" t="inlineStr">
        <is>
          <t>Salud</t>
        </is>
      </c>
      <c r="E178" s="62" t="inlineStr">
        <is>
          <t>Opinión-análisis</t>
        </is>
      </c>
      <c r="F178" s="62" t="inlineStr">
        <is>
          <t>2026-03-19T00:00:00-05:00</t>
        </is>
      </c>
      <c r="G178" s="62"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H178" s="62" t="inlineStr">
        <is>
          <t>Según la Superintendencia Nacional de Salud, en el gobierno de Andrés Pastrana fueron liquidadas nueve EPS; en los de Álvaro Uribe, cinco; en los de Juan Manuel Santos, 18; y en el de Iván Duque, 10.</t>
        </is>
      </c>
      <c r="I178" s="62" t="inlineStr">
        <is>
          <t>El plan del actual mandatario para los usuarios de esas EPS sería que pasaran a Nueva EPS, la cual cuenta actualmente con 11,5 millones de usuarios.</t>
        </is>
      </c>
      <c r="J178" s="62" t="n"/>
      <c r="K178" s="62" t="n"/>
      <c r="L178" s="62" t="n"/>
      <c r="M178" s="62" t="n"/>
      <c r="N178" s="62" t="n"/>
      <c r="O178" s="62" t="n"/>
      <c r="P178" s="62" t="n"/>
      <c r="Q178" s="62" t="n"/>
      <c r="R178" s="62" t="n"/>
      <c r="S178" s="62" t="n"/>
      <c r="T178" s="62" t="n"/>
      <c r="U178" s="62" t="n"/>
      <c r="V178" s="62" t="n"/>
      <c r="W178" s="62" t="n"/>
      <c r="X178" s="62" t="n"/>
      <c r="Y178" s="62" t="n"/>
      <c r="Z178" s="62" t="n"/>
      <c r="AA178" s="62" t="n"/>
      <c r="AB178" s="62" t="n"/>
      <c r="AC178" s="62" t="n"/>
      <c r="AD178" s="62" t="n"/>
      <c r="AE178" s="62" t="n"/>
      <c r="AF178" s="61">
        <f>IF(COUNTIF($B$5:B178,B178)=1,1,0)</f>
        <v/>
      </c>
      <c r="AG178" s="62" t="inlineStr">
        <is>
          <t>https://www.elespectador.com/opinion/editorial/el-sistema-de-salud-no-se-puede-reorganizar-a-las-carreras/</t>
        </is>
      </c>
    </row>
    <row r="179">
      <c r="A179" s="62" t="inlineStr">
        <is>
          <t>ART_225</t>
        </is>
      </c>
      <c r="B179" s="62" t="inlineStr">
        <is>
          <t>ART_225_S08</t>
        </is>
      </c>
      <c r="C179" s="62" t="inlineStr">
        <is>
          <t>El Espectador</t>
        </is>
      </c>
      <c r="D179" s="62" t="inlineStr">
        <is>
          <t>Salud</t>
        </is>
      </c>
      <c r="E179" s="62" t="inlineStr">
        <is>
          <t>Opinión-análisis</t>
        </is>
      </c>
      <c r="F179" s="62" t="inlineStr">
        <is>
          <t>2026-03-19T00:00:00-05:00</t>
        </is>
      </c>
      <c r="G179" s="62" t="inlineStr">
        <is>
          <t>El plan del actual mandatario para los usuarios de esas EPS sería que pasaran a Nueva EPS, la cual cuenta actualmente con 11,5 millones de usuarios.</t>
        </is>
      </c>
      <c r="H179" s="62"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I179" s="62"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J179" s="62" t="n"/>
      <c r="K179" s="62" t="n"/>
      <c r="L179" s="62" t="n"/>
      <c r="M179" s="62" t="n"/>
      <c r="N179" s="62" t="n"/>
      <c r="O179" s="62" t="n"/>
      <c r="P179" s="62" t="n"/>
      <c r="Q179" s="62" t="n"/>
      <c r="R179" s="62" t="n"/>
      <c r="S179" s="62" t="n"/>
      <c r="T179" s="62" t="n"/>
      <c r="U179" s="62" t="n"/>
      <c r="V179" s="62" t="n"/>
      <c r="W179" s="62" t="n"/>
      <c r="X179" s="62" t="n"/>
      <c r="Y179" s="62" t="n"/>
      <c r="Z179" s="62" t="n"/>
      <c r="AA179" s="62" t="n"/>
      <c r="AB179" s="62" t="n"/>
      <c r="AC179" s="62" t="n"/>
      <c r="AD179" s="62" t="n"/>
      <c r="AE179" s="62" t="n"/>
      <c r="AF179" s="61">
        <f>IF(COUNTIF($B$5:B179,B179)=1,1,0)</f>
        <v/>
      </c>
      <c r="AG179" s="62" t="inlineStr">
        <is>
          <t>https://www.elespectador.com/opinion/editorial/el-sistema-de-salud-no-se-puede-reorganizar-a-las-carreras/</t>
        </is>
      </c>
    </row>
    <row r="180">
      <c r="A180" s="62" t="inlineStr">
        <is>
          <t>ART_225</t>
        </is>
      </c>
      <c r="B180" s="62" t="inlineStr">
        <is>
          <t>ART_225_S09</t>
        </is>
      </c>
      <c r="C180" s="62" t="inlineStr">
        <is>
          <t>El Espectador</t>
        </is>
      </c>
      <c r="D180" s="62" t="inlineStr">
        <is>
          <t>Salud</t>
        </is>
      </c>
      <c r="E180" s="62" t="inlineStr">
        <is>
          <t>Opinión-análisis</t>
        </is>
      </c>
      <c r="F180" s="62" t="inlineStr">
        <is>
          <t>2026-03-19T00:00:00-05:00</t>
        </is>
      </c>
      <c r="G180" s="62"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H180" s="62" t="inlineStr">
        <is>
          <t>El plan del actual mandatario para los usuarios de esas EPS sería que pasaran a Nueva EPS, la cual cuenta actualmente con 11,5 millones de usuarios.</t>
        </is>
      </c>
      <c r="I180" s="62"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J180" s="62" t="n"/>
      <c r="K180" s="62" t="n"/>
      <c r="L180" s="62" t="n"/>
      <c r="M180" s="62" t="n"/>
      <c r="N180" s="62" t="n"/>
      <c r="O180" s="62" t="n"/>
      <c r="P180" s="62" t="n"/>
      <c r="Q180" s="62" t="n"/>
      <c r="R180" s="62" t="n"/>
      <c r="S180" s="62" t="n"/>
      <c r="T180" s="62" t="n"/>
      <c r="U180" s="62" t="n"/>
      <c r="V180" s="62" t="n"/>
      <c r="W180" s="62" t="n"/>
      <c r="X180" s="62" t="n"/>
      <c r="Y180" s="62" t="n"/>
      <c r="Z180" s="62" t="n"/>
      <c r="AA180" s="62" t="n"/>
      <c r="AB180" s="62" t="n"/>
      <c r="AC180" s="62" t="n"/>
      <c r="AD180" s="62" t="n"/>
      <c r="AE180" s="62" t="n"/>
      <c r="AF180" s="61">
        <f>IF(COUNTIF($B$5:B180,B180)=1,1,0)</f>
        <v/>
      </c>
      <c r="AG180" s="62" t="inlineStr">
        <is>
          <t>https://www.elespectador.com/opinion/editorial/el-sistema-de-salud-no-se-puede-reorganizar-a-las-carreras/</t>
        </is>
      </c>
    </row>
    <row r="181">
      <c r="A181" s="62" t="inlineStr">
        <is>
          <t>ART_225</t>
        </is>
      </c>
      <c r="B181" s="62" t="inlineStr">
        <is>
          <t>ART_225_S10</t>
        </is>
      </c>
      <c r="C181" s="62" t="inlineStr">
        <is>
          <t>El Espectador</t>
        </is>
      </c>
      <c r="D181" s="62" t="inlineStr">
        <is>
          <t>Salud</t>
        </is>
      </c>
      <c r="E181" s="62" t="inlineStr">
        <is>
          <t>Opinión-análisis</t>
        </is>
      </c>
      <c r="F181" s="62" t="inlineStr">
        <is>
          <t>2026-03-19T00:00:00-05:00</t>
        </is>
      </c>
      <c r="G181" s="62"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H181" s="62"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I181" s="62" t="inlineStr">
        <is>
          <t>Por su parte, los colegios médicos de Cauca, Antioquia, Cundinamarca-Bogotá, y Santander coinciden en que no es el momento de reorganizar las EPS del país.</t>
        </is>
      </c>
      <c r="J181" s="62" t="n"/>
      <c r="K181" s="62" t="n"/>
      <c r="L181" s="62" t="n"/>
      <c r="M181" s="62" t="n"/>
      <c r="N181" s="62" t="n"/>
      <c r="O181" s="62" t="n"/>
      <c r="P181" s="62" t="n"/>
      <c r="Q181" s="62" t="n"/>
      <c r="R181" s="62" t="n"/>
      <c r="S181" s="62" t="n"/>
      <c r="T181" s="62" t="n"/>
      <c r="U181" s="62" t="n"/>
      <c r="V181" s="62" t="n"/>
      <c r="W181" s="62" t="n"/>
      <c r="X181" s="62" t="n"/>
      <c r="Y181" s="62" t="n"/>
      <c r="Z181" s="62" t="n"/>
      <c r="AA181" s="62" t="n"/>
      <c r="AB181" s="62" t="n"/>
      <c r="AC181" s="62" t="n"/>
      <c r="AD181" s="62" t="n"/>
      <c r="AE181" s="62" t="n"/>
      <c r="AF181" s="61">
        <f>IF(COUNTIF($B$5:B181,B181)=1,1,0)</f>
        <v/>
      </c>
      <c r="AG181" s="62" t="inlineStr">
        <is>
          <t>https://www.elespectador.com/opinion/editorial/el-sistema-de-salud-no-se-puede-reorganizar-a-las-carreras/</t>
        </is>
      </c>
    </row>
    <row r="182">
      <c r="A182" s="62" t="inlineStr">
        <is>
          <t>ART_225</t>
        </is>
      </c>
      <c r="B182" s="62" t="inlineStr">
        <is>
          <t>ART_225_S11</t>
        </is>
      </c>
      <c r="C182" s="62" t="inlineStr">
        <is>
          <t>El Espectador</t>
        </is>
      </c>
      <c r="D182" s="62" t="inlineStr">
        <is>
          <t>Salud</t>
        </is>
      </c>
      <c r="E182" s="62" t="inlineStr">
        <is>
          <t>Opinión-análisis</t>
        </is>
      </c>
      <c r="F182" s="62" t="inlineStr">
        <is>
          <t>2026-03-19T00:00:00-05:00</t>
        </is>
      </c>
      <c r="G182" s="62" t="inlineStr">
        <is>
          <t>Por su parte, los colegios médicos de Cauca, Antioquia, Cundinamarca-Bogotá, y Santander coinciden en que no es el momento de reorganizar las EPS del país.</t>
        </is>
      </c>
      <c r="H182" s="62"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I182" s="62" t="inlineStr">
        <is>
          <t>Se valora el parte de tranquilidad entregado por la Supersalud, que llamó a la red de prestadores para que continúen garantizando la atención a los usuarios.</t>
        </is>
      </c>
      <c r="J182" s="62" t="n"/>
      <c r="K182" s="62" t="n"/>
      <c r="L182" s="62" t="n"/>
      <c r="M182" s="62" t="n"/>
      <c r="N182" s="62" t="n"/>
      <c r="O182" s="62" t="n"/>
      <c r="P182" s="62" t="n"/>
      <c r="Q182" s="62" t="n"/>
      <c r="R182" s="62" t="n"/>
      <c r="S182" s="62" t="n"/>
      <c r="T182" s="62" t="n"/>
      <c r="U182" s="62" t="n"/>
      <c r="V182" s="62" t="n"/>
      <c r="W182" s="62" t="n"/>
      <c r="X182" s="62" t="n"/>
      <c r="Y182" s="62" t="n"/>
      <c r="Z182" s="62" t="n"/>
      <c r="AA182" s="62" t="n"/>
      <c r="AB182" s="62" t="n"/>
      <c r="AC182" s="62" t="n"/>
      <c r="AD182" s="62" t="n"/>
      <c r="AE182" s="62" t="n"/>
      <c r="AF182" s="61">
        <f>IF(COUNTIF($B$5:B182,B182)=1,1,0)</f>
        <v/>
      </c>
      <c r="AG182" s="62" t="inlineStr">
        <is>
          <t>https://www.elespectador.com/opinion/editorial/el-sistema-de-salud-no-se-puede-reorganizar-a-las-carreras/</t>
        </is>
      </c>
    </row>
    <row r="183">
      <c r="A183" s="62" t="inlineStr">
        <is>
          <t>ART_225</t>
        </is>
      </c>
      <c r="B183" s="62" t="inlineStr">
        <is>
          <t>ART_225_S12</t>
        </is>
      </c>
      <c r="C183" s="62" t="inlineStr">
        <is>
          <t>El Espectador</t>
        </is>
      </c>
      <c r="D183" s="62" t="inlineStr">
        <is>
          <t>Salud</t>
        </is>
      </c>
      <c r="E183" s="62" t="inlineStr">
        <is>
          <t>Opinión-análisis</t>
        </is>
      </c>
      <c r="F183" s="62" t="inlineStr">
        <is>
          <t>2026-03-19T00:00:00-05:00</t>
        </is>
      </c>
      <c r="G183" s="62" t="inlineStr">
        <is>
          <t>Se valora el parte de tranquilidad entregado por la Supersalud, que llamó a la red de prestadores para que continúen garantizando la atención a los usuarios.</t>
        </is>
      </c>
      <c r="H183" s="62" t="inlineStr">
        <is>
          <t>Por su parte, los colegios médicos de Cauca, Antioquia, Cundinamarca-Bogotá, y Santander coinciden en que no es el momento de reorganizar las EPS del país.</t>
        </is>
      </c>
      <c r="I183" s="62" t="inlineStr">
        <is>
          <t>Sin embargo, el presidente parece empecinado en utilizar sus últimos meses de mandato para implementar a las malas una reorganización del sistema cuyo precio lo pagarían los pacientes, que ya se han visto perjudicados por las falencias de Nueva EPS.</t>
        </is>
      </c>
      <c r="J183" s="62" t="n"/>
      <c r="K183" s="62" t="n"/>
      <c r="L183" s="62" t="n"/>
      <c r="M183" s="62" t="n"/>
      <c r="N183" s="62" t="n"/>
      <c r="O183" s="62" t="n"/>
      <c r="P183" s="62" t="n"/>
      <c r="Q183" s="62" t="n"/>
      <c r="R183" s="62" t="n"/>
      <c r="S183" s="62" t="n"/>
      <c r="T183" s="62" t="n"/>
      <c r="U183" s="62" t="n"/>
      <c r="V183" s="62" t="n"/>
      <c r="W183" s="62" t="n"/>
      <c r="X183" s="62" t="n"/>
      <c r="Y183" s="62" t="n"/>
      <c r="Z183" s="62" t="n"/>
      <c r="AA183" s="62" t="n"/>
      <c r="AB183" s="62" t="n"/>
      <c r="AC183" s="62" t="n"/>
      <c r="AD183" s="62" t="n"/>
      <c r="AE183" s="62" t="n"/>
      <c r="AF183" s="61">
        <f>IF(COUNTIF($B$5:B183,B183)=1,1,0)</f>
        <v/>
      </c>
      <c r="AG183" s="62" t="inlineStr">
        <is>
          <t>https://www.elespectador.com/opinion/editorial/el-sistema-de-salud-no-se-puede-reorganizar-a-las-carreras/</t>
        </is>
      </c>
    </row>
    <row r="184">
      <c r="A184" s="62" t="inlineStr">
        <is>
          <t>ART_225</t>
        </is>
      </c>
      <c r="B184" s="62" t="inlineStr">
        <is>
          <t>ART_225_S13</t>
        </is>
      </c>
      <c r="C184" s="62" t="inlineStr">
        <is>
          <t>El Espectador</t>
        </is>
      </c>
      <c r="D184" s="62" t="inlineStr">
        <is>
          <t>Salud</t>
        </is>
      </c>
      <c r="E184" s="62" t="inlineStr">
        <is>
          <t>Opinión-análisis</t>
        </is>
      </c>
      <c r="F184" s="62" t="inlineStr">
        <is>
          <t>2026-03-19T00:00:00-05:00</t>
        </is>
      </c>
      <c r="G184" s="62" t="inlineStr">
        <is>
          <t>Sin embargo, el presidente parece empecinado en utilizar sus últimos meses de mandato para implementar a las malas una reorganización del sistema cuyo precio lo pagarían los pacientes, que ya se han visto perjudicados por las falencias de Nueva EPS.</t>
        </is>
      </c>
      <c r="H184" s="62" t="inlineStr">
        <is>
          <t>Se valora el parte de tranquilidad entregado por la Supersalud, que llamó a la red de prestadores para que continúen garantizando la atención a los usuarios.</t>
        </is>
      </c>
      <c r="I184" s="62" t="inlineStr">
        <is>
          <t>De momento, hay más incertidumbres que certezas.</t>
        </is>
      </c>
      <c r="J184" s="62" t="n"/>
      <c r="K184" s="62" t="n"/>
      <c r="L184" s="62" t="n"/>
      <c r="M184" s="62" t="n"/>
      <c r="N184" s="62" t="n"/>
      <c r="O184" s="62" t="n"/>
      <c r="P184" s="62" t="n"/>
      <c r="Q184" s="62" t="n"/>
      <c r="R184" s="62" t="n"/>
      <c r="S184" s="62" t="n"/>
      <c r="T184" s="62" t="n"/>
      <c r="U184" s="62" t="n"/>
      <c r="V184" s="62" t="n"/>
      <c r="W184" s="62" t="n"/>
      <c r="X184" s="62" t="n"/>
      <c r="Y184" s="62" t="n"/>
      <c r="Z184" s="62" t="n"/>
      <c r="AA184" s="62" t="n"/>
      <c r="AB184" s="62" t="n"/>
      <c r="AC184" s="62" t="n"/>
      <c r="AD184" s="62" t="n"/>
      <c r="AE184" s="62" t="n"/>
      <c r="AF184" s="61">
        <f>IF(COUNTIF($B$5:B184,B184)=1,1,0)</f>
        <v/>
      </c>
      <c r="AG184" s="62" t="inlineStr">
        <is>
          <t>https://www.elespectador.com/opinion/editorial/el-sistema-de-salud-no-se-puede-reorganizar-a-las-carreras/</t>
        </is>
      </c>
    </row>
    <row r="185">
      <c r="A185" s="62" t="inlineStr">
        <is>
          <t>ART_225</t>
        </is>
      </c>
      <c r="B185" s="62" t="inlineStr">
        <is>
          <t>ART_225_S14</t>
        </is>
      </c>
      <c r="C185" s="62" t="inlineStr">
        <is>
          <t>El Espectador</t>
        </is>
      </c>
      <c r="D185" s="62" t="inlineStr">
        <is>
          <t>Salud</t>
        </is>
      </c>
      <c r="E185" s="62" t="inlineStr">
        <is>
          <t>Opinión-análisis</t>
        </is>
      </c>
      <c r="F185" s="62" t="inlineStr">
        <is>
          <t>2026-03-19T00:00:00-05:00</t>
        </is>
      </c>
      <c r="G185" s="62" t="inlineStr">
        <is>
          <t>De momento, hay más incertidumbres que certezas.</t>
        </is>
      </c>
      <c r="H185" s="62" t="inlineStr">
        <is>
          <t>Sin embargo, el presidente parece empecinado en utilizar sus últimos meses de mandato para implementar a las malas una reorganización del sistema cuyo precio lo pagarían los pacientes, que ya se han visto perjudicados por las falencias de Nueva EPS.</t>
        </is>
      </c>
      <c r="I185" s="62" t="n"/>
      <c r="J185" s="62" t="n"/>
      <c r="K185" s="62" t="n"/>
      <c r="L185" s="62" t="n"/>
      <c r="M185" s="62" t="n"/>
      <c r="N185" s="62" t="n"/>
      <c r="O185" s="62" t="n"/>
      <c r="P185" s="62" t="n"/>
      <c r="Q185" s="62" t="n"/>
      <c r="R185" s="62" t="n"/>
      <c r="S185" s="62" t="n"/>
      <c r="T185" s="62" t="n"/>
      <c r="U185" s="62" t="n"/>
      <c r="V185" s="62" t="n"/>
      <c r="W185" s="62" t="n"/>
      <c r="X185" s="62" t="n"/>
      <c r="Y185" s="62" t="n"/>
      <c r="Z185" s="62" t="n"/>
      <c r="AA185" s="62" t="n"/>
      <c r="AB185" s="62" t="n"/>
      <c r="AC185" s="62" t="n"/>
      <c r="AD185" s="62" t="n"/>
      <c r="AE185" s="62" t="n"/>
      <c r="AF185" s="61">
        <f>IF(COUNTIF($B$5:B185,B185)=1,1,0)</f>
        <v/>
      </c>
      <c r="AG185" s="62" t="inlineStr">
        <is>
          <t>https://www.elespectador.com/opinion/editorial/el-sistema-de-salud-no-se-puede-reorganizar-a-las-carreras/</t>
        </is>
      </c>
    </row>
    <row r="186">
      <c r="A186" s="62" t="inlineStr">
        <is>
          <t>ART_227</t>
        </is>
      </c>
      <c r="B186" s="62" t="inlineStr">
        <is>
          <t>ART_227_S01</t>
        </is>
      </c>
      <c r="C186" s="62" t="inlineStr">
        <is>
          <t>El Espectador</t>
        </is>
      </c>
      <c r="D186" s="62" t="inlineStr">
        <is>
          <t>Salud</t>
        </is>
      </c>
      <c r="E186" s="62" t="inlineStr">
        <is>
          <t>Noticia dura</t>
        </is>
      </c>
      <c r="F186" s="62" t="inlineStr">
        <is>
          <t>2026-05-25T11:53:20-05:00</t>
        </is>
      </c>
      <c r="G186" s="62" t="inlineStr">
        <is>
          <t>Acemi, el gremio que reúne a las EPS del régimen contributivo, dio a conocer una propuesta para transformar el sistema de salud colombiano en el próximo gobierno.</t>
        </is>
      </c>
      <c r="H186" s="62" t="n"/>
      <c r="I186" s="62" t="inlineStr">
        <is>
          <t>El gremio plantea una estabilización inmediata mediante un puesto de mando unificado para atender a pacientes en riesgo y garantizar el suministro de medicinas.</t>
        </is>
      </c>
      <c r="J186" s="62" t="n"/>
      <c r="K186" s="62" t="n"/>
      <c r="L186" s="62" t="n"/>
      <c r="M186" s="62" t="n"/>
      <c r="N186" s="62" t="n"/>
      <c r="O186" s="62" t="n"/>
      <c r="P186" s="62" t="n"/>
      <c r="Q186" s="62" t="n"/>
      <c r="R186" s="62" t="n"/>
      <c r="S186" s="62" t="n"/>
      <c r="T186" s="62" t="n"/>
      <c r="U186" s="62" t="n"/>
      <c r="V186" s="62" t="n"/>
      <c r="W186" s="62" t="n"/>
      <c r="X186" s="62" t="n"/>
      <c r="Y186" s="62" t="n"/>
      <c r="Z186" s="62" t="n"/>
      <c r="AA186" s="62" t="n"/>
      <c r="AB186" s="62" t="n"/>
      <c r="AC186" s="62" t="n"/>
      <c r="AD186" s="62" t="n"/>
      <c r="AE186" s="62" t="n"/>
      <c r="AF186" s="61">
        <f>IF(COUNTIF($B$5:B186,B186)=1,1,0)</f>
        <v/>
      </c>
      <c r="AG186" s="62" t="inlineStr">
        <is>
          <t>https://www.elespectador.com/salud/las-eps-plantean-estabilizar-primero-el-sistema-de-salud-antes-de-impulsar-nuevas-reformas/</t>
        </is>
      </c>
    </row>
    <row r="187">
      <c r="A187" s="62" t="inlineStr">
        <is>
          <t>ART_227</t>
        </is>
      </c>
      <c r="B187" s="62" t="inlineStr">
        <is>
          <t>ART_227_S02</t>
        </is>
      </c>
      <c r="C187" s="62" t="inlineStr">
        <is>
          <t>El Espectador</t>
        </is>
      </c>
      <c r="D187" s="62" t="inlineStr">
        <is>
          <t>Salud</t>
        </is>
      </c>
      <c r="E187" s="62" t="inlineStr">
        <is>
          <t>Noticia dura</t>
        </is>
      </c>
      <c r="F187" s="62" t="inlineStr">
        <is>
          <t>2026-05-25T11:53:20-05:00</t>
        </is>
      </c>
      <c r="G187" s="62" t="inlineStr">
        <is>
          <t>El gremio plantea una estabilización inmediata mediante un puesto de mando unificado para atender a pacientes en riesgo y garantizar el suministro de medicinas.</t>
        </is>
      </c>
      <c r="H187" s="62" t="inlineStr">
        <is>
          <t>Acemi, el gremio que reúne a las EPS del régimen contributivo, dio a conocer una propuesta para transformar el sistema de salud colombiano en el próximo gobierno.</t>
        </is>
      </c>
      <c r="I187" s="62" t="inlineStr">
        <is>
          <t>Se sugiere un saneamiento financiero gradual que incluye la búsqueda de nuevas fuentes de ingresos y una reingeniería de la Unidad de Pago por Capitación (UPC).</t>
        </is>
      </c>
      <c r="J187" s="62" t="n"/>
      <c r="K187" s="62" t="n"/>
      <c r="L187" s="62" t="n"/>
      <c r="M187" s="62" t="n"/>
      <c r="N187" s="62" t="n"/>
      <c r="O187" s="62" t="n"/>
      <c r="P187" s="62" t="n"/>
      <c r="Q187" s="62" t="n"/>
      <c r="R187" s="62" t="n"/>
      <c r="S187" s="62" t="n"/>
      <c r="T187" s="62" t="n"/>
      <c r="U187" s="62" t="n"/>
      <c r="V187" s="62" t="n"/>
      <c r="W187" s="62" t="n"/>
      <c r="X187" s="62" t="n"/>
      <c r="Y187" s="62" t="n"/>
      <c r="Z187" s="62" t="n"/>
      <c r="AA187" s="62" t="n"/>
      <c r="AB187" s="62" t="n"/>
      <c r="AC187" s="62" t="n"/>
      <c r="AD187" s="62" t="n"/>
      <c r="AE187" s="62" t="n"/>
      <c r="AF187" s="61">
        <f>IF(COUNTIF($B$5:B187,B187)=1,1,0)</f>
        <v/>
      </c>
      <c r="AG187" s="62" t="inlineStr">
        <is>
          <t>https://www.elespectador.com/salud/las-eps-plantean-estabilizar-primero-el-sistema-de-salud-antes-de-impulsar-nuevas-reformas/</t>
        </is>
      </c>
    </row>
    <row r="188">
      <c r="A188" s="62" t="inlineStr">
        <is>
          <t>ART_227</t>
        </is>
      </c>
      <c r="B188" s="62" t="inlineStr">
        <is>
          <t>ART_227_S03</t>
        </is>
      </c>
      <c r="C188" s="62" t="inlineStr">
        <is>
          <t>El Espectador</t>
        </is>
      </c>
      <c r="D188" s="62" t="inlineStr">
        <is>
          <t>Salud</t>
        </is>
      </c>
      <c r="E188" s="62" t="inlineStr">
        <is>
          <t>Noticia dura</t>
        </is>
      </c>
      <c r="F188" s="62" t="inlineStr">
        <is>
          <t>2026-05-25T11:53:20-05:00</t>
        </is>
      </c>
      <c r="G188" s="62" t="inlineStr">
        <is>
          <t>Se sugiere un saneamiento financiero gradual que incluye la búsqueda de nuevas fuentes de ingresos y una reingeniería de la Unidad de Pago por Capitación (UPC).</t>
        </is>
      </c>
      <c r="H188" s="62" t="inlineStr">
        <is>
          <t>El gremio plantea una estabilización inmediata mediante un puesto de mando unificado para atender a pacientes en riesgo y garantizar el suministro de medicinas.</t>
        </is>
      </c>
      <c r="I188" s="62" t="inlineStr">
        <is>
          <t>Además, el plan enfatiza la modernización del aseguramiento, la gestión de riesgos y el fortalecimiento de la salud pública mediante el uso de datos.</t>
        </is>
      </c>
      <c r="J188" s="62" t="n"/>
      <c r="K188" s="62" t="n"/>
      <c r="L188" s="62" t="n"/>
      <c r="M188" s="62" t="n"/>
      <c r="N188" s="62" t="n"/>
      <c r="O188" s="62" t="n"/>
      <c r="P188" s="62" t="n"/>
      <c r="Q188" s="62" t="n"/>
      <c r="R188" s="62" t="n"/>
      <c r="S188" s="62" t="n"/>
      <c r="T188" s="62" t="n"/>
      <c r="U188" s="62" t="n"/>
      <c r="V188" s="62" t="n"/>
      <c r="W188" s="62" t="n"/>
      <c r="X188" s="62" t="n"/>
      <c r="Y188" s="62" t="n"/>
      <c r="Z188" s="62" t="n"/>
      <c r="AA188" s="62" t="n"/>
      <c r="AB188" s="62" t="n"/>
      <c r="AC188" s="62" t="n"/>
      <c r="AD188" s="62" t="n"/>
      <c r="AE188" s="62" t="n"/>
      <c r="AF188" s="61">
        <f>IF(COUNTIF($B$5:B188,B188)=1,1,0)</f>
        <v/>
      </c>
      <c r="AG188" s="62" t="inlineStr">
        <is>
          <t>https://www.elespectador.com/salud/las-eps-plantean-estabilizar-primero-el-sistema-de-salud-antes-de-impulsar-nuevas-reformas/</t>
        </is>
      </c>
    </row>
    <row r="189">
      <c r="A189" s="62" t="inlineStr">
        <is>
          <t>ART_227</t>
        </is>
      </c>
      <c r="B189" s="62" t="inlineStr">
        <is>
          <t>ART_227_S04</t>
        </is>
      </c>
      <c r="C189" s="62" t="inlineStr">
        <is>
          <t>El Espectador</t>
        </is>
      </c>
      <c r="D189" s="62" t="inlineStr">
        <is>
          <t>Salud</t>
        </is>
      </c>
      <c r="E189" s="62" t="inlineStr">
        <is>
          <t>Noticia dura</t>
        </is>
      </c>
      <c r="F189" s="62" t="inlineStr">
        <is>
          <t>2026-05-25T11:53:20-05:00</t>
        </is>
      </c>
      <c r="G189" s="62" t="inlineStr">
        <is>
          <t>Además, el plan enfatiza la modernización del aseguramiento, la gestión de riesgos y el fortalecimiento de la salud pública mediante el uso de datos.</t>
        </is>
      </c>
      <c r="H189" s="62" t="inlineStr">
        <is>
          <t>Se sugiere un saneamiento financiero gradual que incluye la búsqueda de nuevas fuentes de ingresos y una reingeniería de la Unidad de Pago por Capitación (UPC).</t>
        </is>
      </c>
      <c r="I189" s="62" t="inlineStr">
        <is>
          <t>Finalmente, se aboga por una gobernanza técnica despojada de intereses políticos para asegurar la sostenibilidad del modelo a largo plazo.</t>
        </is>
      </c>
      <c r="J189" s="62" t="n"/>
      <c r="K189" s="62" t="n"/>
      <c r="L189" s="62" t="n"/>
      <c r="M189" s="62" t="n"/>
      <c r="N189" s="62" t="n"/>
      <c r="O189" s="62" t="n"/>
      <c r="P189" s="62" t="n"/>
      <c r="Q189" s="62" t="n"/>
      <c r="R189" s="62" t="n"/>
      <c r="S189" s="62" t="n"/>
      <c r="T189" s="62" t="n"/>
      <c r="U189" s="62" t="n"/>
      <c r="V189" s="62" t="n"/>
      <c r="W189" s="62" t="n"/>
      <c r="X189" s="62" t="n"/>
      <c r="Y189" s="62" t="n"/>
      <c r="Z189" s="62" t="n"/>
      <c r="AA189" s="62" t="n"/>
      <c r="AB189" s="62" t="n"/>
      <c r="AC189" s="62" t="n"/>
      <c r="AD189" s="62" t="n"/>
      <c r="AE189" s="62" t="n"/>
      <c r="AF189" s="61">
        <f>IF(COUNTIF($B$5:B189,B189)=1,1,0)</f>
        <v/>
      </c>
      <c r="AG189" s="62" t="inlineStr">
        <is>
          <t>https://www.elespectador.com/salud/las-eps-plantean-estabilizar-primero-el-sistema-de-salud-antes-de-impulsar-nuevas-reformas/</t>
        </is>
      </c>
    </row>
    <row r="190">
      <c r="A190" s="62" t="inlineStr">
        <is>
          <t>ART_227</t>
        </is>
      </c>
      <c r="B190" s="62" t="inlineStr">
        <is>
          <t>ART_227_S05</t>
        </is>
      </c>
      <c r="C190" s="62" t="inlineStr">
        <is>
          <t>El Espectador</t>
        </is>
      </c>
      <c r="D190" s="62" t="inlineStr">
        <is>
          <t>Salud</t>
        </is>
      </c>
      <c r="E190" s="62" t="inlineStr">
        <is>
          <t>Noticia dura</t>
        </is>
      </c>
      <c r="F190" s="62" t="inlineStr">
        <is>
          <t>2026-05-25T11:53:20-05:00</t>
        </is>
      </c>
      <c r="G190" s="62" t="inlineStr">
        <is>
          <t>Finalmente, se aboga por una gobernanza técnica despojada de intereses políticos para asegurar la sostenibilidad del modelo a largo plazo.</t>
        </is>
      </c>
      <c r="H190" s="62" t="inlineStr">
        <is>
          <t>Además, el plan enfatiza la modernización del aseguramiento, la gestión de riesgos y el fortalecimiento de la salud pública mediante el uso de datos.</t>
        </is>
      </c>
      <c r="I190" s="62" t="inlineStr">
        <is>
          <t>La propuesta parte de una idea central: el sistema de salud atraviesa una crisis tan profunda que primero hay que estabilizarlo antes de pensar en reformas estructurales.</t>
        </is>
      </c>
      <c r="J190" s="62" t="n"/>
      <c r="K190" s="62" t="n"/>
      <c r="L190" s="62" t="n"/>
      <c r="M190" s="62" t="n"/>
      <c r="N190" s="62" t="n"/>
      <c r="O190" s="62" t="n"/>
      <c r="P190" s="62" t="n"/>
      <c r="Q190" s="62" t="n"/>
      <c r="R190" s="62" t="n"/>
      <c r="S190" s="62" t="n"/>
      <c r="T190" s="62" t="n"/>
      <c r="U190" s="62" t="n"/>
      <c r="V190" s="62" t="n"/>
      <c r="W190" s="62" t="n"/>
      <c r="X190" s="62" t="n"/>
      <c r="Y190" s="62" t="n"/>
      <c r="Z190" s="62" t="n"/>
      <c r="AA190" s="62" t="n"/>
      <c r="AB190" s="62" t="n"/>
      <c r="AC190" s="62" t="n"/>
      <c r="AD190" s="62" t="n"/>
      <c r="AE190" s="62" t="n"/>
      <c r="AF190" s="61">
        <f>IF(COUNTIF($B$5:B190,B190)=1,1,0)</f>
        <v/>
      </c>
      <c r="AG190" s="62" t="inlineStr">
        <is>
          <t>https://www.elespectador.com/salud/las-eps-plantean-estabilizar-primero-el-sistema-de-salud-antes-de-impulsar-nuevas-reformas/</t>
        </is>
      </c>
    </row>
    <row r="191">
      <c r="A191" s="62" t="inlineStr">
        <is>
          <t>ART_227</t>
        </is>
      </c>
      <c r="B191" s="62" t="inlineStr">
        <is>
          <t>ART_227_S06</t>
        </is>
      </c>
      <c r="C191" s="62" t="inlineStr">
        <is>
          <t>El Espectador</t>
        </is>
      </c>
      <c r="D191" s="62" t="inlineStr">
        <is>
          <t>Salud</t>
        </is>
      </c>
      <c r="E191" s="62" t="inlineStr">
        <is>
          <t>Noticia dura</t>
        </is>
      </c>
      <c r="F191" s="62" t="inlineStr">
        <is>
          <t>2026-05-25T11:53:20-05:00</t>
        </is>
      </c>
      <c r="G191" s="62" t="inlineStr">
        <is>
          <t>La propuesta parte de una idea central: el sistema de salud atraviesa una crisis tan profunda que primero hay que estabilizarlo antes de pensar en reformas estructurales.</t>
        </is>
      </c>
      <c r="H191" s="62" t="inlineStr">
        <is>
          <t>Finalmente, se aboga por una gobernanza técnica despojada de intereses políticos para asegurar la sostenibilidad del modelo a largo plazo.</t>
        </is>
      </c>
      <c r="I191" s="62" t="n"/>
      <c r="J191" s="62" t="n"/>
      <c r="K191" s="62" t="n"/>
      <c r="L191" s="62" t="n"/>
      <c r="M191" s="62" t="n"/>
      <c r="N191" s="62" t="n"/>
      <c r="O191" s="62" t="n"/>
      <c r="P191" s="62" t="n"/>
      <c r="Q191" s="62" t="n"/>
      <c r="R191" s="62" t="n"/>
      <c r="S191" s="62" t="n"/>
      <c r="T191" s="62" t="n"/>
      <c r="U191" s="62" t="n"/>
      <c r="V191" s="62" t="n"/>
      <c r="W191" s="62" t="n"/>
      <c r="X191" s="62" t="n"/>
      <c r="Y191" s="62" t="n"/>
      <c r="Z191" s="62" t="n"/>
      <c r="AA191" s="62" t="n"/>
      <c r="AB191" s="62" t="n"/>
      <c r="AC191" s="62" t="n"/>
      <c r="AD191" s="62" t="n"/>
      <c r="AE191" s="62" t="n"/>
      <c r="AF191" s="61">
        <f>IF(COUNTIF($B$5:B191,B191)=1,1,0)</f>
        <v/>
      </c>
      <c r="AG191" s="62" t="inlineStr">
        <is>
          <t>https://www.elespectador.com/salud/las-eps-plantean-estabilizar-primero-el-sistema-de-salud-antes-de-impulsar-nuevas-reformas/</t>
        </is>
      </c>
    </row>
    <row r="192">
      <c r="A192" s="62" t="inlineStr">
        <is>
          <t>ART_231</t>
        </is>
      </c>
      <c r="B192" s="62" t="inlineStr">
        <is>
          <t>ART_231_S01</t>
        </is>
      </c>
      <c r="C192" s="62" t="inlineStr">
        <is>
          <t>La Silla Vacía</t>
        </is>
      </c>
      <c r="D192" s="62" t="inlineStr">
        <is>
          <t>Salud</t>
        </is>
      </c>
      <c r="E192" s="62" t="inlineStr">
        <is>
          <t>Noticia dura</t>
        </is>
      </c>
      <c r="F192" s="62" t="inlineStr">
        <is>
          <t>2026-03-23T06:00:00+00:00</t>
        </is>
      </c>
      <c r="G192" s="62" t="inlineStr">
        <is>
          <t>La semana pasada, el presidente Gustavo Petro ordenó liquidar las EPS “quebradas”.</t>
        </is>
      </c>
      <c r="H192" s="62" t="n"/>
      <c r="I192" s="62" t="inlineStr">
        <is>
          <t>Con lo que se conoce, es poco viable que lo pueda lograr en lo que queda de gobierno: la normativa pone limitaciones, los tiempos son ajustados y hay precedentes judiciales que pueden tumbarla.</t>
        </is>
      </c>
      <c r="J192" s="62" t="n"/>
      <c r="K192" s="62" t="n"/>
      <c r="L192" s="62" t="n"/>
      <c r="M192" s="62" t="n"/>
      <c r="N192" s="62" t="n"/>
      <c r="O192" s="62" t="n"/>
      <c r="P192" s="62" t="n"/>
      <c r="Q192" s="62" t="n"/>
      <c r="R192" s="62" t="n"/>
      <c r="S192" s="62" t="n"/>
      <c r="T192" s="62" t="n"/>
      <c r="U192" s="62" t="n"/>
      <c r="V192" s="62" t="n"/>
      <c r="W192" s="62" t="n"/>
      <c r="X192" s="62" t="n"/>
      <c r="Y192" s="62" t="n"/>
      <c r="Z192" s="62" t="n"/>
      <c r="AA192" s="62" t="n"/>
      <c r="AB192" s="62" t="n"/>
      <c r="AC192" s="62" t="n"/>
      <c r="AD192" s="62" t="n"/>
      <c r="AE192" s="62" t="n"/>
      <c r="AF192" s="61">
        <f>IF(COUNTIF($B$5:B192,B192)=1,1,0)</f>
        <v/>
      </c>
      <c r="AG192" s="62" t="inlineStr">
        <is>
          <t>https://www.lasillavacia.com/silla-nacional/liquidar-las-eps-la-ultima-carta-inviable-de-petro-para-la-salud/</t>
        </is>
      </c>
    </row>
    <row r="193">
      <c r="A193" s="62" t="inlineStr">
        <is>
          <t>ART_231</t>
        </is>
      </c>
      <c r="B193" s="62" t="inlineStr">
        <is>
          <t>ART_231_S02</t>
        </is>
      </c>
      <c r="C193" s="62" t="inlineStr">
        <is>
          <t>La Silla Vacía</t>
        </is>
      </c>
      <c r="D193" s="62" t="inlineStr">
        <is>
          <t>Salud</t>
        </is>
      </c>
      <c r="E193" s="62" t="inlineStr">
        <is>
          <t>Noticia dura</t>
        </is>
      </c>
      <c r="F193" s="62" t="inlineStr">
        <is>
          <t>2026-03-23T06:00:00+00:00</t>
        </is>
      </c>
      <c r="G193" s="62" t="inlineStr">
        <is>
          <t>Con lo que se conoce, es poco viable que lo pueda lograr en lo que queda de gobierno: la normativa pone limitaciones, los tiempos son ajustados y hay precedentes judiciales que pueden tumbarla.</t>
        </is>
      </c>
      <c r="H193" s="62" t="inlineStr">
        <is>
          <t>La semana pasada, el presidente Gustavo Petro ordenó liquidar las EPS “quebradas”.</t>
        </is>
      </c>
      <c r="I193" s="62" t="inlineStr">
        <is>
          <t>Pero como el gobierno está decidido a sacar su fallida reforma a la salud a toda costa, eso no necesariamente lo disuadirá.</t>
        </is>
      </c>
      <c r="J193" s="62" t="n"/>
      <c r="K193" s="62" t="n"/>
      <c r="L193" s="62" t="n"/>
      <c r="M193" s="62" t="n"/>
      <c r="N193" s="62" t="n"/>
      <c r="O193" s="62" t="n"/>
      <c r="P193" s="62" t="n"/>
      <c r="Q193" s="62" t="n"/>
      <c r="R193" s="62" t="n"/>
      <c r="S193" s="62" t="n"/>
      <c r="T193" s="62" t="n"/>
      <c r="U193" s="62" t="n"/>
      <c r="V193" s="62" t="n"/>
      <c r="W193" s="62" t="n"/>
      <c r="X193" s="62" t="n"/>
      <c r="Y193" s="62" t="n"/>
      <c r="Z193" s="62" t="n"/>
      <c r="AA193" s="62" t="n"/>
      <c r="AB193" s="62" t="n"/>
      <c r="AC193" s="62" t="n"/>
      <c r="AD193" s="62" t="n"/>
      <c r="AE193" s="62" t="n"/>
      <c r="AF193" s="61">
        <f>IF(COUNTIF($B$5:B193,B193)=1,1,0)</f>
        <v/>
      </c>
      <c r="AG193" s="62" t="inlineStr">
        <is>
          <t>https://www.lasillavacia.com/silla-nacional/liquidar-las-eps-la-ultima-carta-inviable-de-petro-para-la-salud/</t>
        </is>
      </c>
    </row>
    <row r="194">
      <c r="A194" s="62" t="inlineStr">
        <is>
          <t>ART_231</t>
        </is>
      </c>
      <c r="B194" s="62" t="inlineStr">
        <is>
          <t>ART_231_S03</t>
        </is>
      </c>
      <c r="C194" s="62" t="inlineStr">
        <is>
          <t>La Silla Vacía</t>
        </is>
      </c>
      <c r="D194" s="62" t="inlineStr">
        <is>
          <t>Salud</t>
        </is>
      </c>
      <c r="E194" s="62" t="inlineStr">
        <is>
          <t>Noticia dura</t>
        </is>
      </c>
      <c r="F194" s="62" t="inlineStr">
        <is>
          <t>2026-03-23T06:00:00+00:00</t>
        </is>
      </c>
      <c r="G194" s="62" t="inlineStr">
        <is>
          <t>Pero como el gobierno está decidido a sacar su fallida reforma a la salud a toda costa, eso no necesariamente lo disuadirá.</t>
        </is>
      </c>
      <c r="H194" s="62" t="inlineStr">
        <is>
          <t>Con lo que se conoce, es poco viable que lo pueda lograr en lo que queda de gobierno: la normativa pone limitaciones, los tiempos son ajustados y hay precedentes judiciales que pueden tumbarla.</t>
        </is>
      </c>
      <c r="I194" s="62" t="inlineStr">
        <is>
          <t>Petro ordenó algo que él mismo había rechazado en el pasado.</t>
        </is>
      </c>
      <c r="J194" s="62" t="n"/>
      <c r="K194" s="62" t="n"/>
      <c r="L194" s="62" t="n"/>
      <c r="M194" s="62" t="n"/>
      <c r="N194" s="62" t="n"/>
      <c r="O194" s="62" t="n"/>
      <c r="P194" s="62" t="n"/>
      <c r="Q194" s="62" t="n"/>
      <c r="R194" s="62" t="n"/>
      <c r="S194" s="62" t="n"/>
      <c r="T194" s="62" t="n"/>
      <c r="U194" s="62" t="n"/>
      <c r="V194" s="62" t="n"/>
      <c r="W194" s="62" t="n"/>
      <c r="X194" s="62" t="n"/>
      <c r="Y194" s="62" t="n"/>
      <c r="Z194" s="62" t="n"/>
      <c r="AA194" s="62" t="n"/>
      <c r="AB194" s="62" t="n"/>
      <c r="AC194" s="62" t="n"/>
      <c r="AD194" s="62" t="n"/>
      <c r="AE194" s="62" t="n"/>
      <c r="AF194" s="61">
        <f>IF(COUNTIF($B$5:B194,B194)=1,1,0)</f>
        <v/>
      </c>
      <c r="AG194" s="62" t="inlineStr">
        <is>
          <t>https://www.lasillavacia.com/silla-nacional/liquidar-las-eps-la-ultima-carta-inviable-de-petro-para-la-salud/</t>
        </is>
      </c>
    </row>
    <row r="195">
      <c r="A195" s="62" t="inlineStr">
        <is>
          <t>ART_231</t>
        </is>
      </c>
      <c r="B195" s="62" t="inlineStr">
        <is>
          <t>ART_231_S04</t>
        </is>
      </c>
      <c r="C195" s="62" t="inlineStr">
        <is>
          <t>La Silla Vacía</t>
        </is>
      </c>
      <c r="D195" s="62" t="inlineStr">
        <is>
          <t>Salud</t>
        </is>
      </c>
      <c r="E195" s="62" t="inlineStr">
        <is>
          <t>Noticia dura</t>
        </is>
      </c>
      <c r="F195" s="62" t="inlineStr">
        <is>
          <t>2026-03-23T06:00:00+00:00</t>
        </is>
      </c>
      <c r="G195" s="62" t="inlineStr">
        <is>
          <t>Petro ordenó algo que él mismo había rechazado en el pasado.</t>
        </is>
      </c>
      <c r="H195" s="62" t="inlineStr">
        <is>
          <t>Pero como el gobierno está decidido a sacar su fallida reforma a la salud a toda costa, eso no necesariamente lo disuadirá.</t>
        </is>
      </c>
      <c r="I195" s="62" t="inlineStr">
        <is>
          <t>“Es una gran estafa a la red pública y privada hospitalaria”, escribió sobre los efectos de las liquidaciones en junio de 2025.</t>
        </is>
      </c>
      <c r="J195" s="62" t="n"/>
      <c r="K195" s="62" t="n"/>
      <c r="L195" s="62" t="n"/>
      <c r="M195" s="62" t="n"/>
      <c r="N195" s="62" t="n"/>
      <c r="O195" s="62" t="n"/>
      <c r="P195" s="62" t="n"/>
      <c r="Q195" s="62" t="n"/>
      <c r="R195" s="62" t="n"/>
      <c r="S195" s="62" t="n"/>
      <c r="T195" s="62" t="n"/>
      <c r="U195" s="62" t="n"/>
      <c r="V195" s="62" t="n"/>
      <c r="W195" s="62" t="n"/>
      <c r="X195" s="62" t="n"/>
      <c r="Y195" s="62" t="n"/>
      <c r="Z195" s="62" t="n"/>
      <c r="AA195" s="62" t="n"/>
      <c r="AB195" s="62" t="n"/>
      <c r="AC195" s="62" t="n"/>
      <c r="AD195" s="62" t="n"/>
      <c r="AE195" s="62" t="n"/>
      <c r="AF195" s="61">
        <f>IF(COUNTIF($B$5:B195,B195)=1,1,0)</f>
        <v/>
      </c>
      <c r="AG195" s="62" t="inlineStr">
        <is>
          <t>https://www.lasillavacia.com/silla-nacional/liquidar-las-eps-la-ultima-carta-inviable-de-petro-para-la-salud/</t>
        </is>
      </c>
    </row>
    <row r="196">
      <c r="A196" s="62" t="inlineStr">
        <is>
          <t>ART_231</t>
        </is>
      </c>
      <c r="B196" s="62" t="inlineStr">
        <is>
          <t>ART_231_S05</t>
        </is>
      </c>
      <c r="C196" s="62" t="inlineStr">
        <is>
          <t>La Silla Vacía</t>
        </is>
      </c>
      <c r="D196" s="62" t="inlineStr">
        <is>
          <t>Salud</t>
        </is>
      </c>
      <c r="E196" s="62" t="inlineStr">
        <is>
          <t>Noticia dura</t>
        </is>
      </c>
      <c r="F196" s="62" t="inlineStr">
        <is>
          <t>2026-03-23T06:00:00+00:00</t>
        </is>
      </c>
      <c r="G196" s="62" t="inlineStr">
        <is>
          <t>“Es una gran estafa a la red pública y privada hospitalaria”, escribió sobre los efectos de las liquidaciones en junio de 2025.</t>
        </is>
      </c>
      <c r="H196" s="62" t="inlineStr">
        <is>
          <t>Petro ordenó algo que él mismo había rechazado en el pasado.</t>
        </is>
      </c>
      <c r="I196" s="62" t="inlineStr">
        <is>
          <t>Ahora, resignado por el “ sabotaje ” del Congreso con su reforma, Petro se va por una “ salida [no] tranquila y negociada ”, que puede terminar siendo una liquidación para el sistema.</t>
        </is>
      </c>
      <c r="J196" s="62" t="n"/>
      <c r="K196" s="62" t="n"/>
      <c r="L196" s="62" t="n"/>
      <c r="M196" s="62" t="n"/>
      <c r="N196" s="62" t="n"/>
      <c r="O196" s="62" t="n"/>
      <c r="P196" s="62" t="n"/>
      <c r="Q196" s="62" t="n"/>
      <c r="R196" s="62" t="n"/>
      <c r="S196" s="62" t="n"/>
      <c r="T196" s="62" t="n"/>
      <c r="U196" s="62" t="n"/>
      <c r="V196" s="62" t="n"/>
      <c r="W196" s="62" t="n"/>
      <c r="X196" s="62" t="n"/>
      <c r="Y196" s="62" t="n"/>
      <c r="Z196" s="62" t="n"/>
      <c r="AA196" s="62" t="n"/>
      <c r="AB196" s="62" t="n"/>
      <c r="AC196" s="62" t="n"/>
      <c r="AD196" s="62" t="n"/>
      <c r="AE196" s="62" t="n"/>
      <c r="AF196" s="61">
        <f>IF(COUNTIF($B$5:B196,B196)=1,1,0)</f>
        <v/>
      </c>
      <c r="AG196" s="62" t="inlineStr">
        <is>
          <t>https://www.lasillavacia.com/silla-nacional/liquidar-las-eps-la-ultima-carta-inviable-de-petro-para-la-salud/</t>
        </is>
      </c>
    </row>
    <row r="197">
      <c r="A197" s="62" t="inlineStr">
        <is>
          <t>ART_231</t>
        </is>
      </c>
      <c r="B197" s="62" t="inlineStr">
        <is>
          <t>ART_231_S06</t>
        </is>
      </c>
      <c r="C197" s="62" t="inlineStr">
        <is>
          <t>La Silla Vacía</t>
        </is>
      </c>
      <c r="D197" s="62" t="inlineStr">
        <is>
          <t>Salud</t>
        </is>
      </c>
      <c r="E197" s="62" t="inlineStr">
        <is>
          <t>Noticia dura</t>
        </is>
      </c>
      <c r="F197" s="62" t="inlineStr">
        <is>
          <t>2026-03-23T06:00:00+00:00</t>
        </is>
      </c>
      <c r="G197" s="62" t="inlineStr">
        <is>
          <t>Ahora, resignado por el “ sabotaje ” del Congreso con su reforma, Petro se va por una “ salida [no] tranquila y negociada ”, que puede terminar siendo una liquidación para el sistema.</t>
        </is>
      </c>
      <c r="H197" s="62" t="inlineStr">
        <is>
          <t>“Es una gran estafa a la red pública y privada hospitalaria”, escribió sobre los efectos de las liquidaciones en junio de 2025.</t>
        </is>
      </c>
      <c r="I197" s="62" t="inlineStr">
        <is>
          <t>La salida que entre líneas ha sugerido —que Nueva EPS asuma los afiliados— también enfrenta retos: las normas solo lo permiten parcialmente y, dada su debilidad financiera y operativa, es improbable que esta EPS lo logre.</t>
        </is>
      </c>
      <c r="J197" s="62" t="n"/>
      <c r="K197" s="62" t="n"/>
      <c r="L197" s="62" t="n"/>
      <c r="M197" s="62" t="n"/>
      <c r="N197" s="62" t="n"/>
      <c r="O197" s="62" t="n"/>
      <c r="P197" s="62" t="n"/>
      <c r="Q197" s="62" t="n"/>
      <c r="R197" s="62" t="n"/>
      <c r="S197" s="62" t="n"/>
      <c r="T197" s="62" t="n"/>
      <c r="U197" s="62" t="n"/>
      <c r="V197" s="62" t="n"/>
      <c r="W197" s="62" t="n"/>
      <c r="X197" s="62" t="n"/>
      <c r="Y197" s="62" t="n"/>
      <c r="Z197" s="62" t="n"/>
      <c r="AA197" s="62" t="n"/>
      <c r="AB197" s="62" t="n"/>
      <c r="AC197" s="62" t="n"/>
      <c r="AD197" s="62" t="n"/>
      <c r="AE197" s="62" t="n"/>
      <c r="AF197" s="61">
        <f>IF(COUNTIF($B$5:B197,B197)=1,1,0)</f>
        <v/>
      </c>
      <c r="AG197" s="62" t="inlineStr">
        <is>
          <t>https://www.lasillavacia.com/silla-nacional/liquidar-las-eps-la-ultima-carta-inviable-de-petro-para-la-salud/</t>
        </is>
      </c>
    </row>
    <row r="198">
      <c r="A198" s="62" t="inlineStr">
        <is>
          <t>ART_231</t>
        </is>
      </c>
      <c r="B198" s="62" t="inlineStr">
        <is>
          <t>ART_231_S07</t>
        </is>
      </c>
      <c r="C198" s="62" t="inlineStr">
        <is>
          <t>La Silla Vacía</t>
        </is>
      </c>
      <c r="D198" s="62" t="inlineStr">
        <is>
          <t>Salud</t>
        </is>
      </c>
      <c r="E198" s="62" t="inlineStr">
        <is>
          <t>Noticia dura</t>
        </is>
      </c>
      <c r="F198" s="62" t="inlineStr">
        <is>
          <t>2026-03-23T06:00:00+00:00</t>
        </is>
      </c>
      <c r="G198" s="62" t="inlineStr">
        <is>
          <t>La salida que entre líneas ha sugerido —que Nueva EPS asuma los afiliados— también enfrenta retos: las normas solo lo permiten parcialmente y, dada su debilidad financiera y operativa, es improbable que esta EPS lo logre.</t>
        </is>
      </c>
      <c r="H198" s="62" t="inlineStr">
        <is>
          <t>Ahora, resignado por el “ sabotaje ” del Congreso con su reforma, Petro se va por una “ salida [no] tranquila y negociada ”, que puede terminar siendo una liquidación para el sistema.</t>
        </is>
      </c>
      <c r="I198" s="62" t="inlineStr">
        <is>
          <t>La liquidación de una EPS busca desmantelarla para convertir sus activos en dinero y pagar sus deudas, lo que implica el cierre de la entidad y el traslado de sus usuarios.</t>
        </is>
      </c>
      <c r="J198" s="62" t="n"/>
      <c r="K198" s="62" t="n"/>
      <c r="L198" s="62" t="n"/>
      <c r="M198" s="62" t="n"/>
      <c r="N198" s="62" t="n"/>
      <c r="O198" s="62" t="n"/>
      <c r="P198" s="62" t="n"/>
      <c r="Q198" s="62" t="n"/>
      <c r="R198" s="62" t="n"/>
      <c r="S198" s="62" t="n"/>
      <c r="T198" s="62" t="n"/>
      <c r="U198" s="62" t="n"/>
      <c r="V198" s="62" t="n"/>
      <c r="W198" s="62" t="n"/>
      <c r="X198" s="62" t="n"/>
      <c r="Y198" s="62" t="n"/>
      <c r="Z198" s="62" t="n"/>
      <c r="AA198" s="62" t="n"/>
      <c r="AB198" s="62" t="n"/>
      <c r="AC198" s="62" t="n"/>
      <c r="AD198" s="62" t="n"/>
      <c r="AE198" s="62" t="n"/>
      <c r="AF198" s="61">
        <f>IF(COUNTIF($B$5:B198,B198)=1,1,0)</f>
        <v/>
      </c>
      <c r="AG198" s="62" t="inlineStr">
        <is>
          <t>https://www.lasillavacia.com/silla-nacional/liquidar-las-eps-la-ultima-carta-inviable-de-petro-para-la-salud/</t>
        </is>
      </c>
    </row>
    <row r="199">
      <c r="A199" s="62" t="inlineStr">
        <is>
          <t>ART_231</t>
        </is>
      </c>
      <c r="B199" s="62" t="inlineStr">
        <is>
          <t>ART_231_S08</t>
        </is>
      </c>
      <c r="C199" s="62" t="inlineStr">
        <is>
          <t>La Silla Vacía</t>
        </is>
      </c>
      <c r="D199" s="62" t="inlineStr">
        <is>
          <t>Salud</t>
        </is>
      </c>
      <c r="E199" s="62" t="inlineStr">
        <is>
          <t>Noticia dura</t>
        </is>
      </c>
      <c r="F199" s="62" t="inlineStr">
        <is>
          <t>2026-03-23T06:00:00+00:00</t>
        </is>
      </c>
      <c r="G199" s="62" t="inlineStr">
        <is>
          <t>La liquidación de una EPS busca desmantelarla para convertir sus activos en dinero y pagar sus deudas, lo que implica el cierre de la entidad y el traslado de sus usuarios.</t>
        </is>
      </c>
      <c r="H199" s="62" t="inlineStr">
        <is>
          <t>La salida que entre líneas ha sugerido —que Nueva EPS asuma los afiliados— también enfrenta retos: las normas solo lo permiten parcialmente y, dada su debilidad financiera y operativa, es improbable que esta EPS lo logre.</t>
        </is>
      </c>
      <c r="I199" s="62" t="n"/>
      <c r="J199" s="62" t="n"/>
      <c r="K199" s="62" t="n"/>
      <c r="L199" s="62" t="n"/>
      <c r="M199" s="62" t="n"/>
      <c r="N199" s="62" t="n"/>
      <c r="O199" s="62" t="n"/>
      <c r="P199" s="62" t="n"/>
      <c r="Q199" s="62" t="n"/>
      <c r="R199" s="62" t="n"/>
      <c r="S199" s="62" t="n"/>
      <c r="T199" s="62" t="n"/>
      <c r="U199" s="62" t="n"/>
      <c r="V199" s="62" t="n"/>
      <c r="W199" s="62" t="n"/>
      <c r="X199" s="62" t="n"/>
      <c r="Y199" s="62" t="n"/>
      <c r="Z199" s="62" t="n"/>
      <c r="AA199" s="62" t="n"/>
      <c r="AB199" s="62" t="n"/>
      <c r="AC199" s="62" t="n"/>
      <c r="AD199" s="62" t="n"/>
      <c r="AE199" s="62" t="n"/>
      <c r="AF199" s="61">
        <f>IF(COUNTIF($B$5:B199,B199)=1,1,0)</f>
        <v/>
      </c>
      <c r="AG199" s="62" t="inlineStr">
        <is>
          <t>https://www.lasillavacia.com/silla-nacional/liquidar-las-eps-la-ultima-carta-inviable-de-petro-para-la-salud/</t>
        </is>
      </c>
    </row>
    <row r="200">
      <c r="A200" s="62" t="inlineStr">
        <is>
          <t>ART_236</t>
        </is>
      </c>
      <c r="B200" s="62" t="inlineStr">
        <is>
          <t>ART_236_S01</t>
        </is>
      </c>
      <c r="C200" s="62" t="inlineStr">
        <is>
          <t>La Silla Vacía</t>
        </is>
      </c>
      <c r="D200" s="62" t="inlineStr">
        <is>
          <t>Salud</t>
        </is>
      </c>
      <c r="E200" s="62" t="inlineStr">
        <is>
          <t>Opinión-análisis</t>
        </is>
      </c>
      <c r="F200" s="62" t="inlineStr">
        <is>
          <t>2026-03-19T13:00:00+00:00</t>
        </is>
      </c>
      <c r="G200" s="62" t="inlineStr">
        <is>
          <t>Esta semana, durante el Consejo de Ministros, el presidente Gustavo Petro habló sobre liquidar las EPS “quebradas” .</t>
        </is>
      </c>
      <c r="H200" s="62" t="n"/>
      <c r="I200" s="62" t="inlineStr">
        <is>
          <t>El anuncio ha incrementado las tensiones e incertidumbres que han caracterizado las relaciones del ejecutivo, no solo con las EPS, sino, en general, con todos los actores del sistema en sus cuatro años de mandato.</t>
        </is>
      </c>
      <c r="J200" s="62" t="n"/>
      <c r="K200" s="62" t="n"/>
      <c r="L200" s="62" t="n"/>
      <c r="M200" s="62" t="n"/>
      <c r="N200" s="62" t="n"/>
      <c r="O200" s="62" t="n"/>
      <c r="P200" s="62" t="n"/>
      <c r="Q200" s="62" t="n"/>
      <c r="R200" s="62" t="n"/>
      <c r="S200" s="62" t="n"/>
      <c r="T200" s="62" t="n"/>
      <c r="U200" s="62" t="n"/>
      <c r="V200" s="62" t="n"/>
      <c r="W200" s="62" t="n"/>
      <c r="X200" s="62" t="n"/>
      <c r="Y200" s="62" t="n"/>
      <c r="Z200" s="62" t="n"/>
      <c r="AA200" s="62" t="n"/>
      <c r="AB200" s="62" t="n"/>
      <c r="AC200" s="62" t="n"/>
      <c r="AD200" s="62" t="n"/>
      <c r="AE200" s="62" t="n"/>
      <c r="AF200" s="61">
        <f>IF(COUNTIF($B$5:B200,B200)=1,1,0)</f>
        <v/>
      </c>
      <c r="AG200" s="62" t="inlineStr">
        <is>
          <t>https://www.lasillavacia.com/red-de-expertos/red-social/liquidar-las-eps-la-cura-podria-ser-peor-que-la-enfermedad/</t>
        </is>
      </c>
    </row>
    <row r="201">
      <c r="A201" s="62" t="inlineStr">
        <is>
          <t>ART_236</t>
        </is>
      </c>
      <c r="B201" s="62" t="inlineStr">
        <is>
          <t>ART_236_S02</t>
        </is>
      </c>
      <c r="C201" s="62" t="inlineStr">
        <is>
          <t>La Silla Vacía</t>
        </is>
      </c>
      <c r="D201" s="62" t="inlineStr">
        <is>
          <t>Salud</t>
        </is>
      </c>
      <c r="E201" s="62" t="inlineStr">
        <is>
          <t>Opinión-análisis</t>
        </is>
      </c>
      <c r="F201" s="62" t="inlineStr">
        <is>
          <t>2026-03-19T13:00:00+00:00</t>
        </is>
      </c>
      <c r="G201" s="62" t="inlineStr">
        <is>
          <t>El anuncio ha incrementado las tensiones e incertidumbres que han caracterizado las relaciones del ejecutivo, no solo con las EPS, sino, en general, con todos los actores del sistema en sus cuatro años de mandato.</t>
        </is>
      </c>
      <c r="H201" s="62" t="inlineStr">
        <is>
          <t>Esta semana, durante el Consejo de Ministros, el presidente Gustavo Petro habló sobre liquidar las EPS “quebradas” .</t>
        </is>
      </c>
      <c r="I201" s="62" t="inlineStr">
        <is>
          <t>Además, ha generado diversas reacciones sobre en cuanto a lo legal, lo financiero, lo político y la misma gestión de la salud.</t>
        </is>
      </c>
      <c r="J201" s="62" t="n"/>
      <c r="K201" s="62" t="n"/>
      <c r="L201" s="62" t="n"/>
      <c r="M201" s="62" t="n"/>
      <c r="N201" s="62" t="n"/>
      <c r="O201" s="62" t="n"/>
      <c r="P201" s="62" t="n"/>
      <c r="Q201" s="62" t="n"/>
      <c r="R201" s="62" t="n"/>
      <c r="S201" s="62" t="n"/>
      <c r="T201" s="62" t="n"/>
      <c r="U201" s="62" t="n"/>
      <c r="V201" s="62" t="n"/>
      <c r="W201" s="62" t="n"/>
      <c r="X201" s="62" t="n"/>
      <c r="Y201" s="62" t="n"/>
      <c r="Z201" s="62" t="n"/>
      <c r="AA201" s="62" t="n"/>
      <c r="AB201" s="62" t="n"/>
      <c r="AC201" s="62" t="n"/>
      <c r="AD201" s="62" t="n"/>
      <c r="AE201" s="62" t="n"/>
      <c r="AF201" s="61">
        <f>IF(COUNTIF($B$5:B201,B201)=1,1,0)</f>
        <v/>
      </c>
      <c r="AG201" s="62" t="inlineStr">
        <is>
          <t>https://www.lasillavacia.com/red-de-expertos/red-social/liquidar-las-eps-la-cura-podria-ser-peor-que-la-enfermedad/</t>
        </is>
      </c>
    </row>
    <row r="202">
      <c r="A202" s="62" t="inlineStr">
        <is>
          <t>ART_236</t>
        </is>
      </c>
      <c r="B202" s="62" t="inlineStr">
        <is>
          <t>ART_236_S03</t>
        </is>
      </c>
      <c r="C202" s="62" t="inlineStr">
        <is>
          <t>La Silla Vacía</t>
        </is>
      </c>
      <c r="D202" s="62" t="inlineStr">
        <is>
          <t>Salud</t>
        </is>
      </c>
      <c r="E202" s="62" t="inlineStr">
        <is>
          <t>Opinión-análisis</t>
        </is>
      </c>
      <c r="F202" s="62" t="inlineStr">
        <is>
          <t>2026-03-19T13:00:00+00:00</t>
        </is>
      </c>
      <c r="G202" s="62" t="inlineStr">
        <is>
          <t>Además, ha generado diversas reacciones sobre en cuanto a lo legal, lo financiero, lo político y la misma gestión de la salud.</t>
        </is>
      </c>
      <c r="H202" s="62" t="inlineStr">
        <is>
          <t>El anuncio ha incrementado las tensiones e incertidumbres que han caracterizado las relaciones del ejecutivo, no solo con las EPS, sino, en general, con todos los actores del sistema en sus cuatro años de mandato.</t>
        </is>
      </c>
      <c r="I202" s="62" t="inlineStr">
        <is>
          <t>Si bien el anuncio no es novedoso —siempre lo ha esgrimido como escenario posible—, en esta oportunidad aparece con mucha más fuerza, afirmando que es casi el único camino que le queda luego de tres derrotas sufridas por su gobierno en el tema de salud.</t>
        </is>
      </c>
      <c r="J202" s="62" t="n"/>
      <c r="K202" s="62" t="n"/>
      <c r="L202" s="62" t="n"/>
      <c r="M202" s="62" t="n"/>
      <c r="N202" s="62" t="n"/>
      <c r="O202" s="62" t="n"/>
      <c r="P202" s="62" t="n"/>
      <c r="Q202" s="62" t="n"/>
      <c r="R202" s="62" t="n"/>
      <c r="S202" s="62" t="n"/>
      <c r="T202" s="62" t="n"/>
      <c r="U202" s="62" t="n"/>
      <c r="V202" s="62" t="n"/>
      <c r="W202" s="62" t="n"/>
      <c r="X202" s="62" t="n"/>
      <c r="Y202" s="62" t="n"/>
      <c r="Z202" s="62" t="n"/>
      <c r="AA202" s="62" t="n"/>
      <c r="AB202" s="62" t="n"/>
      <c r="AC202" s="62" t="n"/>
      <c r="AD202" s="62" t="n"/>
      <c r="AE202" s="62" t="n"/>
      <c r="AF202" s="61">
        <f>IF(COUNTIF($B$5:B202,B202)=1,1,0)</f>
        <v/>
      </c>
      <c r="AG202" s="62" t="inlineStr">
        <is>
          <t>https://www.lasillavacia.com/red-de-expertos/red-social/liquidar-las-eps-la-cura-podria-ser-peor-que-la-enfermedad/</t>
        </is>
      </c>
    </row>
    <row r="203">
      <c r="A203" s="62" t="inlineStr">
        <is>
          <t>ART_236</t>
        </is>
      </c>
      <c r="B203" s="62" t="inlineStr">
        <is>
          <t>ART_236_S04</t>
        </is>
      </c>
      <c r="C203" s="62" t="inlineStr">
        <is>
          <t>La Silla Vacía</t>
        </is>
      </c>
      <c r="D203" s="62" t="inlineStr">
        <is>
          <t>Salud</t>
        </is>
      </c>
      <c r="E203" s="62" t="inlineStr">
        <is>
          <t>Opinión-análisis</t>
        </is>
      </c>
      <c r="F203" s="62" t="inlineStr">
        <is>
          <t>2026-03-19T13:00:00+00:00</t>
        </is>
      </c>
      <c r="G203" s="62" t="inlineStr">
        <is>
          <t>Si bien el anuncio no es novedoso —siempre lo ha esgrimido como escenario posible—, en esta oportunidad aparece con mucha más fuerza, afirmando que es casi el único camino que le queda luego de tres derrotas sufridas por su gobierno en el tema de salud.</t>
        </is>
      </c>
      <c r="H203" s="62" t="inlineStr">
        <is>
          <t>Además, ha generado diversas reacciones sobre en cuanto a lo legal, lo financiero, lo político y la misma gestión de la salud.</t>
        </is>
      </c>
      <c r="I203" s="62"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J203" s="62" t="n"/>
      <c r="K203" s="62" t="n"/>
      <c r="L203" s="62" t="n"/>
      <c r="M203" s="62" t="n"/>
      <c r="N203" s="62" t="n"/>
      <c r="O203" s="62" t="n"/>
      <c r="P203" s="62" t="n"/>
      <c r="Q203" s="62" t="n"/>
      <c r="R203" s="62" t="n"/>
      <c r="S203" s="62" t="n"/>
      <c r="T203" s="62" t="n"/>
      <c r="U203" s="62" t="n"/>
      <c r="V203" s="62" t="n"/>
      <c r="W203" s="62" t="n"/>
      <c r="X203" s="62" t="n"/>
      <c r="Y203" s="62" t="n"/>
      <c r="Z203" s="62" t="n"/>
      <c r="AA203" s="62" t="n"/>
      <c r="AB203" s="62" t="n"/>
      <c r="AC203" s="62" t="n"/>
      <c r="AD203" s="62" t="n"/>
      <c r="AE203" s="62" t="n"/>
      <c r="AF203" s="61">
        <f>IF(COUNTIF($B$5:B203,B203)=1,1,0)</f>
        <v/>
      </c>
      <c r="AG203" s="62" t="inlineStr">
        <is>
          <t>https://www.lasillavacia.com/red-de-expertos/red-social/liquidar-las-eps-la-cura-podria-ser-peor-que-la-enfermedad/</t>
        </is>
      </c>
    </row>
    <row r="204">
      <c r="A204" s="62" t="inlineStr">
        <is>
          <t>ART_236</t>
        </is>
      </c>
      <c r="B204" s="62" t="inlineStr">
        <is>
          <t>ART_236_S05</t>
        </is>
      </c>
      <c r="C204" s="62" t="inlineStr">
        <is>
          <t>La Silla Vacía</t>
        </is>
      </c>
      <c r="D204" s="62" t="inlineStr">
        <is>
          <t>Salud</t>
        </is>
      </c>
      <c r="E204" s="62" t="inlineStr">
        <is>
          <t>Opinión-análisis</t>
        </is>
      </c>
      <c r="F204" s="62" t="inlineStr">
        <is>
          <t>2026-03-19T13:00:00+00:00</t>
        </is>
      </c>
      <c r="G204" s="62"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H204" s="62" t="inlineStr">
        <is>
          <t>Si bien el anuncio no es novedoso —siempre lo ha esgrimido como escenario posible—, en esta oportunidad aparece con mucha más fuerza, afirmando que es casi el único camino que le queda luego de tres derrotas sufridas por su gobierno en el tema de salud.</t>
        </is>
      </c>
      <c r="I204" s="62" t="inlineStr">
        <is>
          <t>La segunda fue con las medidas cautelares impuestas por el Consejo de Estado sobre la implementación del decreto 858 de 2025 , con el cual se definía el modelo de Salud Preventivo, Predictivo y Resolutivo, que ha sido bandera del gobierno.</t>
        </is>
      </c>
      <c r="J204" s="62" t="n"/>
      <c r="K204" s="62" t="n"/>
      <c r="L204" s="62" t="n"/>
      <c r="M204" s="62" t="n"/>
      <c r="N204" s="62" t="n"/>
      <c r="O204" s="62" t="n"/>
      <c r="P204" s="62" t="n"/>
      <c r="Q204" s="62" t="n"/>
      <c r="R204" s="62" t="n"/>
      <c r="S204" s="62" t="n"/>
      <c r="T204" s="62" t="n"/>
      <c r="U204" s="62" t="n"/>
      <c r="V204" s="62" t="n"/>
      <c r="W204" s="62" t="n"/>
      <c r="X204" s="62" t="n"/>
      <c r="Y204" s="62" t="n"/>
      <c r="Z204" s="62" t="n"/>
      <c r="AA204" s="62" t="n"/>
      <c r="AB204" s="62" t="n"/>
      <c r="AC204" s="62" t="n"/>
      <c r="AD204" s="62" t="n"/>
      <c r="AE204" s="62" t="n"/>
      <c r="AF204" s="61">
        <f>IF(COUNTIF($B$5:B204,B204)=1,1,0)</f>
        <v/>
      </c>
      <c r="AG204" s="62" t="inlineStr">
        <is>
          <t>https://www.lasillavacia.com/red-de-expertos/red-social/liquidar-las-eps-la-cura-podria-ser-peor-que-la-enfermedad/</t>
        </is>
      </c>
    </row>
    <row r="205">
      <c r="A205" s="62" t="inlineStr">
        <is>
          <t>ART_236</t>
        </is>
      </c>
      <c r="B205" s="62" t="inlineStr">
        <is>
          <t>ART_236_S06</t>
        </is>
      </c>
      <c r="C205" s="62" t="inlineStr">
        <is>
          <t>La Silla Vacía</t>
        </is>
      </c>
      <c r="D205" s="62" t="inlineStr">
        <is>
          <t>Salud</t>
        </is>
      </c>
      <c r="E205" s="62" t="inlineStr">
        <is>
          <t>Opinión-análisis</t>
        </is>
      </c>
      <c r="F205" s="62" t="inlineStr">
        <is>
          <t>2026-03-19T13:00:00+00:00</t>
        </is>
      </c>
      <c r="G205" s="62" t="inlineStr">
        <is>
          <t>La segunda fue con las medidas cautelares impuestas por el Consejo de Estado sobre la implementación del decreto 858 de 2025 , con el cual se definía el modelo de Salud Preventivo, Predictivo y Resolutivo, que ha sido bandera del gobierno.</t>
        </is>
      </c>
      <c r="H205" s="62"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I205" s="62" t="inlineStr">
        <is>
          <t>La tercera y más reciente fue cuando, igualmente, el Tribunal Administrativo de Antioquia tomó medida cautelar sobre el decreto 182 de 2026 , con el que el gobierno pretendía llevar a cabo el reordenamiento territorial del sistema de salud.</t>
        </is>
      </c>
      <c r="J205" s="62" t="n"/>
      <c r="K205" s="62" t="n"/>
      <c r="L205" s="62" t="n"/>
      <c r="M205" s="62" t="n"/>
      <c r="N205" s="62" t="n"/>
      <c r="O205" s="62" t="n"/>
      <c r="P205" s="62" t="n"/>
      <c r="Q205" s="62" t="n"/>
      <c r="R205" s="62" t="n"/>
      <c r="S205" s="62" t="n"/>
      <c r="T205" s="62" t="n"/>
      <c r="U205" s="62" t="n"/>
      <c r="V205" s="62" t="n"/>
      <c r="W205" s="62" t="n"/>
      <c r="X205" s="62" t="n"/>
      <c r="Y205" s="62" t="n"/>
      <c r="Z205" s="62" t="n"/>
      <c r="AA205" s="62" t="n"/>
      <c r="AB205" s="62" t="n"/>
      <c r="AC205" s="62" t="n"/>
      <c r="AD205" s="62" t="n"/>
      <c r="AE205" s="62" t="n"/>
      <c r="AF205" s="61">
        <f>IF(COUNTIF($B$5:B205,B205)=1,1,0)</f>
        <v/>
      </c>
      <c r="AG205" s="62" t="inlineStr">
        <is>
          <t>https://www.lasillavacia.com/red-de-expertos/red-social/liquidar-las-eps-la-cura-podria-ser-peor-que-la-enfermedad/</t>
        </is>
      </c>
    </row>
    <row r="206">
      <c r="A206" s="62" t="inlineStr">
        <is>
          <t>ART_236</t>
        </is>
      </c>
      <c r="B206" s="62" t="inlineStr">
        <is>
          <t>ART_236_S07</t>
        </is>
      </c>
      <c r="C206" s="62" t="inlineStr">
        <is>
          <t>La Silla Vacía</t>
        </is>
      </c>
      <c r="D206" s="62" t="inlineStr">
        <is>
          <t>Salud</t>
        </is>
      </c>
      <c r="E206" s="62" t="inlineStr">
        <is>
          <t>Opinión-análisis</t>
        </is>
      </c>
      <c r="F206" s="62" t="inlineStr">
        <is>
          <t>2026-03-19T13:00:00+00:00</t>
        </is>
      </c>
      <c r="G206" s="62" t="inlineStr">
        <is>
          <t>La tercera y más reciente fue cuando, igualmente, el Tribunal Administrativo de Antioquia tomó medida cautelar sobre el decreto 182 de 2026 , con el que el gobierno pretendía llevar a cabo el reordenamiento territorial del sistema de salud.</t>
        </is>
      </c>
      <c r="H206" s="62" t="inlineStr">
        <is>
          <t>La segunda fue con las medidas cautelares impuestas por el Consejo de Estado sobre la implementación del decreto 858 de 2025 , con el cual se definía el modelo de Salud Preventivo, Predictivo y Resolutivo, que ha sido bandera del gobierno.</t>
        </is>
      </c>
      <c r="I206" s="62" t="inlineStr">
        <is>
          <t>En cuanto a los aspectos legales, lo primero que genera discusión es que no hay claridad sobre qué se entiende por EPS “quebradas”, ya que, bajo el modelo de Inspección Vigilancia y Control de la Superintendencia de Salud, dicha figura no existe.</t>
        </is>
      </c>
      <c r="J206" s="62" t="n"/>
      <c r="K206" s="62" t="n"/>
      <c r="L206" s="62" t="n"/>
      <c r="M206" s="62" t="n"/>
      <c r="N206" s="62" t="n"/>
      <c r="O206" s="62" t="n"/>
      <c r="P206" s="62" t="n"/>
      <c r="Q206" s="62" t="n"/>
      <c r="R206" s="62" t="n"/>
      <c r="S206" s="62" t="n"/>
      <c r="T206" s="62" t="n"/>
      <c r="U206" s="62" t="n"/>
      <c r="V206" s="62" t="n"/>
      <c r="W206" s="62" t="n"/>
      <c r="X206" s="62" t="n"/>
      <c r="Y206" s="62" t="n"/>
      <c r="Z206" s="62" t="n"/>
      <c r="AA206" s="62" t="n"/>
      <c r="AB206" s="62" t="n"/>
      <c r="AC206" s="62" t="n"/>
      <c r="AD206" s="62" t="n"/>
      <c r="AE206" s="62" t="n"/>
      <c r="AF206" s="61">
        <f>IF(COUNTIF($B$5:B206,B206)=1,1,0)</f>
        <v/>
      </c>
      <c r="AG206" s="62" t="inlineStr">
        <is>
          <t>https://www.lasillavacia.com/red-de-expertos/red-social/liquidar-las-eps-la-cura-podria-ser-peor-que-la-enfermedad/</t>
        </is>
      </c>
    </row>
    <row r="207">
      <c r="A207" s="62" t="inlineStr">
        <is>
          <t>ART_236</t>
        </is>
      </c>
      <c r="B207" s="62" t="inlineStr">
        <is>
          <t>ART_236_S08</t>
        </is>
      </c>
      <c r="C207" s="62" t="inlineStr">
        <is>
          <t>La Silla Vacía</t>
        </is>
      </c>
      <c r="D207" s="62" t="inlineStr">
        <is>
          <t>Salud</t>
        </is>
      </c>
      <c r="E207" s="62" t="inlineStr">
        <is>
          <t>Opinión-análisis</t>
        </is>
      </c>
      <c r="F207" s="62" t="inlineStr">
        <is>
          <t>2026-03-19T13:00:00+00:00</t>
        </is>
      </c>
      <c r="G207" s="62" t="inlineStr">
        <is>
          <t>En cuanto a los aspectos legales, lo primero que genera discusión es que no hay claridad sobre qué se entiende por EPS “quebradas”, ya que, bajo el modelo de Inspección Vigilancia y Control de la Superintendencia de Salud, dicha figura no existe.</t>
        </is>
      </c>
      <c r="H207" s="62" t="inlineStr">
        <is>
          <t>La tercera y más reciente fue cuando, igualmente, el Tribunal Administrativo de Antioquia tomó medida cautelar sobre el decreto 182 de 2026 , con el que el gobierno pretendía llevar a cabo el reordenamiento territorial del sistema de salud.</t>
        </is>
      </c>
      <c r="I207" s="62"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J207" s="62" t="n"/>
      <c r="K207" s="62" t="n"/>
      <c r="L207" s="62" t="n"/>
      <c r="M207" s="62" t="n"/>
      <c r="N207" s="62" t="n"/>
      <c r="O207" s="62" t="n"/>
      <c r="P207" s="62" t="n"/>
      <c r="Q207" s="62" t="n"/>
      <c r="R207" s="62" t="n"/>
      <c r="S207" s="62" t="n"/>
      <c r="T207" s="62" t="n"/>
      <c r="U207" s="62" t="n"/>
      <c r="V207" s="62" t="n"/>
      <c r="W207" s="62" t="n"/>
      <c r="X207" s="62" t="n"/>
      <c r="Y207" s="62" t="n"/>
      <c r="Z207" s="62" t="n"/>
      <c r="AA207" s="62" t="n"/>
      <c r="AB207" s="62" t="n"/>
      <c r="AC207" s="62" t="n"/>
      <c r="AD207" s="62" t="n"/>
      <c r="AE207" s="62" t="n"/>
      <c r="AF207" s="61">
        <f>IF(COUNTIF($B$5:B207,B207)=1,1,0)</f>
        <v/>
      </c>
      <c r="AG207" s="62" t="inlineStr">
        <is>
          <t>https://www.lasillavacia.com/red-de-expertos/red-social/liquidar-las-eps-la-cura-podria-ser-peor-que-la-enfermedad/</t>
        </is>
      </c>
    </row>
    <row r="208">
      <c r="A208" s="62" t="inlineStr">
        <is>
          <t>ART_236</t>
        </is>
      </c>
      <c r="B208" s="62" t="inlineStr">
        <is>
          <t>ART_236_S09</t>
        </is>
      </c>
      <c r="C208" s="62" t="inlineStr">
        <is>
          <t>La Silla Vacía</t>
        </is>
      </c>
      <c r="D208" s="62" t="inlineStr">
        <is>
          <t>Salud</t>
        </is>
      </c>
      <c r="E208" s="62" t="inlineStr">
        <is>
          <t>Opinión-análisis</t>
        </is>
      </c>
      <c r="F208" s="62" t="inlineStr">
        <is>
          <t>2026-03-19T13:00:00+00:00</t>
        </is>
      </c>
      <c r="G208" s="62"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H208" s="62" t="inlineStr">
        <is>
          <t>En cuanto a los aspectos legales, lo primero que genera discusión es que no hay claridad sobre qué se entiende por EPS “quebradas”, ya que, bajo el modelo de Inspección Vigilancia y Control de la Superintendencia de Salud, dicha figura no existe.</t>
        </is>
      </c>
      <c r="I208" s="62" t="inlineStr">
        <is>
          <t>Por lo tanto, hablar de EPS “quebradas” resulta difuso y podría derivar en decisiones subjetivas sobre cuáles EPS liquidar y cuáles no si no se respetan los criterios explícitamente definidos en el marco regulatorio de la Supersalud.</t>
        </is>
      </c>
      <c r="J208" s="62" t="n"/>
      <c r="K208" s="62" t="n"/>
      <c r="L208" s="62" t="n"/>
      <c r="M208" s="62" t="n"/>
      <c r="N208" s="62" t="n"/>
      <c r="O208" s="62" t="n"/>
      <c r="P208" s="62" t="n"/>
      <c r="Q208" s="62" t="n"/>
      <c r="R208" s="62" t="n"/>
      <c r="S208" s="62" t="n"/>
      <c r="T208" s="62" t="n"/>
      <c r="U208" s="62" t="n"/>
      <c r="V208" s="62" t="n"/>
      <c r="W208" s="62" t="n"/>
      <c r="X208" s="62" t="n"/>
      <c r="Y208" s="62" t="n"/>
      <c r="Z208" s="62" t="n"/>
      <c r="AA208" s="62" t="n"/>
      <c r="AB208" s="62" t="n"/>
      <c r="AC208" s="62" t="n"/>
      <c r="AD208" s="62" t="n"/>
      <c r="AE208" s="62" t="n"/>
      <c r="AF208" s="61">
        <f>IF(COUNTIF($B$5:B208,B208)=1,1,0)</f>
        <v/>
      </c>
      <c r="AG208" s="62" t="inlineStr">
        <is>
          <t>https://www.lasillavacia.com/red-de-expertos/red-social/liquidar-las-eps-la-cura-podria-ser-peor-que-la-enfermedad/</t>
        </is>
      </c>
    </row>
    <row r="209">
      <c r="A209" s="62" t="inlineStr">
        <is>
          <t>ART_236</t>
        </is>
      </c>
      <c r="B209" s="62" t="inlineStr">
        <is>
          <t>ART_236_S10</t>
        </is>
      </c>
      <c r="C209" s="62" t="inlineStr">
        <is>
          <t>La Silla Vacía</t>
        </is>
      </c>
      <c r="D209" s="62" t="inlineStr">
        <is>
          <t>Salud</t>
        </is>
      </c>
      <c r="E209" s="62" t="inlineStr">
        <is>
          <t>Opinión-análisis</t>
        </is>
      </c>
      <c r="F209" s="62" t="inlineStr">
        <is>
          <t>2026-03-19T13:00:00+00:00</t>
        </is>
      </c>
      <c r="G209" s="62" t="inlineStr">
        <is>
          <t>Por lo tanto, hablar de EPS “quebradas” resulta difuso y podría derivar en decisiones subjetivas sobre cuáles EPS liquidar y cuáles no si no se respetan los criterios explícitamente definidos en el marco regulatorio de la Supersalud.</t>
        </is>
      </c>
      <c r="H209" s="62"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I209" s="62"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J209" s="62" t="n"/>
      <c r="K209" s="62" t="n"/>
      <c r="L209" s="62" t="n"/>
      <c r="M209" s="62" t="n"/>
      <c r="N209" s="62" t="n"/>
      <c r="O209" s="62" t="n"/>
      <c r="P209" s="62" t="n"/>
      <c r="Q209" s="62" t="n"/>
      <c r="R209" s="62" t="n"/>
      <c r="S209" s="62" t="n"/>
      <c r="T209" s="62" t="n"/>
      <c r="U209" s="62" t="n"/>
      <c r="V209" s="62" t="n"/>
      <c r="W209" s="62" t="n"/>
      <c r="X209" s="62" t="n"/>
      <c r="Y209" s="62" t="n"/>
      <c r="Z209" s="62" t="n"/>
      <c r="AA209" s="62" t="n"/>
      <c r="AB209" s="62" t="n"/>
      <c r="AC209" s="62" t="n"/>
      <c r="AD209" s="62" t="n"/>
      <c r="AE209" s="62" t="n"/>
      <c r="AF209" s="61">
        <f>IF(COUNTIF($B$5:B209,B209)=1,1,0)</f>
        <v/>
      </c>
      <c r="AG209" s="62" t="inlineStr">
        <is>
          <t>https://www.lasillavacia.com/red-de-expertos/red-social/liquidar-las-eps-la-cura-podria-ser-peor-que-la-enfermedad/</t>
        </is>
      </c>
    </row>
    <row r="210">
      <c r="A210" s="62" t="inlineStr">
        <is>
          <t>ART_236</t>
        </is>
      </c>
      <c r="B210" s="62" t="inlineStr">
        <is>
          <t>ART_236_S11</t>
        </is>
      </c>
      <c r="C210" s="62" t="inlineStr">
        <is>
          <t>La Silla Vacía</t>
        </is>
      </c>
      <c r="D210" s="62" t="inlineStr">
        <is>
          <t>Salud</t>
        </is>
      </c>
      <c r="E210" s="62" t="inlineStr">
        <is>
          <t>Opinión-análisis</t>
        </is>
      </c>
      <c r="F210" s="62" t="inlineStr">
        <is>
          <t>2026-03-19T13:00:00+00:00</t>
        </is>
      </c>
      <c r="G210" s="62"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H210" s="62" t="inlineStr">
        <is>
          <t>Por lo tanto, hablar de EPS “quebradas” resulta difuso y podría derivar en decisiones subjetivas sobre cuáles EPS liquidar y cuáles no si no se respetan los criterios explícitamente definidos en el marco regulatorio de la Supersalud.</t>
        </is>
      </c>
      <c r="I210" s="62" t="inlineStr">
        <is>
          <t>Lo anterior resulta de la incertidumbre que genera en las IPS y en los Gestores Farmacéuticos no saber qué sucederá con las deudas que tengan con las EPS liquidadas.</t>
        </is>
      </c>
      <c r="J210" s="62" t="n"/>
      <c r="K210" s="62" t="n"/>
      <c r="L210" s="62" t="n"/>
      <c r="M210" s="62" t="n"/>
      <c r="N210" s="62" t="n"/>
      <c r="O210" s="62" t="n"/>
      <c r="P210" s="62" t="n"/>
      <c r="Q210" s="62" t="n"/>
      <c r="R210" s="62" t="n"/>
      <c r="S210" s="62" t="n"/>
      <c r="T210" s="62" t="n"/>
      <c r="U210" s="62" t="n"/>
      <c r="V210" s="62" t="n"/>
      <c r="W210" s="62" t="n"/>
      <c r="X210" s="62" t="n"/>
      <c r="Y210" s="62" t="n"/>
      <c r="Z210" s="62" t="n"/>
      <c r="AA210" s="62" t="n"/>
      <c r="AB210" s="62" t="n"/>
      <c r="AC210" s="62" t="n"/>
      <c r="AD210" s="62" t="n"/>
      <c r="AE210" s="62" t="n"/>
      <c r="AF210" s="61">
        <f>IF(COUNTIF($B$5:B210,B210)=1,1,0)</f>
        <v/>
      </c>
      <c r="AG210" s="62" t="inlineStr">
        <is>
          <t>https://www.lasillavacia.com/red-de-expertos/red-social/liquidar-las-eps-la-cura-podria-ser-peor-que-la-enfermedad/</t>
        </is>
      </c>
    </row>
    <row r="211">
      <c r="A211" s="62" t="inlineStr">
        <is>
          <t>ART_236</t>
        </is>
      </c>
      <c r="B211" s="62" t="inlineStr">
        <is>
          <t>ART_236_S12</t>
        </is>
      </c>
      <c r="C211" s="62" t="inlineStr">
        <is>
          <t>La Silla Vacía</t>
        </is>
      </c>
      <c r="D211" s="62" t="inlineStr">
        <is>
          <t>Salud</t>
        </is>
      </c>
      <c r="E211" s="62" t="inlineStr">
        <is>
          <t>Opinión-análisis</t>
        </is>
      </c>
      <c r="F211" s="62" t="inlineStr">
        <is>
          <t>2026-03-19T13:00:00+00:00</t>
        </is>
      </c>
      <c r="G211" s="62" t="inlineStr">
        <is>
          <t>Lo anterior resulta de la incertidumbre que genera en las IPS y en los Gestores Farmacéuticos no saber qué sucederá con las deudas que tengan con las EPS liquidadas.</t>
        </is>
      </c>
      <c r="H211" s="62"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I211" s="62" t="n"/>
      <c r="J211" s="62" t="n"/>
      <c r="K211" s="62" t="n"/>
      <c r="L211" s="62" t="n"/>
      <c r="M211" s="62" t="n"/>
      <c r="N211" s="62" t="n"/>
      <c r="O211" s="62" t="n"/>
      <c r="P211" s="62" t="n"/>
      <c r="Q211" s="62" t="n"/>
      <c r="R211" s="62" t="n"/>
      <c r="S211" s="62" t="n"/>
      <c r="T211" s="62" t="n"/>
      <c r="U211" s="62" t="n"/>
      <c r="V211" s="62" t="n"/>
      <c r="W211" s="62" t="n"/>
      <c r="X211" s="62" t="n"/>
      <c r="Y211" s="62" t="n"/>
      <c r="Z211" s="62" t="n"/>
      <c r="AA211" s="62" t="n"/>
      <c r="AB211" s="62" t="n"/>
      <c r="AC211" s="62" t="n"/>
      <c r="AD211" s="62" t="n"/>
      <c r="AE211" s="62" t="n"/>
      <c r="AF211" s="61">
        <f>IF(COUNTIF($B$5:B211,B211)=1,1,0)</f>
        <v/>
      </c>
      <c r="AG211" s="62" t="inlineStr">
        <is>
          <t>https://www.lasillavacia.com/red-de-expertos/red-social/liquidar-las-eps-la-cura-podria-ser-peor-que-la-enfermedad/</t>
        </is>
      </c>
    </row>
    <row r="212">
      <c r="A212" s="62" t="inlineStr">
        <is>
          <t>ART_237</t>
        </is>
      </c>
      <c r="B212" s="62" t="inlineStr">
        <is>
          <t>ART_237_S01</t>
        </is>
      </c>
      <c r="C212" s="62" t="inlineStr">
        <is>
          <t>Semana</t>
        </is>
      </c>
      <c r="D212" s="62" t="inlineStr">
        <is>
          <t>Salud</t>
        </is>
      </c>
      <c r="E212" s="62" t="inlineStr">
        <is>
          <t>Noticia dura</t>
        </is>
      </c>
      <c r="F212" s="62" t="inlineStr">
        <is>
          <t>2025-05-14T10:54:11-05:00</t>
        </is>
      </c>
      <c r="G212" s="62" t="inlineStr">
        <is>
          <t>Avanza el tercer día de la agenda de trabajo del presidente de la República, Gustavo Petro, en China, en donde firmó el plan de cooperación del ingreso de Colombia a la Ruta de la Seda del gigante asiático.</t>
        </is>
      </c>
      <c r="H212" s="62" t="n"/>
      <c r="I212" s="62" t="inlineStr">
        <is>
          <t>En medio de esa visita oficial, el jefe de Estado lanzó una fuerte advertencia sobre la crisis en el sistema de salud por la que atraviesa el país.</t>
        </is>
      </c>
      <c r="J212" s="62" t="n"/>
      <c r="K212" s="62" t="n"/>
      <c r="L212" s="62" t="n"/>
      <c r="M212" s="62" t="n"/>
      <c r="N212" s="62" t="n"/>
      <c r="O212" s="62" t="n"/>
      <c r="P212" s="62" t="n"/>
      <c r="Q212" s="62" t="n"/>
      <c r="R212" s="62" t="n"/>
      <c r="S212" s="62" t="n"/>
      <c r="T212" s="62" t="n"/>
      <c r="U212" s="62" t="n"/>
      <c r="V212" s="62" t="n"/>
      <c r="W212" s="62" t="n"/>
      <c r="X212" s="62" t="n"/>
      <c r="Y212" s="62" t="n"/>
      <c r="Z212" s="62" t="n"/>
      <c r="AA212" s="62" t="n"/>
      <c r="AB212" s="62" t="n"/>
      <c r="AC212" s="62" t="n"/>
      <c r="AD212" s="62" t="n"/>
      <c r="AE212" s="62" t="n"/>
      <c r="AF212" s="61">
        <f>IF(COUNTIF($B$5:B212,B212)=1,1,0)</f>
        <v/>
      </c>
      <c r="AG212" s="62" t="inlineStr">
        <is>
          <t>https://www.semana.com/politica/articulo/gustavo-petro-lanzo-fuerte-advertencia-si-no-se-aprueba-su-polemica-reforma-a-la-salud-se-quiebran-la-mayoria-de-las-eps/202546/</t>
        </is>
      </c>
    </row>
    <row r="213">
      <c r="A213" s="62" t="inlineStr">
        <is>
          <t>ART_237</t>
        </is>
      </c>
      <c r="B213" s="62" t="inlineStr">
        <is>
          <t>ART_237_S02</t>
        </is>
      </c>
      <c r="C213" s="62" t="inlineStr">
        <is>
          <t>Semana</t>
        </is>
      </c>
      <c r="D213" s="62" t="inlineStr">
        <is>
          <t>Salud</t>
        </is>
      </c>
      <c r="E213" s="62" t="inlineStr">
        <is>
          <t>Noticia dura</t>
        </is>
      </c>
      <c r="F213" s="62" t="inlineStr">
        <is>
          <t>2025-05-14T10:54:11-05:00</t>
        </is>
      </c>
      <c r="G213" s="62" t="inlineStr">
        <is>
          <t>En medio de esa visita oficial, el jefe de Estado lanzó una fuerte advertencia sobre la crisis en el sistema de salud por la que atraviesa el país.</t>
        </is>
      </c>
      <c r="H213" s="62" t="inlineStr">
        <is>
          <t>Avanza el tercer día de la agenda de trabajo del presidente de la República, Gustavo Petro, en China, en donde firmó el plan de cooperación del ingreso de Colombia a la Ruta de la Seda del gigante asiático.</t>
        </is>
      </c>
      <c r="I213" s="62" t="inlineStr">
        <is>
          <t>Emergencia que se viene agudizando conforme van pasando los meses con la escasez de medicamentos y dificultades para acceder a citas con especialistas.</t>
        </is>
      </c>
      <c r="J213" s="62" t="n"/>
      <c r="K213" s="62" t="n"/>
      <c r="L213" s="62" t="n"/>
      <c r="M213" s="62" t="n"/>
      <c r="N213" s="62" t="n"/>
      <c r="O213" s="62" t="n"/>
      <c r="P213" s="62" t="n"/>
      <c r="Q213" s="62" t="n"/>
      <c r="R213" s="62" t="n"/>
      <c r="S213" s="62" t="n"/>
      <c r="T213" s="62" t="n"/>
      <c r="U213" s="62" t="n"/>
      <c r="V213" s="62" t="n"/>
      <c r="W213" s="62" t="n"/>
      <c r="X213" s="62" t="n"/>
      <c r="Y213" s="62" t="n"/>
      <c r="Z213" s="62" t="n"/>
      <c r="AA213" s="62" t="n"/>
      <c r="AB213" s="62" t="n"/>
      <c r="AC213" s="62" t="n"/>
      <c r="AD213" s="62" t="n"/>
      <c r="AE213" s="62" t="n"/>
      <c r="AF213" s="61">
        <f>IF(COUNTIF($B$5:B213,B213)=1,1,0)</f>
        <v/>
      </c>
      <c r="AG213" s="62" t="inlineStr">
        <is>
          <t>https://www.semana.com/politica/articulo/gustavo-petro-lanzo-fuerte-advertencia-si-no-se-aprueba-su-polemica-reforma-a-la-salud-se-quiebran-la-mayoria-de-las-eps/202546/</t>
        </is>
      </c>
    </row>
    <row r="214">
      <c r="A214" s="62" t="inlineStr">
        <is>
          <t>ART_237</t>
        </is>
      </c>
      <c r="B214" s="62" t="inlineStr">
        <is>
          <t>ART_237_S03</t>
        </is>
      </c>
      <c r="C214" s="62" t="inlineStr">
        <is>
          <t>Semana</t>
        </is>
      </c>
      <c r="D214" s="62" t="inlineStr">
        <is>
          <t>Salud</t>
        </is>
      </c>
      <c r="E214" s="62" t="inlineStr">
        <is>
          <t>Noticia dura</t>
        </is>
      </c>
      <c r="F214" s="62" t="inlineStr">
        <is>
          <t>2025-05-14T10:54:11-05:00</t>
        </is>
      </c>
      <c r="G214" s="62" t="inlineStr">
        <is>
          <t>Emergencia que se viene agudizando conforme van pasando los meses con la escasez de medicamentos y dificultades para acceder a citas con especialistas.</t>
        </is>
      </c>
      <c r="H214" s="62" t="inlineStr">
        <is>
          <t>En medio de esa visita oficial, el jefe de Estado lanzó una fuerte advertencia sobre la crisis en el sistema de salud por la que atraviesa el país.</t>
        </is>
      </c>
      <c r="I214" s="62" t="inlineStr">
        <is>
          <t>A través de su cuenta personal de X, el mandatario colombiano afirmo de manera directa que no aprobar su polémica reforma a la salud, traerá consigo la quiebra de la mayoría de las empresas prestadoras de salud (EPS).</t>
        </is>
      </c>
      <c r="J214" s="62" t="n"/>
      <c r="K214" s="62" t="n"/>
      <c r="L214" s="62" t="n"/>
      <c r="M214" s="62" t="n"/>
      <c r="N214" s="62" t="n"/>
      <c r="O214" s="62" t="n"/>
      <c r="P214" s="62" t="n"/>
      <c r="Q214" s="62" t="n"/>
      <c r="R214" s="62" t="n"/>
      <c r="S214" s="62" t="n"/>
      <c r="T214" s="62" t="n"/>
      <c r="U214" s="62" t="n"/>
      <c r="V214" s="62" t="n"/>
      <c r="W214" s="62" t="n"/>
      <c r="X214" s="62" t="n"/>
      <c r="Y214" s="62" t="n"/>
      <c r="Z214" s="62" t="n"/>
      <c r="AA214" s="62" t="n"/>
      <c r="AB214" s="62" t="n"/>
      <c r="AC214" s="62" t="n"/>
      <c r="AD214" s="62" t="n"/>
      <c r="AE214" s="62" t="n"/>
      <c r="AF214" s="61">
        <f>IF(COUNTIF($B$5:B214,B214)=1,1,0)</f>
        <v/>
      </c>
      <c r="AG214" s="62" t="inlineStr">
        <is>
          <t>https://www.semana.com/politica/articulo/gustavo-petro-lanzo-fuerte-advertencia-si-no-se-aprueba-su-polemica-reforma-a-la-salud-se-quiebran-la-mayoria-de-las-eps/202546/</t>
        </is>
      </c>
    </row>
    <row r="215">
      <c r="A215" s="62" t="inlineStr">
        <is>
          <t>ART_237</t>
        </is>
      </c>
      <c r="B215" s="62" t="inlineStr">
        <is>
          <t>ART_237_S04</t>
        </is>
      </c>
      <c r="C215" s="62" t="inlineStr">
        <is>
          <t>Semana</t>
        </is>
      </c>
      <c r="D215" s="62" t="inlineStr">
        <is>
          <t>Salud</t>
        </is>
      </c>
      <c r="E215" s="62" t="inlineStr">
        <is>
          <t>Noticia dura</t>
        </is>
      </c>
      <c r="F215" s="62" t="inlineStr">
        <is>
          <t>2025-05-14T10:54:11-05:00</t>
        </is>
      </c>
      <c r="G215" s="62" t="inlineStr">
        <is>
          <t>A través de su cuenta personal de X, el mandatario colombiano afirmo de manera directa que no aprobar su polémica reforma a la salud, traerá consigo la quiebra de la mayoría de las empresas prestadoras de salud (EPS).</t>
        </is>
      </c>
      <c r="H215" s="62" t="inlineStr">
        <is>
          <t>Emergencia que se viene agudizando conforme van pasando los meses con la escasez de medicamentos y dificultades para acceder a citas con especialistas.</t>
        </is>
      </c>
      <c r="I215" s="62" t="inlineStr">
        <is>
          <t>“La consecuencia directa de no aprobar la reforma a la salud es que se quiebran la mayoría de las EPS.</t>
        </is>
      </c>
      <c r="J215" s="62" t="n"/>
      <c r="K215" s="62" t="n"/>
      <c r="L215" s="62" t="n"/>
      <c r="M215" s="62" t="n"/>
      <c r="N215" s="62" t="n"/>
      <c r="O215" s="62" t="n"/>
      <c r="P215" s="62" t="n"/>
      <c r="Q215" s="62" t="n"/>
      <c r="R215" s="62" t="n"/>
      <c r="S215" s="62" t="n"/>
      <c r="T215" s="62" t="n"/>
      <c r="U215" s="62" t="n"/>
      <c r="V215" s="62" t="n"/>
      <c r="W215" s="62" t="n"/>
      <c r="X215" s="62" t="n"/>
      <c r="Y215" s="62" t="n"/>
      <c r="Z215" s="62" t="n"/>
      <c r="AA215" s="62" t="n"/>
      <c r="AB215" s="62" t="n"/>
      <c r="AC215" s="62" t="n"/>
      <c r="AD215" s="62" t="n"/>
      <c r="AE215" s="62" t="n"/>
      <c r="AF215" s="61">
        <f>IF(COUNTIF($B$5:B215,B215)=1,1,0)</f>
        <v/>
      </c>
      <c r="AG215" s="62" t="inlineStr">
        <is>
          <t>https://www.semana.com/politica/articulo/gustavo-petro-lanzo-fuerte-advertencia-si-no-se-aprueba-su-polemica-reforma-a-la-salud-se-quiebran-la-mayoria-de-las-eps/202546/</t>
        </is>
      </c>
    </row>
    <row r="216">
      <c r="A216" s="62" t="inlineStr">
        <is>
          <t>ART_237</t>
        </is>
      </c>
      <c r="B216" s="62" t="inlineStr">
        <is>
          <t>ART_237_S05</t>
        </is>
      </c>
      <c r="C216" s="62" t="inlineStr">
        <is>
          <t>Semana</t>
        </is>
      </c>
      <c r="D216" s="62" t="inlineStr">
        <is>
          <t>Salud</t>
        </is>
      </c>
      <c r="E216" s="62" t="inlineStr">
        <is>
          <t>Noticia dura</t>
        </is>
      </c>
      <c r="F216" s="62" t="inlineStr">
        <is>
          <t>2025-05-14T10:54:11-05:00</t>
        </is>
      </c>
      <c r="G216" s="62" t="inlineStr">
        <is>
          <t>“La consecuencia directa de no aprobar la reforma a la salud es que se quiebran la mayoría de las EPS.</t>
        </is>
      </c>
      <c r="H216" s="62" t="inlineStr">
        <is>
          <t>A través de su cuenta personal de X, el mandatario colombiano afirmo de manera directa que no aprobar su polémica reforma a la salud, traerá consigo la quiebra de la mayoría de las empresas prestadoras de salud (EPS).</t>
        </is>
      </c>
      <c r="I216" s="62" t="inlineStr">
        <is>
          <t>Esto no es una amenaza.</t>
        </is>
      </c>
      <c r="J216" s="62" t="n"/>
      <c r="K216" s="62" t="n"/>
      <c r="L216" s="62" t="n"/>
      <c r="M216" s="62" t="n"/>
      <c r="N216" s="62" t="n"/>
      <c r="O216" s="62" t="n"/>
      <c r="P216" s="62" t="n"/>
      <c r="Q216" s="62" t="n"/>
      <c r="R216" s="62" t="n"/>
      <c r="S216" s="62" t="n"/>
      <c r="T216" s="62" t="n"/>
      <c r="U216" s="62" t="n"/>
      <c r="V216" s="62" t="n"/>
      <c r="W216" s="62" t="n"/>
      <c r="X216" s="62" t="n"/>
      <c r="Y216" s="62" t="n"/>
      <c r="Z216" s="62" t="n"/>
      <c r="AA216" s="62" t="n"/>
      <c r="AB216" s="62" t="n"/>
      <c r="AC216" s="62" t="n"/>
      <c r="AD216" s="62" t="n"/>
      <c r="AE216" s="62" t="n"/>
      <c r="AF216" s="61">
        <f>IF(COUNTIF($B$5:B216,B216)=1,1,0)</f>
        <v/>
      </c>
      <c r="AG216" s="62" t="inlineStr">
        <is>
          <t>https://www.semana.com/politica/articulo/gustavo-petro-lanzo-fuerte-advertencia-si-no-se-aprueba-su-polemica-reforma-a-la-salud-se-quiebran-la-mayoria-de-las-eps/202546/</t>
        </is>
      </c>
    </row>
    <row r="217">
      <c r="A217" s="62" t="inlineStr">
        <is>
          <t>ART_237</t>
        </is>
      </c>
      <c r="B217" s="62" t="inlineStr">
        <is>
          <t>ART_237_S06</t>
        </is>
      </c>
      <c r="C217" s="62" t="inlineStr">
        <is>
          <t>Semana</t>
        </is>
      </c>
      <c r="D217" s="62" t="inlineStr">
        <is>
          <t>Salud</t>
        </is>
      </c>
      <c r="E217" s="62" t="inlineStr">
        <is>
          <t>Noticia dura</t>
        </is>
      </c>
      <c r="F217" s="62" t="inlineStr">
        <is>
          <t>2025-05-14T10:54:11-05:00</t>
        </is>
      </c>
      <c r="G217" s="62" t="inlineStr">
        <is>
          <t>Esto no es una amenaza.</t>
        </is>
      </c>
      <c r="H217" s="62" t="inlineStr">
        <is>
          <t>“La consecuencia directa de no aprobar la reforma a la salud es que se quiebran la mayoría de las EPS.</t>
        </is>
      </c>
      <c r="I217" s="62" t="inlineStr">
        <is>
          <t>Como aseguradoras financieras la inmensa mayoría de las EPS, ya no cumplen los requisitos de ley”, posteó Gustavo Petro.</t>
        </is>
      </c>
      <c r="J217" s="62" t="n"/>
      <c r="K217" s="62" t="n"/>
      <c r="L217" s="62" t="n"/>
      <c r="M217" s="62" t="n"/>
      <c r="N217" s="62" t="n"/>
      <c r="O217" s="62" t="n"/>
      <c r="P217" s="62" t="n"/>
      <c r="Q217" s="62" t="n"/>
      <c r="R217" s="62" t="n"/>
      <c r="S217" s="62" t="n"/>
      <c r="T217" s="62" t="n"/>
      <c r="U217" s="62" t="n"/>
      <c r="V217" s="62" t="n"/>
      <c r="W217" s="62" t="n"/>
      <c r="X217" s="62" t="n"/>
      <c r="Y217" s="62" t="n"/>
      <c r="Z217" s="62" t="n"/>
      <c r="AA217" s="62" t="n"/>
      <c r="AB217" s="62" t="n"/>
      <c r="AC217" s="62" t="n"/>
      <c r="AD217" s="62" t="n"/>
      <c r="AE217" s="62" t="n"/>
      <c r="AF217" s="61">
        <f>IF(COUNTIF($B$5:B217,B217)=1,1,0)</f>
        <v/>
      </c>
      <c r="AG217" s="62" t="inlineStr">
        <is>
          <t>https://www.semana.com/politica/articulo/gustavo-petro-lanzo-fuerte-advertencia-si-no-se-aprueba-su-polemica-reforma-a-la-salud-se-quiebran-la-mayoria-de-las-eps/202546/</t>
        </is>
      </c>
    </row>
    <row r="218">
      <c r="A218" s="62" t="inlineStr">
        <is>
          <t>ART_237</t>
        </is>
      </c>
      <c r="B218" s="62" t="inlineStr">
        <is>
          <t>ART_237_S07</t>
        </is>
      </c>
      <c r="C218" s="62" t="inlineStr">
        <is>
          <t>Semana</t>
        </is>
      </c>
      <c r="D218" s="62" t="inlineStr">
        <is>
          <t>Salud</t>
        </is>
      </c>
      <c r="E218" s="62" t="inlineStr">
        <is>
          <t>Noticia dura</t>
        </is>
      </c>
      <c r="F218" s="62" t="inlineStr">
        <is>
          <t>2025-05-14T10:54:11-05:00</t>
        </is>
      </c>
      <c r="G218" s="62" t="inlineStr">
        <is>
          <t>Como aseguradoras financieras la inmensa mayoría de las EPS, ya no cumplen los requisitos de ley”, posteó Gustavo Petro.</t>
        </is>
      </c>
      <c r="H218" s="62" t="inlineStr">
        <is>
          <t>Esto no es una amenaza.</t>
        </is>
      </c>
      <c r="I218" s="62" t="inlineStr">
        <is>
          <t>Además indicó en el trino que publicó: “Pero no es cierto que se quiebran los hospitales y clínicas, solo se debilitan los que son propiedad de los dueños de las EPS”.</t>
        </is>
      </c>
      <c r="J218" s="62" t="n"/>
      <c r="K218" s="62" t="n"/>
      <c r="L218" s="62" t="n"/>
      <c r="M218" s="62" t="n"/>
      <c r="N218" s="62" t="n"/>
      <c r="O218" s="62" t="n"/>
      <c r="P218" s="62" t="n"/>
      <c r="Q218" s="62" t="n"/>
      <c r="R218" s="62" t="n"/>
      <c r="S218" s="62" t="n"/>
      <c r="T218" s="62" t="n"/>
      <c r="U218" s="62" t="n"/>
      <c r="V218" s="62" t="n"/>
      <c r="W218" s="62" t="n"/>
      <c r="X218" s="62" t="n"/>
      <c r="Y218" s="62" t="n"/>
      <c r="Z218" s="62" t="n"/>
      <c r="AA218" s="62" t="n"/>
      <c r="AB218" s="62" t="n"/>
      <c r="AC218" s="62" t="n"/>
      <c r="AD218" s="62" t="n"/>
      <c r="AE218" s="62" t="n"/>
      <c r="AF218" s="61">
        <f>IF(COUNTIF($B$5:B218,B218)=1,1,0)</f>
        <v/>
      </c>
      <c r="AG218" s="62" t="inlineStr">
        <is>
          <t>https://www.semana.com/politica/articulo/gustavo-petro-lanzo-fuerte-advertencia-si-no-se-aprueba-su-polemica-reforma-a-la-salud-se-quiebran-la-mayoria-de-las-eps/202546/</t>
        </is>
      </c>
    </row>
    <row r="219">
      <c r="A219" s="62" t="inlineStr">
        <is>
          <t>ART_237</t>
        </is>
      </c>
      <c r="B219" s="62" t="inlineStr">
        <is>
          <t>ART_237_S08</t>
        </is>
      </c>
      <c r="C219" s="62" t="inlineStr">
        <is>
          <t>Semana</t>
        </is>
      </c>
      <c r="D219" s="62" t="inlineStr">
        <is>
          <t>Salud</t>
        </is>
      </c>
      <c r="E219" s="62" t="inlineStr">
        <is>
          <t>Noticia dura</t>
        </is>
      </c>
      <c r="F219" s="62" t="inlineStr">
        <is>
          <t>2025-05-14T10:54:11-05:00</t>
        </is>
      </c>
      <c r="G219" s="62" t="inlineStr">
        <is>
          <t>Además indicó en el trino que publicó: “Pero no es cierto que se quiebran los hospitales y clínicas, solo se debilitan los que son propiedad de los dueños de las EPS”.</t>
        </is>
      </c>
      <c r="H219" s="62" t="inlineStr">
        <is>
          <t>Como aseguradoras financieras la inmensa mayoría de las EPS, ya no cumplen los requisitos de ley”, posteó Gustavo Petro.</t>
        </is>
      </c>
      <c r="I219" s="62" t="inlineStr">
        <is>
          <t>“Al contrario, la mayoría de hospitales y clínicas se fortalecen porque dejan de existir los intermediarios.</t>
        </is>
      </c>
      <c r="J219" s="62" t="n"/>
      <c r="K219" s="62" t="n"/>
      <c r="L219" s="62" t="n"/>
      <c r="M219" s="62" t="n"/>
      <c r="N219" s="62" t="n"/>
      <c r="O219" s="62" t="n"/>
      <c r="P219" s="62" t="n"/>
      <c r="Q219" s="62" t="n"/>
      <c r="R219" s="62" t="n"/>
      <c r="S219" s="62" t="n"/>
      <c r="T219" s="62" t="n"/>
      <c r="U219" s="62" t="n"/>
      <c r="V219" s="62" t="n"/>
      <c r="W219" s="62" t="n"/>
      <c r="X219" s="62" t="n"/>
      <c r="Y219" s="62" t="n"/>
      <c r="Z219" s="62" t="n"/>
      <c r="AA219" s="62" t="n"/>
      <c r="AB219" s="62" t="n"/>
      <c r="AC219" s="62" t="n"/>
      <c r="AD219" s="62" t="n"/>
      <c r="AE219" s="62" t="n"/>
      <c r="AF219" s="61">
        <f>IF(COUNTIF($B$5:B219,B219)=1,1,0)</f>
        <v/>
      </c>
      <c r="AG219" s="62" t="inlineStr">
        <is>
          <t>https://www.semana.com/politica/articulo/gustavo-petro-lanzo-fuerte-advertencia-si-no-se-aprueba-su-polemica-reforma-a-la-salud-se-quiebran-la-mayoria-de-las-eps/202546/</t>
        </is>
      </c>
    </row>
    <row r="220">
      <c r="A220" s="62" t="inlineStr">
        <is>
          <t>ART_237</t>
        </is>
      </c>
      <c r="B220" s="62" t="inlineStr">
        <is>
          <t>ART_237_S09</t>
        </is>
      </c>
      <c r="C220" s="62" t="inlineStr">
        <is>
          <t>Semana</t>
        </is>
      </c>
      <c r="D220" s="62" t="inlineStr">
        <is>
          <t>Salud</t>
        </is>
      </c>
      <c r="E220" s="62" t="inlineStr">
        <is>
          <t>Noticia dura</t>
        </is>
      </c>
      <c r="F220" s="62" t="inlineStr">
        <is>
          <t>2025-05-14T10:54:11-05:00</t>
        </is>
      </c>
      <c r="G220" s="62" t="inlineStr">
        <is>
          <t>“Al contrario, la mayoría de hospitales y clínicas se fortalecen porque dejan de existir los intermediarios.</t>
        </is>
      </c>
      <c r="H220" s="62" t="inlineStr">
        <is>
          <t>Además indicó en el trino que publicó: “Pero no es cierto que se quiebran los hospitales y clínicas, solo se debilitan los que son propiedad de los dueños de las EPS”.</t>
        </is>
      </c>
      <c r="I220" s="62" t="inlineStr">
        <is>
          <t>Los recursos se les giran directamente, de acuerdo a sus servicios auditados”, insistió el presidente Gustavo Petro.</t>
        </is>
      </c>
      <c r="J220" s="62" t="n"/>
      <c r="K220" s="62" t="n"/>
      <c r="L220" s="62" t="n"/>
      <c r="M220" s="62" t="n"/>
      <c r="N220" s="62" t="n"/>
      <c r="O220" s="62" t="n"/>
      <c r="P220" s="62" t="n"/>
      <c r="Q220" s="62" t="n"/>
      <c r="R220" s="62" t="n"/>
      <c r="S220" s="62" t="n"/>
      <c r="T220" s="62" t="n"/>
      <c r="U220" s="62" t="n"/>
      <c r="V220" s="62" t="n"/>
      <c r="W220" s="62" t="n"/>
      <c r="X220" s="62" t="n"/>
      <c r="Y220" s="62" t="n"/>
      <c r="Z220" s="62" t="n"/>
      <c r="AA220" s="62" t="n"/>
      <c r="AB220" s="62" t="n"/>
      <c r="AC220" s="62" t="n"/>
      <c r="AD220" s="62" t="n"/>
      <c r="AE220" s="62" t="n"/>
      <c r="AF220" s="61">
        <f>IF(COUNTIF($B$5:B220,B220)=1,1,0)</f>
        <v/>
      </c>
      <c r="AG220" s="62" t="inlineStr">
        <is>
          <t>https://www.semana.com/politica/articulo/gustavo-petro-lanzo-fuerte-advertencia-si-no-se-aprueba-su-polemica-reforma-a-la-salud-se-quiebran-la-mayoria-de-las-eps/202546/</t>
        </is>
      </c>
    </row>
    <row r="221">
      <c r="A221" s="62" t="inlineStr">
        <is>
          <t>ART_237</t>
        </is>
      </c>
      <c r="B221" s="62" t="inlineStr">
        <is>
          <t>ART_237_S10</t>
        </is>
      </c>
      <c r="C221" s="62" t="inlineStr">
        <is>
          <t>Semana</t>
        </is>
      </c>
      <c r="D221" s="62" t="inlineStr">
        <is>
          <t>Salud</t>
        </is>
      </c>
      <c r="E221" s="62" t="inlineStr">
        <is>
          <t>Noticia dura</t>
        </is>
      </c>
      <c r="F221" s="62" t="inlineStr">
        <is>
          <t>2025-05-14T10:54:11-05:00</t>
        </is>
      </c>
      <c r="G221" s="62" t="inlineStr">
        <is>
          <t>Los recursos se les giran directamente, de acuerdo a sus servicios auditados”, insistió el presidente Gustavo Petro.</t>
        </is>
      </c>
      <c r="H221" s="62" t="inlineStr">
        <is>
          <t>“Al contrario, la mayoría de hospitales y clínicas se fortalecen porque dejan de existir los intermediarios.</t>
        </is>
      </c>
      <c r="I221" s="62" t="n"/>
      <c r="J221" s="62" t="n"/>
      <c r="K221" s="62" t="n"/>
      <c r="L221" s="62" t="n"/>
      <c r="M221" s="62" t="n"/>
      <c r="N221" s="62" t="n"/>
      <c r="O221" s="62" t="n"/>
      <c r="P221" s="62" t="n"/>
      <c r="Q221" s="62" t="n"/>
      <c r="R221" s="62" t="n"/>
      <c r="S221" s="62" t="n"/>
      <c r="T221" s="62" t="n"/>
      <c r="U221" s="62" t="n"/>
      <c r="V221" s="62" t="n"/>
      <c r="W221" s="62" t="n"/>
      <c r="X221" s="62" t="n"/>
      <c r="Y221" s="62" t="n"/>
      <c r="Z221" s="62" t="n"/>
      <c r="AA221" s="62" t="n"/>
      <c r="AB221" s="62" t="n"/>
      <c r="AC221" s="62" t="n"/>
      <c r="AD221" s="62" t="n"/>
      <c r="AE221" s="62" t="n"/>
      <c r="AF221" s="61">
        <f>IF(COUNTIF($B$5:B221,B221)=1,1,0)</f>
        <v/>
      </c>
      <c r="AG221" s="62" t="inlineStr">
        <is>
          <t>https://www.semana.com/politica/articulo/gustavo-petro-lanzo-fuerte-advertencia-si-no-se-aprueba-su-polemica-reforma-a-la-salud-se-quiebran-la-mayoria-de-las-eps/202546/</t>
        </is>
      </c>
    </row>
    <row r="222">
      <c r="A222" s="62" t="inlineStr">
        <is>
          <t>ART_239</t>
        </is>
      </c>
      <c r="B222" s="62" t="inlineStr">
        <is>
          <t>ART_239_S01</t>
        </is>
      </c>
      <c r="C222" s="62" t="inlineStr">
        <is>
          <t>Infobae Colombia</t>
        </is>
      </c>
      <c r="D222" s="62" t="inlineStr">
        <is>
          <t>Economía y negocios</t>
        </is>
      </c>
      <c r="E222" s="62" t="inlineStr">
        <is>
          <t>Noticia dura</t>
        </is>
      </c>
      <c r="F222" s="62" t="inlineStr">
        <is>
          <t>2026-03-17T21:04:50Z</t>
        </is>
      </c>
      <c r="G222" s="62" t="inlineStr">
        <is>
          <t>El Decreto 0234, promulgado por el Gobierno colombiano el 6 de marzo de 2026, autoriza la negociación colectiva más allá de la empresa, lo que posibilita acuerdos en sectores, ramas e industrias.</t>
        </is>
      </c>
      <c r="H222" s="62" t="n"/>
      <c r="I222" s="62" t="inlineStr">
        <is>
          <t>La reforma representa una transformación profunda en el sistema laboral del país y abre un debate sobre las implicaciones operativas y jurídicas.</t>
        </is>
      </c>
      <c r="J222" s="62" t="n"/>
      <c r="K222" s="62" t="n"/>
      <c r="L222" s="62" t="n"/>
      <c r="M222" s="62" t="n"/>
      <c r="N222" s="62" t="n"/>
      <c r="O222" s="62" t="n"/>
      <c r="P222" s="62" t="n"/>
      <c r="Q222" s="62" t="n"/>
      <c r="R222" s="62" t="n"/>
      <c r="S222" s="62" t="n"/>
      <c r="T222" s="62" t="n"/>
      <c r="U222" s="62" t="n"/>
      <c r="V222" s="62" t="n"/>
      <c r="W222" s="62" t="n"/>
      <c r="X222" s="62" t="n"/>
      <c r="Y222" s="62" t="n"/>
      <c r="Z222" s="62" t="n"/>
      <c r="AA222" s="62" t="n"/>
      <c r="AB222" s="62" t="n"/>
      <c r="AC222" s="62" t="n"/>
      <c r="AD222" s="62" t="n"/>
      <c r="AE222" s="62" t="n"/>
      <c r="AF222" s="61">
        <f>IF(COUNTIF($B$5:B222,B222)=1,1,0)</f>
        <v/>
      </c>
      <c r="AG222" s="62" t="inlineStr">
        <is>
          <t>https://www.infobae.com/colombia/2026/03/17/empresas-y-trabajadores-tendran-varias-dificultades-a-la-hora-de-aplicar-la-negociacion-colectiva-que-establecio-el-gobierno-petro/</t>
        </is>
      </c>
    </row>
    <row r="223">
      <c r="A223" s="62" t="inlineStr">
        <is>
          <t>ART_239</t>
        </is>
      </c>
      <c r="B223" s="62" t="inlineStr">
        <is>
          <t>ART_239_S02</t>
        </is>
      </c>
      <c r="C223" s="62" t="inlineStr">
        <is>
          <t>Infobae Colombia</t>
        </is>
      </c>
      <c r="D223" s="62" t="inlineStr">
        <is>
          <t>Economía y negocios</t>
        </is>
      </c>
      <c r="E223" s="62" t="inlineStr">
        <is>
          <t>Noticia dura</t>
        </is>
      </c>
      <c r="F223" s="62" t="inlineStr">
        <is>
          <t>2026-03-17T21:04:50Z</t>
        </is>
      </c>
      <c r="G223" s="62" t="inlineStr">
        <is>
          <t>La reforma representa una transformación profunda en el sistema laboral del país y abre un debate sobre las implicaciones operativas y jurídicas.</t>
        </is>
      </c>
      <c r="H223" s="62" t="inlineStr">
        <is>
          <t>El Decreto 0234, promulgado por el Gobierno colombiano el 6 de marzo de 2026, autoriza la negociación colectiva más allá de la empresa, lo que posibilita acuerdos en sectores, ramas e industrias.</t>
        </is>
      </c>
      <c r="I223" s="62"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J223" s="62" t="n"/>
      <c r="K223" s="62" t="n"/>
      <c r="L223" s="62" t="n"/>
      <c r="M223" s="62" t="n"/>
      <c r="N223" s="62" t="n"/>
      <c r="O223" s="62" t="n"/>
      <c r="P223" s="62" t="n"/>
      <c r="Q223" s="62" t="n"/>
      <c r="R223" s="62" t="n"/>
      <c r="S223" s="62" t="n"/>
      <c r="T223" s="62" t="n"/>
      <c r="U223" s="62" t="n"/>
      <c r="V223" s="62" t="n"/>
      <c r="W223" s="62" t="n"/>
      <c r="X223" s="62" t="n"/>
      <c r="Y223" s="62" t="n"/>
      <c r="Z223" s="62" t="n"/>
      <c r="AA223" s="62" t="n"/>
      <c r="AB223" s="62" t="n"/>
      <c r="AC223" s="62" t="n"/>
      <c r="AD223" s="62" t="n"/>
      <c r="AE223" s="62" t="n"/>
      <c r="AF223" s="61">
        <f>IF(COUNTIF($B$5:B223,B223)=1,1,0)</f>
        <v/>
      </c>
      <c r="AG223" s="62" t="inlineStr">
        <is>
          <t>https://www.infobae.com/colombia/2026/03/17/empresas-y-trabajadores-tendran-varias-dificultades-a-la-hora-de-aplicar-la-negociacion-colectiva-que-establecio-el-gobierno-petro/</t>
        </is>
      </c>
    </row>
    <row r="224">
      <c r="A224" s="62" t="inlineStr">
        <is>
          <t>ART_239</t>
        </is>
      </c>
      <c r="B224" s="62" t="inlineStr">
        <is>
          <t>ART_239_S03</t>
        </is>
      </c>
      <c r="C224" s="62" t="inlineStr">
        <is>
          <t>Infobae Colombia</t>
        </is>
      </c>
      <c r="D224" s="62" t="inlineStr">
        <is>
          <t>Economía y negocios</t>
        </is>
      </c>
      <c r="E224" s="62" t="inlineStr">
        <is>
          <t>Noticia dura</t>
        </is>
      </c>
      <c r="F224" s="62" t="inlineStr">
        <is>
          <t>2026-03-17T21:04:50Z</t>
        </is>
      </c>
      <c r="G224" s="62"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H224" s="62" t="inlineStr">
        <is>
          <t>La reforma representa una transformación profunda en el sistema laboral del país y abre un debate sobre las implicaciones operativas y jurídicas.</t>
        </is>
      </c>
      <c r="I224" s="62" t="inlineStr">
        <is>
          <t>Expertos advierten que estos vacíos pueden generar incertidumbre y conflictos legales en el proceso de negociación.</t>
        </is>
      </c>
      <c r="J224" s="62" t="n"/>
      <c r="K224" s="62" t="n"/>
      <c r="L224" s="62" t="n"/>
      <c r="M224" s="62" t="n"/>
      <c r="N224" s="62" t="n"/>
      <c r="O224" s="62" t="n"/>
      <c r="P224" s="62" t="n"/>
      <c r="Q224" s="62" t="n"/>
      <c r="R224" s="62" t="n"/>
      <c r="S224" s="62" t="n"/>
      <c r="T224" s="62" t="n"/>
      <c r="U224" s="62" t="n"/>
      <c r="V224" s="62" t="n"/>
      <c r="W224" s="62" t="n"/>
      <c r="X224" s="62" t="n"/>
      <c r="Y224" s="62" t="n"/>
      <c r="Z224" s="62" t="n"/>
      <c r="AA224" s="62" t="n"/>
      <c r="AB224" s="62" t="n"/>
      <c r="AC224" s="62" t="n"/>
      <c r="AD224" s="62" t="n"/>
      <c r="AE224" s="62" t="n"/>
      <c r="AF224" s="61">
        <f>IF(COUNTIF($B$5:B224,B224)=1,1,0)</f>
        <v/>
      </c>
      <c r="AG224" s="62" t="inlineStr">
        <is>
          <t>https://www.infobae.com/colombia/2026/03/17/empresas-y-trabajadores-tendran-varias-dificultades-a-la-hora-de-aplicar-la-negociacion-colectiva-que-establecio-el-gobierno-petro/</t>
        </is>
      </c>
    </row>
    <row r="225">
      <c r="A225" s="62" t="inlineStr">
        <is>
          <t>ART_239</t>
        </is>
      </c>
      <c r="B225" s="62" t="inlineStr">
        <is>
          <t>ART_239_S04</t>
        </is>
      </c>
      <c r="C225" s="62" t="inlineStr">
        <is>
          <t>Infobae Colombia</t>
        </is>
      </c>
      <c r="D225" s="62" t="inlineStr">
        <is>
          <t>Economía y negocios</t>
        </is>
      </c>
      <c r="E225" s="62" t="inlineStr">
        <is>
          <t>Noticia dura</t>
        </is>
      </c>
      <c r="F225" s="62" t="inlineStr">
        <is>
          <t>2026-03-17T21:04:50Z</t>
        </is>
      </c>
      <c r="G225" s="62" t="inlineStr">
        <is>
          <t>Expertos advierten que estos vacíos pueden generar incertidumbre y conflictos legales en el proceso de negociación.</t>
        </is>
      </c>
      <c r="H225" s="62"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I225" s="62" t="inlineStr">
        <is>
          <t>Y es que, precisamente, el Decreto 0234 marca un cambio de rumbo en las relaciones laborales en Colombia, lo que modifica el modelo tradicional centrado en la empresa.</t>
        </is>
      </c>
      <c r="J225" s="62" t="n"/>
      <c r="K225" s="62" t="n"/>
      <c r="L225" s="62" t="n"/>
      <c r="M225" s="62" t="n"/>
      <c r="N225" s="62" t="n"/>
      <c r="O225" s="62" t="n"/>
      <c r="P225" s="62" t="n"/>
      <c r="Q225" s="62" t="n"/>
      <c r="R225" s="62" t="n"/>
      <c r="S225" s="62" t="n"/>
      <c r="T225" s="62" t="n"/>
      <c r="U225" s="62" t="n"/>
      <c r="V225" s="62" t="n"/>
      <c r="W225" s="62" t="n"/>
      <c r="X225" s="62" t="n"/>
      <c r="Y225" s="62" t="n"/>
      <c r="Z225" s="62" t="n"/>
      <c r="AA225" s="62" t="n"/>
      <c r="AB225" s="62" t="n"/>
      <c r="AC225" s="62" t="n"/>
      <c r="AD225" s="62" t="n"/>
      <c r="AE225" s="62" t="n"/>
      <c r="AF225" s="61">
        <f>IF(COUNTIF($B$5:B225,B225)=1,1,0)</f>
        <v/>
      </c>
      <c r="AG225" s="62" t="inlineStr">
        <is>
          <t>https://www.infobae.com/colombia/2026/03/17/empresas-y-trabajadores-tendran-varias-dificultades-a-la-hora-de-aplicar-la-negociacion-colectiva-que-establecio-el-gobierno-petro/</t>
        </is>
      </c>
    </row>
    <row r="226">
      <c r="A226" s="62" t="inlineStr">
        <is>
          <t>ART_239</t>
        </is>
      </c>
      <c r="B226" s="62" t="inlineStr">
        <is>
          <t>ART_239_S05</t>
        </is>
      </c>
      <c r="C226" s="62" t="inlineStr">
        <is>
          <t>Infobae Colombia</t>
        </is>
      </c>
      <c r="D226" s="62" t="inlineStr">
        <is>
          <t>Economía y negocios</t>
        </is>
      </c>
      <c r="E226" s="62" t="inlineStr">
        <is>
          <t>Noticia dura</t>
        </is>
      </c>
      <c r="F226" s="62" t="inlineStr">
        <is>
          <t>2026-03-17T21:04:50Z</t>
        </is>
      </c>
      <c r="G226" s="62" t="inlineStr">
        <is>
          <t>Y es que, precisamente, el Decreto 0234 marca un cambio de rumbo en las relaciones laborales en Colombia, lo que modifica el modelo tradicional centrado en la empresa.</t>
        </is>
      </c>
      <c r="H226" s="62" t="inlineStr">
        <is>
          <t>Expertos advierten que estos vacíos pueden generar incertidumbre y conflictos legales en el proceso de negociación.</t>
        </is>
      </c>
      <c r="I226" s="62" t="inlineStr">
        <is>
          <t>Hasta ahora, la negociación colectiva ocurría de manera usual dentro de cada empleador, aunque la ley permitía ciertas negociaciones grupales.</t>
        </is>
      </c>
      <c r="J226" s="62" t="n"/>
      <c r="K226" s="62" t="n"/>
      <c r="L226" s="62" t="n"/>
      <c r="M226" s="62" t="n"/>
      <c r="N226" s="62" t="n"/>
      <c r="O226" s="62" t="n"/>
      <c r="P226" s="62" t="n"/>
      <c r="Q226" s="62" t="n"/>
      <c r="R226" s="62" t="n"/>
      <c r="S226" s="62" t="n"/>
      <c r="T226" s="62" t="n"/>
      <c r="U226" s="62" t="n"/>
      <c r="V226" s="62" t="n"/>
      <c r="W226" s="62" t="n"/>
      <c r="X226" s="62" t="n"/>
      <c r="Y226" s="62" t="n"/>
      <c r="Z226" s="62" t="n"/>
      <c r="AA226" s="62" t="n"/>
      <c r="AB226" s="62" t="n"/>
      <c r="AC226" s="62" t="n"/>
      <c r="AD226" s="62" t="n"/>
      <c r="AE226" s="62" t="n"/>
      <c r="AF226" s="61">
        <f>IF(COUNTIF($B$5:B226,B226)=1,1,0)</f>
        <v/>
      </c>
      <c r="AG226" s="62" t="inlineStr">
        <is>
          <t>https://www.infobae.com/colombia/2026/03/17/empresas-y-trabajadores-tendran-varias-dificultades-a-la-hora-de-aplicar-la-negociacion-colectiva-que-establecio-el-gobierno-petro/</t>
        </is>
      </c>
    </row>
    <row r="227">
      <c r="A227" s="62" t="inlineStr">
        <is>
          <t>ART_239</t>
        </is>
      </c>
      <c r="B227" s="62" t="inlineStr">
        <is>
          <t>ART_239_S06</t>
        </is>
      </c>
      <c r="C227" s="62" t="inlineStr">
        <is>
          <t>Infobae Colombia</t>
        </is>
      </c>
      <c r="D227" s="62" t="inlineStr">
        <is>
          <t>Economía y negocios</t>
        </is>
      </c>
      <c r="E227" s="62" t="inlineStr">
        <is>
          <t>Noticia dura</t>
        </is>
      </c>
      <c r="F227" s="62" t="inlineStr">
        <is>
          <t>2026-03-17T21:04:50Z</t>
        </is>
      </c>
      <c r="G227" s="62" t="inlineStr">
        <is>
          <t>Hasta ahora, la negociación colectiva ocurría de manera usual dentro de cada empleador, aunque la ley permitía ciertas negociaciones grupales.</t>
        </is>
      </c>
      <c r="H227" s="62" t="inlineStr">
        <is>
          <t>Y es que, precisamente, el Decreto 0234 marca un cambio de rumbo en las relaciones laborales en Colombia, lo que modifica el modelo tradicional centrado en la empresa.</t>
        </is>
      </c>
      <c r="I227" s="62" t="inlineStr">
        <is>
          <t>Con la nueva norma, las convenciones podrán fijar condiciones mínimas en niveles superiores, que no podrán ser rebajadas en acuerdos posteriores al interior de las compañías.</t>
        </is>
      </c>
      <c r="J227" s="62" t="n"/>
      <c r="K227" s="62" t="n"/>
      <c r="L227" s="62" t="n"/>
      <c r="M227" s="62" t="n"/>
      <c r="N227" s="62" t="n"/>
      <c r="O227" s="62" t="n"/>
      <c r="P227" s="62" t="n"/>
      <c r="Q227" s="62" t="n"/>
      <c r="R227" s="62" t="n"/>
      <c r="S227" s="62" t="n"/>
      <c r="T227" s="62" t="n"/>
      <c r="U227" s="62" t="n"/>
      <c r="V227" s="62" t="n"/>
      <c r="W227" s="62" t="n"/>
      <c r="X227" s="62" t="n"/>
      <c r="Y227" s="62" t="n"/>
      <c r="Z227" s="62" t="n"/>
      <c r="AA227" s="62" t="n"/>
      <c r="AB227" s="62" t="n"/>
      <c r="AC227" s="62" t="n"/>
      <c r="AD227" s="62" t="n"/>
      <c r="AE227" s="62" t="n"/>
      <c r="AF227" s="61">
        <f>IF(COUNTIF($B$5:B227,B227)=1,1,0)</f>
        <v/>
      </c>
      <c r="AG227" s="62" t="inlineStr">
        <is>
          <t>https://www.infobae.com/colombia/2026/03/17/empresas-y-trabajadores-tendran-varias-dificultades-a-la-hora-de-aplicar-la-negociacion-colectiva-que-establecio-el-gobierno-petro/</t>
        </is>
      </c>
    </row>
    <row r="228">
      <c r="A228" s="62" t="inlineStr">
        <is>
          <t>ART_239</t>
        </is>
      </c>
      <c r="B228" s="62" t="inlineStr">
        <is>
          <t>ART_239_S07</t>
        </is>
      </c>
      <c r="C228" s="62" t="inlineStr">
        <is>
          <t>Infobae Colombia</t>
        </is>
      </c>
      <c r="D228" s="62" t="inlineStr">
        <is>
          <t>Economía y negocios</t>
        </is>
      </c>
      <c r="E228" s="62" t="inlineStr">
        <is>
          <t>Noticia dura</t>
        </is>
      </c>
      <c r="F228" s="62" t="inlineStr">
        <is>
          <t>2026-03-17T21:04:50Z</t>
        </is>
      </c>
      <c r="G228" s="62" t="inlineStr">
        <is>
          <t>Con la nueva norma, las convenciones podrán fijar condiciones mínimas en niveles superiores, que no podrán ser rebajadas en acuerdos posteriores al interior de las compañías.</t>
        </is>
      </c>
      <c r="H228" s="62" t="inlineStr">
        <is>
          <t>Hasta ahora, la negociación colectiva ocurría de manera usual dentro de cada empleador, aunque la ley permitía ciertas negociaciones grupales.</t>
        </is>
      </c>
      <c r="I228" s="62" t="inlineStr">
        <is>
          <t>Para el gobernador del Colegio de Abogados del Trabajo de Colombia, Juan Fernando Escandón, la reforma contiene vacíos esenciales, ya que no desarrolla la arquitectura institucional que requiere el nuevo modelo.</t>
        </is>
      </c>
      <c r="J228" s="62" t="n"/>
      <c r="K228" s="62" t="n"/>
      <c r="L228" s="62" t="n"/>
      <c r="M228" s="62" t="n"/>
      <c r="N228" s="62" t="n"/>
      <c r="O228" s="62" t="n"/>
      <c r="P228" s="62" t="n"/>
      <c r="Q228" s="62" t="n"/>
      <c r="R228" s="62" t="n"/>
      <c r="S228" s="62" t="n"/>
      <c r="T228" s="62" t="n"/>
      <c r="U228" s="62" t="n"/>
      <c r="V228" s="62" t="n"/>
      <c r="W228" s="62" t="n"/>
      <c r="X228" s="62" t="n"/>
      <c r="Y228" s="62" t="n"/>
      <c r="Z228" s="62" t="n"/>
      <c r="AA228" s="62" t="n"/>
      <c r="AB228" s="62" t="n"/>
      <c r="AC228" s="62" t="n"/>
      <c r="AD228" s="62" t="n"/>
      <c r="AE228" s="62" t="n"/>
      <c r="AF228" s="61">
        <f>IF(COUNTIF($B$5:B228,B228)=1,1,0)</f>
        <v/>
      </c>
      <c r="AG228" s="62" t="inlineStr">
        <is>
          <t>https://www.infobae.com/colombia/2026/03/17/empresas-y-trabajadores-tendran-varias-dificultades-a-la-hora-de-aplicar-la-negociacion-colectiva-que-establecio-el-gobierno-petro/</t>
        </is>
      </c>
    </row>
    <row r="229">
      <c r="A229" s="62" t="inlineStr">
        <is>
          <t>ART_239</t>
        </is>
      </c>
      <c r="B229" s="62" t="inlineStr">
        <is>
          <t>ART_239_S08</t>
        </is>
      </c>
      <c r="C229" s="62" t="inlineStr">
        <is>
          <t>Infobae Colombia</t>
        </is>
      </c>
      <c r="D229" s="62" t="inlineStr">
        <is>
          <t>Economía y negocios</t>
        </is>
      </c>
      <c r="E229" s="62" t="inlineStr">
        <is>
          <t>Noticia dura</t>
        </is>
      </c>
      <c r="F229" s="62" t="inlineStr">
        <is>
          <t>2026-03-17T21:04:50Z</t>
        </is>
      </c>
      <c r="G229" s="62" t="inlineStr">
        <is>
          <t>Para el gobernador del Colegio de Abogados del Trabajo de Colombia, Juan Fernando Escandón, la reforma contiene vacíos esenciales, ya que no desarrolla la arquitectura institucional que requiere el nuevo modelo.</t>
        </is>
      </c>
      <c r="H229" s="62" t="inlineStr">
        <is>
          <t>Con la nueva norma, las convenciones podrán fijar condiciones mínimas en niveles superiores, que no podrán ser rebajadas en acuerdos posteriores al interior de las compañías.</t>
        </is>
      </c>
      <c r="I229" s="62" t="inlineStr">
        <is>
          <t>“El decreto plantea un cambio estructural en la forma en que se negocian las condiciones laborales en el país.</t>
        </is>
      </c>
      <c r="J229" s="62" t="n"/>
      <c r="K229" s="62" t="n"/>
      <c r="L229" s="62" t="n"/>
      <c r="M229" s="62" t="n"/>
      <c r="N229" s="62" t="n"/>
      <c r="O229" s="62" t="n"/>
      <c r="P229" s="62" t="n"/>
      <c r="Q229" s="62" t="n"/>
      <c r="R229" s="62" t="n"/>
      <c r="S229" s="62" t="n"/>
      <c r="T229" s="62" t="n"/>
      <c r="U229" s="62" t="n"/>
      <c r="V229" s="62" t="n"/>
      <c r="W229" s="62" t="n"/>
      <c r="X229" s="62" t="n"/>
      <c r="Y229" s="62" t="n"/>
      <c r="Z229" s="62" t="n"/>
      <c r="AA229" s="62" t="n"/>
      <c r="AB229" s="62" t="n"/>
      <c r="AC229" s="62" t="n"/>
      <c r="AD229" s="62" t="n"/>
      <c r="AE229" s="62" t="n"/>
      <c r="AF229" s="61">
        <f>IF(COUNTIF($B$5:B229,B229)=1,1,0)</f>
        <v/>
      </c>
      <c r="AG229" s="62" t="inlineStr">
        <is>
          <t>https://www.infobae.com/colombia/2026/03/17/empresas-y-trabajadores-tendran-varias-dificultades-a-la-hora-de-aplicar-la-negociacion-colectiva-que-establecio-el-gobierno-petro/</t>
        </is>
      </c>
    </row>
    <row r="230">
      <c r="A230" s="62" t="inlineStr">
        <is>
          <t>ART_239</t>
        </is>
      </c>
      <c r="B230" s="62" t="inlineStr">
        <is>
          <t>ART_239_S09</t>
        </is>
      </c>
      <c r="C230" s="62" t="inlineStr">
        <is>
          <t>Infobae Colombia</t>
        </is>
      </c>
      <c r="D230" s="62" t="inlineStr">
        <is>
          <t>Economía y negocios</t>
        </is>
      </c>
      <c r="E230" s="62" t="inlineStr">
        <is>
          <t>Noticia dura</t>
        </is>
      </c>
      <c r="F230" s="62" t="inlineStr">
        <is>
          <t>2026-03-17T21:04:50Z</t>
        </is>
      </c>
      <c r="G230" s="62" t="inlineStr">
        <is>
          <t>“El decreto plantea un cambio estructural en la forma en que se negocian las condiciones laborales en el país.</t>
        </is>
      </c>
      <c r="H230" s="62" t="inlineStr">
        <is>
          <t>Para el gobernador del Colegio de Abogados del Trabajo de Colombia, Juan Fernando Escandón, la reforma contiene vacíos esenciales, ya que no desarrolla la arquitectura institucional que requiere el nuevo modelo.</t>
        </is>
      </c>
      <c r="I230" s="62" t="inlineStr">
        <is>
          <t>No obstante, su diseño técnico deja numerosas preguntas sobre cómo funcionará realmente este nuevo esquema”, afirmó Escandón.</t>
        </is>
      </c>
      <c r="J230" s="62" t="n"/>
      <c r="K230" s="62" t="n"/>
      <c r="L230" s="62" t="n"/>
      <c r="M230" s="62" t="n"/>
      <c r="N230" s="62" t="n"/>
      <c r="O230" s="62" t="n"/>
      <c r="P230" s="62" t="n"/>
      <c r="Q230" s="62" t="n"/>
      <c r="R230" s="62" t="n"/>
      <c r="S230" s="62" t="n"/>
      <c r="T230" s="62" t="n"/>
      <c r="U230" s="62" t="n"/>
      <c r="V230" s="62" t="n"/>
      <c r="W230" s="62" t="n"/>
      <c r="X230" s="62" t="n"/>
      <c r="Y230" s="62" t="n"/>
      <c r="Z230" s="62" t="n"/>
      <c r="AA230" s="62" t="n"/>
      <c r="AB230" s="62" t="n"/>
      <c r="AC230" s="62" t="n"/>
      <c r="AD230" s="62" t="n"/>
      <c r="AE230" s="62" t="n"/>
      <c r="AF230" s="61">
        <f>IF(COUNTIF($B$5:B230,B230)=1,1,0)</f>
        <v/>
      </c>
      <c r="AG230" s="62" t="inlineStr">
        <is>
          <t>https://www.infobae.com/colombia/2026/03/17/empresas-y-trabajadores-tendran-varias-dificultades-a-la-hora-de-aplicar-la-negociacion-colectiva-que-establecio-el-gobierno-petro/</t>
        </is>
      </c>
    </row>
    <row r="231">
      <c r="A231" s="62" t="inlineStr">
        <is>
          <t>ART_239</t>
        </is>
      </c>
      <c r="B231" s="62" t="inlineStr">
        <is>
          <t>ART_239_S10</t>
        </is>
      </c>
      <c r="C231" s="62" t="inlineStr">
        <is>
          <t>Infobae Colombia</t>
        </is>
      </c>
      <c r="D231" s="62" t="inlineStr">
        <is>
          <t>Economía y negocios</t>
        </is>
      </c>
      <c r="E231" s="62" t="inlineStr">
        <is>
          <t>Noticia dura</t>
        </is>
      </c>
      <c r="F231" s="62" t="inlineStr">
        <is>
          <t>2026-03-17T21:04:50Z</t>
        </is>
      </c>
      <c r="G231" s="62" t="inlineStr">
        <is>
          <t>No obstante, su diseño técnico deja numerosas preguntas sobre cómo funcionará realmente este nuevo esquema”, afirmó Escandón.</t>
        </is>
      </c>
      <c r="H231" s="62" t="inlineStr">
        <is>
          <t>“El decreto plantea un cambio estructural en la forma en que se negocian las condiciones laborales en el país.</t>
        </is>
      </c>
      <c r="I231" s="62" t="n"/>
      <c r="J231" s="62" t="n"/>
      <c r="K231" s="62" t="n"/>
      <c r="L231" s="62" t="n"/>
      <c r="M231" s="62" t="n"/>
      <c r="N231" s="62" t="n"/>
      <c r="O231" s="62" t="n"/>
      <c r="P231" s="62" t="n"/>
      <c r="Q231" s="62" t="n"/>
      <c r="R231" s="62" t="n"/>
      <c r="S231" s="62" t="n"/>
      <c r="T231" s="62" t="n"/>
      <c r="U231" s="62" t="n"/>
      <c r="V231" s="62" t="n"/>
      <c r="W231" s="62" t="n"/>
      <c r="X231" s="62" t="n"/>
      <c r="Y231" s="62" t="n"/>
      <c r="Z231" s="62" t="n"/>
      <c r="AA231" s="62" t="n"/>
      <c r="AB231" s="62" t="n"/>
      <c r="AC231" s="62" t="n"/>
      <c r="AD231" s="62" t="n"/>
      <c r="AE231" s="62" t="n"/>
      <c r="AF231" s="61">
        <f>IF(COUNTIF($B$5:B231,B231)=1,1,0)</f>
        <v/>
      </c>
      <c r="AG231" s="62" t="inlineStr">
        <is>
          <t>https://www.infobae.com/colombia/2026/03/17/empresas-y-trabajadores-tendran-varias-dificultades-a-la-hora-de-aplicar-la-negociacion-colectiva-que-establecio-el-gobierno-petro/</t>
        </is>
      </c>
    </row>
    <row r="232">
      <c r="A232" s="62" t="inlineStr">
        <is>
          <t>ART_240</t>
        </is>
      </c>
      <c r="B232" s="62" t="inlineStr">
        <is>
          <t>ART_240_S01</t>
        </is>
      </c>
      <c r="C232" s="62" t="inlineStr">
        <is>
          <t>Infobae Colombia</t>
        </is>
      </c>
      <c r="D232" s="62" t="inlineStr">
        <is>
          <t>Economía y negocios</t>
        </is>
      </c>
      <c r="E232" s="62" t="inlineStr">
        <is>
          <t>Noticia dura</t>
        </is>
      </c>
      <c r="F232" s="62" t="inlineStr">
        <is>
          <t>2026-03-26T17:40:28Z</t>
        </is>
      </c>
      <c r="G232" s="62" t="inlineStr">
        <is>
          <t>Un nuevo cruce público reavivó la tensión entre el Gobierno nacional y el sector empresarial por cuenta de las reglas laborales.</t>
        </is>
      </c>
      <c r="H232" s="62" t="n"/>
      <c r="I232" s="62" t="inlineStr">
        <is>
          <t>Esta vez, el intercambio se produjo en la red social X entre el ministro de Trabajo, Antonio Sanguino, y el presidente de Fenalco, Jaime Alberto Cabal, en el contexto de la demanda contra el Decreto 234 de 2026.</t>
        </is>
      </c>
      <c r="J232" s="62" t="n"/>
      <c r="K232" s="62" t="n"/>
      <c r="L232" s="62" t="n"/>
      <c r="M232" s="62" t="n"/>
      <c r="N232" s="62" t="n"/>
      <c r="O232" s="62" t="n"/>
      <c r="P232" s="62" t="n"/>
      <c r="Q232" s="62" t="n"/>
      <c r="R232" s="62" t="n"/>
      <c r="S232" s="62" t="n"/>
      <c r="T232" s="62" t="n"/>
      <c r="U232" s="62" t="n"/>
      <c r="V232" s="62" t="n"/>
      <c r="W232" s="62" t="n"/>
      <c r="X232" s="62" t="n"/>
      <c r="Y232" s="62" t="n"/>
      <c r="Z232" s="62" t="n"/>
      <c r="AA232" s="62" t="n"/>
      <c r="AB232" s="62" t="n"/>
      <c r="AC232" s="62" t="n"/>
      <c r="AD232" s="62" t="n"/>
      <c r="AE232" s="62" t="n"/>
      <c r="AF232" s="61">
        <f>IF(COUNTIF($B$5:B232,B232)=1,1,0)</f>
        <v/>
      </c>
      <c r="AG232" s="62" t="inlineStr">
        <is>
          <t>https://www.infobae.com/colombia/2026/03/26/nueva-disputa-por-reforma-laboral-gobierno-defiende-decreto-y-fenalco-lo-lleva-a-la-justicia/</t>
        </is>
      </c>
    </row>
    <row r="233">
      <c r="A233" s="62" t="inlineStr">
        <is>
          <t>ART_240</t>
        </is>
      </c>
      <c r="B233" s="62" t="inlineStr">
        <is>
          <t>ART_240_S02</t>
        </is>
      </c>
      <c r="C233" s="62" t="inlineStr">
        <is>
          <t>Infobae Colombia</t>
        </is>
      </c>
      <c r="D233" s="62" t="inlineStr">
        <is>
          <t>Economía y negocios</t>
        </is>
      </c>
      <c r="E233" s="62" t="inlineStr">
        <is>
          <t>Noticia dura</t>
        </is>
      </c>
      <c r="F233" s="62" t="inlineStr">
        <is>
          <t>2026-03-26T17:40:28Z</t>
        </is>
      </c>
      <c r="G233" s="62" t="inlineStr">
        <is>
          <t>Esta vez, el intercambio se produjo en la red social X entre el ministro de Trabajo, Antonio Sanguino, y el presidente de Fenalco, Jaime Alberto Cabal, en el contexto de la demanda contra el Decreto 234 de 2026.</t>
        </is>
      </c>
      <c r="H233" s="62" t="inlineStr">
        <is>
          <t>Un nuevo cruce público reavivó la tensión entre el Gobierno nacional y el sector empresarial por cuenta de las reglas laborales.</t>
        </is>
      </c>
      <c r="I233" s="62" t="inlineStr">
        <is>
          <t>El origen del desacuerdo está en esa norma, que regula aspectos de la negociación colectiva entre trabajadores y empleadores.</t>
        </is>
      </c>
      <c r="J233" s="62" t="n"/>
      <c r="K233" s="62" t="n"/>
      <c r="L233" s="62" t="n"/>
      <c r="M233" s="62" t="n"/>
      <c r="N233" s="62" t="n"/>
      <c r="O233" s="62" t="n"/>
      <c r="P233" s="62" t="n"/>
      <c r="Q233" s="62" t="n"/>
      <c r="R233" s="62" t="n"/>
      <c r="S233" s="62" t="n"/>
      <c r="T233" s="62" t="n"/>
      <c r="U233" s="62" t="n"/>
      <c r="V233" s="62" t="n"/>
      <c r="W233" s="62" t="n"/>
      <c r="X233" s="62" t="n"/>
      <c r="Y233" s="62" t="n"/>
      <c r="Z233" s="62" t="n"/>
      <c r="AA233" s="62" t="n"/>
      <c r="AB233" s="62" t="n"/>
      <c r="AC233" s="62" t="n"/>
      <c r="AD233" s="62" t="n"/>
      <c r="AE233" s="62" t="n"/>
      <c r="AF233" s="61">
        <f>IF(COUNTIF($B$5:B233,B233)=1,1,0)</f>
        <v/>
      </c>
      <c r="AG233" s="62" t="inlineStr">
        <is>
          <t>https://www.infobae.com/colombia/2026/03/26/nueva-disputa-por-reforma-laboral-gobierno-defiende-decreto-y-fenalco-lo-lleva-a-la-justicia/</t>
        </is>
      </c>
    </row>
    <row r="234">
      <c r="A234" s="62" t="inlineStr">
        <is>
          <t>ART_240</t>
        </is>
      </c>
      <c r="B234" s="62" t="inlineStr">
        <is>
          <t>ART_240_S03</t>
        </is>
      </c>
      <c r="C234" s="62" t="inlineStr">
        <is>
          <t>Infobae Colombia</t>
        </is>
      </c>
      <c r="D234" s="62" t="inlineStr">
        <is>
          <t>Economía y negocios</t>
        </is>
      </c>
      <c r="E234" s="62" t="inlineStr">
        <is>
          <t>Noticia dura</t>
        </is>
      </c>
      <c r="F234" s="62" t="inlineStr">
        <is>
          <t>2026-03-26T17:40:28Z</t>
        </is>
      </c>
      <c r="G234" s="62" t="inlineStr">
        <is>
          <t>El origen del desacuerdo está en esa norma, que regula aspectos de la negociación colectiva entre trabajadores y empleadores.</t>
        </is>
      </c>
      <c r="H234" s="62" t="inlineStr">
        <is>
          <t>Esta vez, el intercambio se produjo en la red social X entre el ministro de Trabajo, Antonio Sanguino, y el presidente de Fenalco, Jaime Alberto Cabal, en el contexto de la demanda contra el Decreto 234 de 2026.</t>
        </is>
      </c>
      <c r="I234" s="62" t="inlineStr">
        <is>
          <t>Según el gremio, el Gobierno fue más allá de lo que le permite la ley al expedirla, por lo que pidió su anulación ante la justicia administrativa.</t>
        </is>
      </c>
      <c r="J234" s="62" t="n"/>
      <c r="K234" s="62" t="n"/>
      <c r="L234" s="62" t="n"/>
      <c r="M234" s="62" t="n"/>
      <c r="N234" s="62" t="n"/>
      <c r="O234" s="62" t="n"/>
      <c r="P234" s="62" t="n"/>
      <c r="Q234" s="62" t="n"/>
      <c r="R234" s="62" t="n"/>
      <c r="S234" s="62" t="n"/>
      <c r="T234" s="62" t="n"/>
      <c r="U234" s="62" t="n"/>
      <c r="V234" s="62" t="n"/>
      <c r="W234" s="62" t="n"/>
      <c r="X234" s="62" t="n"/>
      <c r="Y234" s="62" t="n"/>
      <c r="Z234" s="62" t="n"/>
      <c r="AA234" s="62" t="n"/>
      <c r="AB234" s="62" t="n"/>
      <c r="AC234" s="62" t="n"/>
      <c r="AD234" s="62" t="n"/>
      <c r="AE234" s="62" t="n"/>
      <c r="AF234" s="61">
        <f>IF(COUNTIF($B$5:B234,B234)=1,1,0)</f>
        <v/>
      </c>
      <c r="AG234" s="62" t="inlineStr">
        <is>
          <t>https://www.infobae.com/colombia/2026/03/26/nueva-disputa-por-reforma-laboral-gobierno-defiende-decreto-y-fenalco-lo-lleva-a-la-justicia/</t>
        </is>
      </c>
    </row>
    <row r="235">
      <c r="A235" s="62" t="inlineStr">
        <is>
          <t>ART_240</t>
        </is>
      </c>
      <c r="B235" s="62" t="inlineStr">
        <is>
          <t>ART_240_S04</t>
        </is>
      </c>
      <c r="C235" s="62" t="inlineStr">
        <is>
          <t>Infobae Colombia</t>
        </is>
      </c>
      <c r="D235" s="62" t="inlineStr">
        <is>
          <t>Economía y negocios</t>
        </is>
      </c>
      <c r="E235" s="62" t="inlineStr">
        <is>
          <t>Noticia dura</t>
        </is>
      </c>
      <c r="F235" s="62" t="inlineStr">
        <is>
          <t>2026-03-26T17:40:28Z</t>
        </is>
      </c>
      <c r="G235" s="62" t="inlineStr">
        <is>
          <t>Según el gremio, el Gobierno fue más allá de lo que le permite la ley al expedirla, por lo que pidió su anulación ante la justicia administrativa.</t>
        </is>
      </c>
      <c r="H235" s="62" t="inlineStr">
        <is>
          <t>El origen del desacuerdo está en esa norma, que regula aspectos de la negociación colectiva entre trabajadores y empleadores.</t>
        </is>
      </c>
      <c r="I235" s="62" t="inlineStr">
        <is>
          <t>En medio de ese escenario, el ministro publicó un mensaje en el que señaló: “Al antisindicalismo abusando de la falacia para debilitar la capacidad negociadora de los trabajadores en la negociación de sus pliegos y sus derechos”.</t>
        </is>
      </c>
      <c r="J235" s="62" t="n"/>
      <c r="K235" s="62" t="n"/>
      <c r="L235" s="62" t="n"/>
      <c r="M235" s="62" t="n"/>
      <c r="N235" s="62" t="n"/>
      <c r="O235" s="62" t="n"/>
      <c r="P235" s="62" t="n"/>
      <c r="Q235" s="62" t="n"/>
      <c r="R235" s="62" t="n"/>
      <c r="S235" s="62" t="n"/>
      <c r="T235" s="62" t="n"/>
      <c r="U235" s="62" t="n"/>
      <c r="V235" s="62" t="n"/>
      <c r="W235" s="62" t="n"/>
      <c r="X235" s="62" t="n"/>
      <c r="Y235" s="62" t="n"/>
      <c r="Z235" s="62" t="n"/>
      <c r="AA235" s="62" t="n"/>
      <c r="AB235" s="62" t="n"/>
      <c r="AC235" s="62" t="n"/>
      <c r="AD235" s="62" t="n"/>
      <c r="AE235" s="62" t="n"/>
      <c r="AF235" s="61">
        <f>IF(COUNTIF($B$5:B235,B235)=1,1,0)</f>
        <v/>
      </c>
      <c r="AG235" s="62" t="inlineStr">
        <is>
          <t>https://www.infobae.com/colombia/2026/03/26/nueva-disputa-por-reforma-laboral-gobierno-defiende-decreto-y-fenalco-lo-lleva-a-la-justicia/</t>
        </is>
      </c>
    </row>
    <row r="236">
      <c r="A236" s="62" t="inlineStr">
        <is>
          <t>ART_240</t>
        </is>
      </c>
      <c r="B236" s="62" t="inlineStr">
        <is>
          <t>ART_240_S05</t>
        </is>
      </c>
      <c r="C236" s="62" t="inlineStr">
        <is>
          <t>Infobae Colombia</t>
        </is>
      </c>
      <c r="D236" s="62" t="inlineStr">
        <is>
          <t>Economía y negocios</t>
        </is>
      </c>
      <c r="E236" s="62" t="inlineStr">
        <is>
          <t>Noticia dura</t>
        </is>
      </c>
      <c r="F236" s="62" t="inlineStr">
        <is>
          <t>2026-03-26T17:40:28Z</t>
        </is>
      </c>
      <c r="G236" s="62" t="inlineStr">
        <is>
          <t>En medio de ese escenario, el ministro publicó un mensaje en el que señaló: “Al antisindicalismo abusando de la falacia para debilitar la capacidad negociadora de los trabajadores en la negociación de sus pliegos y sus derechos”.</t>
        </is>
      </c>
      <c r="H236" s="62" t="inlineStr">
        <is>
          <t>Según el gremio, el Gobierno fue más allá de lo que le permite la ley al expedirla, por lo que pidió su anulación ante la justicia administrativa.</t>
        </is>
      </c>
      <c r="I236" s="62" t="inlineStr">
        <is>
          <t>La afirmación fue interpretada como una crítica directa a la posición de los empresarios frente al decreto.</t>
        </is>
      </c>
      <c r="J236" s="62" t="n"/>
      <c r="K236" s="62" t="n"/>
      <c r="L236" s="62" t="n"/>
      <c r="M236" s="62" t="n"/>
      <c r="N236" s="62" t="n"/>
      <c r="O236" s="62" t="n"/>
      <c r="P236" s="62" t="n"/>
      <c r="Q236" s="62" t="n"/>
      <c r="R236" s="62" t="n"/>
      <c r="S236" s="62" t="n"/>
      <c r="T236" s="62" t="n"/>
      <c r="U236" s="62" t="n"/>
      <c r="V236" s="62" t="n"/>
      <c r="W236" s="62" t="n"/>
      <c r="X236" s="62" t="n"/>
      <c r="Y236" s="62" t="n"/>
      <c r="Z236" s="62" t="n"/>
      <c r="AA236" s="62" t="n"/>
      <c r="AB236" s="62" t="n"/>
      <c r="AC236" s="62" t="n"/>
      <c r="AD236" s="62" t="n"/>
      <c r="AE236" s="62" t="n"/>
      <c r="AF236" s="61">
        <f>IF(COUNTIF($B$5:B236,B236)=1,1,0)</f>
        <v/>
      </c>
      <c r="AG236" s="62" t="inlineStr">
        <is>
          <t>https://www.infobae.com/colombia/2026/03/26/nueva-disputa-por-reforma-laboral-gobierno-defiende-decreto-y-fenalco-lo-lleva-a-la-justicia/</t>
        </is>
      </c>
    </row>
    <row r="237">
      <c r="A237" s="62" t="inlineStr">
        <is>
          <t>ART_240</t>
        </is>
      </c>
      <c r="B237" s="62" t="inlineStr">
        <is>
          <t>ART_240_S06</t>
        </is>
      </c>
      <c r="C237" s="62" t="inlineStr">
        <is>
          <t>Infobae Colombia</t>
        </is>
      </c>
      <c r="D237" s="62" t="inlineStr">
        <is>
          <t>Economía y negocios</t>
        </is>
      </c>
      <c r="E237" s="62" t="inlineStr">
        <is>
          <t>Noticia dura</t>
        </is>
      </c>
      <c r="F237" s="62" t="inlineStr">
        <is>
          <t>2026-03-26T17:40:28Z</t>
        </is>
      </c>
      <c r="G237" s="62" t="inlineStr">
        <is>
          <t>La afirmación fue interpretada como una crítica directa a la posición de los empresarios frente al decreto.</t>
        </is>
      </c>
      <c r="H237" s="62" t="inlineStr">
        <is>
          <t>En medio de ese escenario, el ministro publicó un mensaje en el que señaló: “Al antisindicalismo abusando de la falacia para debilitar la capacidad negociadora de los trabajadores en la negociación de sus pliegos y sus derechos”.</t>
        </is>
      </c>
      <c r="I237" s="62" t="inlineStr">
        <is>
          <t>La respuesta de Cabal no se hizo esperar.</t>
        </is>
      </c>
      <c r="J237" s="62" t="n"/>
      <c r="K237" s="62" t="n"/>
      <c r="L237" s="62" t="n"/>
      <c r="M237" s="62" t="n"/>
      <c r="N237" s="62" t="n"/>
      <c r="O237" s="62" t="n"/>
      <c r="P237" s="62" t="n"/>
      <c r="Q237" s="62" t="n"/>
      <c r="R237" s="62" t="n"/>
      <c r="S237" s="62" t="n"/>
      <c r="T237" s="62" t="n"/>
      <c r="U237" s="62" t="n"/>
      <c r="V237" s="62" t="n"/>
      <c r="W237" s="62" t="n"/>
      <c r="X237" s="62" t="n"/>
      <c r="Y237" s="62" t="n"/>
      <c r="Z237" s="62" t="n"/>
      <c r="AA237" s="62" t="n"/>
      <c r="AB237" s="62" t="n"/>
      <c r="AC237" s="62" t="n"/>
      <c r="AD237" s="62" t="n"/>
      <c r="AE237" s="62" t="n"/>
      <c r="AF237" s="61">
        <f>IF(COUNTIF($B$5:B237,B237)=1,1,0)</f>
        <v/>
      </c>
      <c r="AG237" s="62" t="inlineStr">
        <is>
          <t>https://www.infobae.com/colombia/2026/03/26/nueva-disputa-por-reforma-laboral-gobierno-defiende-decreto-y-fenalco-lo-lleva-a-la-justicia/</t>
        </is>
      </c>
    </row>
    <row r="238">
      <c r="A238" s="62" t="inlineStr">
        <is>
          <t>ART_240</t>
        </is>
      </c>
      <c r="B238" s="62" t="inlineStr">
        <is>
          <t>ART_240_S07</t>
        </is>
      </c>
      <c r="C238" s="62" t="inlineStr">
        <is>
          <t>Infobae Colombia</t>
        </is>
      </c>
      <c r="D238" s="62" t="inlineStr">
        <is>
          <t>Economía y negocios</t>
        </is>
      </c>
      <c r="E238" s="62" t="inlineStr">
        <is>
          <t>Noticia dura</t>
        </is>
      </c>
      <c r="F238" s="62" t="inlineStr">
        <is>
          <t>2026-03-26T17:40:28Z</t>
        </is>
      </c>
      <c r="G238" s="62" t="inlineStr">
        <is>
          <t>La respuesta de Cabal no se hizo esperar.</t>
        </is>
      </c>
      <c r="H238" s="62" t="inlineStr">
        <is>
          <t>La afirmación fue interpretada como una crítica directa a la posición de los empresarios frente al decreto.</t>
        </is>
      </c>
      <c r="I238" s="62" t="n"/>
      <c r="J238" s="62" t="n"/>
      <c r="K238" s="62" t="n"/>
      <c r="L238" s="62" t="n"/>
      <c r="M238" s="62" t="n"/>
      <c r="N238" s="62" t="n"/>
      <c r="O238" s="62" t="n"/>
      <c r="P238" s="62" t="n"/>
      <c r="Q238" s="62" t="n"/>
      <c r="R238" s="62" t="n"/>
      <c r="S238" s="62" t="n"/>
      <c r="T238" s="62" t="n"/>
      <c r="U238" s="62" t="n"/>
      <c r="V238" s="62" t="n"/>
      <c r="W238" s="62" t="n"/>
      <c r="X238" s="62" t="n"/>
      <c r="Y238" s="62" t="n"/>
      <c r="Z238" s="62" t="n"/>
      <c r="AA238" s="62" t="n"/>
      <c r="AB238" s="62" t="n"/>
      <c r="AC238" s="62" t="n"/>
      <c r="AD238" s="62" t="n"/>
      <c r="AE238" s="62" t="n"/>
      <c r="AF238" s="61">
        <f>IF(COUNTIF($B$5:B238,B238)=1,1,0)</f>
        <v/>
      </c>
      <c r="AG238" s="62" t="inlineStr">
        <is>
          <t>https://www.infobae.com/colombia/2026/03/26/nueva-disputa-por-reforma-laboral-gobierno-defiende-decreto-y-fenalco-lo-lleva-a-la-justicia/</t>
        </is>
      </c>
    </row>
    <row r="239">
      <c r="A239" s="62" t="inlineStr">
        <is>
          <t>ART_242</t>
        </is>
      </c>
      <c r="B239" s="62" t="inlineStr">
        <is>
          <t>ART_242_S01</t>
        </is>
      </c>
      <c r="C239" s="62" t="inlineStr">
        <is>
          <t>El Espectador</t>
        </is>
      </c>
      <c r="D239" s="62" t="inlineStr">
        <is>
          <t>Economía y negocios</t>
        </is>
      </c>
      <c r="E239" s="62" t="inlineStr">
        <is>
          <t>Noticia dura</t>
        </is>
      </c>
      <c r="F239" s="62" t="inlineStr">
        <is>
          <t>2026-03-10T18:09:31-05:00</t>
        </is>
      </c>
      <c r="G239" s="62" t="inlineStr">
        <is>
          <t>La forma en que se negocian las condiciones laborales entre sindicatos y empresas privadas en Colombia cambiará con el Decreto 0234 de 2026, expedido por el Gobierno el pasado 6 de marzo.</t>
        </is>
      </c>
      <c r="H239" s="62" t="n"/>
      <c r="I239" s="62" t="inlineStr">
        <is>
          <t>A grandes rasgos, la norma reglamenta la negociación colectiva multinivel, es decir, permite que sindicatos y empleadores negocien no solo dentro de una empresa, sino también en escenarios más amplios, como por sector, rama de actividad o grupo de empresas.</t>
        </is>
      </c>
      <c r="J239" s="62" t="n"/>
      <c r="K239" s="62" t="n"/>
      <c r="L239" s="62" t="n"/>
      <c r="M239" s="62" t="n"/>
      <c r="N239" s="62" t="n"/>
      <c r="O239" s="62" t="n"/>
      <c r="P239" s="62" t="n"/>
      <c r="Q239" s="62" t="n"/>
      <c r="R239" s="62" t="n"/>
      <c r="S239" s="62" t="n"/>
      <c r="T239" s="62" t="n"/>
      <c r="U239" s="62" t="n"/>
      <c r="V239" s="62" t="n"/>
      <c r="W239" s="62" t="n"/>
      <c r="X239" s="62" t="n"/>
      <c r="Y239" s="62" t="n"/>
      <c r="Z239" s="62" t="n"/>
      <c r="AA239" s="62" t="n"/>
      <c r="AB239" s="62" t="n"/>
      <c r="AC239" s="62" t="n"/>
      <c r="AD239" s="62" t="n"/>
      <c r="AE239" s="62" t="n"/>
      <c r="AF239" s="61">
        <f>IF(COUNTIF($B$5:B239,B239)=1,1,0)</f>
        <v/>
      </c>
      <c r="AG239" s="62" t="inlineStr">
        <is>
          <t>https://www.elespectador.com/economia/que-dice-y-por-que-genera-polemica-el-decreto-de-negociacion-colectiva-del-gobierno-noticias-colombia/</t>
        </is>
      </c>
    </row>
    <row r="240">
      <c r="A240" s="62" t="inlineStr">
        <is>
          <t>ART_242</t>
        </is>
      </c>
      <c r="B240" s="62" t="inlineStr">
        <is>
          <t>ART_242_S02</t>
        </is>
      </c>
      <c r="C240" s="62" t="inlineStr">
        <is>
          <t>El Espectador</t>
        </is>
      </c>
      <c r="D240" s="62" t="inlineStr">
        <is>
          <t>Economía y negocios</t>
        </is>
      </c>
      <c r="E240" s="62" t="inlineStr">
        <is>
          <t>Noticia dura</t>
        </is>
      </c>
      <c r="F240" s="62" t="inlineStr">
        <is>
          <t>2026-03-10T18:09:31-05:00</t>
        </is>
      </c>
      <c r="G240" s="62" t="inlineStr">
        <is>
          <t>A grandes rasgos, la norma reglamenta la negociación colectiva multinivel, es decir, permite que sindicatos y empleadores negocien no solo dentro de una empresa, sino también en escenarios más amplios, como por sector, rama de actividad o grupo de empresas.</t>
        </is>
      </c>
      <c r="H240" s="62" t="inlineStr">
        <is>
          <t>La forma en que se negocian las condiciones laborales entre sindicatos y empresas privadas en Colombia cambiará con el Decreto 0234 de 2026, expedido por el Gobierno el pasado 6 de marzo.</t>
        </is>
      </c>
      <c r="I240" s="62" t="inlineStr">
        <is>
          <t>Desde algunos gremios empresariales, la medida ha despertado reparos por la posibilidad de que surjan “megasindicatos” con capacidad de negociar por sectores económicos.</t>
        </is>
      </c>
      <c r="J240" s="62" t="n"/>
      <c r="K240" s="62" t="n"/>
      <c r="L240" s="62" t="n"/>
      <c r="M240" s="62" t="n"/>
      <c r="N240" s="62" t="n"/>
      <c r="O240" s="62" t="n"/>
      <c r="P240" s="62" t="n"/>
      <c r="Q240" s="62" t="n"/>
      <c r="R240" s="62" t="n"/>
      <c r="S240" s="62" t="n"/>
      <c r="T240" s="62" t="n"/>
      <c r="U240" s="62" t="n"/>
      <c r="V240" s="62" t="n"/>
      <c r="W240" s="62" t="n"/>
      <c r="X240" s="62" t="n"/>
      <c r="Y240" s="62" t="n"/>
      <c r="Z240" s="62" t="n"/>
      <c r="AA240" s="62" t="n"/>
      <c r="AB240" s="62" t="n"/>
      <c r="AC240" s="62" t="n"/>
      <c r="AD240" s="62" t="n"/>
      <c r="AE240" s="62" t="n"/>
      <c r="AF240" s="61">
        <f>IF(COUNTIF($B$5:B240,B240)=1,1,0)</f>
        <v/>
      </c>
      <c r="AG240" s="62" t="inlineStr">
        <is>
          <t>https://www.elespectador.com/economia/que-dice-y-por-que-genera-polemica-el-decreto-de-negociacion-colectiva-del-gobierno-noticias-colombia/</t>
        </is>
      </c>
    </row>
    <row r="241">
      <c r="A241" s="62" t="inlineStr">
        <is>
          <t>ART_242</t>
        </is>
      </c>
      <c r="B241" s="62" t="inlineStr">
        <is>
          <t>ART_242_S03</t>
        </is>
      </c>
      <c r="C241" s="62" t="inlineStr">
        <is>
          <t>El Espectador</t>
        </is>
      </c>
      <c r="D241" s="62" t="inlineStr">
        <is>
          <t>Economía y negocios</t>
        </is>
      </c>
      <c r="E241" s="62" t="inlineStr">
        <is>
          <t>Noticia dura</t>
        </is>
      </c>
      <c r="F241" s="62" t="inlineStr">
        <is>
          <t>2026-03-10T18:09:31-05:00</t>
        </is>
      </c>
      <c r="G241" s="62" t="inlineStr">
        <is>
          <t>Desde algunos gremios empresariales, la medida ha despertado reparos por la posibilidad de que surjan “megasindicatos” con capacidad de negociar por sectores económicos.</t>
        </is>
      </c>
      <c r="H241" s="62" t="inlineStr">
        <is>
          <t>A grandes rasgos, la norma reglamenta la negociación colectiva multinivel, es decir, permite que sindicatos y empleadores negocien no solo dentro de una empresa, sino también en escenarios más amplios, como por sector, rama de actividad o grupo de empresas.</t>
        </is>
      </c>
      <c r="I241" s="62" t="inlineStr">
        <is>
          <t>A eso se suma otro de los puntos que más debate ha generado: la denominada “cuota por beneficio convencional”.</t>
        </is>
      </c>
      <c r="J241" s="62" t="n"/>
      <c r="K241" s="62" t="n"/>
      <c r="L241" s="62" t="n"/>
      <c r="M241" s="62" t="n"/>
      <c r="N241" s="62" t="n"/>
      <c r="O241" s="62" t="n"/>
      <c r="P241" s="62" t="n"/>
      <c r="Q241" s="62" t="n"/>
      <c r="R241" s="62" t="n"/>
      <c r="S241" s="62" t="n"/>
      <c r="T241" s="62" t="n"/>
      <c r="U241" s="62" t="n"/>
      <c r="V241" s="62" t="n"/>
      <c r="W241" s="62" t="n"/>
      <c r="X241" s="62" t="n"/>
      <c r="Y241" s="62" t="n"/>
      <c r="Z241" s="62" t="n"/>
      <c r="AA241" s="62" t="n"/>
      <c r="AB241" s="62" t="n"/>
      <c r="AC241" s="62" t="n"/>
      <c r="AD241" s="62" t="n"/>
      <c r="AE241" s="62" t="n"/>
      <c r="AF241" s="61">
        <f>IF(COUNTIF($B$5:B241,B241)=1,1,0)</f>
        <v/>
      </c>
      <c r="AG241" s="62" t="inlineStr">
        <is>
          <t>https://www.elespectador.com/economia/que-dice-y-por-que-genera-polemica-el-decreto-de-negociacion-colectiva-del-gobierno-noticias-colombia/</t>
        </is>
      </c>
    </row>
    <row r="242">
      <c r="A242" s="62" t="inlineStr">
        <is>
          <t>ART_242</t>
        </is>
      </c>
      <c r="B242" s="62" t="inlineStr">
        <is>
          <t>ART_242_S04</t>
        </is>
      </c>
      <c r="C242" s="62" t="inlineStr">
        <is>
          <t>El Espectador</t>
        </is>
      </c>
      <c r="D242" s="62" t="inlineStr">
        <is>
          <t>Economía y negocios</t>
        </is>
      </c>
      <c r="E242" s="62" t="inlineStr">
        <is>
          <t>Noticia dura</t>
        </is>
      </c>
      <c r="F242" s="62" t="inlineStr">
        <is>
          <t>2026-03-10T18:09:31-05:00</t>
        </is>
      </c>
      <c r="G242" s="62" t="inlineStr">
        <is>
          <t>A eso se suma otro de los puntos que más debate ha generado: la denominada “cuota por beneficio convencional”.</t>
        </is>
      </c>
      <c r="H242" s="62" t="inlineStr">
        <is>
          <t>Desde algunos gremios empresariales, la medida ha despertado reparos por la posibilidad de que surjan “megasindicatos” con capacidad de negociar por sectores económicos.</t>
        </is>
      </c>
      <c r="I242" s="62" t="inlineStr">
        <is>
          <t>Según indica el decreto, los trabajadores no sindicalizados que se beneficien de una convención colectiva deberán pagar a los sindicatos una suma equivalente a la cuota ordinaria que aportan sus afiliados.</t>
        </is>
      </c>
      <c r="J242" s="62" t="n"/>
      <c r="K242" s="62" t="n"/>
      <c r="L242" s="62" t="n"/>
      <c r="M242" s="62" t="n"/>
      <c r="N242" s="62" t="n"/>
      <c r="O242" s="62" t="n"/>
      <c r="P242" s="62" t="n"/>
      <c r="Q242" s="62" t="n"/>
      <c r="R242" s="62" t="n"/>
      <c r="S242" s="62" t="n"/>
      <c r="T242" s="62" t="n"/>
      <c r="U242" s="62" t="n"/>
      <c r="V242" s="62" t="n"/>
      <c r="W242" s="62" t="n"/>
      <c r="X242" s="62" t="n"/>
      <c r="Y242" s="62" t="n"/>
      <c r="Z242" s="62" t="n"/>
      <c r="AA242" s="62" t="n"/>
      <c r="AB242" s="62" t="n"/>
      <c r="AC242" s="62" t="n"/>
      <c r="AD242" s="62" t="n"/>
      <c r="AE242" s="62" t="n"/>
      <c r="AF242" s="61">
        <f>IF(COUNTIF($B$5:B242,B242)=1,1,0)</f>
        <v/>
      </c>
      <c r="AG242" s="62" t="inlineStr">
        <is>
          <t>https://www.elespectador.com/economia/que-dice-y-por-que-genera-polemica-el-decreto-de-negociacion-colectiva-del-gobierno-noticias-colombia/</t>
        </is>
      </c>
    </row>
    <row r="243">
      <c r="A243" s="62" t="inlineStr">
        <is>
          <t>ART_242</t>
        </is>
      </c>
      <c r="B243" s="62" t="inlineStr">
        <is>
          <t>ART_242_S05</t>
        </is>
      </c>
      <c r="C243" s="62" t="inlineStr">
        <is>
          <t>El Espectador</t>
        </is>
      </c>
      <c r="D243" s="62" t="inlineStr">
        <is>
          <t>Economía y negocios</t>
        </is>
      </c>
      <c r="E243" s="62" t="inlineStr">
        <is>
          <t>Noticia dura</t>
        </is>
      </c>
      <c r="F243" s="62" t="inlineStr">
        <is>
          <t>2026-03-10T18:09:31-05:00</t>
        </is>
      </c>
      <c r="G243" s="62" t="inlineStr">
        <is>
          <t>Según indica el decreto, los trabajadores no sindicalizados que se beneficien de una convención colectiva deberán pagar a los sindicatos una suma equivalente a la cuota ordinaria que aportan sus afiliados.</t>
        </is>
      </c>
      <c r="H243" s="62" t="inlineStr">
        <is>
          <t>A eso se suma otro de los puntos que más debate ha generado: la denominada “cuota por beneficio convencional”.</t>
        </is>
      </c>
      <c r="I243" s="62" t="inlineStr">
        <is>
          <t>Para entender la discusión, conviene ir por partes.</t>
        </is>
      </c>
      <c r="J243" s="62" t="n"/>
      <c r="K243" s="62" t="n"/>
      <c r="L243" s="62" t="n"/>
      <c r="M243" s="62" t="n"/>
      <c r="N243" s="62" t="n"/>
      <c r="O243" s="62" t="n"/>
      <c r="P243" s="62" t="n"/>
      <c r="Q243" s="62" t="n"/>
      <c r="R243" s="62" t="n"/>
      <c r="S243" s="62" t="n"/>
      <c r="T243" s="62" t="n"/>
      <c r="U243" s="62" t="n"/>
      <c r="V243" s="62" t="n"/>
      <c r="W243" s="62" t="n"/>
      <c r="X243" s="62" t="n"/>
      <c r="Y243" s="62" t="n"/>
      <c r="Z243" s="62" t="n"/>
      <c r="AA243" s="62" t="n"/>
      <c r="AB243" s="62" t="n"/>
      <c r="AC243" s="62" t="n"/>
      <c r="AD243" s="62" t="n"/>
      <c r="AE243" s="62" t="n"/>
      <c r="AF243" s="61">
        <f>IF(COUNTIF($B$5:B243,B243)=1,1,0)</f>
        <v/>
      </c>
      <c r="AG243" s="62" t="inlineStr">
        <is>
          <t>https://www.elespectador.com/economia/que-dice-y-por-que-genera-polemica-el-decreto-de-negociacion-colectiva-del-gobierno-noticias-colombia/</t>
        </is>
      </c>
    </row>
    <row r="244">
      <c r="A244" s="62" t="inlineStr">
        <is>
          <t>ART_242</t>
        </is>
      </c>
      <c r="B244" s="62" t="inlineStr">
        <is>
          <t>ART_242_S06</t>
        </is>
      </c>
      <c r="C244" s="62" t="inlineStr">
        <is>
          <t>El Espectador</t>
        </is>
      </c>
      <c r="D244" s="62" t="inlineStr">
        <is>
          <t>Economía y negocios</t>
        </is>
      </c>
      <c r="E244" s="62" t="inlineStr">
        <is>
          <t>Noticia dura</t>
        </is>
      </c>
      <c r="F244" s="62" t="inlineStr">
        <is>
          <t>2026-03-10T18:09:31-05:00</t>
        </is>
      </c>
      <c r="G244" s="62" t="inlineStr">
        <is>
          <t>Para entender la discusión, conviene ir por partes.</t>
        </is>
      </c>
      <c r="H244" s="62" t="inlineStr">
        <is>
          <t>Según indica el decreto, los trabajadores no sindicalizados que se beneficien de una convención colectiva deberán pagar a los sindicatos una suma equivalente a la cuota ordinaria que aportan sus afiliados.</t>
        </is>
      </c>
      <c r="I244" s="62" t="n"/>
      <c r="J244" s="62" t="n"/>
      <c r="K244" s="62" t="n"/>
      <c r="L244" s="62" t="n"/>
      <c r="M244" s="62" t="n"/>
      <c r="N244" s="62" t="n"/>
      <c r="O244" s="62" t="n"/>
      <c r="P244" s="62" t="n"/>
      <c r="Q244" s="62" t="n"/>
      <c r="R244" s="62" t="n"/>
      <c r="S244" s="62" t="n"/>
      <c r="T244" s="62" t="n"/>
      <c r="U244" s="62" t="n"/>
      <c r="V244" s="62" t="n"/>
      <c r="W244" s="62" t="n"/>
      <c r="X244" s="62" t="n"/>
      <c r="Y244" s="62" t="n"/>
      <c r="Z244" s="62" t="n"/>
      <c r="AA244" s="62" t="n"/>
      <c r="AB244" s="62" t="n"/>
      <c r="AC244" s="62" t="n"/>
      <c r="AD244" s="62" t="n"/>
      <c r="AE244" s="62" t="n"/>
      <c r="AF244" s="61">
        <f>IF(COUNTIF($B$5:B244,B244)=1,1,0)</f>
        <v/>
      </c>
      <c r="AG244" s="62" t="inlineStr">
        <is>
          <t>https://www.elespectador.com/economia/que-dice-y-por-que-genera-polemica-el-decreto-de-negociacion-colectiva-del-gobierno-noticias-colombia/</t>
        </is>
      </c>
    </row>
    <row r="245">
      <c r="A245" s="62" t="inlineStr">
        <is>
          <t>ART_243</t>
        </is>
      </c>
      <c r="B245" s="62" t="inlineStr">
        <is>
          <t>ART_243_S01</t>
        </is>
      </c>
      <c r="C245" s="62" t="inlineStr">
        <is>
          <t>El Espectador</t>
        </is>
      </c>
      <c r="D245" s="62" t="inlineStr">
        <is>
          <t>Economía y negocios</t>
        </is>
      </c>
      <c r="E245" s="62" t="inlineStr">
        <is>
          <t>Opinión-análisis</t>
        </is>
      </c>
      <c r="F245" s="62" t="inlineStr">
        <is>
          <t>2025-06-24T00:00:00-05:00</t>
        </is>
      </c>
      <c r="G245" s="62" t="inlineStr">
        <is>
          <t>Después de meses de tensiones, con la reforma laboral se logró recuperar –por la vía democrática– un conjunto de derechos laborales que se habían ido perdiendo desde el gobierno de Álvaro Uribe Vélez.</t>
        </is>
      </c>
      <c r="H245" s="62" t="n"/>
      <c r="I245" s="62"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J245" s="62" t="n"/>
      <c r="K245" s="62" t="n"/>
      <c r="L245" s="62" t="n"/>
      <c r="M245" s="62" t="n"/>
      <c r="N245" s="62" t="n"/>
      <c r="O245" s="62" t="n"/>
      <c r="P245" s="62" t="n"/>
      <c r="Q245" s="62" t="n"/>
      <c r="R245" s="62" t="n"/>
      <c r="S245" s="62" t="n"/>
      <c r="T245" s="62" t="n"/>
      <c r="U245" s="62" t="n"/>
      <c r="V245" s="62" t="n"/>
      <c r="W245" s="62" t="n"/>
      <c r="X245" s="62" t="n"/>
      <c r="Y245" s="62" t="n"/>
      <c r="Z245" s="62" t="n"/>
      <c r="AA245" s="62" t="n"/>
      <c r="AB245" s="62" t="n"/>
      <c r="AC245" s="62" t="n"/>
      <c r="AD245" s="62" t="n"/>
      <c r="AE245" s="62" t="n"/>
      <c r="AF245" s="61">
        <f>IF(COUNTIF($B$5:B245,B245)=1,1,0)</f>
        <v/>
      </c>
      <c r="AG245" s="62" t="inlineStr">
        <is>
          <t>https://www.elespectador.com/opinion/editorial/editorial-reforma-laboral-la-politica-si-sirve-cuando-quiere/</t>
        </is>
      </c>
    </row>
    <row r="246">
      <c r="A246" s="62" t="inlineStr">
        <is>
          <t>ART_243</t>
        </is>
      </c>
      <c r="B246" s="62" t="inlineStr">
        <is>
          <t>ART_243_S02</t>
        </is>
      </c>
      <c r="C246" s="62" t="inlineStr">
        <is>
          <t>El Espectador</t>
        </is>
      </c>
      <c r="D246" s="62" t="inlineStr">
        <is>
          <t>Economía y negocios</t>
        </is>
      </c>
      <c r="E246" s="62" t="inlineStr">
        <is>
          <t>Opinión-análisis</t>
        </is>
      </c>
      <c r="F246" s="62" t="inlineStr">
        <is>
          <t>2025-06-24T00:00:00-05:00</t>
        </is>
      </c>
      <c r="G246" s="62"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H246" s="62" t="inlineStr">
        <is>
          <t>Después de meses de tensiones, con la reforma laboral se logró recuperar –por la vía democrática– un conjunto de derechos laborales que se habían ido perdiendo desde el gobierno de Álvaro Uribe Vélez.</t>
        </is>
      </c>
      <c r="I246" s="62" t="inlineStr">
        <is>
          <t>Además, esta aprobación por vía legislativa desarma la narrativa del petrismo sobre un supuesto bloqueo institucional que habría obligado a convocar a una consulta popular.</t>
        </is>
      </c>
      <c r="J246" s="62" t="n"/>
      <c r="K246" s="62" t="n"/>
      <c r="L246" s="62" t="n"/>
      <c r="M246" s="62" t="n"/>
      <c r="N246" s="62" t="n"/>
      <c r="O246" s="62" t="n"/>
      <c r="P246" s="62" t="n"/>
      <c r="Q246" s="62" t="n"/>
      <c r="R246" s="62" t="n"/>
      <c r="S246" s="62" t="n"/>
      <c r="T246" s="62" t="n"/>
      <c r="U246" s="62" t="n"/>
      <c r="V246" s="62" t="n"/>
      <c r="W246" s="62" t="n"/>
      <c r="X246" s="62" t="n"/>
      <c r="Y246" s="62" t="n"/>
      <c r="Z246" s="62" t="n"/>
      <c r="AA246" s="62" t="n"/>
      <c r="AB246" s="62" t="n"/>
      <c r="AC246" s="62" t="n"/>
      <c r="AD246" s="62" t="n"/>
      <c r="AE246" s="62" t="n"/>
      <c r="AF246" s="61">
        <f>IF(COUNTIF($B$5:B246,B246)=1,1,0)</f>
        <v/>
      </c>
      <c r="AG246" s="62" t="inlineStr">
        <is>
          <t>https://www.elespectador.com/opinion/editorial/editorial-reforma-laboral-la-politica-si-sirve-cuando-quiere/</t>
        </is>
      </c>
    </row>
    <row r="247">
      <c r="A247" s="62" t="inlineStr">
        <is>
          <t>ART_243</t>
        </is>
      </c>
      <c r="B247" s="62" t="inlineStr">
        <is>
          <t>ART_243_S03</t>
        </is>
      </c>
      <c r="C247" s="62" t="inlineStr">
        <is>
          <t>El Espectador</t>
        </is>
      </c>
      <c r="D247" s="62" t="inlineStr">
        <is>
          <t>Economía y negocios</t>
        </is>
      </c>
      <c r="E247" s="62" t="inlineStr">
        <is>
          <t>Opinión-análisis</t>
        </is>
      </c>
      <c r="F247" s="62" t="inlineStr">
        <is>
          <t>2025-06-24T00:00:00-05:00</t>
        </is>
      </c>
      <c r="G247" s="62" t="inlineStr">
        <is>
          <t>Además, esta aprobación por vía legislativa desarma la narrativa del petrismo sobre un supuesto bloqueo institucional que habría obligado a convocar a una consulta popular.</t>
        </is>
      </c>
      <c r="H247" s="62"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I247" s="62" t="inlineStr">
        <is>
          <t>Que el Congreso haya aprobado esta reforma clave demuestra que los canales democráticos siguen abiertos.</t>
        </is>
      </c>
      <c r="J247" s="62" t="n"/>
      <c r="K247" s="62" t="n"/>
      <c r="L247" s="62" t="n"/>
      <c r="M247" s="62" t="n"/>
      <c r="N247" s="62" t="n"/>
      <c r="O247" s="62" t="n"/>
      <c r="P247" s="62" t="n"/>
      <c r="Q247" s="62" t="n"/>
      <c r="R247" s="62" t="n"/>
      <c r="S247" s="62" t="n"/>
      <c r="T247" s="62" t="n"/>
      <c r="U247" s="62" t="n"/>
      <c r="V247" s="62" t="n"/>
      <c r="W247" s="62" t="n"/>
      <c r="X247" s="62" t="n"/>
      <c r="Y247" s="62" t="n"/>
      <c r="Z247" s="62" t="n"/>
      <c r="AA247" s="62" t="n"/>
      <c r="AB247" s="62" t="n"/>
      <c r="AC247" s="62" t="n"/>
      <c r="AD247" s="62" t="n"/>
      <c r="AE247" s="62" t="n"/>
      <c r="AF247" s="61">
        <f>IF(COUNTIF($B$5:B247,B247)=1,1,0)</f>
        <v/>
      </c>
      <c r="AG247" s="62" t="inlineStr">
        <is>
          <t>https://www.elespectador.com/opinion/editorial/editorial-reforma-laboral-la-politica-si-sirve-cuando-quiere/</t>
        </is>
      </c>
    </row>
    <row r="248">
      <c r="A248" s="62" t="inlineStr">
        <is>
          <t>ART_243</t>
        </is>
      </c>
      <c r="B248" s="62" t="inlineStr">
        <is>
          <t>ART_243_S04</t>
        </is>
      </c>
      <c r="C248" s="62" t="inlineStr">
        <is>
          <t>El Espectador</t>
        </is>
      </c>
      <c r="D248" s="62" t="inlineStr">
        <is>
          <t>Economía y negocios</t>
        </is>
      </c>
      <c r="E248" s="62" t="inlineStr">
        <is>
          <t>Opinión-análisis</t>
        </is>
      </c>
      <c r="F248" s="62" t="inlineStr">
        <is>
          <t>2025-06-24T00:00:00-05:00</t>
        </is>
      </c>
      <c r="G248" s="62" t="inlineStr">
        <is>
          <t>Que el Congreso haya aprobado esta reforma clave demuestra que los canales democráticos siguen abiertos.</t>
        </is>
      </c>
      <c r="H248" s="62" t="inlineStr">
        <is>
          <t>Además, esta aprobación por vía legislativa desarma la narrativa del petrismo sobre un supuesto bloqueo institucional que habría obligado a convocar a una consulta popular.</t>
        </is>
      </c>
      <c r="I248" s="62" t="inlineStr">
        <is>
          <t>Aunque se podría argumentar que el resultado no hubiera sido posible sin la presión del chantaje plebiscitario, hay que recordar que el Congreso también aprobó dos reformas tributarias y una pensional.</t>
        </is>
      </c>
      <c r="J248" s="62" t="n"/>
      <c r="K248" s="62" t="n"/>
      <c r="L248" s="62" t="n"/>
      <c r="M248" s="62" t="n"/>
      <c r="N248" s="62" t="n"/>
      <c r="O248" s="62" t="n"/>
      <c r="P248" s="62" t="n"/>
      <c r="Q248" s="62" t="n"/>
      <c r="R248" s="62" t="n"/>
      <c r="S248" s="62" t="n"/>
      <c r="T248" s="62" t="n"/>
      <c r="U248" s="62" t="n"/>
      <c r="V248" s="62" t="n"/>
      <c r="W248" s="62" t="n"/>
      <c r="X248" s="62" t="n"/>
      <c r="Y248" s="62" t="n"/>
      <c r="Z248" s="62" t="n"/>
      <c r="AA248" s="62" t="n"/>
      <c r="AB248" s="62" t="n"/>
      <c r="AC248" s="62" t="n"/>
      <c r="AD248" s="62" t="n"/>
      <c r="AE248" s="62" t="n"/>
      <c r="AF248" s="61">
        <f>IF(COUNTIF($B$5:B248,B248)=1,1,0)</f>
        <v/>
      </c>
      <c r="AG248" s="62" t="inlineStr">
        <is>
          <t>https://www.elespectador.com/opinion/editorial/editorial-reforma-laboral-la-politica-si-sirve-cuando-quiere/</t>
        </is>
      </c>
    </row>
    <row r="249">
      <c r="A249" s="62" t="inlineStr">
        <is>
          <t>ART_243</t>
        </is>
      </c>
      <c r="B249" s="62" t="inlineStr">
        <is>
          <t>ART_243_S05</t>
        </is>
      </c>
      <c r="C249" s="62" t="inlineStr">
        <is>
          <t>El Espectador</t>
        </is>
      </c>
      <c r="D249" s="62" t="inlineStr">
        <is>
          <t>Economía y negocios</t>
        </is>
      </c>
      <c r="E249" s="62" t="inlineStr">
        <is>
          <t>Opinión-análisis</t>
        </is>
      </c>
      <c r="F249" s="62" t="inlineStr">
        <is>
          <t>2025-06-24T00:00:00-05:00</t>
        </is>
      </c>
      <c r="G249" s="62" t="inlineStr">
        <is>
          <t>Aunque se podría argumentar que el resultado no hubiera sido posible sin la presión del chantaje plebiscitario, hay que recordar que el Congreso también aprobó dos reformas tributarias y una pensional.</t>
        </is>
      </c>
      <c r="H249" s="62" t="inlineStr">
        <is>
          <t>Que el Congreso haya aprobado esta reforma clave demuestra que los canales democráticos siguen abiertos.</t>
        </is>
      </c>
      <c r="I249" s="62" t="inlineStr">
        <is>
          <t>Que la oposición obstaculice las iniciativas gubernamentales no es una conspiración, sino un ejercicio de contrapeso lógico y necesario.</t>
        </is>
      </c>
      <c r="J249" s="62" t="n"/>
      <c r="K249" s="62" t="n"/>
      <c r="L249" s="62" t="n"/>
      <c r="M249" s="62" t="n"/>
      <c r="N249" s="62" t="n"/>
      <c r="O249" s="62" t="n"/>
      <c r="P249" s="62" t="n"/>
      <c r="Q249" s="62" t="n"/>
      <c r="R249" s="62" t="n"/>
      <c r="S249" s="62" t="n"/>
      <c r="T249" s="62" t="n"/>
      <c r="U249" s="62" t="n"/>
      <c r="V249" s="62" t="n"/>
      <c r="W249" s="62" t="n"/>
      <c r="X249" s="62" t="n"/>
      <c r="Y249" s="62" t="n"/>
      <c r="Z249" s="62" t="n"/>
      <c r="AA249" s="62" t="n"/>
      <c r="AB249" s="62" t="n"/>
      <c r="AC249" s="62" t="n"/>
      <c r="AD249" s="62" t="n"/>
      <c r="AE249" s="62" t="n"/>
      <c r="AF249" s="61">
        <f>IF(COUNTIF($B$5:B249,B249)=1,1,0)</f>
        <v/>
      </c>
      <c r="AG249" s="62" t="inlineStr">
        <is>
          <t>https://www.elespectador.com/opinion/editorial/editorial-reforma-laboral-la-politica-si-sirve-cuando-quiere/</t>
        </is>
      </c>
    </row>
    <row r="250">
      <c r="A250" s="62" t="inlineStr">
        <is>
          <t>ART_243</t>
        </is>
      </c>
      <c r="B250" s="62" t="inlineStr">
        <is>
          <t>ART_243_S06</t>
        </is>
      </c>
      <c r="C250" s="62" t="inlineStr">
        <is>
          <t>El Espectador</t>
        </is>
      </c>
      <c r="D250" s="62" t="inlineStr">
        <is>
          <t>Economía y negocios</t>
        </is>
      </c>
      <c r="E250" s="62" t="inlineStr">
        <is>
          <t>Opinión-análisis</t>
        </is>
      </c>
      <c r="F250" s="62" t="inlineStr">
        <is>
          <t>2025-06-24T00:00:00-05:00</t>
        </is>
      </c>
      <c r="G250" s="62" t="inlineStr">
        <is>
          <t>Que la oposición obstaculice las iniciativas gubernamentales no es una conspiración, sino un ejercicio de contrapeso lógico y necesario.</t>
        </is>
      </c>
      <c r="H250" s="62" t="inlineStr">
        <is>
          <t>Aunque se podría argumentar que el resultado no hubiera sido posible sin la presión del chantaje plebiscitario, hay que recordar que el Congreso también aprobó dos reformas tributarias y una pensional.</t>
        </is>
      </c>
      <c r="I250" s="62" t="inlineStr">
        <is>
          <t>Ahora bien, la oposición igual merece ser cuestionada por haberle jugado al fuego institucional cuando, en la Comisión Séptima, intentó sepultar la reforma sin darle el debate que merecía.</t>
        </is>
      </c>
      <c r="J250" s="62" t="n"/>
      <c r="K250" s="62" t="n"/>
      <c r="L250" s="62" t="n"/>
      <c r="M250" s="62" t="n"/>
      <c r="N250" s="62" t="n"/>
      <c r="O250" s="62" t="n"/>
      <c r="P250" s="62" t="n"/>
      <c r="Q250" s="62" t="n"/>
      <c r="R250" s="62" t="n"/>
      <c r="S250" s="62" t="n"/>
      <c r="T250" s="62" t="n"/>
      <c r="U250" s="62" t="n"/>
      <c r="V250" s="62" t="n"/>
      <c r="W250" s="62" t="n"/>
      <c r="X250" s="62" t="n"/>
      <c r="Y250" s="62" t="n"/>
      <c r="Z250" s="62" t="n"/>
      <c r="AA250" s="62" t="n"/>
      <c r="AB250" s="62" t="n"/>
      <c r="AC250" s="62" t="n"/>
      <c r="AD250" s="62" t="n"/>
      <c r="AE250" s="62" t="n"/>
      <c r="AF250" s="61">
        <f>IF(COUNTIF($B$5:B250,B250)=1,1,0)</f>
        <v/>
      </c>
      <c r="AG250" s="62" t="inlineStr">
        <is>
          <t>https://www.elespectador.com/opinion/editorial/editorial-reforma-laboral-la-politica-si-sirve-cuando-quiere/</t>
        </is>
      </c>
    </row>
    <row r="251">
      <c r="A251" s="62" t="inlineStr">
        <is>
          <t>ART_243</t>
        </is>
      </c>
      <c r="B251" s="62" t="inlineStr">
        <is>
          <t>ART_243_S07</t>
        </is>
      </c>
      <c r="C251" s="62" t="inlineStr">
        <is>
          <t>El Espectador</t>
        </is>
      </c>
      <c r="D251" s="62" t="inlineStr">
        <is>
          <t>Economía y negocios</t>
        </is>
      </c>
      <c r="E251" s="62" t="inlineStr">
        <is>
          <t>Opinión-análisis</t>
        </is>
      </c>
      <c r="F251" s="62" t="inlineStr">
        <is>
          <t>2025-06-24T00:00:00-05:00</t>
        </is>
      </c>
      <c r="G251" s="62" t="inlineStr">
        <is>
          <t>Ahora bien, la oposición igual merece ser cuestionada por haberle jugado al fuego institucional cuando, en la Comisión Séptima, intentó sepultar la reforma sin darle el debate que merecía.</t>
        </is>
      </c>
      <c r="H251" s="62" t="inlineStr">
        <is>
          <t>Que la oposición obstaculice las iniciativas gubernamentales no es una conspiración, sino un ejercicio de contrapeso lógico y necesario.</t>
        </is>
      </c>
      <c r="I251" s="62" t="inlineStr">
        <is>
          <t>Dicho esto, la mesa sigue coja.</t>
        </is>
      </c>
      <c r="J251" s="62" t="n"/>
      <c r="K251" s="62" t="n"/>
      <c r="L251" s="62" t="n"/>
      <c r="M251" s="62" t="n"/>
      <c r="N251" s="62" t="n"/>
      <c r="O251" s="62" t="n"/>
      <c r="P251" s="62" t="n"/>
      <c r="Q251" s="62" t="n"/>
      <c r="R251" s="62" t="n"/>
      <c r="S251" s="62" t="n"/>
      <c r="T251" s="62" t="n"/>
      <c r="U251" s="62" t="n"/>
      <c r="V251" s="62" t="n"/>
      <c r="W251" s="62" t="n"/>
      <c r="X251" s="62" t="n"/>
      <c r="Y251" s="62" t="n"/>
      <c r="Z251" s="62" t="n"/>
      <c r="AA251" s="62" t="n"/>
      <c r="AB251" s="62" t="n"/>
      <c r="AC251" s="62" t="n"/>
      <c r="AD251" s="62" t="n"/>
      <c r="AE251" s="62" t="n"/>
      <c r="AF251" s="61">
        <f>IF(COUNTIF($B$5:B251,B251)=1,1,0)</f>
        <v/>
      </c>
      <c r="AG251" s="62" t="inlineStr">
        <is>
          <t>https://www.elespectador.com/opinion/editorial/editorial-reforma-laboral-la-politica-si-sirve-cuando-quiere/</t>
        </is>
      </c>
    </row>
    <row r="252">
      <c r="A252" s="62" t="inlineStr">
        <is>
          <t>ART_243</t>
        </is>
      </c>
      <c r="B252" s="62" t="inlineStr">
        <is>
          <t>ART_243_S08</t>
        </is>
      </c>
      <c r="C252" s="62" t="inlineStr">
        <is>
          <t>El Espectador</t>
        </is>
      </c>
      <c r="D252" s="62" t="inlineStr">
        <is>
          <t>Economía y negocios</t>
        </is>
      </c>
      <c r="E252" s="62" t="inlineStr">
        <is>
          <t>Opinión-análisis</t>
        </is>
      </c>
      <c r="F252" s="62" t="inlineStr">
        <is>
          <t>2025-06-24T00:00:00-05:00</t>
        </is>
      </c>
      <c r="G252" s="62" t="inlineStr">
        <is>
          <t>Dicho esto, la mesa sigue coja.</t>
        </is>
      </c>
      <c r="H252" s="62" t="inlineStr">
        <is>
          <t>Ahora bien, la oposición igual merece ser cuestionada por haberle jugado al fuego institucional cuando, en la Comisión Séptima, intentó sepultar la reforma sin darle el debate que merecía.</t>
        </is>
      </c>
      <c r="I252" s="62" t="inlineStr">
        <is>
          <t>Esta reforma solo aplica al trabajo formal, mientras que, según el DANE, el 55,4 % de las y los trabajadores colombianos siguen en la informalidad.</t>
        </is>
      </c>
      <c r="J252" s="62" t="n"/>
      <c r="K252" s="62" t="n"/>
      <c r="L252" s="62" t="n"/>
      <c r="M252" s="62" t="n"/>
      <c r="N252" s="62" t="n"/>
      <c r="O252" s="62" t="n"/>
      <c r="P252" s="62" t="n"/>
      <c r="Q252" s="62" t="n"/>
      <c r="R252" s="62" t="n"/>
      <c r="S252" s="62" t="n"/>
      <c r="T252" s="62" t="n"/>
      <c r="U252" s="62" t="n"/>
      <c r="V252" s="62" t="n"/>
      <c r="W252" s="62" t="n"/>
      <c r="X252" s="62" t="n"/>
      <c r="Y252" s="62" t="n"/>
      <c r="Z252" s="62" t="n"/>
      <c r="AA252" s="62" t="n"/>
      <c r="AB252" s="62" t="n"/>
      <c r="AC252" s="62" t="n"/>
      <c r="AD252" s="62" t="n"/>
      <c r="AE252" s="62" t="n"/>
      <c r="AF252" s="61">
        <f>IF(COUNTIF($B$5:B252,B252)=1,1,0)</f>
        <v/>
      </c>
      <c r="AG252" s="62" t="inlineStr">
        <is>
          <t>https://www.elespectador.com/opinion/editorial/editorial-reforma-laboral-la-politica-si-sirve-cuando-quiere/</t>
        </is>
      </c>
    </row>
    <row r="253">
      <c r="A253" s="62" t="inlineStr">
        <is>
          <t>ART_243</t>
        </is>
      </c>
      <c r="B253" s="62" t="inlineStr">
        <is>
          <t>ART_243_S09</t>
        </is>
      </c>
      <c r="C253" s="62" t="inlineStr">
        <is>
          <t>El Espectador</t>
        </is>
      </c>
      <c r="D253" s="62" t="inlineStr">
        <is>
          <t>Economía y negocios</t>
        </is>
      </c>
      <c r="E253" s="62" t="inlineStr">
        <is>
          <t>Opinión-análisis</t>
        </is>
      </c>
      <c r="F253" s="62" t="inlineStr">
        <is>
          <t>2025-06-24T00:00:00-05:00</t>
        </is>
      </c>
      <c r="G253" s="62" t="inlineStr">
        <is>
          <t>Esta reforma solo aplica al trabajo formal, mientras que, según el DANE, el 55,4 % de las y los trabajadores colombianos siguen en la informalidad.</t>
        </is>
      </c>
      <c r="H253" s="62" t="inlineStr">
        <is>
          <t>Dicho esto, la mesa sigue coja.</t>
        </is>
      </c>
      <c r="I253" s="62" t="inlineStr">
        <is>
          <t>Mejorar las condiciones del trabajo formal es fundamental, sí, pero insuficiente para transformar de fondo los derechos de los trabajadores en el país.</t>
        </is>
      </c>
      <c r="J253" s="62" t="n"/>
      <c r="K253" s="62" t="n"/>
      <c r="L253" s="62" t="n"/>
      <c r="M253" s="62" t="n"/>
      <c r="N253" s="62" t="n"/>
      <c r="O253" s="62" t="n"/>
      <c r="P253" s="62" t="n"/>
      <c r="Q253" s="62" t="n"/>
      <c r="R253" s="62" t="n"/>
      <c r="S253" s="62" t="n"/>
      <c r="T253" s="62" t="n"/>
      <c r="U253" s="62" t="n"/>
      <c r="V253" s="62" t="n"/>
      <c r="W253" s="62" t="n"/>
      <c r="X253" s="62" t="n"/>
      <c r="Y253" s="62" t="n"/>
      <c r="Z253" s="62" t="n"/>
      <c r="AA253" s="62" t="n"/>
      <c r="AB253" s="62" t="n"/>
      <c r="AC253" s="62" t="n"/>
      <c r="AD253" s="62" t="n"/>
      <c r="AE253" s="62" t="n"/>
      <c r="AF253" s="61">
        <f>IF(COUNTIF($B$5:B253,B253)=1,1,0)</f>
        <v/>
      </c>
      <c r="AG253" s="62" t="inlineStr">
        <is>
          <t>https://www.elespectador.com/opinion/editorial/editorial-reforma-laboral-la-politica-si-sirve-cuando-quiere/</t>
        </is>
      </c>
    </row>
    <row r="254">
      <c r="A254" s="62" t="inlineStr">
        <is>
          <t>ART_243</t>
        </is>
      </c>
      <c r="B254" s="62" t="inlineStr">
        <is>
          <t>ART_243_S10</t>
        </is>
      </c>
      <c r="C254" s="62" t="inlineStr">
        <is>
          <t>El Espectador</t>
        </is>
      </c>
      <c r="D254" s="62" t="inlineStr">
        <is>
          <t>Economía y negocios</t>
        </is>
      </c>
      <c r="E254" s="62" t="inlineStr">
        <is>
          <t>Opinión-análisis</t>
        </is>
      </c>
      <c r="F254" s="62" t="inlineStr">
        <is>
          <t>2025-06-24T00:00:00-05:00</t>
        </is>
      </c>
      <c r="G254" s="62" t="inlineStr">
        <is>
          <t>Mejorar las condiciones del trabajo formal es fundamental, sí, pero insuficiente para transformar de fondo los derechos de los trabajadores en el país.</t>
        </is>
      </c>
      <c r="H254" s="62" t="inlineStr">
        <is>
          <t>Esta reforma solo aplica al trabajo formal, mientras que, según el DANE, el 55,4 % de las y los trabajadores colombianos siguen en la informalidad.</t>
        </is>
      </c>
      <c r="I254" s="62" t="inlineStr">
        <is>
          <t>Sin una política clara que aborde la informalidad con rigor, la promesa del trabajo digno seguirá siendo una ficción para millones.</t>
        </is>
      </c>
      <c r="J254" s="62" t="n"/>
      <c r="K254" s="62" t="n"/>
      <c r="L254" s="62" t="n"/>
      <c r="M254" s="62" t="n"/>
      <c r="N254" s="62" t="n"/>
      <c r="O254" s="62" t="n"/>
      <c r="P254" s="62" t="n"/>
      <c r="Q254" s="62" t="n"/>
      <c r="R254" s="62" t="n"/>
      <c r="S254" s="62" t="n"/>
      <c r="T254" s="62" t="n"/>
      <c r="U254" s="62" t="n"/>
      <c r="V254" s="62" t="n"/>
      <c r="W254" s="62" t="n"/>
      <c r="X254" s="62" t="n"/>
      <c r="Y254" s="62" t="n"/>
      <c r="Z254" s="62" t="n"/>
      <c r="AA254" s="62" t="n"/>
      <c r="AB254" s="62" t="n"/>
      <c r="AC254" s="62" t="n"/>
      <c r="AD254" s="62" t="n"/>
      <c r="AE254" s="62" t="n"/>
      <c r="AF254" s="61">
        <f>IF(COUNTIF($B$5:B254,B254)=1,1,0)</f>
        <v/>
      </c>
      <c r="AG254" s="62" t="inlineStr">
        <is>
          <t>https://www.elespectador.com/opinion/editorial/editorial-reforma-laboral-la-politica-si-sirve-cuando-quiere/</t>
        </is>
      </c>
    </row>
    <row r="255">
      <c r="A255" s="62" t="inlineStr">
        <is>
          <t>ART_243</t>
        </is>
      </c>
      <c r="B255" s="62" t="inlineStr">
        <is>
          <t>ART_243_S11</t>
        </is>
      </c>
      <c r="C255" s="62" t="inlineStr">
        <is>
          <t>El Espectador</t>
        </is>
      </c>
      <c r="D255" s="62" t="inlineStr">
        <is>
          <t>Economía y negocios</t>
        </is>
      </c>
      <c r="E255" s="62" t="inlineStr">
        <is>
          <t>Opinión-análisis</t>
        </is>
      </c>
      <c r="F255" s="62" t="inlineStr">
        <is>
          <t>2025-06-24T00:00:00-05:00</t>
        </is>
      </c>
      <c r="G255" s="62" t="inlineStr">
        <is>
          <t>Sin una política clara que aborde la informalidad con rigor, la promesa del trabajo digno seguirá siendo una ficción para millones.</t>
        </is>
      </c>
      <c r="H255" s="62" t="inlineStr">
        <is>
          <t>Mejorar las condiciones del trabajo formal es fundamental, sí, pero insuficiente para transformar de fondo los derechos de los trabajadores en el país.</t>
        </is>
      </c>
      <c r="I255" s="62" t="inlineStr">
        <is>
          <t>También hay críticas legítimas.</t>
        </is>
      </c>
      <c r="J255" s="62" t="n"/>
      <c r="K255" s="62" t="n"/>
      <c r="L255" s="62" t="n"/>
      <c r="M255" s="62" t="n"/>
      <c r="N255" s="62" t="n"/>
      <c r="O255" s="62" t="n"/>
      <c r="P255" s="62" t="n"/>
      <c r="Q255" s="62" t="n"/>
      <c r="R255" s="62" t="n"/>
      <c r="S255" s="62" t="n"/>
      <c r="T255" s="62" t="n"/>
      <c r="U255" s="62" t="n"/>
      <c r="V255" s="62" t="n"/>
      <c r="W255" s="62" t="n"/>
      <c r="X255" s="62" t="n"/>
      <c r="Y255" s="62" t="n"/>
      <c r="Z255" s="62" t="n"/>
      <c r="AA255" s="62" t="n"/>
      <c r="AB255" s="62" t="n"/>
      <c r="AC255" s="62" t="n"/>
      <c r="AD255" s="62" t="n"/>
      <c r="AE255" s="62" t="n"/>
      <c r="AF255" s="61">
        <f>IF(COUNTIF($B$5:B255,B255)=1,1,0)</f>
        <v/>
      </c>
      <c r="AG255" s="62" t="inlineStr">
        <is>
          <t>https://www.elespectador.com/opinion/editorial/editorial-reforma-laboral-la-politica-si-sirve-cuando-quiere/</t>
        </is>
      </c>
    </row>
    <row r="256">
      <c r="A256" s="62" t="inlineStr">
        <is>
          <t>ART_243</t>
        </is>
      </c>
      <c r="B256" s="62" t="inlineStr">
        <is>
          <t>ART_243_S12</t>
        </is>
      </c>
      <c r="C256" s="62" t="inlineStr">
        <is>
          <t>El Espectador</t>
        </is>
      </c>
      <c r="D256" s="62" t="inlineStr">
        <is>
          <t>Economía y negocios</t>
        </is>
      </c>
      <c r="E256" s="62" t="inlineStr">
        <is>
          <t>Opinión-análisis</t>
        </is>
      </c>
      <c r="F256" s="62" t="inlineStr">
        <is>
          <t>2025-06-24T00:00:00-05:00</t>
        </is>
      </c>
      <c r="G256" s="62" t="inlineStr">
        <is>
          <t>También hay críticas legítimas.</t>
        </is>
      </c>
      <c r="H256" s="62" t="inlineStr">
        <is>
          <t>Sin una política clara que aborde la informalidad con rigor, la promesa del trabajo digno seguirá siendo una ficción para millones.</t>
        </is>
      </c>
      <c r="I256" s="62" t="inlineStr">
        <is>
          <t>Al elevar los costos laborales, existe el riesgo de que algunos empleadores –especialmente los de medianas o pequeñas empresas que apenas comienzan– opten por reducir la contratación formal o recurran a figuras menos protegidas.</t>
        </is>
      </c>
      <c r="J256" s="62" t="n"/>
      <c r="K256" s="62" t="n"/>
      <c r="L256" s="62" t="n"/>
      <c r="M256" s="62" t="n"/>
      <c r="N256" s="62" t="n"/>
      <c r="O256" s="62" t="n"/>
      <c r="P256" s="62" t="n"/>
      <c r="Q256" s="62" t="n"/>
      <c r="R256" s="62" t="n"/>
      <c r="S256" s="62" t="n"/>
      <c r="T256" s="62" t="n"/>
      <c r="U256" s="62" t="n"/>
      <c r="V256" s="62" t="n"/>
      <c r="W256" s="62" t="n"/>
      <c r="X256" s="62" t="n"/>
      <c r="Y256" s="62" t="n"/>
      <c r="Z256" s="62" t="n"/>
      <c r="AA256" s="62" t="n"/>
      <c r="AB256" s="62" t="n"/>
      <c r="AC256" s="62" t="n"/>
      <c r="AD256" s="62" t="n"/>
      <c r="AE256" s="62" t="n"/>
      <c r="AF256" s="61">
        <f>IF(COUNTIF($B$5:B256,B256)=1,1,0)</f>
        <v/>
      </c>
      <c r="AG256" s="62" t="inlineStr">
        <is>
          <t>https://www.elespectador.com/opinion/editorial/editorial-reforma-laboral-la-politica-si-sirve-cuando-quiere/</t>
        </is>
      </c>
    </row>
    <row r="257">
      <c r="A257" s="62" t="inlineStr">
        <is>
          <t>ART_243</t>
        </is>
      </c>
      <c r="B257" s="62" t="inlineStr">
        <is>
          <t>ART_243_S13</t>
        </is>
      </c>
      <c r="C257" s="62" t="inlineStr">
        <is>
          <t>El Espectador</t>
        </is>
      </c>
      <c r="D257" s="62" t="inlineStr">
        <is>
          <t>Economía y negocios</t>
        </is>
      </c>
      <c r="E257" s="62" t="inlineStr">
        <is>
          <t>Opinión-análisis</t>
        </is>
      </c>
      <c r="F257" s="62" t="inlineStr">
        <is>
          <t>2025-06-24T00:00:00-05:00</t>
        </is>
      </c>
      <c r="G257" s="62" t="inlineStr">
        <is>
          <t>Al elevar los costos laborales, existe el riesgo de que algunos empleadores –especialmente los de medianas o pequeñas empresas que apenas comienzan– opten por reducir la contratación formal o recurran a figuras menos protegidas.</t>
        </is>
      </c>
      <c r="H257" s="62" t="inlineStr">
        <is>
          <t>También hay críticas legítimas.</t>
        </is>
      </c>
      <c r="I257" s="62" t="inlineStr">
        <is>
          <t>Aunque estos costos no pretenden ser una carga arbitraria, sino una forma justa de reconocer derechos que nunca debieron perderse, será necesaria una reglamentación diferencial según el tamaño de las empresas.</t>
        </is>
      </c>
      <c r="J257" s="62" t="n"/>
      <c r="K257" s="62" t="n"/>
      <c r="L257" s="62" t="n"/>
      <c r="M257" s="62" t="n"/>
      <c r="N257" s="62" t="n"/>
      <c r="O257" s="62" t="n"/>
      <c r="P257" s="62" t="n"/>
      <c r="Q257" s="62" t="n"/>
      <c r="R257" s="62" t="n"/>
      <c r="S257" s="62" t="n"/>
      <c r="T257" s="62" t="n"/>
      <c r="U257" s="62" t="n"/>
      <c r="V257" s="62" t="n"/>
      <c r="W257" s="62" t="n"/>
      <c r="X257" s="62" t="n"/>
      <c r="Y257" s="62" t="n"/>
      <c r="Z257" s="62" t="n"/>
      <c r="AA257" s="62" t="n"/>
      <c r="AB257" s="62" t="n"/>
      <c r="AC257" s="62" t="n"/>
      <c r="AD257" s="62" t="n"/>
      <c r="AE257" s="62" t="n"/>
      <c r="AF257" s="61">
        <f>IF(COUNTIF($B$5:B257,B257)=1,1,0)</f>
        <v/>
      </c>
      <c r="AG257" s="62" t="inlineStr">
        <is>
          <t>https://www.elespectador.com/opinion/editorial/editorial-reforma-laboral-la-politica-si-sirve-cuando-quiere/</t>
        </is>
      </c>
    </row>
    <row r="258">
      <c r="A258" s="62" t="inlineStr">
        <is>
          <t>ART_243</t>
        </is>
      </c>
      <c r="B258" s="62" t="inlineStr">
        <is>
          <t>ART_243_S14</t>
        </is>
      </c>
      <c r="C258" s="62" t="inlineStr">
        <is>
          <t>El Espectador</t>
        </is>
      </c>
      <c r="D258" s="62" t="inlineStr">
        <is>
          <t>Economía y negocios</t>
        </is>
      </c>
      <c r="E258" s="62" t="inlineStr">
        <is>
          <t>Opinión-análisis</t>
        </is>
      </c>
      <c r="F258" s="62" t="inlineStr">
        <is>
          <t>2025-06-24T00:00:00-05:00</t>
        </is>
      </c>
      <c r="G258" s="62" t="inlineStr">
        <is>
          <t>Aunque estos costos no pretenden ser una carga arbitraria, sino una forma justa de reconocer derechos que nunca debieron perderse, será necesaria una reglamentación diferencial según el tamaño de las empresas.</t>
        </is>
      </c>
      <c r="H258" s="62" t="inlineStr">
        <is>
          <t>Al elevar los costos laborales, existe el riesgo de que algunos empleadores –especialmente los de medianas o pequeñas empresas que apenas comienzan– opten por reducir la contratación formal o recurran a figuras menos protegidas.</t>
        </is>
      </c>
      <c r="I258" s="62" t="n"/>
      <c r="J258" s="62" t="n"/>
      <c r="K258" s="62" t="n"/>
      <c r="L258" s="62" t="n"/>
      <c r="M258" s="62" t="n"/>
      <c r="N258" s="62" t="n"/>
      <c r="O258" s="62" t="n"/>
      <c r="P258" s="62" t="n"/>
      <c r="Q258" s="62" t="n"/>
      <c r="R258" s="62" t="n"/>
      <c r="S258" s="62" t="n"/>
      <c r="T258" s="62" t="n"/>
      <c r="U258" s="62" t="n"/>
      <c r="V258" s="62" t="n"/>
      <c r="W258" s="62" t="n"/>
      <c r="X258" s="62" t="n"/>
      <c r="Y258" s="62" t="n"/>
      <c r="Z258" s="62" t="n"/>
      <c r="AA258" s="62" t="n"/>
      <c r="AB258" s="62" t="n"/>
      <c r="AC258" s="62" t="n"/>
      <c r="AD258" s="62" t="n"/>
      <c r="AE258" s="62" t="n"/>
      <c r="AF258" s="61">
        <f>IF(COUNTIF($B$5:B258,B258)=1,1,0)</f>
        <v/>
      </c>
      <c r="AG258" s="62" t="inlineStr">
        <is>
          <t>https://www.elespectador.com/opinion/editorial/editorial-reforma-laboral-la-politica-si-sirve-cuando-quiere/</t>
        </is>
      </c>
    </row>
    <row r="259">
      <c r="A259" s="62" t="inlineStr">
        <is>
          <t>ART_248</t>
        </is>
      </c>
      <c r="B259" s="62" t="inlineStr">
        <is>
          <t>ART_248_S01</t>
        </is>
      </c>
      <c r="C259" s="62" t="inlineStr">
        <is>
          <t>Semana</t>
        </is>
      </c>
      <c r="D259" s="62" t="inlineStr">
        <is>
          <t>Economía y negocios</t>
        </is>
      </c>
      <c r="E259" s="62" t="inlineStr">
        <is>
          <t>Opinión-análisis</t>
        </is>
      </c>
      <c r="F259" s="62" t="inlineStr">
        <is>
          <t>2026-09-04T05:00:00-05:00</t>
        </is>
      </c>
      <c r="G259" s="62" t="inlineStr">
        <is>
          <t>Parafraseando aquel viejo eslogan de una popular emisora radial colombiana, llegó septiembre y, para muchos, ya se siente diciembre.</t>
        </is>
      </c>
      <c r="H259" s="62" t="n"/>
      <c r="I259" s="62" t="inlineStr">
        <is>
          <t>No porque hayan comenzado las novenas ni porque los centros comerciales estén desempolvando los adornos navideños, sino porque este es el mes en el que las empresas comienzan a construir sus presupuestos para 2027.</t>
        </is>
      </c>
      <c r="J259" s="62" t="n"/>
      <c r="K259" s="62" t="n"/>
      <c r="L259" s="62" t="n"/>
      <c r="M259" s="62" t="n"/>
      <c r="N259" s="62" t="n"/>
      <c r="O259" s="62" t="n"/>
      <c r="P259" s="62" t="n"/>
      <c r="Q259" s="62" t="n"/>
      <c r="R259" s="62" t="n"/>
      <c r="S259" s="62" t="n"/>
      <c r="T259" s="62" t="n"/>
      <c r="U259" s="62" t="n"/>
      <c r="V259" s="62" t="n"/>
      <c r="W259" s="62" t="n"/>
      <c r="X259" s="62" t="n"/>
      <c r="Y259" s="62" t="n"/>
      <c r="Z259" s="62" t="n"/>
      <c r="AA259" s="62" t="n"/>
      <c r="AB259" s="62" t="n"/>
      <c r="AC259" s="62" t="n"/>
      <c r="AD259" s="62" t="n"/>
      <c r="AE259" s="62" t="n"/>
      <c r="AF259" s="61">
        <f>IF(COUNTIF($B$5:B259,B259)=1,1,0)</f>
        <v/>
      </c>
      <c r="AG259" s="62" t="inlineStr">
        <is>
          <t>https://www.semana.com/economia/opinion/articulo/septiembre-y-la-gran-pregunta-de-los-presupuestos-cuanto-subira-el-salario-minimo-en-2027/202600/</t>
        </is>
      </c>
    </row>
    <row r="260">
      <c r="A260" s="62" t="inlineStr">
        <is>
          <t>ART_248</t>
        </is>
      </c>
      <c r="B260" s="62" t="inlineStr">
        <is>
          <t>ART_248_S02</t>
        </is>
      </c>
      <c r="C260" s="62" t="inlineStr">
        <is>
          <t>Semana</t>
        </is>
      </c>
      <c r="D260" s="62" t="inlineStr">
        <is>
          <t>Economía y negocios</t>
        </is>
      </c>
      <c r="E260" s="62" t="inlineStr">
        <is>
          <t>Opinión-análisis</t>
        </is>
      </c>
      <c r="F260" s="62" t="inlineStr">
        <is>
          <t>2026-09-04T05:00:00-05:00</t>
        </is>
      </c>
      <c r="G260" s="62" t="inlineStr">
        <is>
          <t>No porque hayan comenzado las novenas ni porque los centros comerciales estén desempolvando los adornos navideños, sino porque este es el mes en el que las empresas comienzan a construir sus presupuestos para 2027.</t>
        </is>
      </c>
      <c r="H260" s="62" t="inlineStr">
        <is>
          <t>Parafraseando aquel viejo eslogan de una popular emisora radial colombiana, llegó septiembre y, para muchos, ya se siente diciembre.</t>
        </is>
      </c>
      <c r="I260" s="62" t="inlineStr">
        <is>
          <t>Y en ese ejercicio hay una pregunta que suele eclipsar todas las demás: ¿cuánto va a subir el salario mínimo?</t>
        </is>
      </c>
      <c r="J260" s="62" t="n"/>
      <c r="K260" s="62" t="n"/>
      <c r="L260" s="62" t="n"/>
      <c r="M260" s="62" t="n"/>
      <c r="N260" s="62" t="n"/>
      <c r="O260" s="62" t="n"/>
      <c r="P260" s="62" t="n"/>
      <c r="Q260" s="62" t="n"/>
      <c r="R260" s="62" t="n"/>
      <c r="S260" s="62" t="n"/>
      <c r="T260" s="62" t="n"/>
      <c r="U260" s="62" t="n"/>
      <c r="V260" s="62" t="n"/>
      <c r="W260" s="62" t="n"/>
      <c r="X260" s="62" t="n"/>
      <c r="Y260" s="62" t="n"/>
      <c r="Z260" s="62" t="n"/>
      <c r="AA260" s="62" t="n"/>
      <c r="AB260" s="62" t="n"/>
      <c r="AC260" s="62" t="n"/>
      <c r="AD260" s="62" t="n"/>
      <c r="AE260" s="62" t="n"/>
      <c r="AF260" s="61">
        <f>IF(COUNTIF($B$5:B260,B260)=1,1,0)</f>
        <v/>
      </c>
      <c r="AG260" s="62" t="inlineStr">
        <is>
          <t>https://www.semana.com/economia/opinion/articulo/septiembre-y-la-gran-pregunta-de-los-presupuestos-cuanto-subira-el-salario-minimo-en-2027/202600/</t>
        </is>
      </c>
    </row>
    <row r="261">
      <c r="A261" s="62" t="inlineStr">
        <is>
          <t>ART_248</t>
        </is>
      </c>
      <c r="B261" s="62" t="inlineStr">
        <is>
          <t>ART_248_S03</t>
        </is>
      </c>
      <c r="C261" s="62" t="inlineStr">
        <is>
          <t>Semana</t>
        </is>
      </c>
      <c r="D261" s="62" t="inlineStr">
        <is>
          <t>Economía y negocios</t>
        </is>
      </c>
      <c r="E261" s="62" t="inlineStr">
        <is>
          <t>Opinión-análisis</t>
        </is>
      </c>
      <c r="F261" s="62" t="inlineStr">
        <is>
          <t>2026-09-04T05:00:00-05:00</t>
        </is>
      </c>
      <c r="G261" s="62" t="inlineStr">
        <is>
          <t>Y en ese ejercicio hay una pregunta que suele eclipsar todas las demás: ¿cuánto va a subir el salario mínimo?</t>
        </is>
      </c>
      <c r="H261" s="62" t="inlineStr">
        <is>
          <t>No porque hayan comenzado las novenas ni porque los centros comerciales estén desempolvando los adornos navideños, sino porque este es el mes en el que las empresas comienzan a construir sus presupuestos para 2027.</t>
        </is>
      </c>
      <c r="I261" s="62" t="inlineStr">
        <is>
          <t>La respuesta no es menor.</t>
        </is>
      </c>
      <c r="J261" s="62" t="n"/>
      <c r="K261" s="62" t="n"/>
      <c r="L261" s="62" t="n"/>
      <c r="M261" s="62" t="n"/>
      <c r="N261" s="62" t="n"/>
      <c r="O261" s="62" t="n"/>
      <c r="P261" s="62" t="n"/>
      <c r="Q261" s="62" t="n"/>
      <c r="R261" s="62" t="n"/>
      <c r="S261" s="62" t="n"/>
      <c r="T261" s="62" t="n"/>
      <c r="U261" s="62" t="n"/>
      <c r="V261" s="62" t="n"/>
      <c r="W261" s="62" t="n"/>
      <c r="X261" s="62" t="n"/>
      <c r="Y261" s="62" t="n"/>
      <c r="Z261" s="62" t="n"/>
      <c r="AA261" s="62" t="n"/>
      <c r="AB261" s="62" t="n"/>
      <c r="AC261" s="62" t="n"/>
      <c r="AD261" s="62" t="n"/>
      <c r="AE261" s="62" t="n"/>
      <c r="AF261" s="61">
        <f>IF(COUNTIF($B$5:B261,B261)=1,1,0)</f>
        <v/>
      </c>
      <c r="AG261" s="62" t="inlineStr">
        <is>
          <t>https://www.semana.com/economia/opinion/articulo/septiembre-y-la-gran-pregunta-de-los-presupuestos-cuanto-subira-el-salario-minimo-en-2027/202600/</t>
        </is>
      </c>
    </row>
    <row r="262">
      <c r="A262" s="62" t="inlineStr">
        <is>
          <t>ART_248</t>
        </is>
      </c>
      <c r="B262" s="62" t="inlineStr">
        <is>
          <t>ART_248_S04</t>
        </is>
      </c>
      <c r="C262" s="62" t="inlineStr">
        <is>
          <t>Semana</t>
        </is>
      </c>
      <c r="D262" s="62" t="inlineStr">
        <is>
          <t>Economía y negocios</t>
        </is>
      </c>
      <c r="E262" s="62" t="inlineStr">
        <is>
          <t>Opinión-análisis</t>
        </is>
      </c>
      <c r="F262" s="62" t="inlineStr">
        <is>
          <t>2026-09-04T05:00:00-05:00</t>
        </is>
      </c>
      <c r="G262" s="62" t="inlineStr">
        <is>
          <t>La respuesta no es menor.</t>
        </is>
      </c>
      <c r="H262" s="62" t="inlineStr">
        <is>
          <t>Y en ese ejercicio hay una pregunta que suele eclipsar todas las demás: ¿cuánto va a subir el salario mínimo?</t>
        </is>
      </c>
      <c r="I262" s="62" t="inlineStr">
        <is>
          <t>De ella dependen los costos laborales, las provisiones de prestaciones sociales, los contratos indexados, innumerables tarifas regulatorias y, en general, una porción significativa de la estructura de costos de la economía colombiana.</t>
        </is>
      </c>
      <c r="J262" s="62" t="n"/>
      <c r="K262" s="62" t="n"/>
      <c r="L262" s="62" t="n"/>
      <c r="M262" s="62" t="n"/>
      <c r="N262" s="62" t="n"/>
      <c r="O262" s="62" t="n"/>
      <c r="P262" s="62" t="n"/>
      <c r="Q262" s="62" t="n"/>
      <c r="R262" s="62" t="n"/>
      <c r="S262" s="62" t="n"/>
      <c r="T262" s="62" t="n"/>
      <c r="U262" s="62" t="n"/>
      <c r="V262" s="62" t="n"/>
      <c r="W262" s="62" t="n"/>
      <c r="X262" s="62" t="n"/>
      <c r="Y262" s="62" t="n"/>
      <c r="Z262" s="62" t="n"/>
      <c r="AA262" s="62" t="n"/>
      <c r="AB262" s="62" t="n"/>
      <c r="AC262" s="62" t="n"/>
      <c r="AD262" s="62" t="n"/>
      <c r="AE262" s="62" t="n"/>
      <c r="AF262" s="61">
        <f>IF(COUNTIF($B$5:B262,B262)=1,1,0)</f>
        <v/>
      </c>
      <c r="AG262" s="62" t="inlineStr">
        <is>
          <t>https://www.semana.com/economia/opinion/articulo/septiembre-y-la-gran-pregunta-de-los-presupuestos-cuanto-subira-el-salario-minimo-en-2027/202600/</t>
        </is>
      </c>
    </row>
    <row r="263">
      <c r="A263" s="62" t="inlineStr">
        <is>
          <t>ART_248</t>
        </is>
      </c>
      <c r="B263" s="62" t="inlineStr">
        <is>
          <t>ART_248_S05</t>
        </is>
      </c>
      <c r="C263" s="62" t="inlineStr">
        <is>
          <t>Semana</t>
        </is>
      </c>
      <c r="D263" s="62" t="inlineStr">
        <is>
          <t>Economía y negocios</t>
        </is>
      </c>
      <c r="E263" s="62" t="inlineStr">
        <is>
          <t>Opinión-análisis</t>
        </is>
      </c>
      <c r="F263" s="62" t="inlineStr">
        <is>
          <t>2026-09-04T05:00:00-05:00</t>
        </is>
      </c>
      <c r="G263" s="62" t="inlineStr">
        <is>
          <t>De ella dependen los costos laborales, las provisiones de prestaciones sociales, los contratos indexados, innumerables tarifas regulatorias y, en general, una porción significativa de la estructura de costos de la economía colombiana.</t>
        </is>
      </c>
      <c r="H263" s="62" t="inlineStr">
        <is>
          <t>La respuesta no es menor.</t>
        </is>
      </c>
      <c r="I263" s="62" t="inlineStr">
        <is>
          <t>Por eso, cada septiembre los empresarios intentan hacer algo que, en realidad, se asemeja más a leer hojas de té que a un ejercicio financiero riguroso: adivinar cuál será la cifra que terminará apareciendo en el decreto de finales de diciembre.</t>
        </is>
      </c>
      <c r="J263" s="62" t="n"/>
      <c r="K263" s="62" t="n"/>
      <c r="L263" s="62" t="n"/>
      <c r="M263" s="62" t="n"/>
      <c r="N263" s="62" t="n"/>
      <c r="O263" s="62" t="n"/>
      <c r="P263" s="62" t="n"/>
      <c r="Q263" s="62" t="n"/>
      <c r="R263" s="62" t="n"/>
      <c r="S263" s="62" t="n"/>
      <c r="T263" s="62" t="n"/>
      <c r="U263" s="62" t="n"/>
      <c r="V263" s="62" t="n"/>
      <c r="W263" s="62" t="n"/>
      <c r="X263" s="62" t="n"/>
      <c r="Y263" s="62" t="n"/>
      <c r="Z263" s="62" t="n"/>
      <c r="AA263" s="62" t="n"/>
      <c r="AB263" s="62" t="n"/>
      <c r="AC263" s="62" t="n"/>
      <c r="AD263" s="62" t="n"/>
      <c r="AE263" s="62" t="n"/>
      <c r="AF263" s="61">
        <f>IF(COUNTIF($B$5:B263,B263)=1,1,0)</f>
        <v/>
      </c>
      <c r="AG263" s="62" t="inlineStr">
        <is>
          <t>https://www.semana.com/economia/opinion/articulo/septiembre-y-la-gran-pregunta-de-los-presupuestos-cuanto-subira-el-salario-minimo-en-2027/202600/</t>
        </is>
      </c>
    </row>
    <row r="264">
      <c r="A264" s="62" t="inlineStr">
        <is>
          <t>ART_248</t>
        </is>
      </c>
      <c r="B264" s="62" t="inlineStr">
        <is>
          <t>ART_248_S06</t>
        </is>
      </c>
      <c r="C264" s="62" t="inlineStr">
        <is>
          <t>Semana</t>
        </is>
      </c>
      <c r="D264" s="62" t="inlineStr">
        <is>
          <t>Economía y negocios</t>
        </is>
      </c>
      <c r="E264" s="62" t="inlineStr">
        <is>
          <t>Opinión-análisis</t>
        </is>
      </c>
      <c r="F264" s="62" t="inlineStr">
        <is>
          <t>2026-09-04T05:00:00-05:00</t>
        </is>
      </c>
      <c r="G264" s="62" t="inlineStr">
        <is>
          <t>Por eso, cada septiembre los empresarios intentan hacer algo que, en realidad, se asemeja más a leer hojas de té que a un ejercicio financiero riguroso: adivinar cuál será la cifra que terminará apareciendo en el decreto de finales de diciembre.</t>
        </is>
      </c>
      <c r="H264" s="62" t="inlineStr">
        <is>
          <t>De ella dependen los costos laborales, las provisiones de prestaciones sociales, los contratos indexados, innumerables tarifas regulatorias y, en general, una porción significativa de la estructura de costos de la economía colombiana.</t>
        </is>
      </c>
      <c r="I264" s="62" t="inlineStr">
        <is>
          <t>Esta vez, además, la incertidumbre viene acompañada de un antecedente particularmente complejo.</t>
        </is>
      </c>
      <c r="J264" s="62" t="n"/>
      <c r="K264" s="62" t="n"/>
      <c r="L264" s="62" t="n"/>
      <c r="M264" s="62" t="n"/>
      <c r="N264" s="62" t="n"/>
      <c r="O264" s="62" t="n"/>
      <c r="P264" s="62" t="n"/>
      <c r="Q264" s="62" t="n"/>
      <c r="R264" s="62" t="n"/>
      <c r="S264" s="62" t="n"/>
      <c r="T264" s="62" t="n"/>
      <c r="U264" s="62" t="n"/>
      <c r="V264" s="62" t="n"/>
      <c r="W264" s="62" t="n"/>
      <c r="X264" s="62" t="n"/>
      <c r="Y264" s="62" t="n"/>
      <c r="Z264" s="62" t="n"/>
      <c r="AA264" s="62" t="n"/>
      <c r="AB264" s="62" t="n"/>
      <c r="AC264" s="62" t="n"/>
      <c r="AD264" s="62" t="n"/>
      <c r="AE264" s="62" t="n"/>
      <c r="AF264" s="61">
        <f>IF(COUNTIF($B$5:B264,B264)=1,1,0)</f>
        <v/>
      </c>
      <c r="AG264" s="62" t="inlineStr">
        <is>
          <t>https://www.semana.com/economia/opinion/articulo/septiembre-y-la-gran-pregunta-de-los-presupuestos-cuanto-subira-el-salario-minimo-en-2027/202600/</t>
        </is>
      </c>
    </row>
    <row r="265">
      <c r="A265" s="62" t="inlineStr">
        <is>
          <t>ART_248</t>
        </is>
      </c>
      <c r="B265" s="62" t="inlineStr">
        <is>
          <t>ART_248_S07</t>
        </is>
      </c>
      <c r="C265" s="62" t="inlineStr">
        <is>
          <t>Semana</t>
        </is>
      </c>
      <c r="D265" s="62" t="inlineStr">
        <is>
          <t>Economía y negocios</t>
        </is>
      </c>
      <c r="E265" s="62" t="inlineStr">
        <is>
          <t>Opinión-análisis</t>
        </is>
      </c>
      <c r="F265" s="62" t="inlineStr">
        <is>
          <t>2026-09-04T05:00:00-05:00</t>
        </is>
      </c>
      <c r="G265" s="62" t="inlineStr">
        <is>
          <t>Esta vez, además, la incertidumbre viene acompañada de un antecedente particularmente complejo.</t>
        </is>
      </c>
      <c r="H265" s="62" t="inlineStr">
        <is>
          <t>Por eso, cada septiembre los empresarios intentan hacer algo que, en realidad, se asemeja más a leer hojas de té que a un ejercicio financiero riguroso: adivinar cuál será la cifra que terminará apareciendo en el decreto de finales de diciembre.</t>
        </is>
      </c>
      <c r="I265" s="62" t="inlineStr">
        <is>
          <t>El incremento rocambolesco decretado para 2026 por el gobierno Petro dejó efectos económicos que todavía estamos procesando.</t>
        </is>
      </c>
      <c r="J265" s="62" t="n"/>
      <c r="K265" s="62" t="n"/>
      <c r="L265" s="62" t="n"/>
      <c r="M265" s="62" t="n"/>
      <c r="N265" s="62" t="n"/>
      <c r="O265" s="62" t="n"/>
      <c r="P265" s="62" t="n"/>
      <c r="Q265" s="62" t="n"/>
      <c r="R265" s="62" t="n"/>
      <c r="S265" s="62" t="n"/>
      <c r="T265" s="62" t="n"/>
      <c r="U265" s="62" t="n"/>
      <c r="V265" s="62" t="n"/>
      <c r="W265" s="62" t="n"/>
      <c r="X265" s="62" t="n"/>
      <c r="Y265" s="62" t="n"/>
      <c r="Z265" s="62" t="n"/>
      <c r="AA265" s="62" t="n"/>
      <c r="AB265" s="62" t="n"/>
      <c r="AC265" s="62" t="n"/>
      <c r="AD265" s="62" t="n"/>
      <c r="AE265" s="62" t="n"/>
      <c r="AF265" s="61">
        <f>IF(COUNTIF($B$5:B265,B265)=1,1,0)</f>
        <v/>
      </c>
      <c r="AG265" s="62" t="inlineStr">
        <is>
          <t>https://www.semana.com/economia/opinion/articulo/septiembre-y-la-gran-pregunta-de-los-presupuestos-cuanto-subira-el-salario-minimo-en-2027/202600/</t>
        </is>
      </c>
    </row>
    <row r="266">
      <c r="A266" s="62" t="inlineStr">
        <is>
          <t>ART_248</t>
        </is>
      </c>
      <c r="B266" s="62" t="inlineStr">
        <is>
          <t>ART_248_S08</t>
        </is>
      </c>
      <c r="C266" s="62" t="inlineStr">
        <is>
          <t>Semana</t>
        </is>
      </c>
      <c r="D266" s="62" t="inlineStr">
        <is>
          <t>Economía y negocios</t>
        </is>
      </c>
      <c r="E266" s="62" t="inlineStr">
        <is>
          <t>Opinión-análisis</t>
        </is>
      </c>
      <c r="F266" s="62" t="inlineStr">
        <is>
          <t>2026-09-04T05:00:00-05:00</t>
        </is>
      </c>
      <c r="G266" s="62" t="inlineStr">
        <is>
          <t>El incremento rocambolesco decretado para 2026 por el gobierno Petro dejó efectos económicos que todavía estamos procesando.</t>
        </is>
      </c>
      <c r="H266" s="62" t="inlineStr">
        <is>
          <t>Esta vez, además, la incertidumbre viene acompañada de un antecedente particularmente complejo.</t>
        </is>
      </c>
      <c r="I266" s="62"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J266" s="62" t="n"/>
      <c r="K266" s="62" t="n"/>
      <c r="L266" s="62" t="n"/>
      <c r="M266" s="62" t="n"/>
      <c r="N266" s="62" t="n"/>
      <c r="O266" s="62" t="n"/>
      <c r="P266" s="62" t="n"/>
      <c r="Q266" s="62" t="n"/>
      <c r="R266" s="62" t="n"/>
      <c r="S266" s="62" t="n"/>
      <c r="T266" s="62" t="n"/>
      <c r="U266" s="62" t="n"/>
      <c r="V266" s="62" t="n"/>
      <c r="W266" s="62" t="n"/>
      <c r="X266" s="62" t="n"/>
      <c r="Y266" s="62" t="n"/>
      <c r="Z266" s="62" t="n"/>
      <c r="AA266" s="62" t="n"/>
      <c r="AB266" s="62" t="n"/>
      <c r="AC266" s="62" t="n"/>
      <c r="AD266" s="62" t="n"/>
      <c r="AE266" s="62" t="n"/>
      <c r="AF266" s="61">
        <f>IF(COUNTIF($B$5:B266,B266)=1,1,0)</f>
        <v/>
      </c>
      <c r="AG266" s="62" t="inlineStr">
        <is>
          <t>https://www.semana.com/economia/opinion/articulo/septiembre-y-la-gran-pregunta-de-los-presupuestos-cuanto-subira-el-salario-minimo-en-2027/202600/</t>
        </is>
      </c>
    </row>
    <row r="267">
      <c r="A267" s="62" t="inlineStr">
        <is>
          <t>ART_248</t>
        </is>
      </c>
      <c r="B267" s="62" t="inlineStr">
        <is>
          <t>ART_248_S09</t>
        </is>
      </c>
      <c r="C267" s="62" t="inlineStr">
        <is>
          <t>Semana</t>
        </is>
      </c>
      <c r="D267" s="62" t="inlineStr">
        <is>
          <t>Economía y negocios</t>
        </is>
      </c>
      <c r="E267" s="62" t="inlineStr">
        <is>
          <t>Opinión-análisis</t>
        </is>
      </c>
      <c r="F267" s="62" t="inlineStr">
        <is>
          <t>2026-09-04T05:00:00-05:00</t>
        </is>
      </c>
      <c r="G267" s="62"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H267" s="62" t="inlineStr">
        <is>
          <t>El incremento rocambolesco decretado para 2026 por el gobierno Petro dejó efectos económicos que todavía estamos procesando.</t>
        </is>
      </c>
      <c r="I267" s="62" t="inlineStr">
        <is>
          <t>Los economistas vienen advirtiendo justamente eso.</t>
        </is>
      </c>
      <c r="J267" s="62" t="n"/>
      <c r="K267" s="62" t="n"/>
      <c r="L267" s="62" t="n"/>
      <c r="M267" s="62" t="n"/>
      <c r="N267" s="62" t="n"/>
      <c r="O267" s="62" t="n"/>
      <c r="P267" s="62" t="n"/>
      <c r="Q267" s="62" t="n"/>
      <c r="R267" s="62" t="n"/>
      <c r="S267" s="62" t="n"/>
      <c r="T267" s="62" t="n"/>
      <c r="U267" s="62" t="n"/>
      <c r="V267" s="62" t="n"/>
      <c r="W267" s="62" t="n"/>
      <c r="X267" s="62" t="n"/>
      <c r="Y267" s="62" t="n"/>
      <c r="Z267" s="62" t="n"/>
      <c r="AA267" s="62" t="n"/>
      <c r="AB267" s="62" t="n"/>
      <c r="AC267" s="62" t="n"/>
      <c r="AD267" s="62" t="n"/>
      <c r="AE267" s="62" t="n"/>
      <c r="AF267" s="61">
        <f>IF(COUNTIF($B$5:B267,B267)=1,1,0)</f>
        <v/>
      </c>
      <c r="AG267" s="62" t="inlineStr">
        <is>
          <t>https://www.semana.com/economia/opinion/articulo/septiembre-y-la-gran-pregunta-de-los-presupuestos-cuanto-subira-el-salario-minimo-en-2027/202600/</t>
        </is>
      </c>
    </row>
    <row r="268">
      <c r="A268" s="62" t="inlineStr">
        <is>
          <t>ART_248</t>
        </is>
      </c>
      <c r="B268" s="62" t="inlineStr">
        <is>
          <t>ART_248_S10</t>
        </is>
      </c>
      <c r="C268" s="62" t="inlineStr">
        <is>
          <t>Semana</t>
        </is>
      </c>
      <c r="D268" s="62" t="inlineStr">
        <is>
          <t>Economía y negocios</t>
        </is>
      </c>
      <c r="E268" s="62" t="inlineStr">
        <is>
          <t>Opinión-análisis</t>
        </is>
      </c>
      <c r="F268" s="62" t="inlineStr">
        <is>
          <t>2026-09-04T05:00:00-05:00</t>
        </is>
      </c>
      <c r="G268" s="62" t="inlineStr">
        <is>
          <t>Los economistas vienen advirtiendo justamente eso.</t>
        </is>
      </c>
      <c r="H268" s="62"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I268" s="62" t="n"/>
      <c r="J268" s="62" t="n"/>
      <c r="K268" s="62" t="n"/>
      <c r="L268" s="62" t="n"/>
      <c r="M268" s="62" t="n"/>
      <c r="N268" s="62" t="n"/>
      <c r="O268" s="62" t="n"/>
      <c r="P268" s="62" t="n"/>
      <c r="Q268" s="62" t="n"/>
      <c r="R268" s="62" t="n"/>
      <c r="S268" s="62" t="n"/>
      <c r="T268" s="62" t="n"/>
      <c r="U268" s="62" t="n"/>
      <c r="V268" s="62" t="n"/>
      <c r="W268" s="62" t="n"/>
      <c r="X268" s="62" t="n"/>
      <c r="Y268" s="62" t="n"/>
      <c r="Z268" s="62" t="n"/>
      <c r="AA268" s="62" t="n"/>
      <c r="AB268" s="62" t="n"/>
      <c r="AC268" s="62" t="n"/>
      <c r="AD268" s="62" t="n"/>
      <c r="AE268" s="62" t="n"/>
      <c r="AF268" s="61">
        <f>IF(COUNTIF($B$5:B268,B268)=1,1,0)</f>
        <v/>
      </c>
      <c r="AG268" s="62" t="inlineStr">
        <is>
          <t>https://www.semana.com/economia/opinion/articulo/septiembre-y-la-gran-pregunta-de-los-presupuestos-cuanto-subira-el-salario-minimo-en-2027/202600/</t>
        </is>
      </c>
    </row>
    <row r="269">
      <c r="A269" s="62" t="inlineStr">
        <is>
          <t>ART_251</t>
        </is>
      </c>
      <c r="B269" s="62" t="inlineStr">
        <is>
          <t>ART_251_S01</t>
        </is>
      </c>
      <c r="C269" s="62" t="inlineStr">
        <is>
          <t>El Tiempo</t>
        </is>
      </c>
      <c r="D269" s="62" t="inlineStr">
        <is>
          <t>Economía y negocios</t>
        </is>
      </c>
      <c r="E269" s="62" t="inlineStr">
        <is>
          <t>Noticia dura</t>
        </is>
      </c>
      <c r="F269" s="62" t="inlineStr">
        <is>
          <t>2026-03-10T09:53:42-05:00</t>
        </is>
      </c>
      <c r="G269" s="62" t="inlineStr">
        <is>
          <t>La expedición del Decreto 0234 de 2026 por parte del Gobierno nacional abrió un nuevo debate en Colombia sobre el modelo de negociación colectiva.</t>
        </is>
      </c>
      <c r="H269" s="62" t="n"/>
      <c r="I269" s="62" t="inlineStr">
        <is>
          <t>La norma, firmada por el Ministerio del Trabajo y anunciada el 6 de marzo, permite que las negociaciones laborales no solo se realicen a nivel de empresa, sino también por sectores económicos, grupos empresariales o en niveles superiores.</t>
        </is>
      </c>
      <c r="J269" s="62" t="n"/>
      <c r="K269" s="62" t="n"/>
      <c r="L269" s="62" t="n"/>
      <c r="M269" s="62" t="n"/>
      <c r="N269" s="62" t="n"/>
      <c r="O269" s="62" t="n"/>
      <c r="P269" s="62" t="n"/>
      <c r="Q269" s="62" t="n"/>
      <c r="R269" s="62" t="n"/>
      <c r="S269" s="62" t="n"/>
      <c r="T269" s="62" t="n"/>
      <c r="U269" s="62" t="n"/>
      <c r="V269" s="62" t="n"/>
      <c r="W269" s="62" t="n"/>
      <c r="X269" s="62" t="n"/>
      <c r="Y269" s="62" t="n"/>
      <c r="Z269" s="62" t="n"/>
      <c r="AA269" s="62" t="n"/>
      <c r="AB269" s="62" t="n"/>
      <c r="AC269" s="62" t="n"/>
      <c r="AD269" s="62" t="n"/>
      <c r="AE269" s="62" t="n"/>
      <c r="AF269" s="61">
        <f>IF(COUNTIF($B$5:B269,B269)=1,1,0)</f>
        <v/>
      </c>
      <c r="AG269" s="62" t="inlineStr">
        <is>
          <t>https://www.eltiempo.com/economia/sector-financiero/gobierno-reglamenta-por-decreto-la-negociacion-colectiva-y-abre-nuevo-capitulo-en-las-relaciones-laborales-3538964</t>
        </is>
      </c>
    </row>
    <row r="270">
      <c r="A270" s="62" t="inlineStr">
        <is>
          <t>ART_251</t>
        </is>
      </c>
      <c r="B270" s="62" t="inlineStr">
        <is>
          <t>ART_251_S02</t>
        </is>
      </c>
      <c r="C270" s="62" t="inlineStr">
        <is>
          <t>El Tiempo</t>
        </is>
      </c>
      <c r="D270" s="62" t="inlineStr">
        <is>
          <t>Economía y negocios</t>
        </is>
      </c>
      <c r="E270" s="62" t="inlineStr">
        <is>
          <t>Noticia dura</t>
        </is>
      </c>
      <c r="F270" s="62" t="inlineStr">
        <is>
          <t>2026-03-10T09:53:42-05:00</t>
        </is>
      </c>
      <c r="G270" s="62" t="inlineStr">
        <is>
          <t>La norma, firmada por el Ministerio del Trabajo y anunciada el 6 de marzo, permite que las negociaciones laborales no solo se realicen a nivel de empresa, sino también por sectores económicos, grupos empresariales o en niveles superiores.</t>
        </is>
      </c>
      <c r="H270" s="62" t="inlineStr">
        <is>
          <t>La expedición del Decreto 0234 de 2026 por parte del Gobierno nacional abrió un nuevo debate en Colombia sobre el modelo de negociación colectiva.</t>
        </is>
      </c>
      <c r="I270" s="62" t="n"/>
      <c r="J270" s="62" t="n"/>
      <c r="K270" s="62" t="n"/>
      <c r="L270" s="62" t="n"/>
      <c r="M270" s="62" t="n"/>
      <c r="N270" s="62" t="n"/>
      <c r="O270" s="62" t="n"/>
      <c r="P270" s="62" t="n"/>
      <c r="Q270" s="62" t="n"/>
      <c r="R270" s="62" t="n"/>
      <c r="S270" s="62" t="n"/>
      <c r="T270" s="62" t="n"/>
      <c r="U270" s="62" t="n"/>
      <c r="V270" s="62" t="n"/>
      <c r="W270" s="62" t="n"/>
      <c r="X270" s="62" t="n"/>
      <c r="Y270" s="62" t="n"/>
      <c r="Z270" s="62" t="n"/>
      <c r="AA270" s="62" t="n"/>
      <c r="AB270" s="62" t="n"/>
      <c r="AC270" s="62" t="n"/>
      <c r="AD270" s="62" t="n"/>
      <c r="AE270" s="62" t="n"/>
      <c r="AF270" s="61">
        <f>IF(COUNTIF($B$5:B270,B270)=1,1,0)</f>
        <v/>
      </c>
      <c r="AG270" s="62" t="inlineStr">
        <is>
          <t>https://www.eltiempo.com/economia/sector-financiero/gobierno-reglamenta-por-decreto-la-negociacion-colectiva-y-abre-nuevo-capitulo-en-las-relaciones-laborales-3538964</t>
        </is>
      </c>
    </row>
    <row r="271">
      <c r="A271" s="62" t="inlineStr">
        <is>
          <t>ART_254</t>
        </is>
      </c>
      <c r="B271" s="62" t="inlineStr">
        <is>
          <t>ART_254_S01</t>
        </is>
      </c>
      <c r="C271" s="62" t="inlineStr">
        <is>
          <t>La Silla Vacía</t>
        </is>
      </c>
      <c r="D271" s="62" t="inlineStr">
        <is>
          <t>Economía y negocios</t>
        </is>
      </c>
      <c r="E271" s="62" t="inlineStr">
        <is>
          <t>Noticia dura</t>
        </is>
      </c>
      <c r="F271" s="62" t="inlineStr">
        <is>
          <t>2026-01-15T11:27:11+00:00</t>
        </is>
      </c>
      <c r="G271" s="62" t="inlineStr">
        <is>
          <t>Ayer en la primera alocución presidencial del año el presidente habló de cómo la subida del salario minimo no impacta los precios y por el contrario, beneficia a toda la sociedad.</t>
        </is>
      </c>
      <c r="H271" s="62" t="n"/>
      <c r="I271" s="62" t="inlineStr">
        <is>
          <t>No es cierto.</t>
        </is>
      </c>
      <c r="J271" s="62" t="n"/>
      <c r="K271" s="62" t="n"/>
      <c r="L271" s="62" t="n"/>
      <c r="M271" s="62" t="n"/>
      <c r="N271" s="62" t="n"/>
      <c r="O271" s="62" t="n"/>
      <c r="P271" s="62" t="n"/>
      <c r="Q271" s="62" t="n"/>
      <c r="R271" s="62" t="n"/>
      <c r="S271" s="62" t="n"/>
      <c r="T271" s="62" t="n"/>
      <c r="U271" s="62" t="n"/>
      <c r="V271" s="62" t="n"/>
      <c r="W271" s="62" t="n"/>
      <c r="X271" s="62" t="n"/>
      <c r="Y271" s="62" t="n"/>
      <c r="Z271" s="62" t="n"/>
      <c r="AA271" s="62" t="n"/>
      <c r="AB271" s="62" t="n"/>
      <c r="AC271" s="62" t="n"/>
      <c r="AD271" s="62" t="n"/>
      <c r="AE271" s="62" t="n"/>
      <c r="AF271" s="61">
        <f>IF(COUNTIF($B$5:B271,B271)=1,1,0)</f>
        <v/>
      </c>
      <c r="AG271" s="62" t="inlineStr">
        <is>
          <t>https://www.lasillavacia.com/silla-nacional/alza-historica-del-salario-minimo-pocos-ganan-muchos-pierden/</t>
        </is>
      </c>
    </row>
    <row r="272">
      <c r="A272" s="62" t="inlineStr">
        <is>
          <t>ART_254</t>
        </is>
      </c>
      <c r="B272" s="62" t="inlineStr">
        <is>
          <t>ART_254_S02</t>
        </is>
      </c>
      <c r="C272" s="62" t="inlineStr">
        <is>
          <t>La Silla Vacía</t>
        </is>
      </c>
      <c r="D272" s="62" t="inlineStr">
        <is>
          <t>Economía y negocios</t>
        </is>
      </c>
      <c r="E272" s="62" t="inlineStr">
        <is>
          <t>Noticia dura</t>
        </is>
      </c>
      <c r="F272" s="62" t="inlineStr">
        <is>
          <t>2026-01-15T11:27:11+00:00</t>
        </is>
      </c>
      <c r="G272" s="62" t="inlineStr">
        <is>
          <t>No es cierto.</t>
        </is>
      </c>
      <c r="H272" s="62" t="inlineStr">
        <is>
          <t>Ayer en la primera alocución presidencial del año el presidente habló de cómo la subida del salario minimo no impacta los precios y por el contrario, beneficia a toda la sociedad.</t>
        </is>
      </c>
      <c r="I272" s="62" t="n"/>
      <c r="J272" s="62" t="n"/>
      <c r="K272" s="62" t="n"/>
      <c r="L272" s="62" t="n"/>
      <c r="M272" s="62" t="n"/>
      <c r="N272" s="62" t="n"/>
      <c r="O272" s="62" t="n"/>
      <c r="P272" s="62" t="n"/>
      <c r="Q272" s="62" t="n"/>
      <c r="R272" s="62" t="n"/>
      <c r="S272" s="62" t="n"/>
      <c r="T272" s="62" t="n"/>
      <c r="U272" s="62" t="n"/>
      <c r="V272" s="62" t="n"/>
      <c r="W272" s="62" t="n"/>
      <c r="X272" s="62" t="n"/>
      <c r="Y272" s="62" t="n"/>
      <c r="Z272" s="62" t="n"/>
      <c r="AA272" s="62" t="n"/>
      <c r="AB272" s="62" t="n"/>
      <c r="AC272" s="62" t="n"/>
      <c r="AD272" s="62" t="n"/>
      <c r="AE272" s="62" t="n"/>
      <c r="AF272" s="61">
        <f>IF(COUNTIF($B$5:B272,B272)=1,1,0)</f>
        <v/>
      </c>
      <c r="AG272" s="62" t="inlineStr">
        <is>
          <t>https://www.lasillavacia.com/silla-nacional/alza-historica-del-salario-minimo-pocos-ganan-muchos-pierden/</t>
        </is>
      </c>
    </row>
    <row r="273">
      <c r="A273" s="62" t="inlineStr">
        <is>
          <t>ART_262</t>
        </is>
      </c>
      <c r="B273" s="62" t="inlineStr">
        <is>
          <t>ART_262_S01</t>
        </is>
      </c>
      <c r="C273" s="62" t="inlineStr">
        <is>
          <t>El Tiempo</t>
        </is>
      </c>
      <c r="D273" s="62" t="inlineStr">
        <is>
          <t>Salud</t>
        </is>
      </c>
      <c r="E273" s="62" t="inlineStr">
        <is>
          <t>Opinión-análisis</t>
        </is>
      </c>
      <c r="F273" s="62" t="inlineStr">
        <is>
          <t>2024-09-17T20:00:00-05:00</t>
        </is>
      </c>
      <c r="G273" s="62" t="inlineStr">
        <is>
          <t>No necesitamos un proyecto de ley que represente un cambio estructural del sistema de salud.</t>
        </is>
      </c>
      <c r="H273" s="62" t="n"/>
      <c r="I273" s="62" t="inlineStr">
        <is>
          <t>La propuesta radicada en el Congreso y que tiene su origen en el grupo de acuerdos fundamentales, en donde se encuentra la Asociación Colombiana de Sociedades Científicas, es producto de un espíritu independiente, académico, técnico y científico.</t>
        </is>
      </c>
      <c r="J273" s="62" t="n"/>
      <c r="K273" s="62" t="n"/>
      <c r="L273" s="62" t="n"/>
      <c r="M273" s="62" t="n"/>
      <c r="N273" s="62" t="n"/>
      <c r="O273" s="62" t="n"/>
      <c r="P273" s="62" t="n"/>
      <c r="Q273" s="62" t="n"/>
      <c r="R273" s="62" t="n"/>
      <c r="S273" s="62" t="n"/>
      <c r="T273" s="62" t="n"/>
      <c r="U273" s="62" t="n"/>
      <c r="V273" s="62" t="n"/>
      <c r="W273" s="62" t="n"/>
      <c r="X273" s="62" t="n"/>
      <c r="Y273" s="62" t="n"/>
      <c r="Z273" s="62" t="n"/>
      <c r="AA273" s="62" t="n"/>
      <c r="AB273" s="62" t="n"/>
      <c r="AC273" s="62" t="n"/>
      <c r="AD273" s="62" t="n"/>
      <c r="AE273" s="62" t="n"/>
      <c r="AF273" s="61">
        <f>IF(COUNTIF($B$5:B273,B273)=1,1,0)</f>
        <v/>
      </c>
      <c r="AG273" s="62" t="inlineStr">
        <is>
          <t>https://www.eltiempo.com/opinion/columnistas/vuelve-y-juega-la-reforma-a-la-salud-3382022</t>
        </is>
      </c>
    </row>
    <row r="274">
      <c r="A274" s="62" t="inlineStr">
        <is>
          <t>ART_262</t>
        </is>
      </c>
      <c r="B274" s="62" t="inlineStr">
        <is>
          <t>ART_262_S02</t>
        </is>
      </c>
      <c r="C274" s="62" t="inlineStr">
        <is>
          <t>El Tiempo</t>
        </is>
      </c>
      <c r="D274" s="62" t="inlineStr">
        <is>
          <t>Salud</t>
        </is>
      </c>
      <c r="E274" s="62" t="inlineStr">
        <is>
          <t>Opinión-análisis</t>
        </is>
      </c>
      <c r="F274" s="62" t="inlineStr">
        <is>
          <t>2024-09-17T20:00:00-05:00</t>
        </is>
      </c>
      <c r="G274" s="62" t="inlineStr">
        <is>
          <t>La propuesta radicada en el Congreso y que tiene su origen en el grupo de acuerdos fundamentales, en donde se encuentra la Asociación Colombiana de Sociedades Científicas, es producto de un espíritu independiente, académico, técnico y científico.</t>
        </is>
      </c>
      <c r="H274" s="62" t="inlineStr">
        <is>
          <t>No necesitamos un proyecto de ley que represente un cambio estructural del sistema de salud.</t>
        </is>
      </c>
      <c r="I274" s="62"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J274" s="62" t="n"/>
      <c r="K274" s="62" t="n"/>
      <c r="L274" s="62" t="n"/>
      <c r="M274" s="62" t="n"/>
      <c r="N274" s="62" t="n"/>
      <c r="O274" s="62" t="n"/>
      <c r="P274" s="62" t="n"/>
      <c r="Q274" s="62" t="n"/>
      <c r="R274" s="62" t="n"/>
      <c r="S274" s="62" t="n"/>
      <c r="T274" s="62" t="n"/>
      <c r="U274" s="62" t="n"/>
      <c r="V274" s="62" t="n"/>
      <c r="W274" s="62" t="n"/>
      <c r="X274" s="62" t="n"/>
      <c r="Y274" s="62" t="n"/>
      <c r="Z274" s="62" t="n"/>
      <c r="AA274" s="62" t="n"/>
      <c r="AB274" s="62" t="n"/>
      <c r="AC274" s="62" t="n"/>
      <c r="AD274" s="62" t="n"/>
      <c r="AE274" s="62" t="n"/>
      <c r="AF274" s="61">
        <f>IF(COUNTIF($B$5:B274,B274)=1,1,0)</f>
        <v/>
      </c>
      <c r="AG274" s="62" t="inlineStr">
        <is>
          <t>https://www.eltiempo.com/opinion/columnistas/vuelve-y-juega-la-reforma-a-la-salud-3382022</t>
        </is>
      </c>
    </row>
    <row r="275">
      <c r="A275" s="62" t="inlineStr">
        <is>
          <t>ART_262</t>
        </is>
      </c>
      <c r="B275" s="62" t="inlineStr">
        <is>
          <t>ART_262_S03</t>
        </is>
      </c>
      <c r="C275" s="62" t="inlineStr">
        <is>
          <t>El Tiempo</t>
        </is>
      </c>
      <c r="D275" s="62" t="inlineStr">
        <is>
          <t>Salud</t>
        </is>
      </c>
      <c r="E275" s="62" t="inlineStr">
        <is>
          <t>Opinión-análisis</t>
        </is>
      </c>
      <c r="F275" s="62" t="inlineStr">
        <is>
          <t>2024-09-17T20:00:00-05:00</t>
        </is>
      </c>
      <c r="G275" s="62"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H275" s="62" t="inlineStr">
        <is>
          <t>La propuesta radicada en el Congreso y que tiene su origen en el grupo de acuerdos fundamentales, en donde se encuentra la Asociación Colombiana de Sociedades Científicas, es producto de un espíritu independiente, académico, técnico y científico.</t>
        </is>
      </c>
      <c r="I275" s="62" t="inlineStr">
        <is>
          <t>Adicionalmente, consideramos que se debe trabajar para eliminar y evitar la corrupción, fenómeno que siempre ha estado acompañando la historia de nuestro país.</t>
        </is>
      </c>
      <c r="J275" s="62" t="n"/>
      <c r="K275" s="62" t="n"/>
      <c r="L275" s="62" t="n"/>
      <c r="M275" s="62" t="n"/>
      <c r="N275" s="62" t="n"/>
      <c r="O275" s="62" t="n"/>
      <c r="P275" s="62" t="n"/>
      <c r="Q275" s="62" t="n"/>
      <c r="R275" s="62" t="n"/>
      <c r="S275" s="62" t="n"/>
      <c r="T275" s="62" t="n"/>
      <c r="U275" s="62" t="n"/>
      <c r="V275" s="62" t="n"/>
      <c r="W275" s="62" t="n"/>
      <c r="X275" s="62" t="n"/>
      <c r="Y275" s="62" t="n"/>
      <c r="Z275" s="62" t="n"/>
      <c r="AA275" s="62" t="n"/>
      <c r="AB275" s="62" t="n"/>
      <c r="AC275" s="62" t="n"/>
      <c r="AD275" s="62" t="n"/>
      <c r="AE275" s="62" t="n"/>
      <c r="AF275" s="61">
        <f>IF(COUNTIF($B$5:B275,B275)=1,1,0)</f>
        <v/>
      </c>
      <c r="AG275" s="62" t="inlineStr">
        <is>
          <t>https://www.eltiempo.com/opinion/columnistas/vuelve-y-juega-la-reforma-a-la-salud-3382022</t>
        </is>
      </c>
    </row>
    <row r="276">
      <c r="A276" s="62" t="inlineStr">
        <is>
          <t>ART_262</t>
        </is>
      </c>
      <c r="B276" s="62" t="inlineStr">
        <is>
          <t>ART_262_S04</t>
        </is>
      </c>
      <c r="C276" s="62" t="inlineStr">
        <is>
          <t>El Tiempo</t>
        </is>
      </c>
      <c r="D276" s="62" t="inlineStr">
        <is>
          <t>Salud</t>
        </is>
      </c>
      <c r="E276" s="62" t="inlineStr">
        <is>
          <t>Opinión-análisis</t>
        </is>
      </c>
      <c r="F276" s="62" t="inlineStr">
        <is>
          <t>2024-09-17T20:00:00-05:00</t>
        </is>
      </c>
      <c r="G276" s="62" t="inlineStr">
        <is>
          <t>Adicionalmente, consideramos que se debe trabajar para eliminar y evitar la corrupción, fenómeno que siempre ha estado acompañando la historia de nuestro país.</t>
        </is>
      </c>
      <c r="H276" s="62"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I276" s="62" t="inlineStr">
        <is>
          <t>Dentro del marco de nuestra realidad proponemos los siguientes puntos:</t>
        </is>
      </c>
      <c r="J276" s="62" t="n"/>
      <c r="K276" s="62" t="n"/>
      <c r="L276" s="62" t="n"/>
      <c r="M276" s="62" t="n"/>
      <c r="N276" s="62" t="n"/>
      <c r="O276" s="62" t="n"/>
      <c r="P276" s="62" t="n"/>
      <c r="Q276" s="62" t="n"/>
      <c r="R276" s="62" t="n"/>
      <c r="S276" s="62" t="n"/>
      <c r="T276" s="62" t="n"/>
      <c r="U276" s="62" t="n"/>
      <c r="V276" s="62" t="n"/>
      <c r="W276" s="62" t="n"/>
      <c r="X276" s="62" t="n"/>
      <c r="Y276" s="62" t="n"/>
      <c r="Z276" s="62" t="n"/>
      <c r="AA276" s="62" t="n"/>
      <c r="AB276" s="62" t="n"/>
      <c r="AC276" s="62" t="n"/>
      <c r="AD276" s="62" t="n"/>
      <c r="AE276" s="62" t="n"/>
      <c r="AF276" s="61">
        <f>IF(COUNTIF($B$5:B276,B276)=1,1,0)</f>
        <v/>
      </c>
      <c r="AG276" s="62" t="inlineStr">
        <is>
          <t>https://www.eltiempo.com/opinion/columnistas/vuelve-y-juega-la-reforma-a-la-salud-3382022</t>
        </is>
      </c>
    </row>
    <row r="277">
      <c r="A277" s="62" t="inlineStr">
        <is>
          <t>ART_262</t>
        </is>
      </c>
      <c r="B277" s="62" t="inlineStr">
        <is>
          <t>ART_262_S05</t>
        </is>
      </c>
      <c r="C277" s="62" t="inlineStr">
        <is>
          <t>El Tiempo</t>
        </is>
      </c>
      <c r="D277" s="62" t="inlineStr">
        <is>
          <t>Salud</t>
        </is>
      </c>
      <c r="E277" s="62" t="inlineStr">
        <is>
          <t>Opinión-análisis</t>
        </is>
      </c>
      <c r="F277" s="62" t="inlineStr">
        <is>
          <t>2024-09-17T20:00:00-05:00</t>
        </is>
      </c>
      <c r="G277" s="62" t="inlineStr">
        <is>
          <t>Dentro del marco de nuestra realidad proponemos los siguientes puntos:</t>
        </is>
      </c>
      <c r="H277" s="62" t="inlineStr">
        <is>
          <t>Adicionalmente, consideramos que se debe trabajar para eliminar y evitar la corrupción, fenómeno que siempre ha estado acompañando la historia de nuestro país.</t>
        </is>
      </c>
      <c r="I277" s="62" t="inlineStr">
        <is>
          <t>Un modelo de aseguramiento mixto, donde las EPS que pasarán a llamarse Empresas Gestoras de Salud, asumirán la gestión del riesgo en la prestación del servicio en salud y asumirán el riesgo operativo o administrativo, es decir, deberán contratar servicios con las redes integrales; de igual manera, tendrán la obligación y el deber de la afiliación, como un mecanismo para garantizar el derecho fundamental a la salud y representar al usuario.</t>
        </is>
      </c>
      <c r="J277" s="62" t="n"/>
      <c r="K277" s="62" t="n"/>
      <c r="L277" s="62" t="n"/>
      <c r="M277" s="62" t="n"/>
      <c r="N277" s="62" t="n"/>
      <c r="O277" s="62" t="n"/>
      <c r="P277" s="62" t="n"/>
      <c r="Q277" s="62" t="n"/>
      <c r="R277" s="62" t="n"/>
      <c r="S277" s="62" t="n"/>
      <c r="T277" s="62" t="n"/>
      <c r="U277" s="62" t="n"/>
      <c r="V277" s="62" t="n"/>
      <c r="W277" s="62" t="n"/>
      <c r="X277" s="62" t="n"/>
      <c r="Y277" s="62" t="n"/>
      <c r="Z277" s="62" t="n"/>
      <c r="AA277" s="62" t="n"/>
      <c r="AB277" s="62" t="n"/>
      <c r="AC277" s="62" t="n"/>
      <c r="AD277" s="62" t="n"/>
      <c r="AE277" s="62" t="n"/>
      <c r="AF277" s="61">
        <f>IF(COUNTIF($B$5:B277,B277)=1,1,0)</f>
        <v/>
      </c>
      <c r="AG277" s="62" t="inlineStr">
        <is>
          <t>https://www.eltiempo.com/opinion/columnistas/vuelve-y-juega-la-reforma-a-la-salud-3382022</t>
        </is>
      </c>
    </row>
    <row r="278">
      <c r="A278" s="62" t="inlineStr">
        <is>
          <t>ART_262</t>
        </is>
      </c>
      <c r="B278" s="62" t="inlineStr">
        <is>
          <t>ART_262_S06</t>
        </is>
      </c>
      <c r="C278" s="62" t="inlineStr">
        <is>
          <t>El Tiempo</t>
        </is>
      </c>
      <c r="D278" s="62" t="inlineStr">
        <is>
          <t>Salud</t>
        </is>
      </c>
      <c r="E278" s="62" t="inlineStr">
        <is>
          <t>Opinión-análisis</t>
        </is>
      </c>
      <c r="F278" s="62" t="inlineStr">
        <is>
          <t>2024-09-17T20:00:00-05:00</t>
        </is>
      </c>
      <c r="G278" s="62" t="inlineStr">
        <is>
          <t>Un modelo de aseguramiento mixto, donde las EPS que pasarán a llamarse Empresas Gestoras de Salud, asumirán la gestión del riesgo en la prestación del servicio en salud y asumirán el riesgo operativo o administrativo, es decir, deberán contratar servicios con las redes integrales; de igual manera, tendrán la obligación y el deber de la afiliación, como un mecanismo para garantizar el derecho fundamental a la salud y representar al usuario.</t>
        </is>
      </c>
      <c r="H278" s="62" t="inlineStr">
        <is>
          <t>Dentro del marco de nuestra realidad proponemos los siguientes puntos:</t>
        </is>
      </c>
      <c r="I278" s="62" t="n"/>
      <c r="J278" s="62" t="n"/>
      <c r="K278" s="62" t="n"/>
      <c r="L278" s="62" t="n"/>
      <c r="M278" s="62" t="n"/>
      <c r="N278" s="62" t="n"/>
      <c r="O278" s="62" t="n"/>
      <c r="P278" s="62" t="n"/>
      <c r="Q278" s="62" t="n"/>
      <c r="R278" s="62" t="n"/>
      <c r="S278" s="62" t="n"/>
      <c r="T278" s="62" t="n"/>
      <c r="U278" s="62" t="n"/>
      <c r="V278" s="62" t="n"/>
      <c r="W278" s="62" t="n"/>
      <c r="X278" s="62" t="n"/>
      <c r="Y278" s="62" t="n"/>
      <c r="Z278" s="62" t="n"/>
      <c r="AA278" s="62" t="n"/>
      <c r="AB278" s="62" t="n"/>
      <c r="AC278" s="62" t="n"/>
      <c r="AD278" s="62" t="n"/>
      <c r="AE278" s="62" t="n"/>
      <c r="AF278" s="61">
        <f>IF(COUNTIF($B$5:B278,B278)=1,1,0)</f>
        <v/>
      </c>
      <c r="AG278" s="62" t="inlineStr">
        <is>
          <t>https://www.eltiempo.com/opinion/columnistas/vuelve-y-juega-la-reforma-a-la-salud-3382022</t>
        </is>
      </c>
    </row>
    <row r="279">
      <c r="A279" s="62" t="inlineStr">
        <is>
          <t>ART_281</t>
        </is>
      </c>
      <c r="B279" s="62" t="inlineStr">
        <is>
          <t>ART_281_S01</t>
        </is>
      </c>
      <c r="C279" s="62" t="inlineStr">
        <is>
          <t>Semana</t>
        </is>
      </c>
      <c r="D279" s="62" t="inlineStr">
        <is>
          <t>Salud</t>
        </is>
      </c>
      <c r="E279" s="62" t="inlineStr">
        <is>
          <t>Opinión-análisis</t>
        </is>
      </c>
      <c r="F279" s="62" t="inlineStr">
        <is>
          <t>2023-05-26T23:39:42-05:00</t>
        </is>
      </c>
      <c r="G279" s="62" t="inlineStr">
        <is>
          <t>En la discusión del artículo 76 de la reforma a la salud, en la Comisión Séptima de la Cámara, el ministro Guillermo Jaramillo hizo la defensa sobre la base de que es “volver a algo que ya habían aceptado sus gobiernos, importante para sus propias clínicas privadas, que son 75 % del sistema que hoy se sienten agobiadas” (SEMANA, “Minuto a minuto”, 19/5/23).</t>
        </is>
      </c>
      <c r="H279" s="62" t="n"/>
      <c r="I279" s="62" t="inlineStr">
        <is>
          <t>Así sustentó las bondades de entregar a la Administradora del Sistema General de Seguridad Social en Salud (Adres) el giro directo de los pagos a las clínicas, hospitales y centros de atención (IPS).</t>
        </is>
      </c>
      <c r="J279" s="62" t="n"/>
      <c r="K279" s="62" t="n"/>
      <c r="L279" s="62" t="n"/>
      <c r="M279" s="62" t="n"/>
      <c r="N279" s="62" t="n"/>
      <c r="O279" s="62" t="n"/>
      <c r="P279" s="62" t="n"/>
      <c r="Q279" s="62" t="n"/>
      <c r="R279" s="62" t="n"/>
      <c r="S279" s="62" t="n"/>
      <c r="T279" s="62" t="n"/>
      <c r="U279" s="62" t="n"/>
      <c r="V279" s="62" t="n"/>
      <c r="W279" s="62" t="n"/>
      <c r="X279" s="62" t="n"/>
      <c r="Y279" s="62" t="n"/>
      <c r="Z279" s="62" t="n"/>
      <c r="AA279" s="62" t="n"/>
      <c r="AB279" s="62" t="n"/>
      <c r="AC279" s="62" t="n"/>
      <c r="AD279" s="62" t="n"/>
      <c r="AE279" s="62" t="n"/>
      <c r="AF279" s="61">
        <f>IF(COUNTIF($B$5:B279,B279)=1,1,0)</f>
        <v/>
      </c>
      <c r="AG279" s="62" t="inlineStr">
        <is>
          <t>https://www.semana.com/opinion/articulo/eps-o-ips-todas-ganan-solo-pierde-la-salud/202342/</t>
        </is>
      </c>
    </row>
    <row r="280">
      <c r="A280" s="62" t="inlineStr">
        <is>
          <t>ART_281</t>
        </is>
      </c>
      <c r="B280" s="62" t="inlineStr">
        <is>
          <t>ART_281_S02</t>
        </is>
      </c>
      <c r="C280" s="62" t="inlineStr">
        <is>
          <t>Semana</t>
        </is>
      </c>
      <c r="D280" s="62" t="inlineStr">
        <is>
          <t>Salud</t>
        </is>
      </c>
      <c r="E280" s="62" t="inlineStr">
        <is>
          <t>Opinión-análisis</t>
        </is>
      </c>
      <c r="F280" s="62" t="inlineStr">
        <is>
          <t>2023-05-26T23:39:42-05:00</t>
        </is>
      </c>
      <c r="G280" s="62" t="inlineStr">
        <is>
          <t>Así sustentó las bondades de entregar a la Administradora del Sistema General de Seguridad Social en Salud (Adres) el giro directo de los pagos a las clínicas, hospitales y centros de atención (IPS).</t>
        </is>
      </c>
      <c r="H280" s="62" t="inlineStr">
        <is>
          <t>En la discusión del artículo 76 de la reforma a la salud, en la Comisión Séptima de la Cámara, el ministro Guillermo Jaramillo hizo la defensa sobre la base de que es “volver a algo que ya habían aceptado sus gobiernos, importante para sus propias clínicas privadas, que son 75 % del sistema que hoy se sienten agobiadas” (SEMANA, “Minuto a minuto”, 19/5/23).</t>
        </is>
      </c>
      <c r="I280" s="62"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J280" s="62" t="n"/>
      <c r="K280" s="62" t="n"/>
      <c r="L280" s="62" t="n"/>
      <c r="M280" s="62" t="n"/>
      <c r="N280" s="62" t="n"/>
      <c r="O280" s="62" t="n"/>
      <c r="P280" s="62" t="n"/>
      <c r="Q280" s="62" t="n"/>
      <c r="R280" s="62" t="n"/>
      <c r="S280" s="62" t="n"/>
      <c r="T280" s="62" t="n"/>
      <c r="U280" s="62" t="n"/>
      <c r="V280" s="62" t="n"/>
      <c r="W280" s="62" t="n"/>
      <c r="X280" s="62" t="n"/>
      <c r="Y280" s="62" t="n"/>
      <c r="Z280" s="62" t="n"/>
      <c r="AA280" s="62" t="n"/>
      <c r="AB280" s="62" t="n"/>
      <c r="AC280" s="62" t="n"/>
      <c r="AD280" s="62" t="n"/>
      <c r="AE280" s="62" t="n"/>
      <c r="AF280" s="61">
        <f>IF(COUNTIF($B$5:B280,B280)=1,1,0)</f>
        <v/>
      </c>
      <c r="AG280" s="62" t="inlineStr">
        <is>
          <t>https://www.semana.com/opinion/articulo/eps-o-ips-todas-ganan-solo-pierde-la-salud/202342/</t>
        </is>
      </c>
    </row>
    <row r="281">
      <c r="A281" s="62" t="inlineStr">
        <is>
          <t>ART_281</t>
        </is>
      </c>
      <c r="B281" s="62" t="inlineStr">
        <is>
          <t>ART_281_S03</t>
        </is>
      </c>
      <c r="C281" s="62" t="inlineStr">
        <is>
          <t>Semana</t>
        </is>
      </c>
      <c r="D281" s="62" t="inlineStr">
        <is>
          <t>Salud</t>
        </is>
      </c>
      <c r="E281" s="62" t="inlineStr">
        <is>
          <t>Opinión-análisis</t>
        </is>
      </c>
      <c r="F281" s="62" t="inlineStr">
        <is>
          <t>2023-05-26T23:39:42-05:00</t>
        </is>
      </c>
      <c r="G281" s="62"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H281" s="62" t="inlineStr">
        <is>
          <t>Así sustentó las bondades de entregar a la Administradora del Sistema General de Seguridad Social en Salud (Adres) el giro directo de los pagos a las clínicas, hospitales y centros de atención (IPS).</t>
        </is>
      </c>
      <c r="I281" s="62" t="inlineStr">
        <is>
          <t>El director de la Adres, Félix Martínez, se apresuró a contestar que cumpliría el plazo de 30 días para girar que “establece el proyecto”, “la entidad entraría en reestructuración” (SEMANA, ídem).</t>
        </is>
      </c>
      <c r="J281" s="62" t="n"/>
      <c r="K281" s="62" t="n"/>
      <c r="L281" s="62" t="n"/>
      <c r="M281" s="62" t="n"/>
      <c r="N281" s="62" t="n"/>
      <c r="O281" s="62" t="n"/>
      <c r="P281" s="62" t="n"/>
      <c r="Q281" s="62" t="n"/>
      <c r="R281" s="62" t="n"/>
      <c r="S281" s="62" t="n"/>
      <c r="T281" s="62" t="n"/>
      <c r="U281" s="62" t="n"/>
      <c r="V281" s="62" t="n"/>
      <c r="W281" s="62" t="n"/>
      <c r="X281" s="62" t="n"/>
      <c r="Y281" s="62" t="n"/>
      <c r="Z281" s="62" t="n"/>
      <c r="AA281" s="62" t="n"/>
      <c r="AB281" s="62" t="n"/>
      <c r="AC281" s="62" t="n"/>
      <c r="AD281" s="62" t="n"/>
      <c r="AE281" s="62" t="n"/>
      <c r="AF281" s="61">
        <f>IF(COUNTIF($B$5:B281,B281)=1,1,0)</f>
        <v/>
      </c>
      <c r="AG281" s="62" t="inlineStr">
        <is>
          <t>https://www.semana.com/opinion/articulo/eps-o-ips-todas-ganan-solo-pierde-la-salud/202342/</t>
        </is>
      </c>
    </row>
    <row r="282">
      <c r="A282" s="62" t="inlineStr">
        <is>
          <t>ART_281</t>
        </is>
      </c>
      <c r="B282" s="62" t="inlineStr">
        <is>
          <t>ART_281_S04</t>
        </is>
      </c>
      <c r="C282" s="62" t="inlineStr">
        <is>
          <t>Semana</t>
        </is>
      </c>
      <c r="D282" s="62" t="inlineStr">
        <is>
          <t>Salud</t>
        </is>
      </c>
      <c r="E282" s="62" t="inlineStr">
        <is>
          <t>Opinión-análisis</t>
        </is>
      </c>
      <c r="F282" s="62" t="inlineStr">
        <is>
          <t>2023-05-26T23:39:42-05:00</t>
        </is>
      </c>
      <c r="G282" s="62" t="inlineStr">
        <is>
          <t>El director de la Adres, Félix Martínez, se apresuró a contestar que cumpliría el plazo de 30 días para girar que “establece el proyecto”, “la entidad entraría en reestructuración” (SEMANA, ídem).</t>
        </is>
      </c>
      <c r="H282" s="62"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I282" s="62" t="inlineStr">
        <is>
          <t>Es fácil entender que el artículo 60, que definió a la Adres como “pagador único del sistema”, aprobado por 12 votos a 8, redondea la estructura.</t>
        </is>
      </c>
      <c r="J282" s="62" t="n"/>
      <c r="K282" s="62" t="n"/>
      <c r="L282" s="62" t="n"/>
      <c r="M282" s="62" t="n"/>
      <c r="N282" s="62" t="n"/>
      <c r="O282" s="62" t="n"/>
      <c r="P282" s="62" t="n"/>
      <c r="Q282" s="62" t="n"/>
      <c r="R282" s="62" t="n"/>
      <c r="S282" s="62" t="n"/>
      <c r="T282" s="62" t="n"/>
      <c r="U282" s="62" t="n"/>
      <c r="V282" s="62" t="n"/>
      <c r="W282" s="62" t="n"/>
      <c r="X282" s="62" t="n"/>
      <c r="Y282" s="62" t="n"/>
      <c r="Z282" s="62" t="n"/>
      <c r="AA282" s="62" t="n"/>
      <c r="AB282" s="62" t="n"/>
      <c r="AC282" s="62" t="n"/>
      <c r="AD282" s="62" t="n"/>
      <c r="AE282" s="62" t="n"/>
      <c r="AF282" s="61">
        <f>IF(COUNTIF($B$5:B282,B282)=1,1,0)</f>
        <v/>
      </c>
      <c r="AG282" s="62" t="inlineStr">
        <is>
          <t>https://www.semana.com/opinion/articulo/eps-o-ips-todas-ganan-solo-pierde-la-salud/202342/</t>
        </is>
      </c>
    </row>
    <row r="283">
      <c r="A283" s="62" t="inlineStr">
        <is>
          <t>ART_281</t>
        </is>
      </c>
      <c r="B283" s="62" t="inlineStr">
        <is>
          <t>ART_281_S05</t>
        </is>
      </c>
      <c r="C283" s="62" t="inlineStr">
        <is>
          <t>Semana</t>
        </is>
      </c>
      <c r="D283" s="62" t="inlineStr">
        <is>
          <t>Salud</t>
        </is>
      </c>
      <c r="E283" s="62" t="inlineStr">
        <is>
          <t>Opinión-análisis</t>
        </is>
      </c>
      <c r="F283" s="62" t="inlineStr">
        <is>
          <t>2023-05-26T23:39:42-05:00</t>
        </is>
      </c>
      <c r="G283" s="62" t="inlineStr">
        <is>
          <t>Es fácil entender que el artículo 60, que definió a la Adres como “pagador único del sistema”, aprobado por 12 votos a 8, redondea la estructura.</t>
        </is>
      </c>
      <c r="H283" s="62" t="inlineStr">
        <is>
          <t>El director de la Adres, Félix Martínez, se apresuró a contestar que cumpliría el plazo de 30 días para girar que “establece el proyecto”, “la entidad entraría en reestructuración” (SEMANA, ídem).</t>
        </is>
      </c>
      <c r="I283" s="62"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J283" s="62" t="n"/>
      <c r="K283" s="62" t="n"/>
      <c r="L283" s="62" t="n"/>
      <c r="M283" s="62" t="n"/>
      <c r="N283" s="62" t="n"/>
      <c r="O283" s="62" t="n"/>
      <c r="P283" s="62" t="n"/>
      <c r="Q283" s="62" t="n"/>
      <c r="R283" s="62" t="n"/>
      <c r="S283" s="62" t="n"/>
      <c r="T283" s="62" t="n"/>
      <c r="U283" s="62" t="n"/>
      <c r="V283" s="62" t="n"/>
      <c r="W283" s="62" t="n"/>
      <c r="X283" s="62" t="n"/>
      <c r="Y283" s="62" t="n"/>
      <c r="Z283" s="62" t="n"/>
      <c r="AA283" s="62" t="n"/>
      <c r="AB283" s="62" t="n"/>
      <c r="AC283" s="62" t="n"/>
      <c r="AD283" s="62" t="n"/>
      <c r="AE283" s="62" t="n"/>
      <c r="AF283" s="61">
        <f>IF(COUNTIF($B$5:B283,B283)=1,1,0)</f>
        <v/>
      </c>
      <c r="AG283" s="62" t="inlineStr">
        <is>
          <t>https://www.semana.com/opinion/articulo/eps-o-ips-todas-ganan-solo-pierde-la-salud/202342/</t>
        </is>
      </c>
    </row>
    <row r="284">
      <c r="A284" s="62" t="inlineStr">
        <is>
          <t>ART_281</t>
        </is>
      </c>
      <c r="B284" s="62" t="inlineStr">
        <is>
          <t>ART_281_S06</t>
        </is>
      </c>
      <c r="C284" s="62" t="inlineStr">
        <is>
          <t>Semana</t>
        </is>
      </c>
      <c r="D284" s="62" t="inlineStr">
        <is>
          <t>Salud</t>
        </is>
      </c>
      <c r="E284" s="62" t="inlineStr">
        <is>
          <t>Opinión-análisis</t>
        </is>
      </c>
      <c r="F284" s="62" t="inlineStr">
        <is>
          <t>2023-05-26T23:39:42-05:00</t>
        </is>
      </c>
      <c r="G284" s="62"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H284" s="62" t="inlineStr">
        <is>
          <t>Es fácil entender que el artículo 60, que definió a la Adres como “pagador único del sistema”, aprobado por 12 votos a 8, redondea la estructura.</t>
        </is>
      </c>
      <c r="I284" s="62" t="inlineStr">
        <is>
          <t>Luego de aprobados los artículos 60 y 78, facturó: “Tienen una deuda de 23,3 billones de pesos” (20/5/23).</t>
        </is>
      </c>
      <c r="J284" s="62" t="n"/>
      <c r="K284" s="62" t="n"/>
      <c r="L284" s="62" t="n"/>
      <c r="M284" s="62" t="n"/>
      <c r="N284" s="62" t="n"/>
      <c r="O284" s="62" t="n"/>
      <c r="P284" s="62" t="n"/>
      <c r="Q284" s="62" t="n"/>
      <c r="R284" s="62" t="n"/>
      <c r="S284" s="62" t="n"/>
      <c r="T284" s="62" t="n"/>
      <c r="U284" s="62" t="n"/>
      <c r="V284" s="62" t="n"/>
      <c r="W284" s="62" t="n"/>
      <c r="X284" s="62" t="n"/>
      <c r="Y284" s="62" t="n"/>
      <c r="Z284" s="62" t="n"/>
      <c r="AA284" s="62" t="n"/>
      <c r="AB284" s="62" t="n"/>
      <c r="AC284" s="62" t="n"/>
      <c r="AD284" s="62" t="n"/>
      <c r="AE284" s="62" t="n"/>
      <c r="AF284" s="61">
        <f>IF(COUNTIF($B$5:B284,B284)=1,1,0)</f>
        <v/>
      </c>
      <c r="AG284" s="62" t="inlineStr">
        <is>
          <t>https://www.semana.com/opinion/articulo/eps-o-ips-todas-ganan-solo-pierde-la-salud/202342/</t>
        </is>
      </c>
    </row>
    <row r="285">
      <c r="A285" s="62" t="inlineStr">
        <is>
          <t>ART_281</t>
        </is>
      </c>
      <c r="B285" s="62" t="inlineStr">
        <is>
          <t>ART_281_S07</t>
        </is>
      </c>
      <c r="C285" s="62" t="inlineStr">
        <is>
          <t>Semana</t>
        </is>
      </c>
      <c r="D285" s="62" t="inlineStr">
        <is>
          <t>Salud</t>
        </is>
      </c>
      <c r="E285" s="62" t="inlineStr">
        <is>
          <t>Opinión-análisis</t>
        </is>
      </c>
      <c r="F285" s="62" t="inlineStr">
        <is>
          <t>2023-05-26T23:39:42-05:00</t>
        </is>
      </c>
      <c r="G285" s="62" t="inlineStr">
        <is>
          <t>Luego de aprobados los artículos 60 y 78, facturó: “Tienen una deuda de 23,3 billones de pesos” (20/5/23).</t>
        </is>
      </c>
      <c r="H285" s="62"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I285" s="62" t="inlineStr">
        <is>
          <t>Es claro que en el fondo de la reforma subyace la contradicción financiera entre las EPS y las IPS.</t>
        </is>
      </c>
      <c r="J285" s="62" t="n"/>
      <c r="K285" s="62" t="n"/>
      <c r="L285" s="62" t="n"/>
      <c r="M285" s="62" t="n"/>
      <c r="N285" s="62" t="n"/>
      <c r="O285" s="62" t="n"/>
      <c r="P285" s="62" t="n"/>
      <c r="Q285" s="62" t="n"/>
      <c r="R285" s="62" t="n"/>
      <c r="S285" s="62" t="n"/>
      <c r="T285" s="62" t="n"/>
      <c r="U285" s="62" t="n"/>
      <c r="V285" s="62" t="n"/>
      <c r="W285" s="62" t="n"/>
      <c r="X285" s="62" t="n"/>
      <c r="Y285" s="62" t="n"/>
      <c r="Z285" s="62" t="n"/>
      <c r="AA285" s="62" t="n"/>
      <c r="AB285" s="62" t="n"/>
      <c r="AC285" s="62" t="n"/>
      <c r="AD285" s="62" t="n"/>
      <c r="AE285" s="62" t="n"/>
      <c r="AF285" s="61">
        <f>IF(COUNTIF($B$5:B285,B285)=1,1,0)</f>
        <v/>
      </c>
      <c r="AG285" s="62" t="inlineStr">
        <is>
          <t>https://www.semana.com/opinion/articulo/eps-o-ips-todas-ganan-solo-pierde-la-salud/202342/</t>
        </is>
      </c>
    </row>
    <row r="286">
      <c r="A286" s="62" t="inlineStr">
        <is>
          <t>ART_281</t>
        </is>
      </c>
      <c r="B286" s="62" t="inlineStr">
        <is>
          <t>ART_281_S08</t>
        </is>
      </c>
      <c r="C286" s="62" t="inlineStr">
        <is>
          <t>Semana</t>
        </is>
      </c>
      <c r="D286" s="62" t="inlineStr">
        <is>
          <t>Salud</t>
        </is>
      </c>
      <c r="E286" s="62" t="inlineStr">
        <is>
          <t>Opinión-análisis</t>
        </is>
      </c>
      <c r="F286" s="62" t="inlineStr">
        <is>
          <t>2023-05-26T23:39:42-05:00</t>
        </is>
      </c>
      <c r="G286" s="62" t="inlineStr">
        <is>
          <t>Es claro que en el fondo de la reforma subyace la contradicción financiera entre las EPS y las IPS.</t>
        </is>
      </c>
      <c r="H286" s="62" t="inlineStr">
        <is>
          <t>Luego de aprobados los artículos 60 y 78, facturó: “Tienen una deuda de 23,3 billones de pesos” (20/5/23).</t>
        </is>
      </c>
      <c r="I286" s="62" t="inlineStr">
        <is>
          <t>Verbigracia, hombres que tienen la salud de filón, como José Luis Mayorca, representante legal de Prestasalud, tío y patrocinador de campañas de David Racero, estuvo “invitado” como “experto” a la concertación del articulado entre el Gobierno y los partidos.</t>
        </is>
      </c>
      <c r="J286" s="62" t="n"/>
      <c r="K286" s="62" t="n"/>
      <c r="L286" s="62" t="n"/>
      <c r="M286" s="62" t="n"/>
      <c r="N286" s="62" t="n"/>
      <c r="O286" s="62" t="n"/>
      <c r="P286" s="62" t="n"/>
      <c r="Q286" s="62" t="n"/>
      <c r="R286" s="62" t="n"/>
      <c r="S286" s="62" t="n"/>
      <c r="T286" s="62" t="n"/>
      <c r="U286" s="62" t="n"/>
      <c r="V286" s="62" t="n"/>
      <c r="W286" s="62" t="n"/>
      <c r="X286" s="62" t="n"/>
      <c r="Y286" s="62" t="n"/>
      <c r="Z286" s="62" t="n"/>
      <c r="AA286" s="62" t="n"/>
      <c r="AB286" s="62" t="n"/>
      <c r="AC286" s="62" t="n"/>
      <c r="AD286" s="62" t="n"/>
      <c r="AE286" s="62" t="n"/>
      <c r="AF286" s="61">
        <f>IF(COUNTIF($B$5:B286,B286)=1,1,0)</f>
        <v/>
      </c>
      <c r="AG286" s="62" t="inlineStr">
        <is>
          <t>https://www.semana.com/opinion/articulo/eps-o-ips-todas-ganan-solo-pierde-la-salud/202342/</t>
        </is>
      </c>
    </row>
    <row r="287">
      <c r="A287" s="62" t="inlineStr">
        <is>
          <t>ART_281</t>
        </is>
      </c>
      <c r="B287" s="62" t="inlineStr">
        <is>
          <t>ART_281_S09</t>
        </is>
      </c>
      <c r="C287" s="62" t="inlineStr">
        <is>
          <t>Semana</t>
        </is>
      </c>
      <c r="D287" s="62" t="inlineStr">
        <is>
          <t>Salud</t>
        </is>
      </c>
      <c r="E287" s="62" t="inlineStr">
        <is>
          <t>Opinión-análisis</t>
        </is>
      </c>
      <c r="F287" s="62" t="inlineStr">
        <is>
          <t>2023-05-26T23:39:42-05:00</t>
        </is>
      </c>
      <c r="G287" s="62" t="inlineStr">
        <is>
          <t>Verbigracia, hombres que tienen la salud de filón, como José Luis Mayorca, representante legal de Prestasalud, tío y patrocinador de campañas de David Racero, estuvo “invitado” como “experto” a la concertación del articulado entre el Gobierno y los partidos.</t>
        </is>
      </c>
      <c r="H287" s="62" t="inlineStr">
        <is>
          <t>Es claro que en el fondo de la reforma subyace la contradicción financiera entre las EPS y las IPS.</t>
        </is>
      </c>
      <c r="I287" s="62" t="inlineStr">
        <is>
          <t>No puede dudarse que las IPS tienen ánimo de lucro, no son intermediarias, pero son negocio.</t>
        </is>
      </c>
      <c r="J287" s="62" t="n"/>
      <c r="K287" s="62" t="n"/>
      <c r="L287" s="62" t="n"/>
      <c r="M287" s="62" t="n"/>
      <c r="N287" s="62" t="n"/>
      <c r="O287" s="62" t="n"/>
      <c r="P287" s="62" t="n"/>
      <c r="Q287" s="62" t="n"/>
      <c r="R287" s="62" t="n"/>
      <c r="S287" s="62" t="n"/>
      <c r="T287" s="62" t="n"/>
      <c r="U287" s="62" t="n"/>
      <c r="V287" s="62" t="n"/>
      <c r="W287" s="62" t="n"/>
      <c r="X287" s="62" t="n"/>
      <c r="Y287" s="62" t="n"/>
      <c r="Z287" s="62" t="n"/>
      <c r="AA287" s="62" t="n"/>
      <c r="AB287" s="62" t="n"/>
      <c r="AC287" s="62" t="n"/>
      <c r="AD287" s="62" t="n"/>
      <c r="AE287" s="62" t="n"/>
      <c r="AF287" s="61">
        <f>IF(COUNTIF($B$5:B287,B287)=1,1,0)</f>
        <v/>
      </c>
      <c r="AG287" s="62" t="inlineStr">
        <is>
          <t>https://www.semana.com/opinion/articulo/eps-o-ips-todas-ganan-solo-pierde-la-salud/202342/</t>
        </is>
      </c>
    </row>
    <row r="288">
      <c r="A288" s="62" t="inlineStr">
        <is>
          <t>ART_281</t>
        </is>
      </c>
      <c r="B288" s="62" t="inlineStr">
        <is>
          <t>ART_281_S10</t>
        </is>
      </c>
      <c r="C288" s="62" t="inlineStr">
        <is>
          <t>Semana</t>
        </is>
      </c>
      <c r="D288" s="62" t="inlineStr">
        <is>
          <t>Salud</t>
        </is>
      </c>
      <c r="E288" s="62" t="inlineStr">
        <is>
          <t>Opinión-análisis</t>
        </is>
      </c>
      <c r="F288" s="62" t="inlineStr">
        <is>
          <t>2023-05-26T23:39:42-05:00</t>
        </is>
      </c>
      <c r="G288" s="62" t="inlineStr">
        <is>
          <t>No puede dudarse que las IPS tienen ánimo de lucro, no son intermediarias, pero son negocio.</t>
        </is>
      </c>
      <c r="H288" s="62" t="inlineStr">
        <is>
          <t>Verbigracia, hombres que tienen la salud de filón, como José Luis Mayorca, representante legal de Prestasalud, tío y patrocinador de campañas de David Racero, estuvo “invitado” como “experto” a la concertación del articulado entre el Gobierno y los partidos.</t>
        </is>
      </c>
      <c r="I288" s="62" t="n"/>
      <c r="J288" s="62" t="n"/>
      <c r="K288" s="62" t="n"/>
      <c r="L288" s="62" t="n"/>
      <c r="M288" s="62" t="n"/>
      <c r="N288" s="62" t="n"/>
      <c r="O288" s="62" t="n"/>
      <c r="P288" s="62" t="n"/>
      <c r="Q288" s="62" t="n"/>
      <c r="R288" s="62" t="n"/>
      <c r="S288" s="62" t="n"/>
      <c r="T288" s="62" t="n"/>
      <c r="U288" s="62" t="n"/>
      <c r="V288" s="62" t="n"/>
      <c r="W288" s="62" t="n"/>
      <c r="X288" s="62" t="n"/>
      <c r="Y288" s="62" t="n"/>
      <c r="Z288" s="62" t="n"/>
      <c r="AA288" s="62" t="n"/>
      <c r="AB288" s="62" t="n"/>
      <c r="AC288" s="62" t="n"/>
      <c r="AD288" s="62" t="n"/>
      <c r="AE288" s="62" t="n"/>
      <c r="AF288" s="61">
        <f>IF(COUNTIF($B$5:B288,B288)=1,1,0)</f>
        <v/>
      </c>
      <c r="AG288" s="62" t="inlineStr">
        <is>
          <t>https://www.semana.com/opinion/articulo/eps-o-ips-todas-ganan-solo-pierde-la-salud/202342/</t>
        </is>
      </c>
    </row>
    <row r="289">
      <c r="A289" s="62" t="inlineStr">
        <is>
          <t>ART_282</t>
        </is>
      </c>
      <c r="B289" s="62" t="inlineStr">
        <is>
          <t>ART_282_S01</t>
        </is>
      </c>
      <c r="C289" s="62" t="inlineStr">
        <is>
          <t>Infobae Colombia</t>
        </is>
      </c>
      <c r="D289" s="62" t="inlineStr">
        <is>
          <t>Medio ambiente</t>
        </is>
      </c>
      <c r="E289" s="62" t="inlineStr">
        <is>
          <t>Noticia dura</t>
        </is>
      </c>
      <c r="F289" s="62" t="inlineStr">
        <is>
          <t>2026-07-04T02:52:40Z</t>
        </is>
      </c>
      <c r="G289" s="62" t="inlineStr">
        <is>
          <t>El biólogo marino e investigador Fabio Arjona Hincapié, ministro de Ambiente designado por el presidente electo, Abelardo de la Espriella, dio a conocer los retos que tiene que asumir con el liderazgo de la cartera.</t>
        </is>
      </c>
      <c r="H289" s="62" t="n"/>
      <c r="I289" s="62" t="inlineStr">
        <is>
          <t>En conversación con Noticias Caracol, se refirió, entre otras cosas, al cuidado del páramo de Santurbán, un ecosistema estratégico que se encuentra ubicado entre los departamentos de Santander y Norte de Santander.</t>
        </is>
      </c>
      <c r="J289" s="62" t="n"/>
      <c r="K289" s="62" t="n"/>
      <c r="L289" s="62" t="n"/>
      <c r="M289" s="62" t="n"/>
      <c r="N289" s="62" t="n"/>
      <c r="O289" s="62" t="n"/>
      <c r="P289" s="62" t="n"/>
      <c r="Q289" s="62" t="n"/>
      <c r="R289" s="62" t="n"/>
      <c r="S289" s="62" t="n"/>
      <c r="T289" s="62" t="n"/>
      <c r="U289" s="62" t="n"/>
      <c r="V289" s="62" t="n"/>
      <c r="W289" s="62" t="n"/>
      <c r="X289" s="62" t="n"/>
      <c r="Y289" s="62" t="n"/>
      <c r="Z289" s="62" t="n"/>
      <c r="AA289" s="62" t="n"/>
      <c r="AB289" s="62" t="n"/>
      <c r="AC289" s="62" t="n"/>
      <c r="AD289" s="62" t="n"/>
      <c r="AE289" s="62" t="n"/>
      <c r="AF289" s="61">
        <f>IF(COUNTIF($B$5:B289,B289)=1,1,0)</f>
        <v/>
      </c>
      <c r="AG289" s="62" t="inlineStr">
        <is>
          <t>https://www.infobae.com/colombia/2026/07/04/petro-estallo-por-declaraciones-del-ministro-de-ambiente-de-de-la-espriella-sobre-el-paramo-de-santurban-era-para-decidirlo-en-las-urnas/</t>
        </is>
      </c>
    </row>
    <row r="290">
      <c r="A290" s="62" t="inlineStr">
        <is>
          <t>ART_282</t>
        </is>
      </c>
      <c r="B290" s="62" t="inlineStr">
        <is>
          <t>ART_282_S02</t>
        </is>
      </c>
      <c r="C290" s="62" t="inlineStr">
        <is>
          <t>Infobae Colombia</t>
        </is>
      </c>
      <c r="D290" s="62" t="inlineStr">
        <is>
          <t>Medio ambiente</t>
        </is>
      </c>
      <c r="E290" s="62" t="inlineStr">
        <is>
          <t>Noticia dura</t>
        </is>
      </c>
      <c r="F290" s="62" t="inlineStr">
        <is>
          <t>2026-07-04T02:52:40Z</t>
        </is>
      </c>
      <c r="G290" s="62" t="inlineStr">
        <is>
          <t>En conversación con Noticias Caracol, se refirió, entre otras cosas, al cuidado del páramo de Santurbán, un ecosistema estratégico que se encuentra ubicado entre los departamentos de Santander y Norte de Santander.</t>
        </is>
      </c>
      <c r="H290" s="62" t="inlineStr">
        <is>
          <t>El biólogo marino e investigador Fabio Arjona Hincapié, ministro de Ambiente designado por el presidente electo, Abelardo de la Espriella, dio a conocer los retos que tiene que asumir con el liderazgo de la cartera.</t>
        </is>
      </c>
      <c r="I290" s="62" t="inlineStr">
        <is>
          <t>De acuerdo con el ministro entrante, además de la delimitación, se debe verificar cómo está funcionando el negocio de la minería alrededor del mismo.</t>
        </is>
      </c>
      <c r="J290" s="62" t="n"/>
      <c r="K290" s="62" t="n"/>
      <c r="L290" s="62" t="n"/>
      <c r="M290" s="62" t="n"/>
      <c r="N290" s="62" t="n"/>
      <c r="O290" s="62" t="n"/>
      <c r="P290" s="62" t="n"/>
      <c r="Q290" s="62" t="n"/>
      <c r="R290" s="62" t="n"/>
      <c r="S290" s="62" t="n"/>
      <c r="T290" s="62" t="n"/>
      <c r="U290" s="62" t="n"/>
      <c r="V290" s="62" t="n"/>
      <c r="W290" s="62" t="n"/>
      <c r="X290" s="62" t="n"/>
      <c r="Y290" s="62" t="n"/>
      <c r="Z290" s="62" t="n"/>
      <c r="AA290" s="62" t="n"/>
      <c r="AB290" s="62" t="n"/>
      <c r="AC290" s="62" t="n"/>
      <c r="AD290" s="62" t="n"/>
      <c r="AE290" s="62" t="n"/>
      <c r="AF290" s="61">
        <f>IF(COUNTIF($B$5:B290,B290)=1,1,0)</f>
        <v/>
      </c>
      <c r="AG290" s="62" t="inlineStr">
        <is>
          <t>https://www.infobae.com/colombia/2026/07/04/petro-estallo-por-declaraciones-del-ministro-de-ambiente-de-de-la-espriella-sobre-el-paramo-de-santurban-era-para-decidirlo-en-las-urnas/</t>
        </is>
      </c>
    </row>
    <row r="291">
      <c r="A291" s="62" t="inlineStr">
        <is>
          <t>ART_282</t>
        </is>
      </c>
      <c r="B291" s="62" t="inlineStr">
        <is>
          <t>ART_282_S03</t>
        </is>
      </c>
      <c r="C291" s="62" t="inlineStr">
        <is>
          <t>Infobae Colombia</t>
        </is>
      </c>
      <c r="D291" s="62" t="inlineStr">
        <is>
          <t>Medio ambiente</t>
        </is>
      </c>
      <c r="E291" s="62" t="inlineStr">
        <is>
          <t>Noticia dura</t>
        </is>
      </c>
      <c r="F291" s="62" t="inlineStr">
        <is>
          <t>2026-07-04T02:52:40Z</t>
        </is>
      </c>
      <c r="G291" s="62" t="inlineStr">
        <is>
          <t>De acuerdo con el ministro entrante, además de la delimitación, se debe verificar cómo está funcionando el negocio de la minería alrededor del mismo.</t>
        </is>
      </c>
      <c r="H291" s="62" t="inlineStr">
        <is>
          <t>En conversación con Noticias Caracol, se refirió, entre otras cosas, al cuidado del páramo de Santurbán, un ecosistema estratégico que se encuentra ubicado entre los departamentos de Santander y Norte de Santander.</t>
        </is>
      </c>
      <c r="I291" s="62" t="inlineStr">
        <is>
          <t>“Hay que avanzar, delimitar el páramo, mirar cuáles son las zonas de aprovechamiento, formalizar la minería que ahí existe.</t>
        </is>
      </c>
      <c r="J291" s="62" t="n"/>
      <c r="K291" s="62" t="n"/>
      <c r="L291" s="62" t="n"/>
      <c r="M291" s="62" t="n"/>
      <c r="N291" s="62" t="n"/>
      <c r="O291" s="62" t="n"/>
      <c r="P291" s="62" t="n"/>
      <c r="Q291" s="62" t="n"/>
      <c r="R291" s="62" t="n"/>
      <c r="S291" s="62" t="n"/>
      <c r="T291" s="62" t="n"/>
      <c r="U291" s="62" t="n"/>
      <c r="V291" s="62" t="n"/>
      <c r="W291" s="62" t="n"/>
      <c r="X291" s="62" t="n"/>
      <c r="Y291" s="62" t="n"/>
      <c r="Z291" s="62" t="n"/>
      <c r="AA291" s="62" t="n"/>
      <c r="AB291" s="62" t="n"/>
      <c r="AC291" s="62" t="n"/>
      <c r="AD291" s="62" t="n"/>
      <c r="AE291" s="62" t="n"/>
      <c r="AF291" s="61">
        <f>IF(COUNTIF($B$5:B291,B291)=1,1,0)</f>
        <v/>
      </c>
      <c r="AG291" s="62" t="inlineStr">
        <is>
          <t>https://www.infobae.com/colombia/2026/07/04/petro-estallo-por-declaraciones-del-ministro-de-ambiente-de-de-la-espriella-sobre-el-paramo-de-santurban-era-para-decidirlo-en-las-urnas/</t>
        </is>
      </c>
    </row>
    <row r="292">
      <c r="A292" s="62" t="inlineStr">
        <is>
          <t>ART_282</t>
        </is>
      </c>
      <c r="B292" s="62" t="inlineStr">
        <is>
          <t>ART_282_S04</t>
        </is>
      </c>
      <c r="C292" s="62" t="inlineStr">
        <is>
          <t>Infobae Colombia</t>
        </is>
      </c>
      <c r="D292" s="62" t="inlineStr">
        <is>
          <t>Medio ambiente</t>
        </is>
      </c>
      <c r="E292" s="62" t="inlineStr">
        <is>
          <t>Noticia dura</t>
        </is>
      </c>
      <c r="F292" s="62" t="inlineStr">
        <is>
          <t>2026-07-04T02:52:40Z</t>
        </is>
      </c>
      <c r="G292" s="62" t="inlineStr">
        <is>
          <t>“Hay que avanzar, delimitar el páramo, mirar cuáles son las zonas de aprovechamiento, formalizar la minería que ahí existe.</t>
        </is>
      </c>
      <c r="H292" s="62" t="inlineStr">
        <is>
          <t>De acuerdo con el ministro entrante, además de la delimitación, se debe verificar cómo está funcionando el negocio de la minería alrededor del mismo.</t>
        </is>
      </c>
      <c r="I292" s="62" t="inlineStr">
        <is>
          <t>Si hay una minería industrial alrededor, podría ayudar a la formalización”, dijo.</t>
        </is>
      </c>
      <c r="J292" s="62" t="n"/>
      <c r="K292" s="62" t="n"/>
      <c r="L292" s="62" t="n"/>
      <c r="M292" s="62" t="n"/>
      <c r="N292" s="62" t="n"/>
      <c r="O292" s="62" t="n"/>
      <c r="P292" s="62" t="n"/>
      <c r="Q292" s="62" t="n"/>
      <c r="R292" s="62" t="n"/>
      <c r="S292" s="62" t="n"/>
      <c r="T292" s="62" t="n"/>
      <c r="U292" s="62" t="n"/>
      <c r="V292" s="62" t="n"/>
      <c r="W292" s="62" t="n"/>
      <c r="X292" s="62" t="n"/>
      <c r="Y292" s="62" t="n"/>
      <c r="Z292" s="62" t="n"/>
      <c r="AA292" s="62" t="n"/>
      <c r="AB292" s="62" t="n"/>
      <c r="AC292" s="62" t="n"/>
      <c r="AD292" s="62" t="n"/>
      <c r="AE292" s="62" t="n"/>
      <c r="AF292" s="61">
        <f>IF(COUNTIF($B$5:B292,B292)=1,1,0)</f>
        <v/>
      </c>
      <c r="AG292" s="62" t="inlineStr">
        <is>
          <t>https://www.infobae.com/colombia/2026/07/04/petro-estallo-por-declaraciones-del-ministro-de-ambiente-de-de-la-espriella-sobre-el-paramo-de-santurban-era-para-decidirlo-en-las-urnas/</t>
        </is>
      </c>
    </row>
    <row r="293">
      <c r="A293" s="62" t="inlineStr">
        <is>
          <t>ART_282</t>
        </is>
      </c>
      <c r="B293" s="62" t="inlineStr">
        <is>
          <t>ART_282_S05</t>
        </is>
      </c>
      <c r="C293" s="62" t="inlineStr">
        <is>
          <t>Infobae Colombia</t>
        </is>
      </c>
      <c r="D293" s="62" t="inlineStr">
        <is>
          <t>Medio ambiente</t>
        </is>
      </c>
      <c r="E293" s="62" t="inlineStr">
        <is>
          <t>Noticia dura</t>
        </is>
      </c>
      <c r="F293" s="62" t="inlineStr">
        <is>
          <t>2026-07-04T02:52:40Z</t>
        </is>
      </c>
      <c r="G293" s="62" t="inlineStr">
        <is>
          <t>Si hay una minería industrial alrededor, podría ayudar a la formalización”, dijo.</t>
        </is>
      </c>
      <c r="H293" s="62" t="inlineStr">
        <is>
          <t>“Hay que avanzar, delimitar el páramo, mirar cuáles son las zonas de aprovechamiento, formalizar la minería que ahí existe.</t>
        </is>
      </c>
      <c r="I293" s="62" t="inlineStr">
        <is>
          <t>El experto afirmó que se podría evaluar el impacto de la participación de la empresa canadiense Aris Mining.</t>
        </is>
      </c>
      <c r="J293" s="62" t="n"/>
      <c r="K293" s="62" t="n"/>
      <c r="L293" s="62" t="n"/>
      <c r="M293" s="62" t="n"/>
      <c r="N293" s="62" t="n"/>
      <c r="O293" s="62" t="n"/>
      <c r="P293" s="62" t="n"/>
      <c r="Q293" s="62" t="n"/>
      <c r="R293" s="62" t="n"/>
      <c r="S293" s="62" t="n"/>
      <c r="T293" s="62" t="n"/>
      <c r="U293" s="62" t="n"/>
      <c r="V293" s="62" t="n"/>
      <c r="W293" s="62" t="n"/>
      <c r="X293" s="62" t="n"/>
      <c r="Y293" s="62" t="n"/>
      <c r="Z293" s="62" t="n"/>
      <c r="AA293" s="62" t="n"/>
      <c r="AB293" s="62" t="n"/>
      <c r="AC293" s="62" t="n"/>
      <c r="AD293" s="62" t="n"/>
      <c r="AE293" s="62" t="n"/>
      <c r="AF293" s="61">
        <f>IF(COUNTIF($B$5:B293,B293)=1,1,0)</f>
        <v/>
      </c>
      <c r="AG293" s="62" t="inlineStr">
        <is>
          <t>https://www.infobae.com/colombia/2026/07/04/petro-estallo-por-declaraciones-del-ministro-de-ambiente-de-de-la-espriella-sobre-el-paramo-de-santurban-era-para-decidirlo-en-las-urnas/</t>
        </is>
      </c>
    </row>
    <row r="294">
      <c r="A294" s="62" t="inlineStr">
        <is>
          <t>ART_282</t>
        </is>
      </c>
      <c r="B294" s="62" t="inlineStr">
        <is>
          <t>ART_282_S06</t>
        </is>
      </c>
      <c r="C294" s="62" t="inlineStr">
        <is>
          <t>Infobae Colombia</t>
        </is>
      </c>
      <c r="D294" s="62" t="inlineStr">
        <is>
          <t>Medio ambiente</t>
        </is>
      </c>
      <c r="E294" s="62" t="inlineStr">
        <is>
          <t>Noticia dura</t>
        </is>
      </c>
      <c r="F294" s="62" t="inlineStr">
        <is>
          <t>2026-07-04T02:52:40Z</t>
        </is>
      </c>
      <c r="G294" s="62" t="inlineStr">
        <is>
          <t>El experto afirmó que se podría evaluar el impacto de la participación de la empresa canadiense Aris Mining.</t>
        </is>
      </c>
      <c r="H294" s="62" t="inlineStr">
        <is>
          <t>Si hay una minería industrial alrededor, podría ayudar a la formalización”, dijo.</t>
        </is>
      </c>
      <c r="I294" s="62" t="inlineStr">
        <is>
          <t>Según detalló, la multinacional tiene 38.000 mineros formalizados en una mina ubicada en el departamento de Antioquia.</t>
        </is>
      </c>
      <c r="J294" s="62" t="n"/>
      <c r="K294" s="62" t="n"/>
      <c r="L294" s="62" t="n"/>
      <c r="M294" s="62" t="n"/>
      <c r="N294" s="62" t="n"/>
      <c r="O294" s="62" t="n"/>
      <c r="P294" s="62" t="n"/>
      <c r="Q294" s="62" t="n"/>
      <c r="R294" s="62" t="n"/>
      <c r="S294" s="62" t="n"/>
      <c r="T294" s="62" t="n"/>
      <c r="U294" s="62" t="n"/>
      <c r="V294" s="62" t="n"/>
      <c r="W294" s="62" t="n"/>
      <c r="X294" s="62" t="n"/>
      <c r="Y294" s="62" t="n"/>
      <c r="Z294" s="62" t="n"/>
      <c r="AA294" s="62" t="n"/>
      <c r="AB294" s="62" t="n"/>
      <c r="AC294" s="62" t="n"/>
      <c r="AD294" s="62" t="n"/>
      <c r="AE294" s="62" t="n"/>
      <c r="AF294" s="61">
        <f>IF(COUNTIF($B$5:B294,B294)=1,1,0)</f>
        <v/>
      </c>
      <c r="AG294" s="62" t="inlineStr">
        <is>
          <t>https://www.infobae.com/colombia/2026/07/04/petro-estallo-por-declaraciones-del-ministro-de-ambiente-de-de-la-espriella-sobre-el-paramo-de-santurban-era-para-decidirlo-en-las-urnas/</t>
        </is>
      </c>
    </row>
    <row r="295">
      <c r="A295" s="62" t="inlineStr">
        <is>
          <t>ART_282</t>
        </is>
      </c>
      <c r="B295" s="62" t="inlineStr">
        <is>
          <t>ART_282_S07</t>
        </is>
      </c>
      <c r="C295" s="62" t="inlineStr">
        <is>
          <t>Infobae Colombia</t>
        </is>
      </c>
      <c r="D295" s="62" t="inlineStr">
        <is>
          <t>Medio ambiente</t>
        </is>
      </c>
      <c r="E295" s="62" t="inlineStr">
        <is>
          <t>Noticia dura</t>
        </is>
      </c>
      <c r="F295" s="62" t="inlineStr">
        <is>
          <t>2026-07-04T02:52:40Z</t>
        </is>
      </c>
      <c r="G295" s="62" t="inlineStr">
        <is>
          <t>Según detalló, la multinacional tiene 38.000 mineros formalizados en una mina ubicada en el departamento de Antioquia.</t>
        </is>
      </c>
      <c r="H295" s="62" t="inlineStr">
        <is>
          <t>El experto afirmó que se podría evaluar el impacto de la participación de la empresa canadiense Aris Mining.</t>
        </is>
      </c>
      <c r="I295" s="62" t="inlineStr">
        <is>
          <t>“Es un ejemplo de lo que podría hacerse en Santurbán”, indicó Arjona Hincapié.</t>
        </is>
      </c>
      <c r="J295" s="62" t="n"/>
      <c r="K295" s="62" t="n"/>
      <c r="L295" s="62" t="n"/>
      <c r="M295" s="62" t="n"/>
      <c r="N295" s="62" t="n"/>
      <c r="O295" s="62" t="n"/>
      <c r="P295" s="62" t="n"/>
      <c r="Q295" s="62" t="n"/>
      <c r="R295" s="62" t="n"/>
      <c r="S295" s="62" t="n"/>
      <c r="T295" s="62" t="n"/>
      <c r="U295" s="62" t="n"/>
      <c r="V295" s="62" t="n"/>
      <c r="W295" s="62" t="n"/>
      <c r="X295" s="62" t="n"/>
      <c r="Y295" s="62" t="n"/>
      <c r="Z295" s="62" t="n"/>
      <c r="AA295" s="62" t="n"/>
      <c r="AB295" s="62" t="n"/>
      <c r="AC295" s="62" t="n"/>
      <c r="AD295" s="62" t="n"/>
      <c r="AE295" s="62" t="n"/>
      <c r="AF295" s="61">
        <f>IF(COUNTIF($B$5:B295,B295)=1,1,0)</f>
        <v/>
      </c>
      <c r="AG295" s="62" t="inlineStr">
        <is>
          <t>https://www.infobae.com/colombia/2026/07/04/petro-estallo-por-declaraciones-del-ministro-de-ambiente-de-de-la-espriella-sobre-el-paramo-de-santurban-era-para-decidirlo-en-las-urnas/</t>
        </is>
      </c>
    </row>
    <row r="296">
      <c r="A296" s="62" t="inlineStr">
        <is>
          <t>ART_282</t>
        </is>
      </c>
      <c r="B296" s="62" t="inlineStr">
        <is>
          <t>ART_282_S08</t>
        </is>
      </c>
      <c r="C296" s="62" t="inlineStr">
        <is>
          <t>Infobae Colombia</t>
        </is>
      </c>
      <c r="D296" s="62" t="inlineStr">
        <is>
          <t>Medio ambiente</t>
        </is>
      </c>
      <c r="E296" s="62" t="inlineStr">
        <is>
          <t>Noticia dura</t>
        </is>
      </c>
      <c r="F296" s="62" t="inlineStr">
        <is>
          <t>2026-07-04T02:52:40Z</t>
        </is>
      </c>
      <c r="G296" s="62" t="inlineStr">
        <is>
          <t>“Es un ejemplo de lo que podría hacerse en Santurbán”, indicó Arjona Hincapié.</t>
        </is>
      </c>
      <c r="H296" s="62" t="inlineStr">
        <is>
          <t>Según detalló, la multinacional tiene 38.000 mineros formalizados en una mina ubicada en el departamento de Antioquia.</t>
        </is>
      </c>
      <c r="I296" s="62" t="inlineStr">
        <is>
          <t>El Comité Santurbán, una plataforma cívica que ha defendido el páramo de la minería contaminante durante 17 años, rechazó las declaraciones del ministro de Ambiente designado.</t>
        </is>
      </c>
      <c r="J296" s="62" t="n"/>
      <c r="K296" s="62" t="n"/>
      <c r="L296" s="62" t="n"/>
      <c r="M296" s="62" t="n"/>
      <c r="N296" s="62" t="n"/>
      <c r="O296" s="62" t="n"/>
      <c r="P296" s="62" t="n"/>
      <c r="Q296" s="62" t="n"/>
      <c r="R296" s="62" t="n"/>
      <c r="S296" s="62" t="n"/>
      <c r="T296" s="62" t="n"/>
      <c r="U296" s="62" t="n"/>
      <c r="V296" s="62" t="n"/>
      <c r="W296" s="62" t="n"/>
      <c r="X296" s="62" t="n"/>
      <c r="Y296" s="62" t="n"/>
      <c r="Z296" s="62" t="n"/>
      <c r="AA296" s="62" t="n"/>
      <c r="AB296" s="62" t="n"/>
      <c r="AC296" s="62" t="n"/>
      <c r="AD296" s="62" t="n"/>
      <c r="AE296" s="62" t="n"/>
      <c r="AF296" s="61">
        <f>IF(COUNTIF($B$5:B296,B296)=1,1,0)</f>
        <v/>
      </c>
      <c r="AG296" s="62" t="inlineStr">
        <is>
          <t>https://www.infobae.com/colombia/2026/07/04/petro-estallo-por-declaraciones-del-ministro-de-ambiente-de-de-la-espriella-sobre-el-paramo-de-santurban-era-para-decidirlo-en-las-urnas/</t>
        </is>
      </c>
    </row>
    <row r="297">
      <c r="A297" s="62" t="inlineStr">
        <is>
          <t>ART_282</t>
        </is>
      </c>
      <c r="B297" s="62" t="inlineStr">
        <is>
          <t>ART_282_S09</t>
        </is>
      </c>
      <c r="C297" s="62" t="inlineStr">
        <is>
          <t>Infobae Colombia</t>
        </is>
      </c>
      <c r="D297" s="62" t="inlineStr">
        <is>
          <t>Medio ambiente</t>
        </is>
      </c>
      <c r="E297" s="62" t="inlineStr">
        <is>
          <t>Noticia dura</t>
        </is>
      </c>
      <c r="F297" s="62" t="inlineStr">
        <is>
          <t>2026-07-04T02:52:40Z</t>
        </is>
      </c>
      <c r="G297" s="62" t="inlineStr">
        <is>
          <t>El Comité Santurbán, una plataforma cívica que ha defendido el páramo de la minería contaminante durante 17 años, rechazó las declaraciones del ministro de Ambiente designado.</t>
        </is>
      </c>
      <c r="H297" s="62" t="inlineStr">
        <is>
          <t>“Es un ejemplo de lo que podría hacerse en Santurbán”, indicó Arjona Hincapié.</t>
        </is>
      </c>
      <c r="I297" s="62" t="inlineStr">
        <is>
          <t>En una publicación en X, aseguró que el Gobierno de Abelardo de la Espriella podría terminar entregando el páramo de Santurbán a la multinacional canadiense.</t>
        </is>
      </c>
      <c r="J297" s="62" t="n"/>
      <c r="K297" s="62" t="n"/>
      <c r="L297" s="62" t="n"/>
      <c r="M297" s="62" t="n"/>
      <c r="N297" s="62" t="n"/>
      <c r="O297" s="62" t="n"/>
      <c r="P297" s="62" t="n"/>
      <c r="Q297" s="62" t="n"/>
      <c r="R297" s="62" t="n"/>
      <c r="S297" s="62" t="n"/>
      <c r="T297" s="62" t="n"/>
      <c r="U297" s="62" t="n"/>
      <c r="V297" s="62" t="n"/>
      <c r="W297" s="62" t="n"/>
      <c r="X297" s="62" t="n"/>
      <c r="Y297" s="62" t="n"/>
      <c r="Z297" s="62" t="n"/>
      <c r="AA297" s="62" t="n"/>
      <c r="AB297" s="62" t="n"/>
      <c r="AC297" s="62" t="n"/>
      <c r="AD297" s="62" t="n"/>
      <c r="AE297" s="62" t="n"/>
      <c r="AF297" s="61">
        <f>IF(COUNTIF($B$5:B297,B297)=1,1,0)</f>
        <v/>
      </c>
      <c r="AG297" s="62" t="inlineStr">
        <is>
          <t>https://www.infobae.com/colombia/2026/07/04/petro-estallo-por-declaraciones-del-ministro-de-ambiente-de-de-la-espriella-sobre-el-paramo-de-santurban-era-para-decidirlo-en-las-urnas/</t>
        </is>
      </c>
    </row>
    <row r="298">
      <c r="A298" s="62" t="inlineStr">
        <is>
          <t>ART_282</t>
        </is>
      </c>
      <c r="B298" s="62" t="inlineStr">
        <is>
          <t>ART_282_S10</t>
        </is>
      </c>
      <c r="C298" s="62" t="inlineStr">
        <is>
          <t>Infobae Colombia</t>
        </is>
      </c>
      <c r="D298" s="62" t="inlineStr">
        <is>
          <t>Medio ambiente</t>
        </is>
      </c>
      <c r="E298" s="62" t="inlineStr">
        <is>
          <t>Noticia dura</t>
        </is>
      </c>
      <c r="F298" s="62" t="inlineStr">
        <is>
          <t>2026-07-04T02:52:40Z</t>
        </is>
      </c>
      <c r="G298" s="62" t="inlineStr">
        <is>
          <t>En una publicación en X, aseguró que el Gobierno de Abelardo de la Espriella podría terminar entregando el páramo de Santurbán a la multinacional canadiense.</t>
        </is>
      </c>
      <c r="H298" s="62" t="inlineStr">
        <is>
          <t>El Comité Santurbán, una plataforma cívica que ha defendido el páramo de la minería contaminante durante 17 años, rechazó las declaraciones del ministro de Ambiente designado.</t>
        </is>
      </c>
      <c r="I298" s="62" t="inlineStr">
        <is>
          <t>De acuerdo con la plataforma, esto pondría en riesgo el recurso hídrico de la región.</t>
        </is>
      </c>
      <c r="J298" s="62" t="n"/>
      <c r="K298" s="62" t="n"/>
      <c r="L298" s="62" t="n"/>
      <c r="M298" s="62" t="n"/>
      <c r="N298" s="62" t="n"/>
      <c r="O298" s="62" t="n"/>
      <c r="P298" s="62" t="n"/>
      <c r="Q298" s="62" t="n"/>
      <c r="R298" s="62" t="n"/>
      <c r="S298" s="62" t="n"/>
      <c r="T298" s="62" t="n"/>
      <c r="U298" s="62" t="n"/>
      <c r="V298" s="62" t="n"/>
      <c r="W298" s="62" t="n"/>
      <c r="X298" s="62" t="n"/>
      <c r="Y298" s="62" t="n"/>
      <c r="Z298" s="62" t="n"/>
      <c r="AA298" s="62" t="n"/>
      <c r="AB298" s="62" t="n"/>
      <c r="AC298" s="62" t="n"/>
      <c r="AD298" s="62" t="n"/>
      <c r="AE298" s="62" t="n"/>
      <c r="AF298" s="61">
        <f>IF(COUNTIF($B$5:B298,B298)=1,1,0)</f>
        <v/>
      </c>
      <c r="AG298" s="62" t="inlineStr">
        <is>
          <t>https://www.infobae.com/colombia/2026/07/04/petro-estallo-por-declaraciones-del-ministro-de-ambiente-de-de-la-espriella-sobre-el-paramo-de-santurban-era-para-decidirlo-en-las-urnas/</t>
        </is>
      </c>
    </row>
    <row r="299">
      <c r="A299" s="62" t="inlineStr">
        <is>
          <t>ART_282</t>
        </is>
      </c>
      <c r="B299" s="62" t="inlineStr">
        <is>
          <t>ART_282_S11</t>
        </is>
      </c>
      <c r="C299" s="62" t="inlineStr">
        <is>
          <t>Infobae Colombia</t>
        </is>
      </c>
      <c r="D299" s="62" t="inlineStr">
        <is>
          <t>Medio ambiente</t>
        </is>
      </c>
      <c r="E299" s="62" t="inlineStr">
        <is>
          <t>Noticia dura</t>
        </is>
      </c>
      <c r="F299" s="62" t="inlineStr">
        <is>
          <t>2026-07-04T02:52:40Z</t>
        </is>
      </c>
      <c r="G299" s="62" t="inlineStr">
        <is>
          <t>De acuerdo con la plataforma, esto pondría en riesgo el recurso hídrico de la región.</t>
        </is>
      </c>
      <c r="H299" s="62" t="inlineStr">
        <is>
          <t>En una publicación en X, aseguró que el Gobierno de Abelardo de la Espriella podría terminar entregando el páramo de Santurbán a la multinacional canadiense.</t>
        </is>
      </c>
      <c r="I299" s="62" t="inlineStr">
        <is>
          <t>“Hoy el futuro Min de ambiente de @ABDELAESPRIELLA lo confirma descaradamente en medios nacionales.</t>
        </is>
      </c>
      <c r="J299" s="62" t="n"/>
      <c r="K299" s="62" t="n"/>
      <c r="L299" s="62" t="n"/>
      <c r="M299" s="62" t="n"/>
      <c r="N299" s="62" t="n"/>
      <c r="O299" s="62" t="n"/>
      <c r="P299" s="62" t="n"/>
      <c r="Q299" s="62" t="n"/>
      <c r="R299" s="62" t="n"/>
      <c r="S299" s="62" t="n"/>
      <c r="T299" s="62" t="n"/>
      <c r="U299" s="62" t="n"/>
      <c r="V299" s="62" t="n"/>
      <c r="W299" s="62" t="n"/>
      <c r="X299" s="62" t="n"/>
      <c r="Y299" s="62" t="n"/>
      <c r="Z299" s="62" t="n"/>
      <c r="AA299" s="62" t="n"/>
      <c r="AB299" s="62" t="n"/>
      <c r="AC299" s="62" t="n"/>
      <c r="AD299" s="62" t="n"/>
      <c r="AE299" s="62" t="n"/>
      <c r="AF299" s="61">
        <f>IF(COUNTIF($B$5:B299,B299)=1,1,0)</f>
        <v/>
      </c>
      <c r="AG299" s="62" t="inlineStr">
        <is>
          <t>https://www.infobae.com/colombia/2026/07/04/petro-estallo-por-declaraciones-del-ministro-de-ambiente-de-de-la-espriella-sobre-el-paramo-de-santurban-era-para-decidirlo-en-las-urnas/</t>
        </is>
      </c>
    </row>
    <row r="300">
      <c r="A300" s="62" t="inlineStr">
        <is>
          <t>ART_282</t>
        </is>
      </c>
      <c r="B300" s="62" t="inlineStr">
        <is>
          <t>ART_282_S12</t>
        </is>
      </c>
      <c r="C300" s="62" t="inlineStr">
        <is>
          <t>Infobae Colombia</t>
        </is>
      </c>
      <c r="D300" s="62" t="inlineStr">
        <is>
          <t>Medio ambiente</t>
        </is>
      </c>
      <c r="E300" s="62" t="inlineStr">
        <is>
          <t>Noticia dura</t>
        </is>
      </c>
      <c r="F300" s="62" t="inlineStr">
        <is>
          <t>2026-07-04T02:52:40Z</t>
        </is>
      </c>
      <c r="G300" s="62" t="inlineStr">
        <is>
          <t>“Hoy el futuro Min de ambiente de @ABDELAESPRIELLA lo confirma descaradamente en medios nacionales.</t>
        </is>
      </c>
      <c r="H300" s="62" t="inlineStr">
        <is>
          <t>De acuerdo con la plataforma, esto pondría en riesgo el recurso hídrico de la región.</t>
        </is>
      </c>
      <c r="I300" s="62" t="n"/>
      <c r="J300" s="62" t="n"/>
      <c r="K300" s="62" t="n"/>
      <c r="L300" s="62" t="n"/>
      <c r="M300" s="62" t="n"/>
      <c r="N300" s="62" t="n"/>
      <c r="O300" s="62" t="n"/>
      <c r="P300" s="62" t="n"/>
      <c r="Q300" s="62" t="n"/>
      <c r="R300" s="62" t="n"/>
      <c r="S300" s="62" t="n"/>
      <c r="T300" s="62" t="n"/>
      <c r="U300" s="62" t="n"/>
      <c r="V300" s="62" t="n"/>
      <c r="W300" s="62" t="n"/>
      <c r="X300" s="62" t="n"/>
      <c r="Y300" s="62" t="n"/>
      <c r="Z300" s="62" t="n"/>
      <c r="AA300" s="62" t="n"/>
      <c r="AB300" s="62" t="n"/>
      <c r="AC300" s="62" t="n"/>
      <c r="AD300" s="62" t="n"/>
      <c r="AE300" s="62" t="n"/>
      <c r="AF300" s="61">
        <f>IF(COUNTIF($B$5:B300,B300)=1,1,0)</f>
        <v/>
      </c>
      <c r="AG300" s="62" t="inlineStr">
        <is>
          <t>https://www.infobae.com/colombia/2026/07/04/petro-estallo-por-declaraciones-del-ministro-de-ambiente-de-de-la-espriella-sobre-el-paramo-de-santurban-era-para-decidirlo-en-las-urnas/</t>
        </is>
      </c>
    </row>
    <row r="301">
      <c r="A301" s="62" t="inlineStr">
        <is>
          <t>ART_283</t>
        </is>
      </c>
      <c r="B301" s="62" t="inlineStr">
        <is>
          <t>ART_283_S01</t>
        </is>
      </c>
      <c r="C301" s="62" t="inlineStr">
        <is>
          <t>Infobae Colombia</t>
        </is>
      </c>
      <c r="D301" s="62" t="inlineStr">
        <is>
          <t>Medio ambiente</t>
        </is>
      </c>
      <c r="E301" s="62" t="inlineStr">
        <is>
          <t>Noticia dura</t>
        </is>
      </c>
      <c r="F301" s="62" t="inlineStr">
        <is>
          <t>2026-07-05T01:07:26Z</t>
        </is>
      </c>
      <c r="G301" s="62" t="inlineStr">
        <is>
          <t>El ministro de Ambiente y Desarrollo Sostenible que designó el presidente electo Abelardo de la Espriella no se ha posesionado todavía en el cargo y su postura ambientalista ya fue cuestionada.</t>
        </is>
      </c>
      <c r="H301" s="62" t="n"/>
      <c r="I301" s="62" t="inlineStr">
        <is>
          <t>Se trata del biólogo marino e investigador Fabio Arjona Hincapié, que cuenta con más de 20 años de experiencia ejerciendo liderazgo desde la sociedad civil.</t>
        </is>
      </c>
      <c r="J301" s="62" t="n"/>
      <c r="K301" s="62" t="n"/>
      <c r="L301" s="62" t="n"/>
      <c r="M301" s="62" t="n"/>
      <c r="N301" s="62" t="n"/>
      <c r="O301" s="62" t="n"/>
      <c r="P301" s="62" t="n"/>
      <c r="Q301" s="62" t="n"/>
      <c r="R301" s="62" t="n"/>
      <c r="S301" s="62" t="n"/>
      <c r="T301" s="62" t="n"/>
      <c r="U301" s="62" t="n"/>
      <c r="V301" s="62" t="n"/>
      <c r="W301" s="62" t="n"/>
      <c r="X301" s="62" t="n"/>
      <c r="Y301" s="62" t="n"/>
      <c r="Z301" s="62" t="n"/>
      <c r="AA301" s="62" t="n"/>
      <c r="AB301" s="62" t="n"/>
      <c r="AC301" s="62" t="n"/>
      <c r="AD301" s="62" t="n"/>
      <c r="AE301" s="62" t="n"/>
      <c r="AF301" s="61">
        <f>IF(COUNTIF($B$5:B301,B301)=1,1,0)</f>
        <v/>
      </c>
      <c r="AG301" s="62" t="inlineStr">
        <is>
          <t>https://www.infobae.com/colombia/2026/07/05/gustavo-petro-rechazo-la-apuesta-por-el-fracking-del-ministro-de-ambiente-de-abelardo-de-la-espriella-siempre-sale-mal/</t>
        </is>
      </c>
    </row>
    <row r="302">
      <c r="A302" s="62" t="inlineStr">
        <is>
          <t>ART_283</t>
        </is>
      </c>
      <c r="B302" s="62" t="inlineStr">
        <is>
          <t>ART_283_S02</t>
        </is>
      </c>
      <c r="C302" s="62" t="inlineStr">
        <is>
          <t>Infobae Colombia</t>
        </is>
      </c>
      <c r="D302" s="62" t="inlineStr">
        <is>
          <t>Medio ambiente</t>
        </is>
      </c>
      <c r="E302" s="62" t="inlineStr">
        <is>
          <t>Noticia dura</t>
        </is>
      </c>
      <c r="F302" s="62" t="inlineStr">
        <is>
          <t>2026-07-05T01:07:26Z</t>
        </is>
      </c>
      <c r="G302" s="62" t="inlineStr">
        <is>
          <t>Se trata del biólogo marino e investigador Fabio Arjona Hincapié, que cuenta con más de 20 años de experiencia ejerciendo liderazgo desde la sociedad civil.</t>
        </is>
      </c>
      <c r="H302" s="62" t="inlineStr">
        <is>
          <t>El ministro de Ambiente y Desarrollo Sostenible que designó el presidente electo Abelardo de la Espriella no se ha posesionado todavía en el cargo y su postura ambientalista ya fue cuestionada.</t>
        </is>
      </c>
      <c r="I302" s="62" t="inlineStr">
        <is>
          <t>En diálogo con 6AMW de Caracol Radio, el jefe de cartera entrante afirmó que es posible hacer fracking en Colombia de manera segura, sin que derive en un desastre medioambiental.</t>
        </is>
      </c>
      <c r="J302" s="62" t="n"/>
      <c r="K302" s="62" t="n"/>
      <c r="L302" s="62" t="n"/>
      <c r="M302" s="62" t="n"/>
      <c r="N302" s="62" t="n"/>
      <c r="O302" s="62" t="n"/>
      <c r="P302" s="62" t="n"/>
      <c r="Q302" s="62" t="n"/>
      <c r="R302" s="62" t="n"/>
      <c r="S302" s="62" t="n"/>
      <c r="T302" s="62" t="n"/>
      <c r="U302" s="62" t="n"/>
      <c r="V302" s="62" t="n"/>
      <c r="W302" s="62" t="n"/>
      <c r="X302" s="62" t="n"/>
      <c r="Y302" s="62" t="n"/>
      <c r="Z302" s="62" t="n"/>
      <c r="AA302" s="62" t="n"/>
      <c r="AB302" s="62" t="n"/>
      <c r="AC302" s="62" t="n"/>
      <c r="AD302" s="62" t="n"/>
      <c r="AE302" s="62" t="n"/>
      <c r="AF302" s="61">
        <f>IF(COUNTIF($B$5:B302,B302)=1,1,0)</f>
        <v/>
      </c>
      <c r="AG302" s="62" t="inlineStr">
        <is>
          <t>https://www.infobae.com/colombia/2026/07/05/gustavo-petro-rechazo-la-apuesta-por-el-fracking-del-ministro-de-ambiente-de-abelardo-de-la-espriella-siempre-sale-mal/</t>
        </is>
      </c>
    </row>
    <row r="303">
      <c r="A303" s="62" t="inlineStr">
        <is>
          <t>ART_283</t>
        </is>
      </c>
      <c r="B303" s="62" t="inlineStr">
        <is>
          <t>ART_283_S03</t>
        </is>
      </c>
      <c r="C303" s="62" t="inlineStr">
        <is>
          <t>Infobae Colombia</t>
        </is>
      </c>
      <c r="D303" s="62" t="inlineStr">
        <is>
          <t>Medio ambiente</t>
        </is>
      </c>
      <c r="E303" s="62" t="inlineStr">
        <is>
          <t>Noticia dura</t>
        </is>
      </c>
      <c r="F303" s="62" t="inlineStr">
        <is>
          <t>2026-07-05T01:07:26Z</t>
        </is>
      </c>
      <c r="G303" s="62" t="inlineStr">
        <is>
          <t>En diálogo con 6AMW de Caracol Radio, el jefe de cartera entrante afirmó que es posible hacer fracking en Colombia de manera segura, sin que derive en un desastre medioambiental.</t>
        </is>
      </c>
      <c r="H303" s="62" t="inlineStr">
        <is>
          <t>Se trata del biólogo marino e investigador Fabio Arjona Hincapié, que cuenta con más de 20 años de experiencia ejerciendo liderazgo desde la sociedad civil.</t>
        </is>
      </c>
      <c r="I303" s="62" t="inlineStr">
        <is>
          <t>“El Ministerio de Ambiente no es el encargado del fracking, pero sí de supervisar que los criterios con que se haga este ejercicio sean de la mejor tecnología para evitar daños ambientales que no puedan ser reparados”, detalló.</t>
        </is>
      </c>
      <c r="J303" s="62" t="n"/>
      <c r="K303" s="62" t="n"/>
      <c r="L303" s="62" t="n"/>
      <c r="M303" s="62" t="n"/>
      <c r="N303" s="62" t="n"/>
      <c r="O303" s="62" t="n"/>
      <c r="P303" s="62" t="n"/>
      <c r="Q303" s="62" t="n"/>
      <c r="R303" s="62" t="n"/>
      <c r="S303" s="62" t="n"/>
      <c r="T303" s="62" t="n"/>
      <c r="U303" s="62" t="n"/>
      <c r="V303" s="62" t="n"/>
      <c r="W303" s="62" t="n"/>
      <c r="X303" s="62" t="n"/>
      <c r="Y303" s="62" t="n"/>
      <c r="Z303" s="62" t="n"/>
      <c r="AA303" s="62" t="n"/>
      <c r="AB303" s="62" t="n"/>
      <c r="AC303" s="62" t="n"/>
      <c r="AD303" s="62" t="n"/>
      <c r="AE303" s="62" t="n"/>
      <c r="AF303" s="61">
        <f>IF(COUNTIF($B$5:B303,B303)=1,1,0)</f>
        <v/>
      </c>
      <c r="AG303" s="62" t="inlineStr">
        <is>
          <t>https://www.infobae.com/colombia/2026/07/05/gustavo-petro-rechazo-la-apuesta-por-el-fracking-del-ministro-de-ambiente-de-abelardo-de-la-espriella-siempre-sale-mal/</t>
        </is>
      </c>
    </row>
    <row r="304">
      <c r="A304" s="62" t="inlineStr">
        <is>
          <t>ART_283</t>
        </is>
      </c>
      <c r="B304" s="62" t="inlineStr">
        <is>
          <t>ART_283_S04</t>
        </is>
      </c>
      <c r="C304" s="62" t="inlineStr">
        <is>
          <t>Infobae Colombia</t>
        </is>
      </c>
      <c r="D304" s="62" t="inlineStr">
        <is>
          <t>Medio ambiente</t>
        </is>
      </c>
      <c r="E304" s="62" t="inlineStr">
        <is>
          <t>Noticia dura</t>
        </is>
      </c>
      <c r="F304" s="62" t="inlineStr">
        <is>
          <t>2026-07-05T01:07:26Z</t>
        </is>
      </c>
      <c r="G304" s="62" t="inlineStr">
        <is>
          <t>“El Ministerio de Ambiente no es el encargado del fracking, pero sí de supervisar que los criterios con que se haga este ejercicio sean de la mejor tecnología para evitar daños ambientales que no puedan ser reparados”, detalló.</t>
        </is>
      </c>
      <c r="H304" s="62" t="inlineStr">
        <is>
          <t>En diálogo con 6AMW de Caracol Radio, el jefe de cartera entrante afirmó que es posible hacer fracking en Colombia de manera segura, sin que derive en un desastre medioambiental.</t>
        </is>
      </c>
      <c r="I304" s="62" t="inlineStr">
        <is>
          <t>Aclaró que esa técnica de extracción de hidrocarburos no se ejecutará en parques nacionales, páramos o cualquier otra área protegida del país.</t>
        </is>
      </c>
      <c r="J304" s="62" t="n"/>
      <c r="K304" s="62" t="n"/>
      <c r="L304" s="62" t="n"/>
      <c r="M304" s="62" t="n"/>
      <c r="N304" s="62" t="n"/>
      <c r="O304" s="62" t="n"/>
      <c r="P304" s="62" t="n"/>
      <c r="Q304" s="62" t="n"/>
      <c r="R304" s="62" t="n"/>
      <c r="S304" s="62" t="n"/>
      <c r="T304" s="62" t="n"/>
      <c r="U304" s="62" t="n"/>
      <c r="V304" s="62" t="n"/>
      <c r="W304" s="62" t="n"/>
      <c r="X304" s="62" t="n"/>
      <c r="Y304" s="62" t="n"/>
      <c r="Z304" s="62" t="n"/>
      <c r="AA304" s="62" t="n"/>
      <c r="AB304" s="62" t="n"/>
      <c r="AC304" s="62" t="n"/>
      <c r="AD304" s="62" t="n"/>
      <c r="AE304" s="62" t="n"/>
      <c r="AF304" s="61">
        <f>IF(COUNTIF($B$5:B304,B304)=1,1,0)</f>
        <v/>
      </c>
      <c r="AG304" s="62" t="inlineStr">
        <is>
          <t>https://www.infobae.com/colombia/2026/07/05/gustavo-petro-rechazo-la-apuesta-por-el-fracking-del-ministro-de-ambiente-de-abelardo-de-la-espriella-siempre-sale-mal/</t>
        </is>
      </c>
    </row>
    <row r="305">
      <c r="A305" s="62" t="inlineStr">
        <is>
          <t>ART_283</t>
        </is>
      </c>
      <c r="B305" s="62" t="inlineStr">
        <is>
          <t>ART_283_S05</t>
        </is>
      </c>
      <c r="C305" s="62" t="inlineStr">
        <is>
          <t>Infobae Colombia</t>
        </is>
      </c>
      <c r="D305" s="62" t="inlineStr">
        <is>
          <t>Medio ambiente</t>
        </is>
      </c>
      <c r="E305" s="62" t="inlineStr">
        <is>
          <t>Noticia dura</t>
        </is>
      </c>
      <c r="F305" s="62" t="inlineStr">
        <is>
          <t>2026-07-05T01:07:26Z</t>
        </is>
      </c>
      <c r="G305" s="62" t="inlineStr">
        <is>
          <t>Aclaró que esa técnica de extracción de hidrocarburos no se ejecutará en parques nacionales, páramos o cualquier otra área protegida del país.</t>
        </is>
      </c>
      <c r="H305" s="62" t="inlineStr">
        <is>
          <t>“El Ministerio de Ambiente no es el encargado del fracking, pero sí de supervisar que los criterios con que se haga este ejercicio sean de la mejor tecnología para evitar daños ambientales que no puedan ser reparados”, detalló.</t>
        </is>
      </c>
      <c r="I305" s="62" t="inlineStr">
        <is>
          <t>Y, según informó El País de América, el ministro propone que se utilice una póliza para enfrentar los costos que surjan en caso de que algo “salga mal”.</t>
        </is>
      </c>
      <c r="J305" s="62" t="n"/>
      <c r="K305" s="62" t="n"/>
      <c r="L305" s="62" t="n"/>
      <c r="M305" s="62" t="n"/>
      <c r="N305" s="62" t="n"/>
      <c r="O305" s="62" t="n"/>
      <c r="P305" s="62" t="n"/>
      <c r="Q305" s="62" t="n"/>
      <c r="R305" s="62" t="n"/>
      <c r="S305" s="62" t="n"/>
      <c r="T305" s="62" t="n"/>
      <c r="U305" s="62" t="n"/>
      <c r="V305" s="62" t="n"/>
      <c r="W305" s="62" t="n"/>
      <c r="X305" s="62" t="n"/>
      <c r="Y305" s="62" t="n"/>
      <c r="Z305" s="62" t="n"/>
      <c r="AA305" s="62" t="n"/>
      <c r="AB305" s="62" t="n"/>
      <c r="AC305" s="62" t="n"/>
      <c r="AD305" s="62" t="n"/>
      <c r="AE305" s="62" t="n"/>
      <c r="AF305" s="61">
        <f>IF(COUNTIF($B$5:B305,B305)=1,1,0)</f>
        <v/>
      </c>
      <c r="AG305" s="62" t="inlineStr">
        <is>
          <t>https://www.infobae.com/colombia/2026/07/05/gustavo-petro-rechazo-la-apuesta-por-el-fracking-del-ministro-de-ambiente-de-abelardo-de-la-espriella-siempre-sale-mal/</t>
        </is>
      </c>
    </row>
    <row r="306">
      <c r="A306" s="62" t="inlineStr">
        <is>
          <t>ART_283</t>
        </is>
      </c>
      <c r="B306" s="62" t="inlineStr">
        <is>
          <t>ART_283_S06</t>
        </is>
      </c>
      <c r="C306" s="62" t="inlineStr">
        <is>
          <t>Infobae Colombia</t>
        </is>
      </c>
      <c r="D306" s="62" t="inlineStr">
        <is>
          <t>Medio ambiente</t>
        </is>
      </c>
      <c r="E306" s="62" t="inlineStr">
        <is>
          <t>Noticia dura</t>
        </is>
      </c>
      <c r="F306" s="62" t="inlineStr">
        <is>
          <t>2026-07-05T01:07:26Z</t>
        </is>
      </c>
      <c r="G306" s="62" t="inlineStr">
        <is>
          <t>Y, según informó El País de América, el ministro propone que se utilice una póliza para enfrentar los costos que surjan en caso de que algo “salga mal”.</t>
        </is>
      </c>
      <c r="H306" s="62" t="inlineStr">
        <is>
          <t>Aclaró que esa técnica de extracción de hidrocarburos no se ejecutará en parques nacionales, páramos o cualquier otra área protegida del país.</t>
        </is>
      </c>
      <c r="I306" s="62" t="inlineStr">
        <is>
          <t>El presidente Gustavo Petro rechazó las declaraciones del ministro de Ambiente designado.</t>
        </is>
      </c>
      <c r="J306" s="62" t="n"/>
      <c r="K306" s="62" t="n"/>
      <c r="L306" s="62" t="n"/>
      <c r="M306" s="62" t="n"/>
      <c r="N306" s="62" t="n"/>
      <c r="O306" s="62" t="n"/>
      <c r="P306" s="62" t="n"/>
      <c r="Q306" s="62" t="n"/>
      <c r="R306" s="62" t="n"/>
      <c r="S306" s="62" t="n"/>
      <c r="T306" s="62" t="n"/>
      <c r="U306" s="62" t="n"/>
      <c r="V306" s="62" t="n"/>
      <c r="W306" s="62" t="n"/>
      <c r="X306" s="62" t="n"/>
      <c r="Y306" s="62" t="n"/>
      <c r="Z306" s="62" t="n"/>
      <c r="AA306" s="62" t="n"/>
      <c r="AB306" s="62" t="n"/>
      <c r="AC306" s="62" t="n"/>
      <c r="AD306" s="62" t="n"/>
      <c r="AE306" s="62" t="n"/>
      <c r="AF306" s="61">
        <f>IF(COUNTIF($B$5:B306,B306)=1,1,0)</f>
        <v/>
      </c>
      <c r="AG306" s="62" t="inlineStr">
        <is>
          <t>https://www.infobae.com/colombia/2026/07/05/gustavo-petro-rechazo-la-apuesta-por-el-fracking-del-ministro-de-ambiente-de-abelardo-de-la-espriella-siempre-sale-mal/</t>
        </is>
      </c>
    </row>
    <row r="307">
      <c r="A307" s="62" t="inlineStr">
        <is>
          <t>ART_283</t>
        </is>
      </c>
      <c r="B307" s="62" t="inlineStr">
        <is>
          <t>ART_283_S07</t>
        </is>
      </c>
      <c r="C307" s="62" t="inlineStr">
        <is>
          <t>Infobae Colombia</t>
        </is>
      </c>
      <c r="D307" s="62" t="inlineStr">
        <is>
          <t>Medio ambiente</t>
        </is>
      </c>
      <c r="E307" s="62" t="inlineStr">
        <is>
          <t>Noticia dura</t>
        </is>
      </c>
      <c r="F307" s="62" t="inlineStr">
        <is>
          <t>2026-07-05T01:07:26Z</t>
        </is>
      </c>
      <c r="G307" s="62" t="inlineStr">
        <is>
          <t>El presidente Gustavo Petro rechazó las declaraciones del ministro de Ambiente designado.</t>
        </is>
      </c>
      <c r="H307" s="62" t="inlineStr">
        <is>
          <t>Y, según informó El País de América, el ministro propone que se utilice una póliza para enfrentar los costos que surjan en caso de que algo “salga mal”.</t>
        </is>
      </c>
      <c r="I307" s="62" t="inlineStr">
        <is>
          <t>En una publicación en X, advirtió que el fracking tiene efectos devastadores en el recurso hídrico, algo que, según precisó, no puede ser resuelto mediante una póliza.</t>
        </is>
      </c>
      <c r="J307" s="62" t="n"/>
      <c r="K307" s="62" t="n"/>
      <c r="L307" s="62" t="n"/>
      <c r="M307" s="62" t="n"/>
      <c r="N307" s="62" t="n"/>
      <c r="O307" s="62" t="n"/>
      <c r="P307" s="62" t="n"/>
      <c r="Q307" s="62" t="n"/>
      <c r="R307" s="62" t="n"/>
      <c r="S307" s="62" t="n"/>
      <c r="T307" s="62" t="n"/>
      <c r="U307" s="62" t="n"/>
      <c r="V307" s="62" t="n"/>
      <c r="W307" s="62" t="n"/>
      <c r="X307" s="62" t="n"/>
      <c r="Y307" s="62" t="n"/>
      <c r="Z307" s="62" t="n"/>
      <c r="AA307" s="62" t="n"/>
      <c r="AB307" s="62" t="n"/>
      <c r="AC307" s="62" t="n"/>
      <c r="AD307" s="62" t="n"/>
      <c r="AE307" s="62" t="n"/>
      <c r="AF307" s="61">
        <f>IF(COUNTIF($B$5:B307,B307)=1,1,0)</f>
        <v/>
      </c>
      <c r="AG307" s="62" t="inlineStr">
        <is>
          <t>https://www.infobae.com/colombia/2026/07/05/gustavo-petro-rechazo-la-apuesta-por-el-fracking-del-ministro-de-ambiente-de-abelardo-de-la-espriella-siempre-sale-mal/</t>
        </is>
      </c>
    </row>
    <row r="308">
      <c r="A308" s="62" t="inlineStr">
        <is>
          <t>ART_283</t>
        </is>
      </c>
      <c r="B308" s="62" t="inlineStr">
        <is>
          <t>ART_283_S08</t>
        </is>
      </c>
      <c r="C308" s="62" t="inlineStr">
        <is>
          <t>Infobae Colombia</t>
        </is>
      </c>
      <c r="D308" s="62" t="inlineStr">
        <is>
          <t>Medio ambiente</t>
        </is>
      </c>
      <c r="E308" s="62" t="inlineStr">
        <is>
          <t>Noticia dura</t>
        </is>
      </c>
      <c r="F308" s="62" t="inlineStr">
        <is>
          <t>2026-07-05T01:07:26Z</t>
        </is>
      </c>
      <c r="G308" s="62" t="inlineStr">
        <is>
          <t>En una publicación en X, advirtió que el fracking tiene efectos devastadores en el recurso hídrico, algo que, según precisó, no puede ser resuelto mediante una póliza.</t>
        </is>
      </c>
      <c r="H308" s="62" t="inlineStr">
        <is>
          <t>El presidente Gustavo Petro rechazó las declaraciones del ministro de Ambiente designado.</t>
        </is>
      </c>
      <c r="I308" s="62" t="n"/>
      <c r="J308" s="62" t="n"/>
      <c r="K308" s="62" t="n"/>
      <c r="L308" s="62" t="n"/>
      <c r="M308" s="62" t="n"/>
      <c r="N308" s="62" t="n"/>
      <c r="O308" s="62" t="n"/>
      <c r="P308" s="62" t="n"/>
      <c r="Q308" s="62" t="n"/>
      <c r="R308" s="62" t="n"/>
      <c r="S308" s="62" t="n"/>
      <c r="T308" s="62" t="n"/>
      <c r="U308" s="62" t="n"/>
      <c r="V308" s="62" t="n"/>
      <c r="W308" s="62" t="n"/>
      <c r="X308" s="62" t="n"/>
      <c r="Y308" s="62" t="n"/>
      <c r="Z308" s="62" t="n"/>
      <c r="AA308" s="62" t="n"/>
      <c r="AB308" s="62" t="n"/>
      <c r="AC308" s="62" t="n"/>
      <c r="AD308" s="62" t="n"/>
      <c r="AE308" s="62" t="n"/>
      <c r="AF308" s="61">
        <f>IF(COUNTIF($B$5:B308,B308)=1,1,0)</f>
        <v/>
      </c>
      <c r="AG308" s="62" t="inlineStr">
        <is>
          <t>https://www.infobae.com/colombia/2026/07/05/gustavo-petro-rechazo-la-apuesta-por-el-fracking-del-ministro-de-ambiente-de-abelardo-de-la-espriella-siempre-sale-mal/</t>
        </is>
      </c>
    </row>
    <row r="309">
      <c r="A309" s="62" t="inlineStr">
        <is>
          <t>ART_296</t>
        </is>
      </c>
      <c r="B309" s="62" t="inlineStr">
        <is>
          <t>ART_296_S01</t>
        </is>
      </c>
      <c r="C309" s="62" t="inlineStr">
        <is>
          <t>El Tiempo</t>
        </is>
      </c>
      <c r="D309" s="62" t="inlineStr">
        <is>
          <t>Medio ambiente</t>
        </is>
      </c>
      <c r="E309" s="62" t="inlineStr">
        <is>
          <t>Noticia dura</t>
        </is>
      </c>
      <c r="F309" s="62" t="inlineStr">
        <is>
          <t>2026-08-06T18:04:09-05:00</t>
        </is>
      </c>
      <c r="G309" s="62" t="inlineStr">
        <is>
          <t>Un día después de delimitar el páramo Cruz Verde–Sumapaz, y a escasas horas de la llegada al poder del Gobierno de Abelardo de La Espriella, el Ministerio de Ambiente y Desarrollo Sostenible firmó una segunda decisión de gran calado: la Resolución 0961 de 2026, “por medio de la cual se delimita y declara el bioma amazónico colombiano como una reserva de los recursos naturales renovables y del ambiente con carácter definitivo”.</t>
        </is>
      </c>
      <c r="H309" s="62" t="n"/>
      <c r="I309" s="62"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J309" s="62" t="n"/>
      <c r="K309" s="62" t="n"/>
      <c r="L309" s="62" t="n"/>
      <c r="M309" s="62" t="n"/>
      <c r="N309" s="62" t="n"/>
      <c r="O309" s="62" t="n"/>
      <c r="P309" s="62" t="n"/>
      <c r="Q309" s="62" t="n"/>
      <c r="R309" s="62" t="n"/>
      <c r="S309" s="62" t="n"/>
      <c r="T309" s="62" t="n"/>
      <c r="U309" s="62" t="n"/>
      <c r="V309" s="62" t="n"/>
      <c r="W309" s="62" t="n"/>
      <c r="X309" s="62" t="n"/>
      <c r="Y309" s="62" t="n"/>
      <c r="Z309" s="62" t="n"/>
      <c r="AA309" s="62" t="n"/>
      <c r="AB309" s="62" t="n"/>
      <c r="AC309" s="62" t="n"/>
      <c r="AD309" s="62" t="n"/>
      <c r="AE309" s="62" t="n"/>
      <c r="AF309" s="61">
        <f>IF(COUNTIF($B$5:B309,B309)=1,1,0)</f>
        <v/>
      </c>
      <c r="AG309" s="62" t="inlineStr">
        <is>
          <t>https://www.eltiempo.com/vida/medio-ambiente/a-horas-de-dejar-el-poder-gobierno-petro-declara-el-42-del-territorio-nacional-como-reserva-intocable-para-mineria-y-petroleo-3576760</t>
        </is>
      </c>
    </row>
    <row r="310">
      <c r="A310" s="62" t="inlineStr">
        <is>
          <t>ART_296</t>
        </is>
      </c>
      <c r="B310" s="62" t="inlineStr">
        <is>
          <t>ART_296_S02</t>
        </is>
      </c>
      <c r="C310" s="62" t="inlineStr">
        <is>
          <t>El Tiempo</t>
        </is>
      </c>
      <c r="D310" s="62" t="inlineStr">
        <is>
          <t>Medio ambiente</t>
        </is>
      </c>
      <c r="E310" s="62" t="inlineStr">
        <is>
          <t>Noticia dura</t>
        </is>
      </c>
      <c r="F310" s="62" t="inlineStr">
        <is>
          <t>2026-08-06T18:04:09-05:00</t>
        </is>
      </c>
      <c r="G310" s="62"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H310" s="62" t="inlineStr">
        <is>
          <t>Un día después de delimitar el páramo Cruz Verde–Sumapaz, y a escasas horas de la llegada al poder del Gobierno de Abelardo de La Espriella, el Ministerio de Ambiente y Desarrollo Sostenible firmó una segunda decisión de gran calado: la Resolución 0961 de 2026, “por medio de la cual se delimita y declara el bioma amazónico colombiano como una reserva de los recursos naturales renovables y del ambiente con carácter definitivo”.</t>
        </is>
      </c>
      <c r="I310" s="62"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J310" s="62" t="n"/>
      <c r="K310" s="62" t="n"/>
      <c r="L310" s="62" t="n"/>
      <c r="M310" s="62" t="n"/>
      <c r="N310" s="62" t="n"/>
      <c r="O310" s="62" t="n"/>
      <c r="P310" s="62" t="n"/>
      <c r="Q310" s="62" t="n"/>
      <c r="R310" s="62" t="n"/>
      <c r="S310" s="62" t="n"/>
      <c r="T310" s="62" t="n"/>
      <c r="U310" s="62" t="n"/>
      <c r="V310" s="62" t="n"/>
      <c r="W310" s="62" t="n"/>
      <c r="X310" s="62" t="n"/>
      <c r="Y310" s="62" t="n"/>
      <c r="Z310" s="62" t="n"/>
      <c r="AA310" s="62" t="n"/>
      <c r="AB310" s="62" t="n"/>
      <c r="AC310" s="62" t="n"/>
      <c r="AD310" s="62" t="n"/>
      <c r="AE310" s="62" t="n"/>
      <c r="AF310" s="61">
        <f>IF(COUNTIF($B$5:B310,B310)=1,1,0)</f>
        <v/>
      </c>
      <c r="AG310" s="62" t="inlineStr">
        <is>
          <t>https://www.eltiempo.com/vida/medio-ambiente/a-horas-de-dejar-el-poder-gobierno-petro-declara-el-42-del-territorio-nacional-como-reserva-intocable-para-mineria-y-petroleo-3576760</t>
        </is>
      </c>
    </row>
    <row r="311">
      <c r="A311" s="62" t="inlineStr">
        <is>
          <t>ART_296</t>
        </is>
      </c>
      <c r="B311" s="62" t="inlineStr">
        <is>
          <t>ART_296_S03</t>
        </is>
      </c>
      <c r="C311" s="62" t="inlineStr">
        <is>
          <t>El Tiempo</t>
        </is>
      </c>
      <c r="D311" s="62" t="inlineStr">
        <is>
          <t>Medio ambiente</t>
        </is>
      </c>
      <c r="E311" s="62" t="inlineStr">
        <is>
          <t>Noticia dura</t>
        </is>
      </c>
      <c r="F311" s="62" t="inlineStr">
        <is>
          <t>2026-08-06T18:04:09-05:00</t>
        </is>
      </c>
      <c r="G311" s="62"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H311" s="62"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I311" s="62" t="inlineStr">
        <is>
          <t>El Ministerio la había usado antes de forma parcial; nunca sobre la totalidad de la Amazonía colombiana.</t>
        </is>
      </c>
      <c r="J311" s="62" t="n"/>
      <c r="K311" s="62" t="n"/>
      <c r="L311" s="62" t="n"/>
      <c r="M311" s="62" t="n"/>
      <c r="N311" s="62" t="n"/>
      <c r="O311" s="62" t="n"/>
      <c r="P311" s="62" t="n"/>
      <c r="Q311" s="62" t="n"/>
      <c r="R311" s="62" t="n"/>
      <c r="S311" s="62" t="n"/>
      <c r="T311" s="62" t="n"/>
      <c r="U311" s="62" t="n"/>
      <c r="V311" s="62" t="n"/>
      <c r="W311" s="62" t="n"/>
      <c r="X311" s="62" t="n"/>
      <c r="Y311" s="62" t="n"/>
      <c r="Z311" s="62" t="n"/>
      <c r="AA311" s="62" t="n"/>
      <c r="AB311" s="62" t="n"/>
      <c r="AC311" s="62" t="n"/>
      <c r="AD311" s="62" t="n"/>
      <c r="AE311" s="62" t="n"/>
      <c r="AF311" s="61">
        <f>IF(COUNTIF($B$5:B311,B311)=1,1,0)</f>
        <v/>
      </c>
      <c r="AG311" s="62" t="inlineStr">
        <is>
          <t>https://www.eltiempo.com/vida/medio-ambiente/a-horas-de-dejar-el-poder-gobierno-petro-declara-el-42-del-territorio-nacional-como-reserva-intocable-para-mineria-y-petroleo-3576760</t>
        </is>
      </c>
    </row>
    <row r="312">
      <c r="A312" s="62" t="inlineStr">
        <is>
          <t>ART_296</t>
        </is>
      </c>
      <c r="B312" s="62" t="inlineStr">
        <is>
          <t>ART_296_S04</t>
        </is>
      </c>
      <c r="C312" s="62" t="inlineStr">
        <is>
          <t>El Tiempo</t>
        </is>
      </c>
      <c r="D312" s="62" t="inlineStr">
        <is>
          <t>Medio ambiente</t>
        </is>
      </c>
      <c r="E312" s="62" t="inlineStr">
        <is>
          <t>Noticia dura</t>
        </is>
      </c>
      <c r="F312" s="62" t="inlineStr">
        <is>
          <t>2026-08-06T18:04:09-05:00</t>
        </is>
      </c>
      <c r="G312" s="62" t="inlineStr">
        <is>
          <t>El Ministerio la había usado antes de forma parcial; nunca sobre la totalidad de la Amazonía colombiana.</t>
        </is>
      </c>
      <c r="H312" s="62"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I312" s="62"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J312" s="62" t="n"/>
      <c r="K312" s="62" t="n"/>
      <c r="L312" s="62" t="n"/>
      <c r="M312" s="62" t="n"/>
      <c r="N312" s="62" t="n"/>
      <c r="O312" s="62" t="n"/>
      <c r="P312" s="62" t="n"/>
      <c r="Q312" s="62" t="n"/>
      <c r="R312" s="62" t="n"/>
      <c r="S312" s="62" t="n"/>
      <c r="T312" s="62" t="n"/>
      <c r="U312" s="62" t="n"/>
      <c r="V312" s="62" t="n"/>
      <c r="W312" s="62" t="n"/>
      <c r="X312" s="62" t="n"/>
      <c r="Y312" s="62" t="n"/>
      <c r="Z312" s="62" t="n"/>
      <c r="AA312" s="62" t="n"/>
      <c r="AB312" s="62" t="n"/>
      <c r="AC312" s="62" t="n"/>
      <c r="AD312" s="62" t="n"/>
      <c r="AE312" s="62" t="n"/>
      <c r="AF312" s="61">
        <f>IF(COUNTIF($B$5:B312,B312)=1,1,0)</f>
        <v/>
      </c>
      <c r="AG312" s="62" t="inlineStr">
        <is>
          <t>https://www.eltiempo.com/vida/medio-ambiente/a-horas-de-dejar-el-poder-gobierno-petro-declara-el-42-del-territorio-nacional-como-reserva-intocable-para-mineria-y-petroleo-3576760</t>
        </is>
      </c>
    </row>
    <row r="313">
      <c r="A313" s="62" t="inlineStr">
        <is>
          <t>ART_296</t>
        </is>
      </c>
      <c r="B313" s="62" t="inlineStr">
        <is>
          <t>ART_296_S05</t>
        </is>
      </c>
      <c r="C313" s="62" t="inlineStr">
        <is>
          <t>El Tiempo</t>
        </is>
      </c>
      <c r="D313" s="62" t="inlineStr">
        <is>
          <t>Medio ambiente</t>
        </is>
      </c>
      <c r="E313" s="62" t="inlineStr">
        <is>
          <t>Noticia dura</t>
        </is>
      </c>
      <c r="F313" s="62" t="inlineStr">
        <is>
          <t>2026-08-06T18:04:09-05:00</t>
        </is>
      </c>
      <c r="G313" s="62"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H313" s="62" t="inlineStr">
        <is>
          <t>El Ministerio la había usado antes de forma parcial; nunca sobre la totalidad de la Amazonía colombiana.</t>
        </is>
      </c>
      <c r="I313" s="62"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J313" s="62" t="n"/>
      <c r="K313" s="62" t="n"/>
      <c r="L313" s="62" t="n"/>
      <c r="M313" s="62" t="n"/>
      <c r="N313" s="62" t="n"/>
      <c r="O313" s="62" t="n"/>
      <c r="P313" s="62" t="n"/>
      <c r="Q313" s="62" t="n"/>
      <c r="R313" s="62" t="n"/>
      <c r="S313" s="62" t="n"/>
      <c r="T313" s="62" t="n"/>
      <c r="U313" s="62" t="n"/>
      <c r="V313" s="62" t="n"/>
      <c r="W313" s="62" t="n"/>
      <c r="X313" s="62" t="n"/>
      <c r="Y313" s="62" t="n"/>
      <c r="Z313" s="62" t="n"/>
      <c r="AA313" s="62" t="n"/>
      <c r="AB313" s="62" t="n"/>
      <c r="AC313" s="62" t="n"/>
      <c r="AD313" s="62" t="n"/>
      <c r="AE313" s="62" t="n"/>
      <c r="AF313" s="61">
        <f>IF(COUNTIF($B$5:B313,B313)=1,1,0)</f>
        <v/>
      </c>
      <c r="AG313" s="62" t="inlineStr">
        <is>
          <t>https://www.eltiempo.com/vida/medio-ambiente/a-horas-de-dejar-el-poder-gobierno-petro-declara-el-42-del-territorio-nacional-como-reserva-intocable-para-mineria-y-petroleo-3576760</t>
        </is>
      </c>
    </row>
    <row r="314">
      <c r="A314" s="62" t="inlineStr">
        <is>
          <t>ART_296</t>
        </is>
      </c>
      <c r="B314" s="62" t="inlineStr">
        <is>
          <t>ART_296_S06</t>
        </is>
      </c>
      <c r="C314" s="62" t="inlineStr">
        <is>
          <t>El Tiempo</t>
        </is>
      </c>
      <c r="D314" s="62" t="inlineStr">
        <is>
          <t>Medio ambiente</t>
        </is>
      </c>
      <c r="E314" s="62" t="inlineStr">
        <is>
          <t>Noticia dura</t>
        </is>
      </c>
      <c r="F314" s="62" t="inlineStr">
        <is>
          <t>2026-08-06T18:04:09-05:00</t>
        </is>
      </c>
      <c r="G314" s="62"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H314" s="62"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I314" s="62"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J314" s="62" t="n"/>
      <c r="K314" s="62" t="n"/>
      <c r="L314" s="62" t="n"/>
      <c r="M314" s="62" t="n"/>
      <c r="N314" s="62" t="n"/>
      <c r="O314" s="62" t="n"/>
      <c r="P314" s="62" t="n"/>
      <c r="Q314" s="62" t="n"/>
      <c r="R314" s="62" t="n"/>
      <c r="S314" s="62" t="n"/>
      <c r="T314" s="62" t="n"/>
      <c r="U314" s="62" t="n"/>
      <c r="V314" s="62" t="n"/>
      <c r="W314" s="62" t="n"/>
      <c r="X314" s="62" t="n"/>
      <c r="Y314" s="62" t="n"/>
      <c r="Z314" s="62" t="n"/>
      <c r="AA314" s="62" t="n"/>
      <c r="AB314" s="62" t="n"/>
      <c r="AC314" s="62" t="n"/>
      <c r="AD314" s="62" t="n"/>
      <c r="AE314" s="62" t="n"/>
      <c r="AF314" s="61">
        <f>IF(COUNTIF($B$5:B314,B314)=1,1,0)</f>
        <v/>
      </c>
      <c r="AG314" s="62" t="inlineStr">
        <is>
          <t>https://www.eltiempo.com/vida/medio-ambiente/a-horas-de-dejar-el-poder-gobierno-petro-declara-el-42-del-territorio-nacional-como-reserva-intocable-para-mineria-y-petroleo-3576760</t>
        </is>
      </c>
    </row>
    <row r="315">
      <c r="A315" s="62" t="inlineStr">
        <is>
          <t>ART_296</t>
        </is>
      </c>
      <c r="B315" s="62" t="inlineStr">
        <is>
          <t>ART_296_S07</t>
        </is>
      </c>
      <c r="C315" s="62" t="inlineStr">
        <is>
          <t>El Tiempo</t>
        </is>
      </c>
      <c r="D315" s="62" t="inlineStr">
        <is>
          <t>Medio ambiente</t>
        </is>
      </c>
      <c r="E315" s="62" t="inlineStr">
        <is>
          <t>Noticia dura</t>
        </is>
      </c>
      <c r="F315" s="62" t="inlineStr">
        <is>
          <t>2026-08-06T18:04:09-05:00</t>
        </is>
      </c>
      <c r="G315" s="62"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H315" s="62"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I315" s="62"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J315" s="62" t="n"/>
      <c r="K315" s="62" t="n"/>
      <c r="L315" s="62" t="n"/>
      <c r="M315" s="62" t="n"/>
      <c r="N315" s="62" t="n"/>
      <c r="O315" s="62" t="n"/>
      <c r="P315" s="62" t="n"/>
      <c r="Q315" s="62" t="n"/>
      <c r="R315" s="62" t="n"/>
      <c r="S315" s="62" t="n"/>
      <c r="T315" s="62" t="n"/>
      <c r="U315" s="62" t="n"/>
      <c r="V315" s="62" t="n"/>
      <c r="W315" s="62" t="n"/>
      <c r="X315" s="62" t="n"/>
      <c r="Y315" s="62" t="n"/>
      <c r="Z315" s="62" t="n"/>
      <c r="AA315" s="62" t="n"/>
      <c r="AB315" s="62" t="n"/>
      <c r="AC315" s="62" t="n"/>
      <c r="AD315" s="62" t="n"/>
      <c r="AE315" s="62" t="n"/>
      <c r="AF315" s="61">
        <f>IF(COUNTIF($B$5:B315,B315)=1,1,0)</f>
        <v/>
      </c>
      <c r="AG315" s="62" t="inlineStr">
        <is>
          <t>https://www.eltiempo.com/vida/medio-ambiente/a-horas-de-dejar-el-poder-gobierno-petro-declara-el-42-del-territorio-nacional-como-reserva-intocable-para-mineria-y-petroleo-3576760</t>
        </is>
      </c>
    </row>
    <row r="316">
      <c r="A316" s="62" t="inlineStr">
        <is>
          <t>ART_296</t>
        </is>
      </c>
      <c r="B316" s="62" t="inlineStr">
        <is>
          <t>ART_296_S08</t>
        </is>
      </c>
      <c r="C316" s="62" t="inlineStr">
        <is>
          <t>El Tiempo</t>
        </is>
      </c>
      <c r="D316" s="62" t="inlineStr">
        <is>
          <t>Medio ambiente</t>
        </is>
      </c>
      <c r="E316" s="62" t="inlineStr">
        <is>
          <t>Noticia dura</t>
        </is>
      </c>
      <c r="F316" s="62" t="inlineStr">
        <is>
          <t>2026-08-06T18:04:09-05:00</t>
        </is>
      </c>
      <c r="G316" s="62"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H316" s="62"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I316" s="62"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J316" s="62" t="n"/>
      <c r="K316" s="62" t="n"/>
      <c r="L316" s="62" t="n"/>
      <c r="M316" s="62" t="n"/>
      <c r="N316" s="62" t="n"/>
      <c r="O316" s="62" t="n"/>
      <c r="P316" s="62" t="n"/>
      <c r="Q316" s="62" t="n"/>
      <c r="R316" s="62" t="n"/>
      <c r="S316" s="62" t="n"/>
      <c r="T316" s="62" t="n"/>
      <c r="U316" s="62" t="n"/>
      <c r="V316" s="62" t="n"/>
      <c r="W316" s="62" t="n"/>
      <c r="X316" s="62" t="n"/>
      <c r="Y316" s="62" t="n"/>
      <c r="Z316" s="62" t="n"/>
      <c r="AA316" s="62" t="n"/>
      <c r="AB316" s="62" t="n"/>
      <c r="AC316" s="62" t="n"/>
      <c r="AD316" s="62" t="n"/>
      <c r="AE316" s="62" t="n"/>
      <c r="AF316" s="61">
        <f>IF(COUNTIF($B$5:B316,B316)=1,1,0)</f>
        <v/>
      </c>
      <c r="AG316" s="62" t="inlineStr">
        <is>
          <t>https://www.eltiempo.com/vida/medio-ambiente/a-horas-de-dejar-el-poder-gobierno-petro-declara-el-42-del-territorio-nacional-como-reserva-intocable-para-mineria-y-petroleo-3576760</t>
        </is>
      </c>
    </row>
    <row r="317">
      <c r="A317" s="62" t="inlineStr">
        <is>
          <t>ART_296</t>
        </is>
      </c>
      <c r="B317" s="62" t="inlineStr">
        <is>
          <t>ART_296_S09</t>
        </is>
      </c>
      <c r="C317" s="62" t="inlineStr">
        <is>
          <t>El Tiempo</t>
        </is>
      </c>
      <c r="D317" s="62" t="inlineStr">
        <is>
          <t>Medio ambiente</t>
        </is>
      </c>
      <c r="E317" s="62" t="inlineStr">
        <is>
          <t>Noticia dura</t>
        </is>
      </c>
      <c r="F317" s="62" t="inlineStr">
        <is>
          <t>2026-08-06T18:04:09-05:00</t>
        </is>
      </c>
      <c r="G317" s="62"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H317" s="62"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I317" s="62" t="inlineStr">
        <is>
          <t>En hidrocarburos, la Agencia Nacional de Hidrocarburos reportó 39 contratos vigentes: 22 en fase exploratoria (casi 1,5 millones de hectáreas), 13 en producción y 4 en evaluación.</t>
        </is>
      </c>
      <c r="J317" s="62" t="n"/>
      <c r="K317" s="62" t="n"/>
      <c r="L317" s="62" t="n"/>
      <c r="M317" s="62" t="n"/>
      <c r="N317" s="62" t="n"/>
      <c r="O317" s="62" t="n"/>
      <c r="P317" s="62" t="n"/>
      <c r="Q317" s="62" t="n"/>
      <c r="R317" s="62" t="n"/>
      <c r="S317" s="62" t="n"/>
      <c r="T317" s="62" t="n"/>
      <c r="U317" s="62" t="n"/>
      <c r="V317" s="62" t="n"/>
      <c r="W317" s="62" t="n"/>
      <c r="X317" s="62" t="n"/>
      <c r="Y317" s="62" t="n"/>
      <c r="Z317" s="62" t="n"/>
      <c r="AA317" s="62" t="n"/>
      <c r="AB317" s="62" t="n"/>
      <c r="AC317" s="62" t="n"/>
      <c r="AD317" s="62" t="n"/>
      <c r="AE317" s="62" t="n"/>
      <c r="AF317" s="61">
        <f>IF(COUNTIF($B$5:B317,B317)=1,1,0)</f>
        <v/>
      </c>
      <c r="AG317" s="62" t="inlineStr">
        <is>
          <t>https://www.eltiempo.com/vida/medio-ambiente/a-horas-de-dejar-el-poder-gobierno-petro-declara-el-42-del-territorio-nacional-como-reserva-intocable-para-mineria-y-petroleo-3576760</t>
        </is>
      </c>
    </row>
    <row r="318">
      <c r="A318" s="62" t="inlineStr">
        <is>
          <t>ART_296</t>
        </is>
      </c>
      <c r="B318" s="62" t="inlineStr">
        <is>
          <t>ART_296_S10</t>
        </is>
      </c>
      <c r="C318" s="62" t="inlineStr">
        <is>
          <t>El Tiempo</t>
        </is>
      </c>
      <c r="D318" s="62" t="inlineStr">
        <is>
          <t>Medio ambiente</t>
        </is>
      </c>
      <c r="E318" s="62" t="inlineStr">
        <is>
          <t>Noticia dura</t>
        </is>
      </c>
      <c r="F318" s="62" t="inlineStr">
        <is>
          <t>2026-08-06T18:04:09-05:00</t>
        </is>
      </c>
      <c r="G318" s="62" t="inlineStr">
        <is>
          <t>En hidrocarburos, la Agencia Nacional de Hidrocarburos reportó 39 contratos vigentes: 22 en fase exploratoria (casi 1,5 millones de hectáreas), 13 en producción y 4 en evaluación.</t>
        </is>
      </c>
      <c r="H318" s="62"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I318" s="62" t="inlineStr">
        <is>
          <t>La decisión se apoya, además, en un antecedente judicial: en 2018 la Corte Suprema de Justicia reconoció a la Amazonía colombiana como "sujeto de derechos", titular de protección, conservación y restauración a cargo del Estado (sentencia STC4360-2018), y en 2025 la Corte Constitucional la calificó como "conjunto ecosistémico de especial protección constitucional" (Sentencia T-106 de 2025).</t>
        </is>
      </c>
      <c r="J318" s="62" t="n"/>
      <c r="K318" s="62" t="n"/>
      <c r="L318" s="62" t="n"/>
      <c r="M318" s="62" t="n"/>
      <c r="N318" s="62" t="n"/>
      <c r="O318" s="62" t="n"/>
      <c r="P318" s="62" t="n"/>
      <c r="Q318" s="62" t="n"/>
      <c r="R318" s="62" t="n"/>
      <c r="S318" s="62" t="n"/>
      <c r="T318" s="62" t="n"/>
      <c r="U318" s="62" t="n"/>
      <c r="V318" s="62" t="n"/>
      <c r="W318" s="62" t="n"/>
      <c r="X318" s="62" t="n"/>
      <c r="Y318" s="62" t="n"/>
      <c r="Z318" s="62" t="n"/>
      <c r="AA318" s="62" t="n"/>
      <c r="AB318" s="62" t="n"/>
      <c r="AC318" s="62" t="n"/>
      <c r="AD318" s="62" t="n"/>
      <c r="AE318" s="62" t="n"/>
      <c r="AF318" s="61">
        <f>IF(COUNTIF($B$5:B318,B318)=1,1,0)</f>
        <v/>
      </c>
      <c r="AG318" s="62" t="inlineStr">
        <is>
          <t>https://www.eltiempo.com/vida/medio-ambiente/a-horas-de-dejar-el-poder-gobierno-petro-declara-el-42-del-territorio-nacional-como-reserva-intocable-para-mineria-y-petroleo-3576760</t>
        </is>
      </c>
    </row>
    <row r="319">
      <c r="A319" s="62" t="inlineStr">
        <is>
          <t>ART_296</t>
        </is>
      </c>
      <c r="B319" s="62" t="inlineStr">
        <is>
          <t>ART_296_S11</t>
        </is>
      </c>
      <c r="C319" s="62" t="inlineStr">
        <is>
          <t>El Tiempo</t>
        </is>
      </c>
      <c r="D319" s="62" t="inlineStr">
        <is>
          <t>Medio ambiente</t>
        </is>
      </c>
      <c r="E319" s="62" t="inlineStr">
        <is>
          <t>Noticia dura</t>
        </is>
      </c>
      <c r="F319" s="62" t="inlineStr">
        <is>
          <t>2026-08-06T18:04:09-05:00</t>
        </is>
      </c>
      <c r="G319" s="62" t="inlineStr">
        <is>
          <t>La decisión se apoya, además, en un antecedente judicial: en 2018 la Corte Suprema de Justicia reconoció a la Amazonía colombiana como "sujeto de derechos", titular de protección, conservación y restauración a cargo del Estado (sentencia STC4360-2018), y en 2025 la Corte Constitucional la calificó como "conjunto ecosistémico de especial protección constitucional" (Sentencia T-106 de 2025).</t>
        </is>
      </c>
      <c r="H319" s="62" t="inlineStr">
        <is>
          <t>En hidrocarburos, la Agencia Nacional de Hidrocarburos reportó 39 contratos vigentes: 22 en fase exploratoria (casi 1,5 millones de hectáreas), 13 en producción y 4 en evaluación.</t>
        </is>
      </c>
      <c r="I319" s="62" t="n"/>
      <c r="J319" s="62" t="n"/>
      <c r="K319" s="62" t="n"/>
      <c r="L319" s="62" t="n"/>
      <c r="M319" s="62" t="n"/>
      <c r="N319" s="62" t="n"/>
      <c r="O319" s="62" t="n"/>
      <c r="P319" s="62" t="n"/>
      <c r="Q319" s="62" t="n"/>
      <c r="R319" s="62" t="n"/>
      <c r="S319" s="62" t="n"/>
      <c r="T319" s="62" t="n"/>
      <c r="U319" s="62" t="n"/>
      <c r="V319" s="62" t="n"/>
      <c r="W319" s="62" t="n"/>
      <c r="X319" s="62" t="n"/>
      <c r="Y319" s="62" t="n"/>
      <c r="Z319" s="62" t="n"/>
      <c r="AA319" s="62" t="n"/>
      <c r="AB319" s="62" t="n"/>
      <c r="AC319" s="62" t="n"/>
      <c r="AD319" s="62" t="n"/>
      <c r="AE319" s="62" t="n"/>
      <c r="AF319" s="61">
        <f>IF(COUNTIF($B$5:B319,B319)=1,1,0)</f>
        <v/>
      </c>
      <c r="AG319" s="62" t="inlineStr">
        <is>
          <t>https://www.eltiempo.com/vida/medio-ambiente/a-horas-de-dejar-el-poder-gobierno-petro-declara-el-42-del-territorio-nacional-como-reserva-intocable-para-mineria-y-petroleo-3576760</t>
        </is>
      </c>
    </row>
    <row r="320">
      <c r="A320" s="62" t="inlineStr">
        <is>
          <t>ART_297</t>
        </is>
      </c>
      <c r="B320" s="62" t="inlineStr">
        <is>
          <t>ART_297_S01</t>
        </is>
      </c>
      <c r="C320" s="62" t="inlineStr">
        <is>
          <t>El Tiempo</t>
        </is>
      </c>
      <c r="D320" s="62" t="inlineStr">
        <is>
          <t>Medio ambiente</t>
        </is>
      </c>
      <c r="E320" s="62" t="inlineStr">
        <is>
          <t>Noticia dura</t>
        </is>
      </c>
      <c r="F320" s="62" t="inlineStr">
        <is>
          <t>2026-07-11T15:16:57-05:00</t>
        </is>
      </c>
      <c r="G320" s="62" t="inlineStr">
        <is>
          <t>Los ministerios de Minas y Energía y de Ambiente anunciaron que el próximo 20 de julio, durante la instalación del Congreso para el periodo constitucional 2026-2030, radicarán formalmente un proyecto de ley para prohibir el fracking en Colombia.</t>
        </is>
      </c>
      <c r="H320" s="62" t="n"/>
      <c r="I320" s="62" t="inlineStr">
        <is>
          <t>Esta iniciativa legislativa del Gobierno de Gustavo Petro busca prohibir de manera definitiva dicha práctica en el territorio nacional, fundamentándose en la existencia de "evidencia científica que advierte sobre los graves riesgos ambientales, sociales y de salud pública que conlleva".</t>
        </is>
      </c>
      <c r="J320" s="62" t="n"/>
      <c r="K320" s="62" t="n"/>
      <c r="L320" s="62" t="n"/>
      <c r="M320" s="62" t="n"/>
      <c r="N320" s="62" t="n"/>
      <c r="O320" s="62" t="n"/>
      <c r="P320" s="62" t="n"/>
      <c r="Q320" s="62" t="n"/>
      <c r="R320" s="62" t="n"/>
      <c r="S320" s="62" t="n"/>
      <c r="T320" s="62" t="n"/>
      <c r="U320" s="62" t="n"/>
      <c r="V320" s="62" t="n"/>
      <c r="W320" s="62" t="n"/>
      <c r="X320" s="62" t="n"/>
      <c r="Y320" s="62" t="n"/>
      <c r="Z320" s="62" t="n"/>
      <c r="AA320" s="62" t="n"/>
      <c r="AB320" s="62" t="n"/>
      <c r="AC320" s="62" t="n"/>
      <c r="AD320" s="62" t="n"/>
      <c r="AE320" s="62" t="n"/>
      <c r="AF320" s="61">
        <f>IF(COUNTIF($B$5:B320,B320)=1,1,0)</f>
        <v/>
      </c>
      <c r="AG320" s="62" t="inlineStr">
        <is>
          <t>https://www.eltiempo.com/economia/sectores/gobierno-petro-radicara-un-proyecto-de-ley-el-proximo-20-de-julio-para-prohibir-el-fracking-en-colombia-3570706</t>
        </is>
      </c>
    </row>
    <row r="321">
      <c r="A321" s="62" t="inlineStr">
        <is>
          <t>ART_297</t>
        </is>
      </c>
      <c r="B321" s="62" t="inlineStr">
        <is>
          <t>ART_297_S02</t>
        </is>
      </c>
      <c r="C321" s="62" t="inlineStr">
        <is>
          <t>El Tiempo</t>
        </is>
      </c>
      <c r="D321" s="62" t="inlineStr">
        <is>
          <t>Medio ambiente</t>
        </is>
      </c>
      <c r="E321" s="62" t="inlineStr">
        <is>
          <t>Noticia dura</t>
        </is>
      </c>
      <c r="F321" s="62" t="inlineStr">
        <is>
          <t>2026-07-11T15:16:57-05:00</t>
        </is>
      </c>
      <c r="G321" s="62" t="inlineStr">
        <is>
          <t>Esta iniciativa legislativa del Gobierno de Gustavo Petro busca prohibir de manera definitiva dicha práctica en el territorio nacional, fundamentándose en la existencia de "evidencia científica que advierte sobre los graves riesgos ambientales, sociales y de salud pública que conlleva".</t>
        </is>
      </c>
      <c r="H321" s="62" t="inlineStr">
        <is>
          <t>Los ministerios de Minas y Energía y de Ambiente anunciaron que el próximo 20 de julio, durante la instalación del Congreso para el periodo constitucional 2026-2030, radicarán formalmente un proyecto de ley para prohibir el fracking en Colombia.</t>
        </is>
      </c>
      <c r="I321" s="62" t="n"/>
      <c r="J321" s="62" t="n"/>
      <c r="K321" s="62" t="n"/>
      <c r="L321" s="62" t="n"/>
      <c r="M321" s="62" t="n"/>
      <c r="N321" s="62" t="n"/>
      <c r="O321" s="62" t="n"/>
      <c r="P321" s="62" t="n"/>
      <c r="Q321" s="62" t="n"/>
      <c r="R321" s="62" t="n"/>
      <c r="S321" s="62" t="n"/>
      <c r="T321" s="62" t="n"/>
      <c r="U321" s="62" t="n"/>
      <c r="V321" s="62" t="n"/>
      <c r="W321" s="62" t="n"/>
      <c r="X321" s="62" t="n"/>
      <c r="Y321" s="62" t="n"/>
      <c r="Z321" s="62" t="n"/>
      <c r="AA321" s="62" t="n"/>
      <c r="AB321" s="62" t="n"/>
      <c r="AC321" s="62" t="n"/>
      <c r="AD321" s="62" t="n"/>
      <c r="AE321" s="62" t="n"/>
      <c r="AF321" s="61">
        <f>IF(COUNTIF($B$5:B321,B321)=1,1,0)</f>
        <v/>
      </c>
      <c r="AG321" s="62" t="inlineStr">
        <is>
          <t>https://www.eltiempo.com/economia/sectores/gobierno-petro-radicara-un-proyecto-de-ley-el-proximo-20-de-julio-para-prohibir-el-fracking-en-colombia-3570706</t>
        </is>
      </c>
    </row>
    <row r="322">
      <c r="A322" s="62" t="inlineStr">
        <is>
          <t>ART_302</t>
        </is>
      </c>
      <c r="B322" s="62" t="inlineStr">
        <is>
          <t>ART_302_S01</t>
        </is>
      </c>
      <c r="C322" s="62" t="inlineStr">
        <is>
          <t>El Espectador</t>
        </is>
      </c>
      <c r="D322" s="62" t="inlineStr">
        <is>
          <t>Medio ambiente</t>
        </is>
      </c>
      <c r="E322" s="62" t="inlineStr">
        <is>
          <t>Noticia dura</t>
        </is>
      </c>
      <c r="F322" s="62" t="inlineStr">
        <is>
          <t>2026-01-05T17:23:21-05:00</t>
        </is>
      </c>
      <c r="G322" s="62" t="inlineStr">
        <is>
          <t>El proyecto minero que Best Coal Company planeaba en San Juan del Cesar ya tenía dos solicitudes archivadas por la ANLA.</t>
        </is>
      </c>
      <c r="H322" s="62" t="n"/>
      <c r="I322" s="62" t="inlineStr">
        <is>
          <t>Ahora, la autoridad ambiental regional también la rechazó.</t>
        </is>
      </c>
      <c r="J322" s="62" t="n"/>
      <c r="K322" s="62" t="n"/>
      <c r="L322" s="62" t="n"/>
      <c r="M322" s="62" t="n"/>
      <c r="N322" s="62" t="n"/>
      <c r="O322" s="62" t="n"/>
      <c r="P322" s="62" t="n"/>
      <c r="Q322" s="62" t="n"/>
      <c r="R322" s="62" t="n"/>
      <c r="S322" s="62" t="n"/>
      <c r="T322" s="62" t="n"/>
      <c r="U322" s="62" t="n"/>
      <c r="V322" s="62" t="n"/>
      <c r="W322" s="62" t="n"/>
      <c r="X322" s="62" t="n"/>
      <c r="Y322" s="62" t="n"/>
      <c r="Z322" s="62" t="n"/>
      <c r="AA322" s="62" t="n"/>
      <c r="AB322" s="62" t="n"/>
      <c r="AC322" s="62" t="n"/>
      <c r="AD322" s="62" t="n"/>
      <c r="AE322" s="62" t="n"/>
      <c r="AF322" s="61">
        <f>IF(COUNTIF($B$5:B322,B322)=1,1,0)</f>
        <v/>
      </c>
      <c r="AG322" s="62" t="inlineStr">
        <is>
          <t>https://www.elespectador.com/ambiente/niegan-licencia-ambiental-a-la-mina-de-carbon-que-querian-abrir-en-la-guajira/</t>
        </is>
      </c>
    </row>
    <row r="323">
      <c r="A323" s="62" t="inlineStr">
        <is>
          <t>ART_302</t>
        </is>
      </c>
      <c r="B323" s="62" t="inlineStr">
        <is>
          <t>ART_302_S02</t>
        </is>
      </c>
      <c r="C323" s="62" t="inlineStr">
        <is>
          <t>El Espectador</t>
        </is>
      </c>
      <c r="D323" s="62" t="inlineStr">
        <is>
          <t>Medio ambiente</t>
        </is>
      </c>
      <c r="E323" s="62" t="inlineStr">
        <is>
          <t>Noticia dura</t>
        </is>
      </c>
      <c r="F323" s="62" t="inlineStr">
        <is>
          <t>2026-01-05T17:23:21-05:00</t>
        </is>
      </c>
      <c r="G323" s="62" t="inlineStr">
        <is>
          <t>Ahora, la autoridad ambiental regional también la rechazó.</t>
        </is>
      </c>
      <c r="H323" s="62" t="inlineStr">
        <is>
          <t>El proyecto minero que Best Coal Company planeaba en San Juan del Cesar ya tenía dos solicitudes archivadas por la ANLA.</t>
        </is>
      </c>
      <c r="I323" s="62" t="inlineStr">
        <is>
          <t>El Manantial de Cañaverales se encuentra a menos de dos kilómetros del lugar en donde se construiría la mina.</t>
        </is>
      </c>
      <c r="J323" s="62" t="n"/>
      <c r="K323" s="62" t="n"/>
      <c r="L323" s="62" t="n"/>
      <c r="M323" s="62" t="n"/>
      <c r="N323" s="62" t="n"/>
      <c r="O323" s="62" t="n"/>
      <c r="P323" s="62" t="n"/>
      <c r="Q323" s="62" t="n"/>
      <c r="R323" s="62" t="n"/>
      <c r="S323" s="62" t="n"/>
      <c r="T323" s="62" t="n"/>
      <c r="U323" s="62" t="n"/>
      <c r="V323" s="62" t="n"/>
      <c r="W323" s="62" t="n"/>
      <c r="X323" s="62" t="n"/>
      <c r="Y323" s="62" t="n"/>
      <c r="Z323" s="62" t="n"/>
      <c r="AA323" s="62" t="n"/>
      <c r="AB323" s="62" t="n"/>
      <c r="AC323" s="62" t="n"/>
      <c r="AD323" s="62" t="n"/>
      <c r="AE323" s="62" t="n"/>
      <c r="AF323" s="61">
        <f>IF(COUNTIF($B$5:B323,B323)=1,1,0)</f>
        <v/>
      </c>
      <c r="AG323" s="62" t="inlineStr">
        <is>
          <t>https://www.elespectador.com/ambiente/niegan-licencia-ambiental-a-la-mina-de-carbon-que-querian-abrir-en-la-guajira/</t>
        </is>
      </c>
    </row>
    <row r="324">
      <c r="A324" s="62" t="inlineStr">
        <is>
          <t>ART_302</t>
        </is>
      </c>
      <c r="B324" s="62" t="inlineStr">
        <is>
          <t>ART_302_S03</t>
        </is>
      </c>
      <c r="C324" s="62" t="inlineStr">
        <is>
          <t>El Espectador</t>
        </is>
      </c>
      <c r="D324" s="62" t="inlineStr">
        <is>
          <t>Medio ambiente</t>
        </is>
      </c>
      <c r="E324" s="62" t="inlineStr">
        <is>
          <t>Noticia dura</t>
        </is>
      </c>
      <c r="F324" s="62" t="inlineStr">
        <is>
          <t>2026-01-05T17:23:21-05:00</t>
        </is>
      </c>
      <c r="G324" s="62" t="inlineStr">
        <is>
          <t>El Manantial de Cañaverales se encuentra a menos de dos kilómetros del lugar en donde se construiría la mina.</t>
        </is>
      </c>
      <c r="H324" s="62" t="inlineStr">
        <is>
          <t>Ahora, la autoridad ambiental regional también la rechazó.</t>
        </is>
      </c>
      <c r="I324" s="62" t="inlineStr">
        <is>
          <t>Corpoguajira acaba de hacer pública su decisión de negar la solicitud de licencia ambiental al proyecto minero de Cañaverales, una mina de carbón a cielo abierto que Best Coal Company buscaba abrir en San Juan del Cesar, La Guajira.</t>
        </is>
      </c>
      <c r="J324" s="62" t="n"/>
      <c r="K324" s="62" t="n"/>
      <c r="L324" s="62" t="n"/>
      <c r="M324" s="62" t="n"/>
      <c r="N324" s="62" t="n"/>
      <c r="O324" s="62" t="n"/>
      <c r="P324" s="62" t="n"/>
      <c r="Q324" s="62" t="n"/>
      <c r="R324" s="62" t="n"/>
      <c r="S324" s="62" t="n"/>
      <c r="T324" s="62" t="n"/>
      <c r="U324" s="62" t="n"/>
      <c r="V324" s="62" t="n"/>
      <c r="W324" s="62" t="n"/>
      <c r="X324" s="62" t="n"/>
      <c r="Y324" s="62" t="n"/>
      <c r="Z324" s="62" t="n"/>
      <c r="AA324" s="62" t="n"/>
      <c r="AB324" s="62" t="n"/>
      <c r="AC324" s="62" t="n"/>
      <c r="AD324" s="62" t="n"/>
      <c r="AE324" s="62" t="n"/>
      <c r="AF324" s="61">
        <f>IF(COUNTIF($B$5:B324,B324)=1,1,0)</f>
        <v/>
      </c>
      <c r="AG324" s="62" t="inlineStr">
        <is>
          <t>https://www.elespectador.com/ambiente/niegan-licencia-ambiental-a-la-mina-de-carbon-que-querian-abrir-en-la-guajira/</t>
        </is>
      </c>
    </row>
    <row r="325">
      <c r="A325" s="62" t="inlineStr">
        <is>
          <t>ART_302</t>
        </is>
      </c>
      <c r="B325" s="62" t="inlineStr">
        <is>
          <t>ART_302_S04</t>
        </is>
      </c>
      <c r="C325" s="62" t="inlineStr">
        <is>
          <t>El Espectador</t>
        </is>
      </c>
      <c r="D325" s="62" t="inlineStr">
        <is>
          <t>Medio ambiente</t>
        </is>
      </c>
      <c r="E325" s="62" t="inlineStr">
        <is>
          <t>Noticia dura</t>
        </is>
      </c>
      <c r="F325" s="62" t="inlineStr">
        <is>
          <t>2026-01-05T17:23:21-05:00</t>
        </is>
      </c>
      <c r="G325" s="62" t="inlineStr">
        <is>
          <t>Corpoguajira acaba de hacer pública su decisión de negar la solicitud de licencia ambiental al proyecto minero de Cañaverales, una mina de carbón a cielo abierto que Best Coal Company buscaba abrir en San Juan del Cesar, La Guajira.</t>
        </is>
      </c>
      <c r="H325" s="62" t="inlineStr">
        <is>
          <t>El Manantial de Cañaverales se encuentra a menos de dos kilómetros del lugar en donde se construiría la mina.</t>
        </is>
      </c>
      <c r="I325" s="62"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J325" s="62" t="n"/>
      <c r="K325" s="62" t="n"/>
      <c r="L325" s="62" t="n"/>
      <c r="M325" s="62" t="n"/>
      <c r="N325" s="62" t="n"/>
      <c r="O325" s="62" t="n"/>
      <c r="P325" s="62" t="n"/>
      <c r="Q325" s="62" t="n"/>
      <c r="R325" s="62" t="n"/>
      <c r="S325" s="62" t="n"/>
      <c r="T325" s="62" t="n"/>
      <c r="U325" s="62" t="n"/>
      <c r="V325" s="62" t="n"/>
      <c r="W325" s="62" t="n"/>
      <c r="X325" s="62" t="n"/>
      <c r="Y325" s="62" t="n"/>
      <c r="Z325" s="62" t="n"/>
      <c r="AA325" s="62" t="n"/>
      <c r="AB325" s="62" t="n"/>
      <c r="AC325" s="62" t="n"/>
      <c r="AD325" s="62" t="n"/>
      <c r="AE325" s="62" t="n"/>
      <c r="AF325" s="61">
        <f>IF(COUNTIF($B$5:B325,B325)=1,1,0)</f>
        <v/>
      </c>
      <c r="AG325" s="62" t="inlineStr">
        <is>
          <t>https://www.elespectador.com/ambiente/niegan-licencia-ambiental-a-la-mina-de-carbon-que-querian-abrir-en-la-guajira/</t>
        </is>
      </c>
    </row>
    <row r="326">
      <c r="A326" s="62" t="inlineStr">
        <is>
          <t>ART_302</t>
        </is>
      </c>
      <c r="B326" s="62" t="inlineStr">
        <is>
          <t>ART_302_S05</t>
        </is>
      </c>
      <c r="C326" s="62" t="inlineStr">
        <is>
          <t>El Espectador</t>
        </is>
      </c>
      <c r="D326" s="62" t="inlineStr">
        <is>
          <t>Medio ambiente</t>
        </is>
      </c>
      <c r="E326" s="62" t="inlineStr">
        <is>
          <t>Noticia dura</t>
        </is>
      </c>
      <c r="F326" s="62" t="inlineStr">
        <is>
          <t>2026-01-05T17:23:21-05:00</t>
        </is>
      </c>
      <c r="G326" s="62"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H326" s="62" t="inlineStr">
        <is>
          <t>Corpoguajira acaba de hacer pública su decisión de negar la solicitud de licencia ambiental al proyecto minero de Cañaverales, una mina de carbón a cielo abierto que Best Coal Company buscaba abrir en San Juan del Cesar, La Guajira.</t>
        </is>
      </c>
      <c r="I326" s="62" t="inlineStr">
        <is>
          <t>La resolución con la que se formalizó la decisión fue emitida el pasado 26 de diciembre y Best Coal Company ya fue notificada, según confirmó la Corporación a este medio.</t>
        </is>
      </c>
      <c r="J326" s="62" t="n"/>
      <c r="K326" s="62" t="n"/>
      <c r="L326" s="62" t="n"/>
      <c r="M326" s="62" t="n"/>
      <c r="N326" s="62" t="n"/>
      <c r="O326" s="62" t="n"/>
      <c r="P326" s="62" t="n"/>
      <c r="Q326" s="62" t="n"/>
      <c r="R326" s="62" t="n"/>
      <c r="S326" s="62" t="n"/>
      <c r="T326" s="62" t="n"/>
      <c r="U326" s="62" t="n"/>
      <c r="V326" s="62" t="n"/>
      <c r="W326" s="62" t="n"/>
      <c r="X326" s="62" t="n"/>
      <c r="Y326" s="62" t="n"/>
      <c r="Z326" s="62" t="n"/>
      <c r="AA326" s="62" t="n"/>
      <c r="AB326" s="62" t="n"/>
      <c r="AC326" s="62" t="n"/>
      <c r="AD326" s="62" t="n"/>
      <c r="AE326" s="62" t="n"/>
      <c r="AF326" s="61">
        <f>IF(COUNTIF($B$5:B326,B326)=1,1,0)</f>
        <v/>
      </c>
      <c r="AG326" s="62" t="inlineStr">
        <is>
          <t>https://www.elespectador.com/ambiente/niegan-licencia-ambiental-a-la-mina-de-carbon-que-querian-abrir-en-la-guajira/</t>
        </is>
      </c>
    </row>
    <row r="327">
      <c r="A327" s="62" t="inlineStr">
        <is>
          <t>ART_302</t>
        </is>
      </c>
      <c r="B327" s="62" t="inlineStr">
        <is>
          <t>ART_302_S06</t>
        </is>
      </c>
      <c r="C327" s="62" t="inlineStr">
        <is>
          <t>El Espectador</t>
        </is>
      </c>
      <c r="D327" s="62" t="inlineStr">
        <is>
          <t>Medio ambiente</t>
        </is>
      </c>
      <c r="E327" s="62" t="inlineStr">
        <is>
          <t>Noticia dura</t>
        </is>
      </c>
      <c r="F327" s="62" t="inlineStr">
        <is>
          <t>2026-01-05T17:23:21-05:00</t>
        </is>
      </c>
      <c r="G327" s="62" t="inlineStr">
        <is>
          <t>La resolución con la que se formalizó la decisión fue emitida el pasado 26 de diciembre y Best Coal Company ya fue notificada, según confirmó la Corporación a este medio.</t>
        </is>
      </c>
      <c r="H327" s="62"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I327" s="62" t="n"/>
      <c r="J327" s="62" t="n"/>
      <c r="K327" s="62" t="n"/>
      <c r="L327" s="62" t="n"/>
      <c r="M327" s="62" t="n"/>
      <c r="N327" s="62" t="n"/>
      <c r="O327" s="62" t="n"/>
      <c r="P327" s="62" t="n"/>
      <c r="Q327" s="62" t="n"/>
      <c r="R327" s="62" t="n"/>
      <c r="S327" s="62" t="n"/>
      <c r="T327" s="62" t="n"/>
      <c r="U327" s="62" t="n"/>
      <c r="V327" s="62" t="n"/>
      <c r="W327" s="62" t="n"/>
      <c r="X327" s="62" t="n"/>
      <c r="Y327" s="62" t="n"/>
      <c r="Z327" s="62" t="n"/>
      <c r="AA327" s="62" t="n"/>
      <c r="AB327" s="62" t="n"/>
      <c r="AC327" s="62" t="n"/>
      <c r="AD327" s="62" t="n"/>
      <c r="AE327" s="62" t="n"/>
      <c r="AF327" s="61">
        <f>IF(COUNTIF($B$5:B327,B327)=1,1,0)</f>
        <v/>
      </c>
      <c r="AG327" s="62" t="inlineStr">
        <is>
          <t>https://www.elespectador.com/ambiente/niegan-licencia-ambiental-a-la-mina-de-carbon-que-querian-abrir-en-la-guajira/</t>
        </is>
      </c>
    </row>
    <row r="328">
      <c r="A328" s="62" t="inlineStr">
        <is>
          <t>ART_309</t>
        </is>
      </c>
      <c r="B328" s="62" t="inlineStr">
        <is>
          <t>ART_309_S01</t>
        </is>
      </c>
      <c r="C328" s="62" t="inlineStr">
        <is>
          <t>La Silla Vacía</t>
        </is>
      </c>
      <c r="D328" s="62" t="inlineStr">
        <is>
          <t>Medio ambiente</t>
        </is>
      </c>
      <c r="E328" s="62" t="inlineStr">
        <is>
          <t>Noticia dura</t>
        </is>
      </c>
      <c r="F328" s="62" t="inlineStr">
        <is>
          <t>2026-04-03T20:20:29+00:00</t>
        </is>
      </c>
      <c r="G328" s="62" t="inlineStr">
        <is>
          <t>El Instituto de Hidrología, Meteorología y Estudios Ambientales (Ideam) publicó esta semana su cuarto boletín trimestral de alertas tempranas de deforestación de 2025.</t>
        </is>
      </c>
      <c r="H328" s="62" t="n"/>
      <c r="I328" s="62" t="inlineStr">
        <is>
          <t>Según ese informe, la deforestación estimada en la Amazonía colombiana fue de 72.409 hectáreas en 2025, un 6% más que en 2024, cuando se estimaron 68.330 ha.</t>
        </is>
      </c>
      <c r="J328" s="62" t="n"/>
      <c r="K328" s="62" t="n"/>
      <c r="L328" s="62" t="n"/>
      <c r="M328" s="62" t="n"/>
      <c r="N328" s="62" t="n"/>
      <c r="O328" s="62" t="n"/>
      <c r="P328" s="62" t="n"/>
      <c r="Q328" s="62" t="n"/>
      <c r="R328" s="62" t="n"/>
      <c r="S328" s="62" t="n"/>
      <c r="T328" s="62" t="n"/>
      <c r="U328" s="62" t="n"/>
      <c r="V328" s="62" t="n"/>
      <c r="W328" s="62" t="n"/>
      <c r="X328" s="62" t="n"/>
      <c r="Y328" s="62" t="n"/>
      <c r="Z328" s="62" t="n"/>
      <c r="AA328" s="62" t="n"/>
      <c r="AB328" s="62" t="n"/>
      <c r="AC328" s="62" t="n"/>
      <c r="AD328" s="62" t="n"/>
      <c r="AE328" s="62" t="n"/>
      <c r="AF328" s="61">
        <f>IF(COUNTIF($B$5:B328,B328)=1,1,0)</f>
        <v/>
      </c>
      <c r="AG328" s="62" t="inlineStr">
        <is>
          <t>https://www.lasillavacia.com/en-vivo/deforestacion-en-la-amazonia-aumento-6-en-2025/</t>
        </is>
      </c>
    </row>
    <row r="329">
      <c r="A329" s="62" t="inlineStr">
        <is>
          <t>ART_309</t>
        </is>
      </c>
      <c r="B329" s="62" t="inlineStr">
        <is>
          <t>ART_309_S02</t>
        </is>
      </c>
      <c r="C329" s="62" t="inlineStr">
        <is>
          <t>La Silla Vacía</t>
        </is>
      </c>
      <c r="D329" s="62" t="inlineStr">
        <is>
          <t>Medio ambiente</t>
        </is>
      </c>
      <c r="E329" s="62" t="inlineStr">
        <is>
          <t>Noticia dura</t>
        </is>
      </c>
      <c r="F329" s="62" t="inlineStr">
        <is>
          <t>2026-04-03T20:20:29+00:00</t>
        </is>
      </c>
      <c r="G329" s="62" t="inlineStr">
        <is>
          <t>Según ese informe, la deforestación estimada en la Amazonía colombiana fue de 72.409 hectáreas en 2025, un 6% más que en 2024, cuando se estimaron 68.330 ha.</t>
        </is>
      </c>
      <c r="H329" s="62" t="inlineStr">
        <is>
          <t>El Instituto de Hidrología, Meteorología y Estudios Ambientales (Ideam) publicó esta semana su cuarto boletín trimestral de alertas tempranas de deforestación de 2025.</t>
        </is>
      </c>
      <c r="I329" s="62" t="inlineStr">
        <is>
          <t>La cifra definitiva saldrá en el mes de julio de este año.</t>
        </is>
      </c>
      <c r="J329" s="62" t="n"/>
      <c r="K329" s="62" t="n"/>
      <c r="L329" s="62" t="n"/>
      <c r="M329" s="62" t="n"/>
      <c r="N329" s="62" t="n"/>
      <c r="O329" s="62" t="n"/>
      <c r="P329" s="62" t="n"/>
      <c r="Q329" s="62" t="n"/>
      <c r="R329" s="62" t="n"/>
      <c r="S329" s="62" t="n"/>
      <c r="T329" s="62" t="n"/>
      <c r="U329" s="62" t="n"/>
      <c r="V329" s="62" t="n"/>
      <c r="W329" s="62" t="n"/>
      <c r="X329" s="62" t="n"/>
      <c r="Y329" s="62" t="n"/>
      <c r="Z329" s="62" t="n"/>
      <c r="AA329" s="62" t="n"/>
      <c r="AB329" s="62" t="n"/>
      <c r="AC329" s="62" t="n"/>
      <c r="AD329" s="62" t="n"/>
      <c r="AE329" s="62" t="n"/>
      <c r="AF329" s="61">
        <f>IF(COUNTIF($B$5:B329,B329)=1,1,0)</f>
        <v/>
      </c>
      <c r="AG329" s="62" t="inlineStr">
        <is>
          <t>https://www.lasillavacia.com/en-vivo/deforestacion-en-la-amazonia-aumento-6-en-2025/</t>
        </is>
      </c>
    </row>
    <row r="330">
      <c r="A330" s="62" t="inlineStr">
        <is>
          <t>ART_309</t>
        </is>
      </c>
      <c r="B330" s="62" t="inlineStr">
        <is>
          <t>ART_309_S03</t>
        </is>
      </c>
      <c r="C330" s="62" t="inlineStr">
        <is>
          <t>La Silla Vacía</t>
        </is>
      </c>
      <c r="D330" s="62" t="inlineStr">
        <is>
          <t>Medio ambiente</t>
        </is>
      </c>
      <c r="E330" s="62" t="inlineStr">
        <is>
          <t>Noticia dura</t>
        </is>
      </c>
      <c r="F330" s="62" t="inlineStr">
        <is>
          <t>2026-04-03T20:20:29+00:00</t>
        </is>
      </c>
      <c r="G330" s="62" t="inlineStr">
        <is>
          <t>La cifra definitiva saldrá en el mes de julio de este año.</t>
        </is>
      </c>
      <c r="H330" s="62" t="inlineStr">
        <is>
          <t>Según ese informe, la deforestación estimada en la Amazonía colombiana fue de 72.409 hectáreas en 2025, un 6% más que en 2024, cuando se estimaron 68.330 ha.</t>
        </is>
      </c>
      <c r="I330" s="62" t="inlineStr">
        <is>
          <t>El año pasado originalmente se estimó un aumento del 54%, pero el definitivo fue 20 puntos porcentuales más (74%).</t>
        </is>
      </c>
      <c r="J330" s="62" t="n"/>
      <c r="K330" s="62" t="n"/>
      <c r="L330" s="62" t="n"/>
      <c r="M330" s="62" t="n"/>
      <c r="N330" s="62" t="n"/>
      <c r="O330" s="62" t="n"/>
      <c r="P330" s="62" t="n"/>
      <c r="Q330" s="62" t="n"/>
      <c r="R330" s="62" t="n"/>
      <c r="S330" s="62" t="n"/>
      <c r="T330" s="62" t="n"/>
      <c r="U330" s="62" t="n"/>
      <c r="V330" s="62" t="n"/>
      <c r="W330" s="62" t="n"/>
      <c r="X330" s="62" t="n"/>
      <c r="Y330" s="62" t="n"/>
      <c r="Z330" s="62" t="n"/>
      <c r="AA330" s="62" t="n"/>
      <c r="AB330" s="62" t="n"/>
      <c r="AC330" s="62" t="n"/>
      <c r="AD330" s="62" t="n"/>
      <c r="AE330" s="62" t="n"/>
      <c r="AF330" s="61">
        <f>IF(COUNTIF($B$5:B330,B330)=1,1,0)</f>
        <v/>
      </c>
      <c r="AG330" s="62" t="inlineStr">
        <is>
          <t>https://www.lasillavacia.com/en-vivo/deforestacion-en-la-amazonia-aumento-6-en-2025/</t>
        </is>
      </c>
    </row>
    <row r="331">
      <c r="A331" s="62" t="inlineStr">
        <is>
          <t>ART_309</t>
        </is>
      </c>
      <c r="B331" s="62" t="inlineStr">
        <is>
          <t>ART_309_S04</t>
        </is>
      </c>
      <c r="C331" s="62" t="inlineStr">
        <is>
          <t>La Silla Vacía</t>
        </is>
      </c>
      <c r="D331" s="62" t="inlineStr">
        <is>
          <t>Medio ambiente</t>
        </is>
      </c>
      <c r="E331" s="62" t="inlineStr">
        <is>
          <t>Noticia dura</t>
        </is>
      </c>
      <c r="F331" s="62" t="inlineStr">
        <is>
          <t>2026-04-03T20:20:29+00:00</t>
        </is>
      </c>
      <c r="G331" s="62" t="inlineStr">
        <is>
          <t>El año pasado originalmente se estimó un aumento del 54%, pero el definitivo fue 20 puntos porcentuales más (74%).</t>
        </is>
      </c>
      <c r="H331" s="62" t="inlineStr">
        <is>
          <t>La cifra definitiva saldrá en el mes de julio de este año.</t>
        </is>
      </c>
      <c r="I331" s="62" t="inlineStr">
        <is>
          <t>El cuarto trimestre disparó las cifras.</t>
        </is>
      </c>
      <c r="J331" s="62" t="n"/>
      <c r="K331" s="62" t="n"/>
      <c r="L331" s="62" t="n"/>
      <c r="M331" s="62" t="n"/>
      <c r="N331" s="62" t="n"/>
      <c r="O331" s="62" t="n"/>
      <c r="P331" s="62" t="n"/>
      <c r="Q331" s="62" t="n"/>
      <c r="R331" s="62" t="n"/>
      <c r="S331" s="62" t="n"/>
      <c r="T331" s="62" t="n"/>
      <c r="U331" s="62" t="n"/>
      <c r="V331" s="62" t="n"/>
      <c r="W331" s="62" t="n"/>
      <c r="X331" s="62" t="n"/>
      <c r="Y331" s="62" t="n"/>
      <c r="Z331" s="62" t="n"/>
      <c r="AA331" s="62" t="n"/>
      <c r="AB331" s="62" t="n"/>
      <c r="AC331" s="62" t="n"/>
      <c r="AD331" s="62" t="n"/>
      <c r="AE331" s="62" t="n"/>
      <c r="AF331" s="61">
        <f>IF(COUNTIF($B$5:B331,B331)=1,1,0)</f>
        <v/>
      </c>
      <c r="AG331" s="62" t="inlineStr">
        <is>
          <t>https://www.lasillavacia.com/en-vivo/deforestacion-en-la-amazonia-aumento-6-en-2025/</t>
        </is>
      </c>
    </row>
    <row r="332">
      <c r="A332" s="62" t="inlineStr">
        <is>
          <t>ART_309</t>
        </is>
      </c>
      <c r="B332" s="62" t="inlineStr">
        <is>
          <t>ART_309_S05</t>
        </is>
      </c>
      <c r="C332" s="62" t="inlineStr">
        <is>
          <t>La Silla Vacía</t>
        </is>
      </c>
      <c r="D332" s="62" t="inlineStr">
        <is>
          <t>Medio ambiente</t>
        </is>
      </c>
      <c r="E332" s="62" t="inlineStr">
        <is>
          <t>Noticia dura</t>
        </is>
      </c>
      <c r="F332" s="62" t="inlineStr">
        <is>
          <t>2026-04-03T20:20:29+00:00</t>
        </is>
      </c>
      <c r="G332" s="62" t="inlineStr">
        <is>
          <t>El cuarto trimestre disparó las cifras.</t>
        </is>
      </c>
      <c r="H332" s="62" t="inlineStr">
        <is>
          <t>El año pasado originalmente se estimó un aumento del 54%, pero el definitivo fue 20 puntos porcentuales más (74%).</t>
        </is>
      </c>
      <c r="I332" s="62" t="inlineStr">
        <is>
          <t>La deforestación entre enero y septiembre de 2025 (36.280 hectáreas) había sido menor 25% frente al mismo período en 2024 (48.532).</t>
        </is>
      </c>
      <c r="J332" s="62" t="n"/>
      <c r="K332" s="62" t="n"/>
      <c r="L332" s="62" t="n"/>
      <c r="M332" s="62" t="n"/>
      <c r="N332" s="62" t="n"/>
      <c r="O332" s="62" t="n"/>
      <c r="P332" s="62" t="n"/>
      <c r="Q332" s="62" t="n"/>
      <c r="R332" s="62" t="n"/>
      <c r="S332" s="62" t="n"/>
      <c r="T332" s="62" t="n"/>
      <c r="U332" s="62" t="n"/>
      <c r="V332" s="62" t="n"/>
      <c r="W332" s="62" t="n"/>
      <c r="X332" s="62" t="n"/>
      <c r="Y332" s="62" t="n"/>
      <c r="Z332" s="62" t="n"/>
      <c r="AA332" s="62" t="n"/>
      <c r="AB332" s="62" t="n"/>
      <c r="AC332" s="62" t="n"/>
      <c r="AD332" s="62" t="n"/>
      <c r="AE332" s="62" t="n"/>
      <c r="AF332" s="61">
        <f>IF(COUNTIF($B$5:B332,B332)=1,1,0)</f>
        <v/>
      </c>
      <c r="AG332" s="62" t="inlineStr">
        <is>
          <t>https://www.lasillavacia.com/en-vivo/deforestacion-en-la-amazonia-aumento-6-en-2025/</t>
        </is>
      </c>
    </row>
    <row r="333">
      <c r="A333" s="62" t="inlineStr">
        <is>
          <t>ART_309</t>
        </is>
      </c>
      <c r="B333" s="62" t="inlineStr">
        <is>
          <t>ART_309_S06</t>
        </is>
      </c>
      <c r="C333" s="62" t="inlineStr">
        <is>
          <t>La Silla Vacía</t>
        </is>
      </c>
      <c r="D333" s="62" t="inlineStr">
        <is>
          <t>Medio ambiente</t>
        </is>
      </c>
      <c r="E333" s="62" t="inlineStr">
        <is>
          <t>Noticia dura</t>
        </is>
      </c>
      <c r="F333" s="62" t="inlineStr">
        <is>
          <t>2026-04-03T20:20:29+00:00</t>
        </is>
      </c>
      <c r="G333" s="62" t="inlineStr">
        <is>
          <t>La deforestación entre enero y septiembre de 2025 (36.280 hectáreas) había sido menor 25% frente al mismo período en 2024 (48.532).</t>
        </is>
      </c>
      <c r="H333" s="62" t="inlineStr">
        <is>
          <t>El cuarto trimestre disparó las cifras.</t>
        </is>
      </c>
      <c r="I333" s="62" t="inlineStr">
        <is>
          <t>Pero en 2025 el aumento se concentró entre octubre y diciembre, cuando se perdieron 36.129 hectáreas, casi lo mismo que el resto de los otros nueve meses y 16.330 más que en el mismo período de 2024.</t>
        </is>
      </c>
      <c r="J333" s="62" t="n"/>
      <c r="K333" s="62" t="n"/>
      <c r="L333" s="62" t="n"/>
      <c r="M333" s="62" t="n"/>
      <c r="N333" s="62" t="n"/>
      <c r="O333" s="62" t="n"/>
      <c r="P333" s="62" t="n"/>
      <c r="Q333" s="62" t="n"/>
      <c r="R333" s="62" t="n"/>
      <c r="S333" s="62" t="n"/>
      <c r="T333" s="62" t="n"/>
      <c r="U333" s="62" t="n"/>
      <c r="V333" s="62" t="n"/>
      <c r="W333" s="62" t="n"/>
      <c r="X333" s="62" t="n"/>
      <c r="Y333" s="62" t="n"/>
      <c r="Z333" s="62" t="n"/>
      <c r="AA333" s="62" t="n"/>
      <c r="AB333" s="62" t="n"/>
      <c r="AC333" s="62" t="n"/>
      <c r="AD333" s="62" t="n"/>
      <c r="AE333" s="62" t="n"/>
      <c r="AF333" s="61">
        <f>IF(COUNTIF($B$5:B333,B333)=1,1,0)</f>
        <v/>
      </c>
      <c r="AG333" s="62" t="inlineStr">
        <is>
          <t>https://www.lasillavacia.com/en-vivo/deforestacion-en-la-amazonia-aumento-6-en-2025/</t>
        </is>
      </c>
    </row>
    <row r="334">
      <c r="A334" s="62" t="inlineStr">
        <is>
          <t>ART_309</t>
        </is>
      </c>
      <c r="B334" s="62" t="inlineStr">
        <is>
          <t>ART_309_S07</t>
        </is>
      </c>
      <c r="C334" s="62" t="inlineStr">
        <is>
          <t>La Silla Vacía</t>
        </is>
      </c>
      <c r="D334" s="62" t="inlineStr">
        <is>
          <t>Medio ambiente</t>
        </is>
      </c>
      <c r="E334" s="62" t="inlineStr">
        <is>
          <t>Noticia dura</t>
        </is>
      </c>
      <c r="F334" s="62" t="inlineStr">
        <is>
          <t>2026-04-03T20:20:29+00:00</t>
        </is>
      </c>
      <c r="G334" s="62" t="inlineStr">
        <is>
          <t>Pero en 2025 el aumento se concentró entre octubre y diciembre, cuando se perdieron 36.129 hectáreas, casi lo mismo que el resto de los otros nueve meses y 16.330 más que en el mismo período de 2024.</t>
        </is>
      </c>
      <c r="H334" s="62" t="inlineStr">
        <is>
          <t>La deforestación entre enero y septiembre de 2025 (36.280 hectáreas) había sido menor 25% frente al mismo período en 2024 (48.532).</t>
        </is>
      </c>
      <c r="I334" s="62" t="n"/>
      <c r="J334" s="62" t="n"/>
      <c r="K334" s="62" t="n"/>
      <c r="L334" s="62" t="n"/>
      <c r="M334" s="62" t="n"/>
      <c r="N334" s="62" t="n"/>
      <c r="O334" s="62" t="n"/>
      <c r="P334" s="62" t="n"/>
      <c r="Q334" s="62" t="n"/>
      <c r="R334" s="62" t="n"/>
      <c r="S334" s="62" t="n"/>
      <c r="T334" s="62" t="n"/>
      <c r="U334" s="62" t="n"/>
      <c r="V334" s="62" t="n"/>
      <c r="W334" s="62" t="n"/>
      <c r="X334" s="62" t="n"/>
      <c r="Y334" s="62" t="n"/>
      <c r="Z334" s="62" t="n"/>
      <c r="AA334" s="62" t="n"/>
      <c r="AB334" s="62" t="n"/>
      <c r="AC334" s="62" t="n"/>
      <c r="AD334" s="62" t="n"/>
      <c r="AE334" s="62" t="n"/>
      <c r="AF334" s="61">
        <f>IF(COUNTIF($B$5:B334,B334)=1,1,0)</f>
        <v/>
      </c>
      <c r="AG334" s="62" t="inlineStr">
        <is>
          <t>https://www.lasillavacia.com/en-vivo/deforestacion-en-la-amazonia-aumento-6-en-2025/</t>
        </is>
      </c>
    </row>
    <row r="335">
      <c r="A335" s="62" t="inlineStr">
        <is>
          <t>ART_317</t>
        </is>
      </c>
      <c r="B335" s="62" t="inlineStr">
        <is>
          <t>ART_317_S01</t>
        </is>
      </c>
      <c r="C335" s="62" t="inlineStr">
        <is>
          <t>Semana</t>
        </is>
      </c>
      <c r="D335" s="62" t="inlineStr">
        <is>
          <t>Medio ambiente</t>
        </is>
      </c>
      <c r="E335" s="62" t="inlineStr">
        <is>
          <t>Noticia dura</t>
        </is>
      </c>
      <c r="F335" s="62" t="inlineStr">
        <is>
          <t>2026-06-03T11:48:50-05:00</t>
        </is>
      </c>
      <c r="G335" s="62" t="inlineStr">
        <is>
          <t>A 18 días de que el país viva la segunda vuelta presidencial entre el candidato Abelardo de la Espriella y el aspirante del Pacto Histórico Iván Cepeda, el presidente de la República, Gustavo Petro, publicó un mensaje con el que agitó las redes sociales.</t>
        </is>
      </c>
      <c r="H335" s="62" t="n"/>
      <c r="I335" s="62" t="inlineStr">
        <is>
          <t>En la publicación que hizo en su cuenta personal de X, el mandatario colombiano arremetió con dureza en contra de la práctica del fracking, el cual consiste en extraer petróleo y gas natural del subsuelo.</t>
        </is>
      </c>
      <c r="J335" s="62" t="n"/>
      <c r="K335" s="62" t="n"/>
      <c r="L335" s="62" t="n"/>
      <c r="M335" s="62" t="n"/>
      <c r="N335" s="62" t="n"/>
      <c r="O335" s="62" t="n"/>
      <c r="P335" s="62" t="n"/>
      <c r="Q335" s="62" t="n"/>
      <c r="R335" s="62" t="n"/>
      <c r="S335" s="62" t="n"/>
      <c r="T335" s="62" t="n"/>
      <c r="U335" s="62" t="n"/>
      <c r="V335" s="62" t="n"/>
      <c r="W335" s="62" t="n"/>
      <c r="X335" s="62" t="n"/>
      <c r="Y335" s="62" t="n"/>
      <c r="Z335" s="62" t="n"/>
      <c r="AA335" s="62" t="n"/>
      <c r="AB335" s="62" t="n"/>
      <c r="AC335" s="62" t="n"/>
      <c r="AD335" s="62" t="n"/>
      <c r="AE335" s="62" t="n"/>
      <c r="AF335" s="61">
        <f>IF(COUNTIF($B$5:B335,B335)=1,1,0)</f>
        <v/>
      </c>
      <c r="AG335" s="62" t="inlineStr">
        <is>
          <t>https://www.semana.com/politica/articulo/gustavo-petro-abrio-el-debate-contra-el-fracking-de-cara-a-la-segunda-vuelta-presidencial-se-los-digo-de-todo-corazon/202628/</t>
        </is>
      </c>
    </row>
    <row r="336">
      <c r="A336" s="62" t="inlineStr">
        <is>
          <t>ART_317</t>
        </is>
      </c>
      <c r="B336" s="62" t="inlineStr">
        <is>
          <t>ART_317_S02</t>
        </is>
      </c>
      <c r="C336" s="62" t="inlineStr">
        <is>
          <t>Semana</t>
        </is>
      </c>
      <c r="D336" s="62" t="inlineStr">
        <is>
          <t>Medio ambiente</t>
        </is>
      </c>
      <c r="E336" s="62" t="inlineStr">
        <is>
          <t>Noticia dura</t>
        </is>
      </c>
      <c r="F336" s="62" t="inlineStr">
        <is>
          <t>2026-06-03T11:48:50-05:00</t>
        </is>
      </c>
      <c r="G336" s="62" t="inlineStr">
        <is>
          <t>En la publicación que hizo en su cuenta personal de X, el mandatario colombiano arremetió con dureza en contra de la práctica del fracking, el cual consiste en extraer petróleo y gas natural del subsuelo.</t>
        </is>
      </c>
      <c r="H336" s="62" t="inlineStr">
        <is>
          <t>A 18 días de que el país viva la segunda vuelta presidencial entre el candidato Abelardo de la Espriella y el aspirante del Pacto Histórico Iván Cepeda, el presidente de la República, Gustavo Petro, publicó un mensaje con el que agitó las redes sociales.</t>
        </is>
      </c>
      <c r="I336" s="62" t="inlineStr">
        <is>
          <t>En el mensaje, nuevamente el jefe de Estado lanzó una pulla en contra de uno de los candidatos al mencionar que estará al servicio de los intereses de Estados Unidos.</t>
        </is>
      </c>
      <c r="J336" s="62" t="n"/>
      <c r="K336" s="62" t="n"/>
      <c r="L336" s="62" t="n"/>
      <c r="M336" s="62" t="n"/>
      <c r="N336" s="62" t="n"/>
      <c r="O336" s="62" t="n"/>
      <c r="P336" s="62" t="n"/>
      <c r="Q336" s="62" t="n"/>
      <c r="R336" s="62" t="n"/>
      <c r="S336" s="62" t="n"/>
      <c r="T336" s="62" t="n"/>
      <c r="U336" s="62" t="n"/>
      <c r="V336" s="62" t="n"/>
      <c r="W336" s="62" t="n"/>
      <c r="X336" s="62" t="n"/>
      <c r="Y336" s="62" t="n"/>
      <c r="Z336" s="62" t="n"/>
      <c r="AA336" s="62" t="n"/>
      <c r="AB336" s="62" t="n"/>
      <c r="AC336" s="62" t="n"/>
      <c r="AD336" s="62" t="n"/>
      <c r="AE336" s="62" t="n"/>
      <c r="AF336" s="61">
        <f>IF(COUNTIF($B$5:B336,B336)=1,1,0)</f>
        <v/>
      </c>
      <c r="AG336" s="62" t="inlineStr">
        <is>
          <t>https://www.semana.com/politica/articulo/gustavo-petro-abrio-el-debate-contra-el-fracking-de-cara-a-la-segunda-vuelta-presidencial-se-los-digo-de-todo-corazon/202628/</t>
        </is>
      </c>
    </row>
    <row r="337">
      <c r="A337" s="62" t="inlineStr">
        <is>
          <t>ART_317</t>
        </is>
      </c>
      <c r="B337" s="62" t="inlineStr">
        <is>
          <t>ART_317_S03</t>
        </is>
      </c>
      <c r="C337" s="62" t="inlineStr">
        <is>
          <t>Semana</t>
        </is>
      </c>
      <c r="D337" s="62" t="inlineStr">
        <is>
          <t>Medio ambiente</t>
        </is>
      </c>
      <c r="E337" s="62" t="inlineStr">
        <is>
          <t>Noticia dura</t>
        </is>
      </c>
      <c r="F337" s="62" t="inlineStr">
        <is>
          <t>2026-06-03T11:48:50-05:00</t>
        </is>
      </c>
      <c r="G337" s="62" t="inlineStr">
        <is>
          <t>En el mensaje, nuevamente el jefe de Estado lanzó una pulla en contra de uno de los candidatos al mencionar que estará al servicio de los intereses de Estados Unidos.</t>
        </is>
      </c>
      <c r="H337" s="62" t="inlineStr">
        <is>
          <t>En la publicación que hizo en su cuenta personal de X, el mandatario colombiano arremetió con dureza en contra de la práctica del fracking, el cual consiste en extraer petróleo y gas natural del subsuelo.</t>
        </is>
      </c>
      <c r="I337" s="62" t="inlineStr">
        <is>
          <t>“Las alabanzas al fracking en este momento son suicidas, y más en Colombia.</t>
        </is>
      </c>
      <c r="J337" s="62" t="n"/>
      <c r="K337" s="62" t="n"/>
      <c r="L337" s="62" t="n"/>
      <c r="M337" s="62" t="n"/>
      <c r="N337" s="62" t="n"/>
      <c r="O337" s="62" t="n"/>
      <c r="P337" s="62" t="n"/>
      <c r="Q337" s="62" t="n"/>
      <c r="R337" s="62" t="n"/>
      <c r="S337" s="62" t="n"/>
      <c r="T337" s="62" t="n"/>
      <c r="U337" s="62" t="n"/>
      <c r="V337" s="62" t="n"/>
      <c r="W337" s="62" t="n"/>
      <c r="X337" s="62" t="n"/>
      <c r="Y337" s="62" t="n"/>
      <c r="Z337" s="62" t="n"/>
      <c r="AA337" s="62" t="n"/>
      <c r="AB337" s="62" t="n"/>
      <c r="AC337" s="62" t="n"/>
      <c r="AD337" s="62" t="n"/>
      <c r="AE337" s="62" t="n"/>
      <c r="AF337" s="61">
        <f>IF(COUNTIF($B$5:B337,B337)=1,1,0)</f>
        <v/>
      </c>
      <c r="AG337" s="62" t="inlineStr">
        <is>
          <t>https://www.semana.com/politica/articulo/gustavo-petro-abrio-el-debate-contra-el-fracking-de-cara-a-la-segunda-vuelta-presidencial-se-los-digo-de-todo-corazon/202628/</t>
        </is>
      </c>
    </row>
    <row r="338">
      <c r="A338" s="62" t="inlineStr">
        <is>
          <t>ART_317</t>
        </is>
      </c>
      <c r="B338" s="62" t="inlineStr">
        <is>
          <t>ART_317_S04</t>
        </is>
      </c>
      <c r="C338" s="62" t="inlineStr">
        <is>
          <t>Semana</t>
        </is>
      </c>
      <c r="D338" s="62" t="inlineStr">
        <is>
          <t>Medio ambiente</t>
        </is>
      </c>
      <c r="E338" s="62" t="inlineStr">
        <is>
          <t>Noticia dura</t>
        </is>
      </c>
      <c r="F338" s="62" t="inlineStr">
        <is>
          <t>2026-06-03T11:48:50-05:00</t>
        </is>
      </c>
      <c r="G338" s="62" t="inlineStr">
        <is>
          <t>“Las alabanzas al fracking en este momento son suicidas, y más en Colombia.</t>
        </is>
      </c>
      <c r="H338" s="62" t="inlineStr">
        <is>
          <t>En el mensaje, nuevamente el jefe de Estado lanzó una pulla en contra de uno de los candidatos al mencionar que estará al servicio de los intereses de Estados Unidos.</t>
        </is>
      </c>
      <c r="I338" s="62" t="inlineStr">
        <is>
          <t>El agua es más valiosa que el oro.</t>
        </is>
      </c>
      <c r="J338" s="62" t="n"/>
      <c r="K338" s="62" t="n"/>
      <c r="L338" s="62" t="n"/>
      <c r="M338" s="62" t="n"/>
      <c r="N338" s="62" t="n"/>
      <c r="O338" s="62" t="n"/>
      <c r="P338" s="62" t="n"/>
      <c r="Q338" s="62" t="n"/>
      <c r="R338" s="62" t="n"/>
      <c r="S338" s="62" t="n"/>
      <c r="T338" s="62" t="n"/>
      <c r="U338" s="62" t="n"/>
      <c r="V338" s="62" t="n"/>
      <c r="W338" s="62" t="n"/>
      <c r="X338" s="62" t="n"/>
      <c r="Y338" s="62" t="n"/>
      <c r="Z338" s="62" t="n"/>
      <c r="AA338" s="62" t="n"/>
      <c r="AB338" s="62" t="n"/>
      <c r="AC338" s="62" t="n"/>
      <c r="AD338" s="62" t="n"/>
      <c r="AE338" s="62" t="n"/>
      <c r="AF338" s="61">
        <f>IF(COUNTIF($B$5:B338,B338)=1,1,0)</f>
        <v/>
      </c>
      <c r="AG338" s="62" t="inlineStr">
        <is>
          <t>https://www.semana.com/politica/articulo/gustavo-petro-abrio-el-debate-contra-el-fracking-de-cara-a-la-segunda-vuelta-presidencial-se-los-digo-de-todo-corazon/202628/</t>
        </is>
      </c>
    </row>
    <row r="339">
      <c r="A339" s="62" t="inlineStr">
        <is>
          <t>ART_317</t>
        </is>
      </c>
      <c r="B339" s="62" t="inlineStr">
        <is>
          <t>ART_317_S05</t>
        </is>
      </c>
      <c r="C339" s="62" t="inlineStr">
        <is>
          <t>Semana</t>
        </is>
      </c>
      <c r="D339" s="62" t="inlineStr">
        <is>
          <t>Medio ambiente</t>
        </is>
      </c>
      <c r="E339" s="62" t="inlineStr">
        <is>
          <t>Noticia dura</t>
        </is>
      </c>
      <c r="F339" s="62" t="inlineStr">
        <is>
          <t>2026-06-03T11:48:50-05:00</t>
        </is>
      </c>
      <c r="G339" s="62" t="inlineStr">
        <is>
          <t>El agua es más valiosa que el oro.</t>
        </is>
      </c>
      <c r="H339" s="62" t="inlineStr">
        <is>
          <t>“Las alabanzas al fracking en este momento son suicidas, y más en Colombia.</t>
        </is>
      </c>
      <c r="I339" s="62" t="inlineStr">
        <is>
          <t>Esto no es una consigna ambientalista.</t>
        </is>
      </c>
      <c r="J339" s="62" t="n"/>
      <c r="K339" s="62" t="n"/>
      <c r="L339" s="62" t="n"/>
      <c r="M339" s="62" t="n"/>
      <c r="N339" s="62" t="n"/>
      <c r="O339" s="62" t="n"/>
      <c r="P339" s="62" t="n"/>
      <c r="Q339" s="62" t="n"/>
      <c r="R339" s="62" t="n"/>
      <c r="S339" s="62" t="n"/>
      <c r="T339" s="62" t="n"/>
      <c r="U339" s="62" t="n"/>
      <c r="V339" s="62" t="n"/>
      <c r="W339" s="62" t="n"/>
      <c r="X339" s="62" t="n"/>
      <c r="Y339" s="62" t="n"/>
      <c r="Z339" s="62" t="n"/>
      <c r="AA339" s="62" t="n"/>
      <c r="AB339" s="62" t="n"/>
      <c r="AC339" s="62" t="n"/>
      <c r="AD339" s="62" t="n"/>
      <c r="AE339" s="62" t="n"/>
      <c r="AF339" s="61">
        <f>IF(COUNTIF($B$5:B339,B339)=1,1,0)</f>
        <v/>
      </c>
      <c r="AG339" s="62" t="inlineStr">
        <is>
          <t>https://www.semana.com/politica/articulo/gustavo-petro-abrio-el-debate-contra-el-fracking-de-cara-a-la-segunda-vuelta-presidencial-se-los-digo-de-todo-corazon/202628/</t>
        </is>
      </c>
    </row>
    <row r="340">
      <c r="A340" s="62" t="inlineStr">
        <is>
          <t>ART_317</t>
        </is>
      </c>
      <c r="B340" s="62" t="inlineStr">
        <is>
          <t>ART_317_S06</t>
        </is>
      </c>
      <c r="C340" s="62" t="inlineStr">
        <is>
          <t>Semana</t>
        </is>
      </c>
      <c r="D340" s="62" t="inlineStr">
        <is>
          <t>Medio ambiente</t>
        </is>
      </c>
      <c r="E340" s="62" t="inlineStr">
        <is>
          <t>Noticia dura</t>
        </is>
      </c>
      <c r="F340" s="62" t="inlineStr">
        <is>
          <t>2026-06-03T11:48:50-05:00</t>
        </is>
      </c>
      <c r="G340" s="62" t="inlineStr">
        <is>
          <t>Esto no es una consigna ambientalista.</t>
        </is>
      </c>
      <c r="H340" s="62" t="inlineStr">
        <is>
          <t>El agua es más valiosa que el oro.</t>
        </is>
      </c>
      <c r="I340" s="62" t="inlineStr">
        <is>
          <t>Es ciencia”, manifestó Petro.</t>
        </is>
      </c>
      <c r="J340" s="62" t="n"/>
      <c r="K340" s="62" t="n"/>
      <c r="L340" s="62" t="n"/>
      <c r="M340" s="62" t="n"/>
      <c r="N340" s="62" t="n"/>
      <c r="O340" s="62" t="n"/>
      <c r="P340" s="62" t="n"/>
      <c r="Q340" s="62" t="n"/>
      <c r="R340" s="62" t="n"/>
      <c r="S340" s="62" t="n"/>
      <c r="T340" s="62" t="n"/>
      <c r="U340" s="62" t="n"/>
      <c r="V340" s="62" t="n"/>
      <c r="W340" s="62" t="n"/>
      <c r="X340" s="62" t="n"/>
      <c r="Y340" s="62" t="n"/>
      <c r="Z340" s="62" t="n"/>
      <c r="AA340" s="62" t="n"/>
      <c r="AB340" s="62" t="n"/>
      <c r="AC340" s="62" t="n"/>
      <c r="AD340" s="62" t="n"/>
      <c r="AE340" s="62" t="n"/>
      <c r="AF340" s="61">
        <f>IF(COUNTIF($B$5:B340,B340)=1,1,0)</f>
        <v/>
      </c>
      <c r="AG340" s="62" t="inlineStr">
        <is>
          <t>https://www.semana.com/politica/articulo/gustavo-petro-abrio-el-debate-contra-el-fracking-de-cara-a-la-segunda-vuelta-presidencial-se-los-digo-de-todo-corazon/202628/</t>
        </is>
      </c>
    </row>
    <row r="341">
      <c r="A341" s="62" t="inlineStr">
        <is>
          <t>ART_317</t>
        </is>
      </c>
      <c r="B341" s="62" t="inlineStr">
        <is>
          <t>ART_317_S07</t>
        </is>
      </c>
      <c r="C341" s="62" t="inlineStr">
        <is>
          <t>Semana</t>
        </is>
      </c>
      <c r="D341" s="62" t="inlineStr">
        <is>
          <t>Medio ambiente</t>
        </is>
      </c>
      <c r="E341" s="62" t="inlineStr">
        <is>
          <t>Noticia dura</t>
        </is>
      </c>
      <c r="F341" s="62" t="inlineStr">
        <is>
          <t>2026-06-03T11:48:50-05:00</t>
        </is>
      </c>
      <c r="G341" s="62" t="inlineStr">
        <is>
          <t>Es ciencia”, manifestó Petro.</t>
        </is>
      </c>
      <c r="H341" s="62" t="inlineStr">
        <is>
          <t>Esto no es una consigna ambientalista.</t>
        </is>
      </c>
      <c r="I341" s="62"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J341" s="62" t="n"/>
      <c r="K341" s="62" t="n"/>
      <c r="L341" s="62" t="n"/>
      <c r="M341" s="62" t="n"/>
      <c r="N341" s="62" t="n"/>
      <c r="O341" s="62" t="n"/>
      <c r="P341" s="62" t="n"/>
      <c r="Q341" s="62" t="n"/>
      <c r="R341" s="62" t="n"/>
      <c r="S341" s="62" t="n"/>
      <c r="T341" s="62" t="n"/>
      <c r="U341" s="62" t="n"/>
      <c r="V341" s="62" t="n"/>
      <c r="W341" s="62" t="n"/>
      <c r="X341" s="62" t="n"/>
      <c r="Y341" s="62" t="n"/>
      <c r="Z341" s="62" t="n"/>
      <c r="AA341" s="62" t="n"/>
      <c r="AB341" s="62" t="n"/>
      <c r="AC341" s="62" t="n"/>
      <c r="AD341" s="62" t="n"/>
      <c r="AE341" s="62" t="n"/>
      <c r="AF341" s="61">
        <f>IF(COUNTIF($B$5:B341,B341)=1,1,0)</f>
        <v/>
      </c>
      <c r="AG341" s="62" t="inlineStr">
        <is>
          <t>https://www.semana.com/politica/articulo/gustavo-petro-abrio-el-debate-contra-el-fracking-de-cara-a-la-segunda-vuelta-presidencial-se-los-digo-de-todo-corazon/202628/</t>
        </is>
      </c>
    </row>
    <row r="342">
      <c r="A342" s="62" t="inlineStr">
        <is>
          <t>ART_317</t>
        </is>
      </c>
      <c r="B342" s="62" t="inlineStr">
        <is>
          <t>ART_317_S08</t>
        </is>
      </c>
      <c r="C342" s="62" t="inlineStr">
        <is>
          <t>Semana</t>
        </is>
      </c>
      <c r="D342" s="62" t="inlineStr">
        <is>
          <t>Medio ambiente</t>
        </is>
      </c>
      <c r="E342" s="62" t="inlineStr">
        <is>
          <t>Noticia dura</t>
        </is>
      </c>
      <c r="F342" s="62" t="inlineStr">
        <is>
          <t>2026-06-03T11:48:50-05:00</t>
        </is>
      </c>
      <c r="G342" s="62"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H342" s="62" t="inlineStr">
        <is>
          <t>Es ciencia”, manifestó Petro.</t>
        </is>
      </c>
      <c r="I342" s="62" t="inlineStr">
        <is>
          <t>“Eso nos obliga a acelerar la descarbonización de la economía mundial y a cuidar al máximo el agua propia.</t>
        </is>
      </c>
      <c r="J342" s="62" t="n"/>
      <c r="K342" s="62" t="n"/>
      <c r="L342" s="62" t="n"/>
      <c r="M342" s="62" t="n"/>
      <c r="N342" s="62" t="n"/>
      <c r="O342" s="62" t="n"/>
      <c r="P342" s="62" t="n"/>
      <c r="Q342" s="62" t="n"/>
      <c r="R342" s="62" t="n"/>
      <c r="S342" s="62" t="n"/>
      <c r="T342" s="62" t="n"/>
      <c r="U342" s="62" t="n"/>
      <c r="V342" s="62" t="n"/>
      <c r="W342" s="62" t="n"/>
      <c r="X342" s="62" t="n"/>
      <c r="Y342" s="62" t="n"/>
      <c r="Z342" s="62" t="n"/>
      <c r="AA342" s="62" t="n"/>
      <c r="AB342" s="62" t="n"/>
      <c r="AC342" s="62" t="n"/>
      <c r="AD342" s="62" t="n"/>
      <c r="AE342" s="62" t="n"/>
      <c r="AF342" s="61">
        <f>IF(COUNTIF($B$5:B342,B342)=1,1,0)</f>
        <v/>
      </c>
      <c r="AG342" s="62" t="inlineStr">
        <is>
          <t>https://www.semana.com/politica/articulo/gustavo-petro-abrio-el-debate-contra-el-fracking-de-cara-a-la-segunda-vuelta-presidencial-se-los-digo-de-todo-corazon/202628/</t>
        </is>
      </c>
    </row>
    <row r="343">
      <c r="A343" s="62" t="inlineStr">
        <is>
          <t>ART_317</t>
        </is>
      </c>
      <c r="B343" s="62" t="inlineStr">
        <is>
          <t>ART_317_S09</t>
        </is>
      </c>
      <c r="C343" s="62" t="inlineStr">
        <is>
          <t>Semana</t>
        </is>
      </c>
      <c r="D343" s="62" t="inlineStr">
        <is>
          <t>Medio ambiente</t>
        </is>
      </c>
      <c r="E343" s="62" t="inlineStr">
        <is>
          <t>Noticia dura</t>
        </is>
      </c>
      <c r="F343" s="62" t="inlineStr">
        <is>
          <t>2026-06-03T11:48:50-05:00</t>
        </is>
      </c>
      <c r="G343" s="62" t="inlineStr">
        <is>
          <t>“Eso nos obliga a acelerar la descarbonización de la economía mundial y a cuidar al máximo el agua propia.</t>
        </is>
      </c>
      <c r="H343" s="62"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I343" s="62" t="inlineStr">
        <is>
          <t>Gastar a centenares y miles de metros de profundidad, nuestra agua, combinándola con químicos venenosos para sacar el cuncho del petróleo es lo más estúpido que pueda hacer un país”, instó el mandatario colombiano.</t>
        </is>
      </c>
      <c r="J343" s="62" t="n"/>
      <c r="K343" s="62" t="n"/>
      <c r="L343" s="62" t="n"/>
      <c r="M343" s="62" t="n"/>
      <c r="N343" s="62" t="n"/>
      <c r="O343" s="62" t="n"/>
      <c r="P343" s="62" t="n"/>
      <c r="Q343" s="62" t="n"/>
      <c r="R343" s="62" t="n"/>
      <c r="S343" s="62" t="n"/>
      <c r="T343" s="62" t="n"/>
      <c r="U343" s="62" t="n"/>
      <c r="V343" s="62" t="n"/>
      <c r="W343" s="62" t="n"/>
      <c r="X343" s="62" t="n"/>
      <c r="Y343" s="62" t="n"/>
      <c r="Z343" s="62" t="n"/>
      <c r="AA343" s="62" t="n"/>
      <c r="AB343" s="62" t="n"/>
      <c r="AC343" s="62" t="n"/>
      <c r="AD343" s="62" t="n"/>
      <c r="AE343" s="62" t="n"/>
      <c r="AF343" s="61">
        <f>IF(COUNTIF($B$5:B343,B343)=1,1,0)</f>
        <v/>
      </c>
      <c r="AG343" s="62" t="inlineStr">
        <is>
          <t>https://www.semana.com/politica/articulo/gustavo-petro-abrio-el-debate-contra-el-fracking-de-cara-a-la-segunda-vuelta-presidencial-se-los-digo-de-todo-corazon/202628/</t>
        </is>
      </c>
    </row>
    <row r="344">
      <c r="A344" s="62" t="inlineStr">
        <is>
          <t>ART_317</t>
        </is>
      </c>
      <c r="B344" s="62" t="inlineStr">
        <is>
          <t>ART_317_S10</t>
        </is>
      </c>
      <c r="C344" s="62" t="inlineStr">
        <is>
          <t>Semana</t>
        </is>
      </c>
      <c r="D344" s="62" t="inlineStr">
        <is>
          <t>Medio ambiente</t>
        </is>
      </c>
      <c r="E344" s="62" t="inlineStr">
        <is>
          <t>Noticia dura</t>
        </is>
      </c>
      <c r="F344" s="62" t="inlineStr">
        <is>
          <t>2026-06-03T11:48:50-05:00</t>
        </is>
      </c>
      <c r="G344" s="62" t="inlineStr">
        <is>
          <t>Gastar a centenares y miles de metros de profundidad, nuestra agua, combinándola con químicos venenosos para sacar el cuncho del petróleo es lo más estúpido que pueda hacer un país”, instó el mandatario colombiano.</t>
        </is>
      </c>
      <c r="H344" s="62" t="inlineStr">
        <is>
          <t>“Eso nos obliga a acelerar la descarbonización de la economía mundial y a cuidar al máximo el agua propia.</t>
        </is>
      </c>
      <c r="I344" s="62" t="n"/>
      <c r="J344" s="62" t="n"/>
      <c r="K344" s="62" t="n"/>
      <c r="L344" s="62" t="n"/>
      <c r="M344" s="62" t="n"/>
      <c r="N344" s="62" t="n"/>
      <c r="O344" s="62" t="n"/>
      <c r="P344" s="62" t="n"/>
      <c r="Q344" s="62" t="n"/>
      <c r="R344" s="62" t="n"/>
      <c r="S344" s="62" t="n"/>
      <c r="T344" s="62" t="n"/>
      <c r="U344" s="62" t="n"/>
      <c r="V344" s="62" t="n"/>
      <c r="W344" s="62" t="n"/>
      <c r="X344" s="62" t="n"/>
      <c r="Y344" s="62" t="n"/>
      <c r="Z344" s="62" t="n"/>
      <c r="AA344" s="62" t="n"/>
      <c r="AB344" s="62" t="n"/>
      <c r="AC344" s="62" t="n"/>
      <c r="AD344" s="62" t="n"/>
      <c r="AE344" s="62" t="n"/>
      <c r="AF344" s="61">
        <f>IF(COUNTIF($B$5:B344,B344)=1,1,0)</f>
        <v/>
      </c>
      <c r="AG344" s="62" t="inlineStr">
        <is>
          <t>https://www.semana.com/politica/articulo/gustavo-petro-abrio-el-debate-contra-el-fracking-de-cara-a-la-segunda-vuelta-presidencial-se-los-digo-de-todo-corazon/202628/</t>
        </is>
      </c>
    </row>
    <row r="345">
      <c r="A345" s="62" t="inlineStr">
        <is>
          <t>ART_322</t>
        </is>
      </c>
      <c r="B345" s="62" t="inlineStr">
        <is>
          <t>ART_322_S01</t>
        </is>
      </c>
      <c r="C345" s="62" t="inlineStr">
        <is>
          <t>Semana</t>
        </is>
      </c>
      <c r="D345" s="62" t="inlineStr">
        <is>
          <t>Medio ambiente</t>
        </is>
      </c>
      <c r="E345" s="62" t="inlineStr">
        <is>
          <t>Opinión-análisis</t>
        </is>
      </c>
      <c r="F345" s="62" t="inlineStr">
        <is>
          <t>2026-07-16T05:00:00-05:00</t>
        </is>
      </c>
      <c r="G345" s="62" t="inlineStr">
        <is>
          <t>El Gobierno Petro anunció que el próximo 20 de julio radicará nuevamente el proyecto de ley para prohibir el desarrollo de los yacimientos no convencionales en Colombia.</t>
        </is>
      </c>
      <c r="H345" s="62" t="n"/>
      <c r="I345" s="62" t="inlineStr">
        <is>
          <t>Esta iniciativa, impulsada por los sectores progresistas desde 2018, ha sido archivada en cinco oportunidades por falta de respaldo en el Congreso.</t>
        </is>
      </c>
      <c r="J345" s="62" t="n"/>
      <c r="K345" s="62" t="n"/>
      <c r="L345" s="62" t="n"/>
      <c r="M345" s="62" t="n"/>
      <c r="N345" s="62" t="n"/>
      <c r="O345" s="62" t="n"/>
      <c r="P345" s="62" t="n"/>
      <c r="Q345" s="62" t="n"/>
      <c r="R345" s="62" t="n"/>
      <c r="S345" s="62" t="n"/>
      <c r="T345" s="62" t="n"/>
      <c r="U345" s="62" t="n"/>
      <c r="V345" s="62" t="n"/>
      <c r="W345" s="62" t="n"/>
      <c r="X345" s="62" t="n"/>
      <c r="Y345" s="62" t="n"/>
      <c r="Z345" s="62" t="n"/>
      <c r="AA345" s="62" t="n"/>
      <c r="AB345" s="62" t="n"/>
      <c r="AC345" s="62" t="n"/>
      <c r="AD345" s="62" t="n"/>
      <c r="AE345" s="62" t="n"/>
      <c r="AF345" s="61">
        <f>IF(COUNTIF($B$5:B345,B345)=1,1,0)</f>
        <v/>
      </c>
      <c r="AG345" s="62" t="inlineStr">
        <is>
          <t>https://www.semana.com/opinion/articulo/menos-ideologia-mas-fracking/202600/</t>
        </is>
      </c>
    </row>
    <row r="346">
      <c r="A346" s="62" t="inlineStr">
        <is>
          <t>ART_322</t>
        </is>
      </c>
      <c r="B346" s="62" t="inlineStr">
        <is>
          <t>ART_322_S02</t>
        </is>
      </c>
      <c r="C346" s="62" t="inlineStr">
        <is>
          <t>Semana</t>
        </is>
      </c>
      <c r="D346" s="62" t="inlineStr">
        <is>
          <t>Medio ambiente</t>
        </is>
      </c>
      <c r="E346" s="62" t="inlineStr">
        <is>
          <t>Opinión-análisis</t>
        </is>
      </c>
      <c r="F346" s="62" t="inlineStr">
        <is>
          <t>2026-07-16T05:00:00-05:00</t>
        </is>
      </c>
      <c r="G346" s="62" t="inlineStr">
        <is>
          <t>Esta iniciativa, impulsada por los sectores progresistas desde 2018, ha sido archivada en cinco oportunidades por falta de respaldo en el Congreso.</t>
        </is>
      </c>
      <c r="H346" s="62" t="inlineStr">
        <is>
          <t>El Gobierno Petro anunció que el próximo 20 de julio radicará nuevamente el proyecto de ley para prohibir el desarrollo de los yacimientos no convencionales en Colombia.</t>
        </is>
      </c>
      <c r="I346" s="62" t="inlineStr">
        <is>
          <t>Lo que hace algunos años era un debate dominado por el activismo y el miedo ha comenzado a cambiar.</t>
        </is>
      </c>
      <c r="J346" s="62" t="n"/>
      <c r="K346" s="62" t="n"/>
      <c r="L346" s="62" t="n"/>
      <c r="M346" s="62" t="n"/>
      <c r="N346" s="62" t="n"/>
      <c r="O346" s="62" t="n"/>
      <c r="P346" s="62" t="n"/>
      <c r="Q346" s="62" t="n"/>
      <c r="R346" s="62" t="n"/>
      <c r="S346" s="62" t="n"/>
      <c r="T346" s="62" t="n"/>
      <c r="U346" s="62" t="n"/>
      <c r="V346" s="62" t="n"/>
      <c r="W346" s="62" t="n"/>
      <c r="X346" s="62" t="n"/>
      <c r="Y346" s="62" t="n"/>
      <c r="Z346" s="62" t="n"/>
      <c r="AA346" s="62" t="n"/>
      <c r="AB346" s="62" t="n"/>
      <c r="AC346" s="62" t="n"/>
      <c r="AD346" s="62" t="n"/>
      <c r="AE346" s="62" t="n"/>
      <c r="AF346" s="61">
        <f>IF(COUNTIF($B$5:B346,B346)=1,1,0)</f>
        <v/>
      </c>
      <c r="AG346" s="62" t="inlineStr">
        <is>
          <t>https://www.semana.com/opinion/articulo/menos-ideologia-mas-fracking/202600/</t>
        </is>
      </c>
    </row>
    <row r="347">
      <c r="A347" s="62" t="inlineStr">
        <is>
          <t>ART_322</t>
        </is>
      </c>
      <c r="B347" s="62" t="inlineStr">
        <is>
          <t>ART_322_S03</t>
        </is>
      </c>
      <c r="C347" s="62" t="inlineStr">
        <is>
          <t>Semana</t>
        </is>
      </c>
      <c r="D347" s="62" t="inlineStr">
        <is>
          <t>Medio ambiente</t>
        </is>
      </c>
      <c r="E347" s="62" t="inlineStr">
        <is>
          <t>Opinión-análisis</t>
        </is>
      </c>
      <c r="F347" s="62" t="inlineStr">
        <is>
          <t>2026-07-16T05:00:00-05:00</t>
        </is>
      </c>
      <c r="G347" s="62" t="inlineStr">
        <is>
          <t>Lo que hace algunos años era un debate dominado por el activismo y el miedo ha comenzado a cambiar.</t>
        </is>
      </c>
      <c r="H347" s="62" t="inlineStr">
        <is>
          <t>Esta iniciativa, impulsada por los sectores progresistas desde 2018, ha sido archivada en cinco oportunidades por falta de respaldo en el Congreso.</t>
        </is>
      </c>
      <c r="I347" s="62" t="inlineStr">
        <is>
          <t>Cada vez son más los colombianos que entienden que la discusión sobre el fracking debe darse con argumentos técnicos y científicos, no con consignas ideológicas.</t>
        </is>
      </c>
      <c r="J347" s="62" t="n"/>
      <c r="K347" s="62" t="n"/>
      <c r="L347" s="62" t="n"/>
      <c r="M347" s="62" t="n"/>
      <c r="N347" s="62" t="n"/>
      <c r="O347" s="62" t="n"/>
      <c r="P347" s="62" t="n"/>
      <c r="Q347" s="62" t="n"/>
      <c r="R347" s="62" t="n"/>
      <c r="S347" s="62" t="n"/>
      <c r="T347" s="62" t="n"/>
      <c r="U347" s="62" t="n"/>
      <c r="V347" s="62" t="n"/>
      <c r="W347" s="62" t="n"/>
      <c r="X347" s="62" t="n"/>
      <c r="Y347" s="62" t="n"/>
      <c r="Z347" s="62" t="n"/>
      <c r="AA347" s="62" t="n"/>
      <c r="AB347" s="62" t="n"/>
      <c r="AC347" s="62" t="n"/>
      <c r="AD347" s="62" t="n"/>
      <c r="AE347" s="62" t="n"/>
      <c r="AF347" s="61">
        <f>IF(COUNTIF($B$5:B347,B347)=1,1,0)</f>
        <v/>
      </c>
      <c r="AG347" s="62" t="inlineStr">
        <is>
          <t>https://www.semana.com/opinion/articulo/menos-ideologia-mas-fracking/202600/</t>
        </is>
      </c>
    </row>
    <row r="348">
      <c r="A348" s="62" t="inlineStr">
        <is>
          <t>ART_322</t>
        </is>
      </c>
      <c r="B348" s="62" t="inlineStr">
        <is>
          <t>ART_322_S04</t>
        </is>
      </c>
      <c r="C348" s="62" t="inlineStr">
        <is>
          <t>Semana</t>
        </is>
      </c>
      <c r="D348" s="62" t="inlineStr">
        <is>
          <t>Medio ambiente</t>
        </is>
      </c>
      <c r="E348" s="62" t="inlineStr">
        <is>
          <t>Opinión-análisis</t>
        </is>
      </c>
      <c r="F348" s="62" t="inlineStr">
        <is>
          <t>2026-07-16T05:00:00-05:00</t>
        </is>
      </c>
      <c r="G348" s="62" t="inlineStr">
        <is>
          <t>Cada vez son más los colombianos que entienden que la discusión sobre el fracking debe darse con argumentos técnicos y científicos, no con consignas ideológicas.</t>
        </is>
      </c>
      <c r="H348" s="62" t="inlineStr">
        <is>
          <t>Lo que hace algunos años era un debate dominado por el activismo y el miedo ha comenzado a cambiar.</t>
        </is>
      </c>
      <c r="I348" s="62" t="inlineStr">
        <is>
          <t>Poco a poco, la narrativa de los sectores antifracking ha ido perdiendo fuerza frente a la evidencia.</t>
        </is>
      </c>
      <c r="J348" s="62" t="n"/>
      <c r="K348" s="62" t="n"/>
      <c r="L348" s="62" t="n"/>
      <c r="M348" s="62" t="n"/>
      <c r="N348" s="62" t="n"/>
      <c r="O348" s="62" t="n"/>
      <c r="P348" s="62" t="n"/>
      <c r="Q348" s="62" t="n"/>
      <c r="R348" s="62" t="n"/>
      <c r="S348" s="62" t="n"/>
      <c r="T348" s="62" t="n"/>
      <c r="U348" s="62" t="n"/>
      <c r="V348" s="62" t="n"/>
      <c r="W348" s="62" t="n"/>
      <c r="X348" s="62" t="n"/>
      <c r="Y348" s="62" t="n"/>
      <c r="Z348" s="62" t="n"/>
      <c r="AA348" s="62" t="n"/>
      <c r="AB348" s="62" t="n"/>
      <c r="AC348" s="62" t="n"/>
      <c r="AD348" s="62" t="n"/>
      <c r="AE348" s="62" t="n"/>
      <c r="AF348" s="61">
        <f>IF(COUNTIF($B$5:B348,B348)=1,1,0)</f>
        <v/>
      </c>
      <c r="AG348" s="62" t="inlineStr">
        <is>
          <t>https://www.semana.com/opinion/articulo/menos-ideologia-mas-fracking/202600/</t>
        </is>
      </c>
    </row>
    <row r="349">
      <c r="A349" s="62" t="inlineStr">
        <is>
          <t>ART_322</t>
        </is>
      </c>
      <c r="B349" s="62" t="inlineStr">
        <is>
          <t>ART_322_S05</t>
        </is>
      </c>
      <c r="C349" s="62" t="inlineStr">
        <is>
          <t>Semana</t>
        </is>
      </c>
      <c r="D349" s="62" t="inlineStr">
        <is>
          <t>Medio ambiente</t>
        </is>
      </c>
      <c r="E349" s="62" t="inlineStr">
        <is>
          <t>Opinión-análisis</t>
        </is>
      </c>
      <c r="F349" s="62" t="inlineStr">
        <is>
          <t>2026-07-16T05:00:00-05:00</t>
        </is>
      </c>
      <c r="G349" s="62" t="inlineStr">
        <is>
          <t>Poco a poco, la narrativa de los sectores antifracking ha ido perdiendo fuerza frente a la evidencia.</t>
        </is>
      </c>
      <c r="H349" s="62" t="inlineStr">
        <is>
          <t>Cada vez son más los colombianos que entienden que la discusión sobre el fracking debe darse con argumentos técnicos y científicos, no con consignas ideológicas.</t>
        </is>
      </c>
      <c r="I349" s="62" t="inlineStr">
        <is>
          <t>Colombia lleva más de 16 años preparándose para utilizar esta tecnología en la exploración y producción de petróleo y gas natural.</t>
        </is>
      </c>
      <c r="J349" s="62" t="n"/>
      <c r="K349" s="62" t="n"/>
      <c r="L349" s="62" t="n"/>
      <c r="M349" s="62" t="n"/>
      <c r="N349" s="62" t="n"/>
      <c r="O349" s="62" t="n"/>
      <c r="P349" s="62" t="n"/>
      <c r="Q349" s="62" t="n"/>
      <c r="R349" s="62" t="n"/>
      <c r="S349" s="62" t="n"/>
      <c r="T349" s="62" t="n"/>
      <c r="U349" s="62" t="n"/>
      <c r="V349" s="62" t="n"/>
      <c r="W349" s="62" t="n"/>
      <c r="X349" s="62" t="n"/>
      <c r="Y349" s="62" t="n"/>
      <c r="Z349" s="62" t="n"/>
      <c r="AA349" s="62" t="n"/>
      <c r="AB349" s="62" t="n"/>
      <c r="AC349" s="62" t="n"/>
      <c r="AD349" s="62" t="n"/>
      <c r="AE349" s="62" t="n"/>
      <c r="AF349" s="61">
        <f>IF(COUNTIF($B$5:B349,B349)=1,1,0)</f>
        <v/>
      </c>
      <c r="AG349" s="62" t="inlineStr">
        <is>
          <t>https://www.semana.com/opinion/articulo/menos-ideologia-mas-fracking/202600/</t>
        </is>
      </c>
    </row>
    <row r="350">
      <c r="A350" s="62" t="inlineStr">
        <is>
          <t>ART_322</t>
        </is>
      </c>
      <c r="B350" s="62" t="inlineStr">
        <is>
          <t>ART_322_S06</t>
        </is>
      </c>
      <c r="C350" s="62" t="inlineStr">
        <is>
          <t>Semana</t>
        </is>
      </c>
      <c r="D350" s="62" t="inlineStr">
        <is>
          <t>Medio ambiente</t>
        </is>
      </c>
      <c r="E350" s="62" t="inlineStr">
        <is>
          <t>Opinión-análisis</t>
        </is>
      </c>
      <c r="F350" s="62" t="inlineStr">
        <is>
          <t>2026-07-16T05:00:00-05:00</t>
        </is>
      </c>
      <c r="G350" s="62" t="inlineStr">
        <is>
          <t>Colombia lleva más de 16 años preparándose para utilizar esta tecnología en la exploración y producción de petróleo y gas natural.</t>
        </is>
      </c>
      <c r="H350" s="62" t="inlineStr">
        <is>
          <t>Poco a poco, la narrativa de los sectores antifracking ha ido perdiendo fuerza frente a la evidencia.</t>
        </is>
      </c>
      <c r="I350" s="62"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J350" s="62" t="n"/>
      <c r="K350" s="62" t="n"/>
      <c r="L350" s="62" t="n"/>
      <c r="M350" s="62" t="n"/>
      <c r="N350" s="62" t="n"/>
      <c r="O350" s="62" t="n"/>
      <c r="P350" s="62" t="n"/>
      <c r="Q350" s="62" t="n"/>
      <c r="R350" s="62" t="n"/>
      <c r="S350" s="62" t="n"/>
      <c r="T350" s="62" t="n"/>
      <c r="U350" s="62" t="n"/>
      <c r="V350" s="62" t="n"/>
      <c r="W350" s="62" t="n"/>
      <c r="X350" s="62" t="n"/>
      <c r="Y350" s="62" t="n"/>
      <c r="Z350" s="62" t="n"/>
      <c r="AA350" s="62" t="n"/>
      <c r="AB350" s="62" t="n"/>
      <c r="AC350" s="62" t="n"/>
      <c r="AD350" s="62" t="n"/>
      <c r="AE350" s="62" t="n"/>
      <c r="AF350" s="61">
        <f>IF(COUNTIF($B$5:B350,B350)=1,1,0)</f>
        <v/>
      </c>
      <c r="AG350" s="62" t="inlineStr">
        <is>
          <t>https://www.semana.com/opinion/articulo/menos-ideologia-mas-fracking/202600/</t>
        </is>
      </c>
    </row>
    <row r="351">
      <c r="A351" s="62" t="inlineStr">
        <is>
          <t>ART_322</t>
        </is>
      </c>
      <c r="B351" s="62" t="inlineStr">
        <is>
          <t>ART_322_S07</t>
        </is>
      </c>
      <c r="C351" s="62" t="inlineStr">
        <is>
          <t>Semana</t>
        </is>
      </c>
      <c r="D351" s="62" t="inlineStr">
        <is>
          <t>Medio ambiente</t>
        </is>
      </c>
      <c r="E351" s="62" t="inlineStr">
        <is>
          <t>Opinión-análisis</t>
        </is>
      </c>
      <c r="F351" s="62" t="inlineStr">
        <is>
          <t>2026-07-16T05:00:00-05:00</t>
        </is>
      </c>
      <c r="G351" s="62"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H351" s="62" t="inlineStr">
        <is>
          <t>Colombia lleva más de 16 años preparándose para utilizar esta tecnología en la exploración y producción de petróleo y gas natural.</t>
        </is>
      </c>
      <c r="I351" s="62" t="inlineStr">
        <is>
          <t>Las estimaciones indican que las reservas de gas podrían pasar de 2,3 terapies cúbicos (TPC) a cerca de 25 TPC, garantizando el abastecimiento durante varias décadas.</t>
        </is>
      </c>
      <c r="J351" s="62" t="n"/>
      <c r="K351" s="62" t="n"/>
      <c r="L351" s="62" t="n"/>
      <c r="M351" s="62" t="n"/>
      <c r="N351" s="62" t="n"/>
      <c r="O351" s="62" t="n"/>
      <c r="P351" s="62" t="n"/>
      <c r="Q351" s="62" t="n"/>
      <c r="R351" s="62" t="n"/>
      <c r="S351" s="62" t="n"/>
      <c r="T351" s="62" t="n"/>
      <c r="U351" s="62" t="n"/>
      <c r="V351" s="62" t="n"/>
      <c r="W351" s="62" t="n"/>
      <c r="X351" s="62" t="n"/>
      <c r="Y351" s="62" t="n"/>
      <c r="Z351" s="62" t="n"/>
      <c r="AA351" s="62" t="n"/>
      <c r="AB351" s="62" t="n"/>
      <c r="AC351" s="62" t="n"/>
      <c r="AD351" s="62" t="n"/>
      <c r="AE351" s="62" t="n"/>
      <c r="AF351" s="61">
        <f>IF(COUNTIF($B$5:B351,B351)=1,1,0)</f>
        <v/>
      </c>
      <c r="AG351" s="62" t="inlineStr">
        <is>
          <t>https://www.semana.com/opinion/articulo/menos-ideologia-mas-fracking/202600/</t>
        </is>
      </c>
    </row>
    <row r="352">
      <c r="A352" s="62" t="inlineStr">
        <is>
          <t>ART_322</t>
        </is>
      </c>
      <c r="B352" s="62" t="inlineStr">
        <is>
          <t>ART_322_S08</t>
        </is>
      </c>
      <c r="C352" s="62" t="inlineStr">
        <is>
          <t>Semana</t>
        </is>
      </c>
      <c r="D352" s="62" t="inlineStr">
        <is>
          <t>Medio ambiente</t>
        </is>
      </c>
      <c r="E352" s="62" t="inlineStr">
        <is>
          <t>Opinión-análisis</t>
        </is>
      </c>
      <c r="F352" s="62" t="inlineStr">
        <is>
          <t>2026-07-16T05:00:00-05:00</t>
        </is>
      </c>
      <c r="G352" s="62" t="inlineStr">
        <is>
          <t>Las estimaciones indican que las reservas de gas podrían pasar de 2,3 terapies cúbicos (TPC) a cerca de 25 TPC, garantizando el abastecimiento durante varias décadas.</t>
        </is>
      </c>
      <c r="H352" s="62"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I352" s="62" t="inlineStr">
        <is>
          <t>Países como Estados Unidos y Argentina son prueba de ello.</t>
        </is>
      </c>
      <c r="J352" s="62" t="n"/>
      <c r="K352" s="62" t="n"/>
      <c r="L352" s="62" t="n"/>
      <c r="M352" s="62" t="n"/>
      <c r="N352" s="62" t="n"/>
      <c r="O352" s="62" t="n"/>
      <c r="P352" s="62" t="n"/>
      <c r="Q352" s="62" t="n"/>
      <c r="R352" s="62" t="n"/>
      <c r="S352" s="62" t="n"/>
      <c r="T352" s="62" t="n"/>
      <c r="U352" s="62" t="n"/>
      <c r="V352" s="62" t="n"/>
      <c r="W352" s="62" t="n"/>
      <c r="X352" s="62" t="n"/>
      <c r="Y352" s="62" t="n"/>
      <c r="Z352" s="62" t="n"/>
      <c r="AA352" s="62" t="n"/>
      <c r="AB352" s="62" t="n"/>
      <c r="AC352" s="62" t="n"/>
      <c r="AD352" s="62" t="n"/>
      <c r="AE352" s="62" t="n"/>
      <c r="AF352" s="61">
        <f>IF(COUNTIF($B$5:B352,B352)=1,1,0)</f>
        <v/>
      </c>
      <c r="AG352" s="62" t="inlineStr">
        <is>
          <t>https://www.semana.com/opinion/articulo/menos-ideologia-mas-fracking/202600/</t>
        </is>
      </c>
    </row>
    <row r="353">
      <c r="A353" s="62" t="inlineStr">
        <is>
          <t>ART_322</t>
        </is>
      </c>
      <c r="B353" s="62" t="inlineStr">
        <is>
          <t>ART_322_S09</t>
        </is>
      </c>
      <c r="C353" s="62" t="inlineStr">
        <is>
          <t>Semana</t>
        </is>
      </c>
      <c r="D353" s="62" t="inlineStr">
        <is>
          <t>Medio ambiente</t>
        </is>
      </c>
      <c r="E353" s="62" t="inlineStr">
        <is>
          <t>Opinión-análisis</t>
        </is>
      </c>
      <c r="F353" s="62" t="inlineStr">
        <is>
          <t>2026-07-16T05:00:00-05:00</t>
        </is>
      </c>
      <c r="G353" s="62" t="inlineStr">
        <is>
          <t>Países como Estados Unidos y Argentina son prueba de ello.</t>
        </is>
      </c>
      <c r="H353" s="62" t="inlineStr">
        <is>
          <t>Las estimaciones indican que las reservas de gas podrían pasar de 2,3 terapies cúbicos (TPC) a cerca de 25 TPC, garantizando el abastecimiento durante varias décadas.</t>
        </is>
      </c>
      <c r="I353" s="62" t="inlineStr">
        <is>
          <t>Gracias al desarrollo responsable del fracking, no solo aseguraron su autosuficiencia energética, sino que hoy exportan petróleo y gas natural, fortaleciendo sus economías y reduciendo la dependencia de mercados externos.</t>
        </is>
      </c>
      <c r="J353" s="62" t="n"/>
      <c r="K353" s="62" t="n"/>
      <c r="L353" s="62" t="n"/>
      <c r="M353" s="62" t="n"/>
      <c r="N353" s="62" t="n"/>
      <c r="O353" s="62" t="n"/>
      <c r="P353" s="62" t="n"/>
      <c r="Q353" s="62" t="n"/>
      <c r="R353" s="62" t="n"/>
      <c r="S353" s="62" t="n"/>
      <c r="T353" s="62" t="n"/>
      <c r="U353" s="62" t="n"/>
      <c r="V353" s="62" t="n"/>
      <c r="W353" s="62" t="n"/>
      <c r="X353" s="62" t="n"/>
      <c r="Y353" s="62" t="n"/>
      <c r="Z353" s="62" t="n"/>
      <c r="AA353" s="62" t="n"/>
      <c r="AB353" s="62" t="n"/>
      <c r="AC353" s="62" t="n"/>
      <c r="AD353" s="62" t="n"/>
      <c r="AE353" s="62" t="n"/>
      <c r="AF353" s="61">
        <f>IF(COUNTIF($B$5:B353,B353)=1,1,0)</f>
        <v/>
      </c>
      <c r="AG353" s="62" t="inlineStr">
        <is>
          <t>https://www.semana.com/opinion/articulo/menos-ideologia-mas-fracking/202600/</t>
        </is>
      </c>
    </row>
    <row r="354">
      <c r="A354" s="62" t="inlineStr">
        <is>
          <t>ART_322</t>
        </is>
      </c>
      <c r="B354" s="62" t="inlineStr">
        <is>
          <t>ART_322_S10</t>
        </is>
      </c>
      <c r="C354" s="62" t="inlineStr">
        <is>
          <t>Semana</t>
        </is>
      </c>
      <c r="D354" s="62" t="inlineStr">
        <is>
          <t>Medio ambiente</t>
        </is>
      </c>
      <c r="E354" s="62" t="inlineStr">
        <is>
          <t>Opinión-análisis</t>
        </is>
      </c>
      <c r="F354" s="62" t="inlineStr">
        <is>
          <t>2026-07-16T05:00:00-05:00</t>
        </is>
      </c>
      <c r="G354" s="62" t="inlineStr">
        <is>
          <t>Gracias al desarrollo responsable del fracking, no solo aseguraron su autosuficiencia energética, sino que hoy exportan petróleo y gas natural, fortaleciendo sus economías y reduciendo la dependencia de mercados externos.</t>
        </is>
      </c>
      <c r="H354" s="62" t="inlineStr">
        <is>
          <t>Países como Estados Unidos y Argentina son prueba de ello.</t>
        </is>
      </c>
      <c r="I354" s="62" t="n"/>
      <c r="J354" s="62" t="n"/>
      <c r="K354" s="62" t="n"/>
      <c r="L354" s="62" t="n"/>
      <c r="M354" s="62" t="n"/>
      <c r="N354" s="62" t="n"/>
      <c r="O354" s="62" t="n"/>
      <c r="P354" s="62" t="n"/>
      <c r="Q354" s="62" t="n"/>
      <c r="R354" s="62" t="n"/>
      <c r="S354" s="62" t="n"/>
      <c r="T354" s="62" t="n"/>
      <c r="U354" s="62" t="n"/>
      <c r="V354" s="62" t="n"/>
      <c r="W354" s="62" t="n"/>
      <c r="X354" s="62" t="n"/>
      <c r="Y354" s="62" t="n"/>
      <c r="Z354" s="62" t="n"/>
      <c r="AA354" s="62" t="n"/>
      <c r="AB354" s="62" t="n"/>
      <c r="AC354" s="62" t="n"/>
      <c r="AD354" s="62" t="n"/>
      <c r="AE354" s="62" t="n"/>
      <c r="AF354" s="61">
        <f>IF(COUNTIF($B$5:B354,B354)=1,1,0)</f>
        <v/>
      </c>
      <c r="AG354" s="62" t="inlineStr">
        <is>
          <t>https://www.semana.com/opinion/articulo/menos-ideologia-mas-fracking/202600/</t>
        </is>
      </c>
    </row>
    <row r="355">
      <c r="A355" s="62" t="inlineStr">
        <is>
          <t>ART_323</t>
        </is>
      </c>
      <c r="B355" s="62" t="inlineStr">
        <is>
          <t>ART_323_S01</t>
        </is>
      </c>
      <c r="C355" s="62" t="inlineStr">
        <is>
          <t>Infobae Colombia</t>
        </is>
      </c>
      <c r="D355" s="62" t="inlineStr">
        <is>
          <t>Deportes</t>
        </is>
      </c>
      <c r="E355" s="62" t="inlineStr">
        <is>
          <t>Noticia dura</t>
        </is>
      </c>
      <c r="F355" s="62" t="inlineStr">
        <is>
          <t>2026-07-23T20:47:49Z</t>
        </is>
      </c>
      <c r="G355" s="62" t="inlineStr">
        <is>
          <t>La selección Colombia despejó las dudas sobre el técnico del equipo tras el Mundial 2026 y anunció la continuidad de Néstor Lorenzo para el nuevo proceso hacia 2030, luego de llegar a un acuerdo con la Federación Colombiana de Fútbol para renovar su contrato, que terminaba el 31 de julio.</t>
        </is>
      </c>
      <c r="H355" s="62" t="inlineStr"/>
      <c r="I355" s="62" t="inlineStr">
        <is>
          <t>Sin embargo, hubo críticas por la decisión de la FCF, ya que la eliminación en la Copa de la FIFA fue un golpe duro.</t>
        </is>
      </c>
      <c r="J355" s="62" t="n"/>
      <c r="K355" s="62" t="n"/>
      <c r="L355" s="62" t="n"/>
      <c r="M355" s="62" t="n"/>
      <c r="N355" s="62" t="n"/>
      <c r="O355" s="62" t="n"/>
      <c r="P355" s="62" t="n"/>
      <c r="Q355" s="62" t="n"/>
      <c r="R355" s="62" t="n"/>
      <c r="S355" s="62" t="n"/>
      <c r="T355" s="62" t="n"/>
      <c r="U355" s="62" t="n"/>
      <c r="V355" s="62" t="n"/>
      <c r="W355" s="62" t="n"/>
      <c r="X355" s="62" t="n"/>
      <c r="Y355" s="62" t="n"/>
      <c r="Z355" s="62" t="n"/>
      <c r="AA355" s="62" t="n"/>
      <c r="AB355" s="62" t="n"/>
      <c r="AC355" s="62" t="n"/>
      <c r="AD355" s="62" t="n"/>
      <c r="AE355" s="62" t="n"/>
      <c r="AF355" s="61">
        <f>IF(COUNTIF($B$5:B355,B355)=1,1,0)</f>
        <v/>
      </c>
      <c r="AG355" s="62" t="inlineStr">
        <is>
          <t>https://www.infobae.com/colombia/deportes/2026/07/23/carlos-antonio-velez-estallo-por-la-renovacion-de-nestor-lorenzo-en-la-seleccion-colombia-viva-la-mediocridad/</t>
        </is>
      </c>
    </row>
    <row r="356">
      <c r="A356" s="62" t="inlineStr">
        <is>
          <t>ART_323</t>
        </is>
      </c>
      <c r="B356" s="62" t="inlineStr">
        <is>
          <t>ART_323_S02</t>
        </is>
      </c>
      <c r="C356" s="62" t="inlineStr">
        <is>
          <t>Infobae Colombia</t>
        </is>
      </c>
      <c r="D356" s="62" t="inlineStr">
        <is>
          <t>Deportes</t>
        </is>
      </c>
      <c r="E356" s="62" t="inlineStr">
        <is>
          <t>Noticia dura</t>
        </is>
      </c>
      <c r="F356" s="62" t="inlineStr">
        <is>
          <t>2026-07-23T20:47:49Z</t>
        </is>
      </c>
      <c r="G356" s="62" t="inlineStr">
        <is>
          <t>Sin embargo, hubo críticas por la decisión de la FCF, ya que la eliminación en la Copa de la FIFA fue un golpe duro.</t>
        </is>
      </c>
      <c r="H356" s="62" t="inlineStr">
        <is>
          <t>La selección Colombia despejó las dudas sobre el técnico del equipo tras el Mundial 2026 y anunció la continuidad de Néstor Lorenzo para el nuevo proceso hacia 2030, luego de llegar a un acuerdo con la Federación Colombiana de Fútbol para renovar su contrato, que terminaba el 31 de julio.</t>
        </is>
      </c>
      <c r="I356" s="62"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J356" s="62" t="n"/>
      <c r="K356" s="62" t="n"/>
      <c r="L356" s="62" t="n"/>
      <c r="M356" s="62" t="n"/>
      <c r="N356" s="62" t="n"/>
      <c r="O356" s="62" t="n"/>
      <c r="P356" s="62" t="n"/>
      <c r="Q356" s="62" t="n"/>
      <c r="R356" s="62" t="n"/>
      <c r="S356" s="62" t="n"/>
      <c r="T356" s="62" t="n"/>
      <c r="U356" s="62" t="n"/>
      <c r="V356" s="62" t="n"/>
      <c r="W356" s="62" t="n"/>
      <c r="X356" s="62" t="n"/>
      <c r="Y356" s="62" t="n"/>
      <c r="Z356" s="62" t="n"/>
      <c r="AA356" s="62" t="n"/>
      <c r="AB356" s="62" t="n"/>
      <c r="AC356" s="62" t="n"/>
      <c r="AD356" s="62" t="n"/>
      <c r="AE356" s="62" t="n"/>
      <c r="AF356" s="61">
        <f>IF(COUNTIF($B$5:B356,B356)=1,1,0)</f>
        <v/>
      </c>
      <c r="AG356" s="62" t="inlineStr">
        <is>
          <t>https://www.infobae.com/colombia/deportes/2026/07/23/carlos-antonio-velez-estallo-por-la-renovacion-de-nestor-lorenzo-en-la-seleccion-colombia-viva-la-mediocridad/</t>
        </is>
      </c>
    </row>
    <row r="357">
      <c r="A357" s="62" t="inlineStr">
        <is>
          <t>ART_323</t>
        </is>
      </c>
      <c r="B357" s="62" t="inlineStr">
        <is>
          <t>ART_323_S03</t>
        </is>
      </c>
      <c r="C357" s="62" t="inlineStr">
        <is>
          <t>Infobae Colombia</t>
        </is>
      </c>
      <c r="D357" s="62" t="inlineStr">
        <is>
          <t>Deportes</t>
        </is>
      </c>
      <c r="E357" s="62" t="inlineStr">
        <is>
          <t>Noticia dura</t>
        </is>
      </c>
      <c r="F357" s="62" t="inlineStr">
        <is>
          <t>2026-07-23T20:47:49Z</t>
        </is>
      </c>
      <c r="G357" s="62"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H357" s="62" t="inlineStr">
        <is>
          <t>Sin embargo, hubo críticas por la decisión de la FCF, ya que la eliminación en la Copa de la FIFA fue un golpe duro.</t>
        </is>
      </c>
      <c r="I357" s="62"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J357" s="62" t="n"/>
      <c r="K357" s="62" t="n"/>
      <c r="L357" s="62" t="n"/>
      <c r="M357" s="62" t="n"/>
      <c r="N357" s="62" t="n"/>
      <c r="O357" s="62" t="n"/>
      <c r="P357" s="62" t="n"/>
      <c r="Q357" s="62" t="n"/>
      <c r="R357" s="62" t="n"/>
      <c r="S357" s="62" t="n"/>
      <c r="T357" s="62" t="n"/>
      <c r="U357" s="62" t="n"/>
      <c r="V357" s="62" t="n"/>
      <c r="W357" s="62" t="n"/>
      <c r="X357" s="62" t="n"/>
      <c r="Y357" s="62" t="n"/>
      <c r="Z357" s="62" t="n"/>
      <c r="AA357" s="62" t="n"/>
      <c r="AB357" s="62" t="n"/>
      <c r="AC357" s="62" t="n"/>
      <c r="AD357" s="62" t="n"/>
      <c r="AE357" s="62" t="n"/>
      <c r="AF357" s="61">
        <f>IF(COUNTIF($B$5:B357,B357)=1,1,0)</f>
        <v/>
      </c>
      <c r="AG357" s="62" t="inlineStr">
        <is>
          <t>https://www.infobae.com/colombia/deportes/2026/07/23/carlos-antonio-velez-estallo-por-la-renovacion-de-nestor-lorenzo-en-la-seleccion-colombia-viva-la-mediocridad/</t>
        </is>
      </c>
    </row>
    <row r="358">
      <c r="A358" s="62" t="inlineStr">
        <is>
          <t>ART_323</t>
        </is>
      </c>
      <c r="B358" s="62" t="inlineStr">
        <is>
          <t>ART_323_S04</t>
        </is>
      </c>
      <c r="C358" s="62" t="inlineStr">
        <is>
          <t>Infobae Colombia</t>
        </is>
      </c>
      <c r="D358" s="62" t="inlineStr">
        <is>
          <t>Deportes</t>
        </is>
      </c>
      <c r="E358" s="62" t="inlineStr">
        <is>
          <t>Noticia dura</t>
        </is>
      </c>
      <c r="F358" s="62" t="inlineStr">
        <is>
          <t>2026-07-23T20:47:49Z</t>
        </is>
      </c>
      <c r="G358" s="62"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H358" s="62"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I358" s="62"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J358" s="62" t="n"/>
      <c r="K358" s="62" t="n"/>
      <c r="L358" s="62" t="n"/>
      <c r="M358" s="62" t="n"/>
      <c r="N358" s="62" t="n"/>
      <c r="O358" s="62" t="n"/>
      <c r="P358" s="62" t="n"/>
      <c r="Q358" s="62" t="n"/>
      <c r="R358" s="62" t="n"/>
      <c r="S358" s="62" t="n"/>
      <c r="T358" s="62" t="n"/>
      <c r="U358" s="62" t="n"/>
      <c r="V358" s="62" t="n"/>
      <c r="W358" s="62" t="n"/>
      <c r="X358" s="62" t="n"/>
      <c r="Y358" s="62" t="n"/>
      <c r="Z358" s="62" t="n"/>
      <c r="AA358" s="62" t="n"/>
      <c r="AB358" s="62" t="n"/>
      <c r="AC358" s="62" t="n"/>
      <c r="AD358" s="62" t="n"/>
      <c r="AE358" s="62" t="n"/>
      <c r="AF358" s="61">
        <f>IF(COUNTIF($B$5:B358,B358)=1,1,0)</f>
        <v/>
      </c>
      <c r="AG358" s="62" t="inlineStr">
        <is>
          <t>https://www.infobae.com/colombia/deportes/2026/07/23/carlos-antonio-velez-estallo-por-la-renovacion-de-nestor-lorenzo-en-la-seleccion-colombia-viva-la-mediocridad/</t>
        </is>
      </c>
    </row>
    <row r="359">
      <c r="A359" s="62" t="inlineStr">
        <is>
          <t>ART_323</t>
        </is>
      </c>
      <c r="B359" s="62" t="inlineStr">
        <is>
          <t>ART_323_S05</t>
        </is>
      </c>
      <c r="C359" s="62" t="inlineStr">
        <is>
          <t>Infobae Colombia</t>
        </is>
      </c>
      <c r="D359" s="62" t="inlineStr">
        <is>
          <t>Deportes</t>
        </is>
      </c>
      <c r="E359" s="62" t="inlineStr">
        <is>
          <t>Noticia dura</t>
        </is>
      </c>
      <c r="F359" s="62" t="inlineStr">
        <is>
          <t>2026-07-23T20:47:49Z</t>
        </is>
      </c>
      <c r="G359" s="62"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H359" s="62"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I359" s="62" t="inlineStr">
        <is>
          <t>“Maravillosa noticia… (Para los rivales y los empresarios).</t>
        </is>
      </c>
      <c r="J359" s="62" t="n"/>
      <c r="K359" s="62" t="n"/>
      <c r="L359" s="62" t="n"/>
      <c r="M359" s="62" t="n"/>
      <c r="N359" s="62" t="n"/>
      <c r="O359" s="62" t="n"/>
      <c r="P359" s="62" t="n"/>
      <c r="Q359" s="62" t="n"/>
      <c r="R359" s="62" t="n"/>
      <c r="S359" s="62" t="n"/>
      <c r="T359" s="62" t="n"/>
      <c r="U359" s="62" t="n"/>
      <c r="V359" s="62" t="n"/>
      <c r="W359" s="62" t="n"/>
      <c r="X359" s="62" t="n"/>
      <c r="Y359" s="62" t="n"/>
      <c r="Z359" s="62" t="n"/>
      <c r="AA359" s="62" t="n"/>
      <c r="AB359" s="62" t="n"/>
      <c r="AC359" s="62" t="n"/>
      <c r="AD359" s="62" t="n"/>
      <c r="AE359" s="62" t="n"/>
      <c r="AF359" s="61">
        <f>IF(COUNTIF($B$5:B359,B359)=1,1,0)</f>
        <v/>
      </c>
      <c r="AG359" s="62" t="inlineStr">
        <is>
          <t>https://www.infobae.com/colombia/deportes/2026/07/23/carlos-antonio-velez-estallo-por-la-renovacion-de-nestor-lorenzo-en-la-seleccion-colombia-viva-la-mediocridad/</t>
        </is>
      </c>
    </row>
    <row r="360">
      <c r="A360" s="62" t="inlineStr">
        <is>
          <t>ART_323</t>
        </is>
      </c>
      <c r="B360" s="62" t="inlineStr">
        <is>
          <t>ART_323_S06</t>
        </is>
      </c>
      <c r="C360" s="62" t="inlineStr">
        <is>
          <t>Infobae Colombia</t>
        </is>
      </c>
      <c r="D360" s="62" t="inlineStr">
        <is>
          <t>Deportes</t>
        </is>
      </c>
      <c r="E360" s="62" t="inlineStr">
        <is>
          <t>Noticia dura</t>
        </is>
      </c>
      <c r="F360" s="62" t="inlineStr">
        <is>
          <t>2026-07-23T20:47:49Z</t>
        </is>
      </c>
      <c r="G360" s="62" t="inlineStr">
        <is>
          <t>“Maravillosa noticia… (Para los rivales y los empresarios).</t>
        </is>
      </c>
      <c r="H360" s="62"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I360" s="62" t="inlineStr">
        <is>
          <t>Y aseguramos múltiples triunfos en amistosos, la continuidad del exitoso club de amigos, ir al mundial (van casi todos) a jugar 8 partidos, pero nos regresamos antes y el show de disculpas en las bobaliconas conferencias de prensa.</t>
        </is>
      </c>
      <c r="J360" s="62" t="n"/>
      <c r="K360" s="62" t="n"/>
      <c r="L360" s="62" t="n"/>
      <c r="M360" s="62" t="n"/>
      <c r="N360" s="62" t="n"/>
      <c r="O360" s="62" t="n"/>
      <c r="P360" s="62" t="n"/>
      <c r="Q360" s="62" t="n"/>
      <c r="R360" s="62" t="n"/>
      <c r="S360" s="62" t="n"/>
      <c r="T360" s="62" t="n"/>
      <c r="U360" s="62" t="n"/>
      <c r="V360" s="62" t="n"/>
      <c r="W360" s="62" t="n"/>
      <c r="X360" s="62" t="n"/>
      <c r="Y360" s="62" t="n"/>
      <c r="Z360" s="62" t="n"/>
      <c r="AA360" s="62" t="n"/>
      <c r="AB360" s="62" t="n"/>
      <c r="AC360" s="62" t="n"/>
      <c r="AD360" s="62" t="n"/>
      <c r="AE360" s="62" t="n"/>
      <c r="AF360" s="61">
        <f>IF(COUNTIF($B$5:B360,B360)=1,1,0)</f>
        <v/>
      </c>
      <c r="AG360" s="62" t="inlineStr">
        <is>
          <t>https://www.infobae.com/colombia/deportes/2026/07/23/carlos-antonio-velez-estallo-por-la-renovacion-de-nestor-lorenzo-en-la-seleccion-colombia-viva-la-mediocridad/</t>
        </is>
      </c>
    </row>
    <row r="361">
      <c r="A361" s="62" t="inlineStr">
        <is>
          <t>ART_323</t>
        </is>
      </c>
      <c r="B361" s="62" t="inlineStr">
        <is>
          <t>ART_323_S07</t>
        </is>
      </c>
      <c r="C361" s="62" t="inlineStr">
        <is>
          <t>Infobae Colombia</t>
        </is>
      </c>
      <c r="D361" s="62" t="inlineStr">
        <is>
          <t>Deportes</t>
        </is>
      </c>
      <c r="E361" s="62" t="inlineStr">
        <is>
          <t>Noticia dura</t>
        </is>
      </c>
      <c r="F361" s="62" t="inlineStr">
        <is>
          <t>2026-07-23T20:47:49Z</t>
        </is>
      </c>
      <c r="G361" s="62" t="inlineStr">
        <is>
          <t>Y aseguramos múltiples triunfos en amistosos, la continuidad del exitoso club de amigos, ir al mundial (van casi todos) a jugar 8 partidos, pero nos regresamos antes y el show de disculpas en las bobaliconas conferencias de prensa.</t>
        </is>
      </c>
      <c r="H361" s="62" t="inlineStr">
        <is>
          <t>“Maravillosa noticia… (Para los rivales y los empresarios).</t>
        </is>
      </c>
      <c r="I361" s="62" t="inlineStr">
        <is>
          <t>Seguramente en Copa América nos irá de rechupete y vuelve a ilusionarse la patria boba hasta cuando lleguen los de verdad y ya saben el final .</t>
        </is>
      </c>
      <c r="J361" s="62" t="n"/>
      <c r="K361" s="62" t="n"/>
      <c r="L361" s="62" t="n"/>
      <c r="M361" s="62" t="n"/>
      <c r="N361" s="62" t="n"/>
      <c r="O361" s="62" t="n"/>
      <c r="P361" s="62" t="n"/>
      <c r="Q361" s="62" t="n"/>
      <c r="R361" s="62" t="n"/>
      <c r="S361" s="62" t="n"/>
      <c r="T361" s="62" t="n"/>
      <c r="U361" s="62" t="n"/>
      <c r="V361" s="62" t="n"/>
      <c r="W361" s="62" t="n"/>
      <c r="X361" s="62" t="n"/>
      <c r="Y361" s="62" t="n"/>
      <c r="Z361" s="62" t="n"/>
      <c r="AA361" s="62" t="n"/>
      <c r="AB361" s="62" t="n"/>
      <c r="AC361" s="62" t="n"/>
      <c r="AD361" s="62" t="n"/>
      <c r="AE361" s="62" t="n"/>
      <c r="AF361" s="61">
        <f>IF(COUNTIF($B$5:B361,B361)=1,1,0)</f>
        <v/>
      </c>
      <c r="AG361" s="62" t="inlineStr">
        <is>
          <t>https://www.infobae.com/colombia/deportes/2026/07/23/carlos-antonio-velez-estallo-por-la-renovacion-de-nestor-lorenzo-en-la-seleccion-colombia-viva-la-mediocridad/</t>
        </is>
      </c>
    </row>
    <row r="362">
      <c r="A362" s="62" t="inlineStr">
        <is>
          <t>ART_323</t>
        </is>
      </c>
      <c r="B362" s="62" t="inlineStr">
        <is>
          <t>ART_323_S08</t>
        </is>
      </c>
      <c r="C362" s="62" t="inlineStr">
        <is>
          <t>Infobae Colombia</t>
        </is>
      </c>
      <c r="D362" s="62" t="inlineStr">
        <is>
          <t>Deportes</t>
        </is>
      </c>
      <c r="E362" s="62" t="inlineStr">
        <is>
          <t>Noticia dura</t>
        </is>
      </c>
      <c r="F362" s="62" t="inlineStr">
        <is>
          <t>2026-07-23T20:47:49Z</t>
        </is>
      </c>
      <c r="G362" s="62" t="inlineStr">
        <is>
          <t>Seguramente en Copa América nos irá de rechupete y vuelve a ilusionarse la patria boba hasta cuando lleguen los de verdad y ya saben el final .</t>
        </is>
      </c>
      <c r="H362" s="62" t="inlineStr">
        <is>
          <t>Y aseguramos múltiples triunfos en amistosos, la continuidad del exitoso club de amigos, ir al mundial (van casi todos) a jugar 8 partidos, pero nos regresamos antes y el show de disculpas en las bobaliconas conferencias de prensa.</t>
        </is>
      </c>
      <c r="I362" s="62" t="inlineStr">
        <is>
          <t>¡Viva la mediocridad!”, publicó el periodista en X.</t>
        </is>
      </c>
      <c r="J362" s="62" t="n"/>
      <c r="K362" s="62" t="n"/>
      <c r="L362" s="62" t="n"/>
      <c r="M362" s="62" t="n"/>
      <c r="N362" s="62" t="n"/>
      <c r="O362" s="62" t="n"/>
      <c r="P362" s="62" t="n"/>
      <c r="Q362" s="62" t="n"/>
      <c r="R362" s="62" t="n"/>
      <c r="S362" s="62" t="n"/>
      <c r="T362" s="62" t="n"/>
      <c r="U362" s="62" t="n"/>
      <c r="V362" s="62" t="n"/>
      <c r="W362" s="62" t="n"/>
      <c r="X362" s="62" t="n"/>
      <c r="Y362" s="62" t="n"/>
      <c r="Z362" s="62" t="n"/>
      <c r="AA362" s="62" t="n"/>
      <c r="AB362" s="62" t="n"/>
      <c r="AC362" s="62" t="n"/>
      <c r="AD362" s="62" t="n"/>
      <c r="AE362" s="62" t="n"/>
      <c r="AF362" s="61">
        <f>IF(COUNTIF($B$5:B362,B362)=1,1,0)</f>
        <v/>
      </c>
      <c r="AG362" s="62" t="inlineStr">
        <is>
          <t>https://www.infobae.com/colombia/deportes/2026/07/23/carlos-antonio-velez-estallo-por-la-renovacion-de-nestor-lorenzo-en-la-seleccion-colombia-viva-la-mediocridad/</t>
        </is>
      </c>
    </row>
    <row r="363">
      <c r="A363" s="62" t="inlineStr">
        <is>
          <t>ART_323</t>
        </is>
      </c>
      <c r="B363" s="62" t="inlineStr">
        <is>
          <t>ART_323_S09</t>
        </is>
      </c>
      <c r="C363" s="62" t="inlineStr">
        <is>
          <t>Infobae Colombia</t>
        </is>
      </c>
      <c r="D363" s="62" t="inlineStr">
        <is>
          <t>Deportes</t>
        </is>
      </c>
      <c r="E363" s="62" t="inlineStr">
        <is>
          <t>Noticia dura</t>
        </is>
      </c>
      <c r="F363" s="62" t="inlineStr">
        <is>
          <t>2026-07-23T20:47:49Z</t>
        </is>
      </c>
      <c r="G363" s="62" t="inlineStr">
        <is>
          <t>¡Viva la mediocridad!”, publicó el periodista en X.</t>
        </is>
      </c>
      <c r="H363" s="62" t="inlineStr">
        <is>
          <t>Seguramente en Copa América nos irá de rechupete y vuelve a ilusionarse la patria boba hasta cuando lleguen los de verdad y ya saben el final .</t>
        </is>
      </c>
      <c r="I363" s="62" t="inlineStr">
        <is>
          <t>Sumado a eso, Vélez también lanzó una crítica al anuncio de la renovación de Lorenzo en redes sociales: “Fácil saber qué piensa la gente del mamarracho de esta tarda.</t>
        </is>
      </c>
      <c r="J363" s="62" t="n"/>
      <c r="K363" s="62" t="n"/>
      <c r="L363" s="62" t="n"/>
      <c r="M363" s="62" t="n"/>
      <c r="N363" s="62" t="n"/>
      <c r="O363" s="62" t="n"/>
      <c r="P363" s="62" t="n"/>
      <c r="Q363" s="62" t="n"/>
      <c r="R363" s="62" t="n"/>
      <c r="S363" s="62" t="n"/>
      <c r="T363" s="62" t="n"/>
      <c r="U363" s="62" t="n"/>
      <c r="V363" s="62" t="n"/>
      <c r="W363" s="62" t="n"/>
      <c r="X363" s="62" t="n"/>
      <c r="Y363" s="62" t="n"/>
      <c r="Z363" s="62" t="n"/>
      <c r="AA363" s="62" t="n"/>
      <c r="AB363" s="62" t="n"/>
      <c r="AC363" s="62" t="n"/>
      <c r="AD363" s="62" t="n"/>
      <c r="AE363" s="62" t="n"/>
      <c r="AF363" s="61">
        <f>IF(COUNTIF($B$5:B363,B363)=1,1,0)</f>
        <v/>
      </c>
      <c r="AG363" s="62" t="inlineStr">
        <is>
          <t>https://www.infobae.com/colombia/deportes/2026/07/23/carlos-antonio-velez-estallo-por-la-renovacion-de-nestor-lorenzo-en-la-seleccion-colombia-viva-la-mediocridad/</t>
        </is>
      </c>
    </row>
    <row r="364">
      <c r="A364" s="62" t="inlineStr">
        <is>
          <t>ART_323</t>
        </is>
      </c>
      <c r="B364" s="62" t="inlineStr">
        <is>
          <t>ART_323_S10</t>
        </is>
      </c>
      <c r="C364" s="62" t="inlineStr">
        <is>
          <t>Infobae Colombia</t>
        </is>
      </c>
      <c r="D364" s="62" t="inlineStr">
        <is>
          <t>Deportes</t>
        </is>
      </c>
      <c r="E364" s="62" t="inlineStr">
        <is>
          <t>Noticia dura</t>
        </is>
      </c>
      <c r="F364" s="62" t="inlineStr">
        <is>
          <t>2026-07-23T20:47:49Z</t>
        </is>
      </c>
      <c r="G364" s="62" t="inlineStr">
        <is>
          <t>Sumado a eso, Vélez también lanzó una crítica al anuncio de la renovación de Lorenzo en redes sociales: “Fácil saber qué piensa la gente del mamarracho de esta tarda.</t>
        </is>
      </c>
      <c r="H364" s="62" t="inlineStr">
        <is>
          <t>¡Viva la mediocridad!”, publicó el periodista en X.</t>
        </is>
      </c>
      <c r="I364" s="62" t="inlineStr"/>
      <c r="J364" s="62" t="n"/>
      <c r="K364" s="62" t="n"/>
      <c r="L364" s="62" t="n"/>
      <c r="M364" s="62" t="n"/>
      <c r="N364" s="62" t="n"/>
      <c r="O364" s="62" t="n"/>
      <c r="P364" s="62" t="n"/>
      <c r="Q364" s="62" t="n"/>
      <c r="R364" s="62" t="n"/>
      <c r="S364" s="62" t="n"/>
      <c r="T364" s="62" t="n"/>
      <c r="U364" s="62" t="n"/>
      <c r="V364" s="62" t="n"/>
      <c r="W364" s="62" t="n"/>
      <c r="X364" s="62" t="n"/>
      <c r="Y364" s="62" t="n"/>
      <c r="Z364" s="62" t="n"/>
      <c r="AA364" s="62" t="n"/>
      <c r="AB364" s="62" t="n"/>
      <c r="AC364" s="62" t="n"/>
      <c r="AD364" s="62" t="n"/>
      <c r="AE364" s="62" t="n"/>
      <c r="AF364" s="61">
        <f>IF(COUNTIF($B$5:B364,B364)=1,1,0)</f>
        <v/>
      </c>
      <c r="AG364" s="62" t="inlineStr">
        <is>
          <t>https://www.infobae.com/colombia/deportes/2026/07/23/carlos-antonio-velez-estallo-por-la-renovacion-de-nestor-lorenzo-en-la-seleccion-colombia-viva-la-mediocridad/</t>
        </is>
      </c>
    </row>
    <row r="365">
      <c r="A365" s="62" t="inlineStr">
        <is>
          <t>ART_324</t>
        </is>
      </c>
      <c r="B365" s="62" t="inlineStr">
        <is>
          <t>ART_324_S01</t>
        </is>
      </c>
      <c r="C365" s="62" t="inlineStr">
        <is>
          <t>Infobae Colombia</t>
        </is>
      </c>
      <c r="D365" s="62" t="inlineStr">
        <is>
          <t>Deportes</t>
        </is>
      </c>
      <c r="E365" s="62" t="inlineStr">
        <is>
          <t>Noticia dura</t>
        </is>
      </c>
      <c r="F365" s="62" t="inlineStr">
        <is>
          <t>2026-05-20T00:29:26Z</t>
        </is>
      </c>
      <c r="G365" s="62" t="inlineStr">
        <is>
          <t>La reciente preconvocatoria de Sebastián Villa a la Selección Colombia ha reavivado la controversia en el país.</t>
        </is>
      </c>
      <c r="H365" s="62" t="n"/>
      <c r="I365" s="62"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J365" s="62" t="n"/>
      <c r="K365" s="62" t="n"/>
      <c r="L365" s="62" t="n"/>
      <c r="M365" s="62" t="n"/>
      <c r="N365" s="62" t="n"/>
      <c r="O365" s="62" t="n"/>
      <c r="P365" s="62" t="n"/>
      <c r="Q365" s="62" t="n"/>
      <c r="R365" s="62" t="n"/>
      <c r="S365" s="62" t="n"/>
      <c r="T365" s="62" t="n"/>
      <c r="U365" s="62" t="n"/>
      <c r="V365" s="62" t="n"/>
      <c r="W365" s="62" t="n"/>
      <c r="X365" s="62" t="n"/>
      <c r="Y365" s="62" t="n"/>
      <c r="Z365" s="62" t="n"/>
      <c r="AA365" s="62" t="n"/>
      <c r="AB365" s="62" t="n"/>
      <c r="AC365" s="62" t="n"/>
      <c r="AD365" s="62" t="n"/>
      <c r="AE365" s="62" t="n"/>
      <c r="AF365" s="61">
        <f>IF(COUNTIF($B$5:B365,B365)=1,1,0)</f>
        <v/>
      </c>
      <c r="AG365" s="62" t="inlineStr">
        <is>
          <t>https://www.infobae.com/colombia/deportes/2026/05/20/sebastian-villa-es-defendido-por-la-acolfutpro-en-prelista-de-seleccion-colombia-los-mejores-tienen-que-representarnos/</t>
        </is>
      </c>
    </row>
    <row r="366">
      <c r="A366" s="62" t="inlineStr">
        <is>
          <t>ART_324</t>
        </is>
      </c>
      <c r="B366" s="62" t="inlineStr">
        <is>
          <t>ART_324_S02</t>
        </is>
      </c>
      <c r="C366" s="62" t="inlineStr">
        <is>
          <t>Infobae Colombia</t>
        </is>
      </c>
      <c r="D366" s="62" t="inlineStr">
        <is>
          <t>Deportes</t>
        </is>
      </c>
      <c r="E366" s="62" t="inlineStr">
        <is>
          <t>Noticia dura</t>
        </is>
      </c>
      <c r="F366" s="62" t="inlineStr">
        <is>
          <t>2026-05-20T00:29:26Z</t>
        </is>
      </c>
      <c r="G366" s="62"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H366" s="62" t="inlineStr">
        <is>
          <t>La reciente preconvocatoria de Sebastián Villa a la Selección Colombia ha reavivado la controversia en el país.</t>
        </is>
      </c>
      <c r="I366" s="62" t="inlineStr">
        <is>
          <t>La Acolfutpro respalda la presencia de Villa porque, según su ejecutivo Carlos González Puche, el futbolista “no tiene ninguna limitación, ninguna restricción para el ejercicio de su actividad profesional”.</t>
        </is>
      </c>
      <c r="J366" s="62" t="n"/>
      <c r="K366" s="62" t="n"/>
      <c r="L366" s="62" t="n"/>
      <c r="M366" s="62" t="n"/>
      <c r="N366" s="62" t="n"/>
      <c r="O366" s="62" t="n"/>
      <c r="P366" s="62" t="n"/>
      <c r="Q366" s="62" t="n"/>
      <c r="R366" s="62" t="n"/>
      <c r="S366" s="62" t="n"/>
      <c r="T366" s="62" t="n"/>
      <c r="U366" s="62" t="n"/>
      <c r="V366" s="62" t="n"/>
      <c r="W366" s="62" t="n"/>
      <c r="X366" s="62" t="n"/>
      <c r="Y366" s="62" t="n"/>
      <c r="Z366" s="62" t="n"/>
      <c r="AA366" s="62" t="n"/>
      <c r="AB366" s="62" t="n"/>
      <c r="AC366" s="62" t="n"/>
      <c r="AD366" s="62" t="n"/>
      <c r="AE366" s="62" t="n"/>
      <c r="AF366" s="61">
        <f>IF(COUNTIF($B$5:B366,B366)=1,1,0)</f>
        <v/>
      </c>
      <c r="AG366" s="62" t="inlineStr">
        <is>
          <t>https://www.infobae.com/colombia/deportes/2026/05/20/sebastian-villa-es-defendido-por-la-acolfutpro-en-prelista-de-seleccion-colombia-los-mejores-tienen-que-representarnos/</t>
        </is>
      </c>
    </row>
    <row r="367">
      <c r="A367" s="62" t="inlineStr">
        <is>
          <t>ART_324</t>
        </is>
      </c>
      <c r="B367" s="62" t="inlineStr">
        <is>
          <t>ART_324_S03</t>
        </is>
      </c>
      <c r="C367" s="62" t="inlineStr">
        <is>
          <t>Infobae Colombia</t>
        </is>
      </c>
      <c r="D367" s="62" t="inlineStr">
        <is>
          <t>Deportes</t>
        </is>
      </c>
      <c r="E367" s="62" t="inlineStr">
        <is>
          <t>Noticia dura</t>
        </is>
      </c>
      <c r="F367" s="62" t="inlineStr">
        <is>
          <t>2026-05-20T00:29:26Z</t>
        </is>
      </c>
      <c r="G367" s="62" t="inlineStr">
        <is>
          <t>La Acolfutpro respalda la presencia de Villa porque, según su ejecutivo Carlos González Puche, el futbolista “no tiene ninguna limitación, ninguna restricción para el ejercicio de su actividad profesional”.</t>
        </is>
      </c>
      <c r="H367" s="62"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I367" s="62" t="inlineStr">
        <is>
          <t>El dirigente sostiene que, ante la ausencia de un impedimento legal vigente, la decisión debe centrarse en el criterio deportivo y no en cuestionamientos éticos vinculados con su pasado.</t>
        </is>
      </c>
      <c r="J367" s="62" t="n"/>
      <c r="K367" s="62" t="n"/>
      <c r="L367" s="62" t="n"/>
      <c r="M367" s="62" t="n"/>
      <c r="N367" s="62" t="n"/>
      <c r="O367" s="62" t="n"/>
      <c r="P367" s="62" t="n"/>
      <c r="Q367" s="62" t="n"/>
      <c r="R367" s="62" t="n"/>
      <c r="S367" s="62" t="n"/>
      <c r="T367" s="62" t="n"/>
      <c r="U367" s="62" t="n"/>
      <c r="V367" s="62" t="n"/>
      <c r="W367" s="62" t="n"/>
      <c r="X367" s="62" t="n"/>
      <c r="Y367" s="62" t="n"/>
      <c r="Z367" s="62" t="n"/>
      <c r="AA367" s="62" t="n"/>
      <c r="AB367" s="62" t="n"/>
      <c r="AC367" s="62" t="n"/>
      <c r="AD367" s="62" t="n"/>
      <c r="AE367" s="62" t="n"/>
      <c r="AF367" s="61">
        <f>IF(COUNTIF($B$5:B367,B367)=1,1,0)</f>
        <v/>
      </c>
      <c r="AG367" s="62" t="inlineStr">
        <is>
          <t>https://www.infobae.com/colombia/deportes/2026/05/20/sebastian-villa-es-defendido-por-la-acolfutpro-en-prelista-de-seleccion-colombia-los-mejores-tienen-que-representarnos/</t>
        </is>
      </c>
    </row>
    <row r="368">
      <c r="A368" s="62" t="inlineStr">
        <is>
          <t>ART_324</t>
        </is>
      </c>
      <c r="B368" s="62" t="inlineStr">
        <is>
          <t>ART_324_S04</t>
        </is>
      </c>
      <c r="C368" s="62" t="inlineStr">
        <is>
          <t>Infobae Colombia</t>
        </is>
      </c>
      <c r="D368" s="62" t="inlineStr">
        <is>
          <t>Deportes</t>
        </is>
      </c>
      <c r="E368" s="62" t="inlineStr">
        <is>
          <t>Noticia dura</t>
        </is>
      </c>
      <c r="F368" s="62" t="inlineStr">
        <is>
          <t>2026-05-20T00:29:26Z</t>
        </is>
      </c>
      <c r="G368" s="62" t="inlineStr">
        <is>
          <t>El dirigente sostiene que, ante la ausencia de un impedimento legal vigente, la decisión debe centrarse en el criterio deportivo y no en cuestionamientos éticos vinculados con su pasado.</t>
        </is>
      </c>
      <c r="H368" s="62" t="inlineStr">
        <is>
          <t>La Acolfutpro respalda la presencia de Villa porque, según su ejecutivo Carlos González Puche, el futbolista “no tiene ninguna limitación, ninguna restricción para el ejercicio de su actividad profesional”.</t>
        </is>
      </c>
      <c r="I368" s="62" t="inlineStr">
        <is>
          <t>Néstor Lorenzo, director técnico de la selección, reforzó esa postura al indicar en Gol Caracol que Sebastián Villa “está jugando, está rindiendo bien, está a la altura” en Independiente Rivadavia.</t>
        </is>
      </c>
      <c r="J368" s="62" t="n"/>
      <c r="K368" s="62" t="n"/>
      <c r="L368" s="62" t="n"/>
      <c r="M368" s="62" t="n"/>
      <c r="N368" s="62" t="n"/>
      <c r="O368" s="62" t="n"/>
      <c r="P368" s="62" t="n"/>
      <c r="Q368" s="62" t="n"/>
      <c r="R368" s="62" t="n"/>
      <c r="S368" s="62" t="n"/>
      <c r="T368" s="62" t="n"/>
      <c r="U368" s="62" t="n"/>
      <c r="V368" s="62" t="n"/>
      <c r="W368" s="62" t="n"/>
      <c r="X368" s="62" t="n"/>
      <c r="Y368" s="62" t="n"/>
      <c r="Z368" s="62" t="n"/>
      <c r="AA368" s="62" t="n"/>
      <c r="AB368" s="62" t="n"/>
      <c r="AC368" s="62" t="n"/>
      <c r="AD368" s="62" t="n"/>
      <c r="AE368" s="62" t="n"/>
      <c r="AF368" s="61">
        <f>IF(COUNTIF($B$5:B368,B368)=1,1,0)</f>
        <v/>
      </c>
      <c r="AG368" s="62" t="inlineStr">
        <is>
          <t>https://www.infobae.com/colombia/deportes/2026/05/20/sebastian-villa-es-defendido-por-la-acolfutpro-en-prelista-de-seleccion-colombia-los-mejores-tienen-que-representarnos/</t>
        </is>
      </c>
    </row>
    <row r="369">
      <c r="A369" s="62" t="inlineStr">
        <is>
          <t>ART_324</t>
        </is>
      </c>
      <c r="B369" s="62" t="inlineStr">
        <is>
          <t>ART_324_S05</t>
        </is>
      </c>
      <c r="C369" s="62" t="inlineStr">
        <is>
          <t>Infobae Colombia</t>
        </is>
      </c>
      <c r="D369" s="62" t="inlineStr">
        <is>
          <t>Deportes</t>
        </is>
      </c>
      <c r="E369" s="62" t="inlineStr">
        <is>
          <t>Noticia dura</t>
        </is>
      </c>
      <c r="F369" s="62" t="inlineStr">
        <is>
          <t>2026-05-20T00:29:26Z</t>
        </is>
      </c>
      <c r="G369" s="62" t="inlineStr">
        <is>
          <t>Néstor Lorenzo, director técnico de la selección, reforzó esa postura al indicar en Gol Caracol que Sebastián Villa “está jugando, está rindiendo bien, está a la altura” en Independiente Rivadavia.</t>
        </is>
      </c>
      <c r="H369" s="62" t="inlineStr">
        <is>
          <t>El dirigente sostiene que, ante la ausencia de un impedimento legal vigente, la decisión debe centrarse en el criterio deportivo y no en cuestionamientos éticos vinculados con su pasado.</t>
        </is>
      </c>
      <c r="I369" s="62" t="inlineStr">
        <is>
          <t>De acuerdo con Lorenzo, la convocatoria responde al rendimiento futbolístico actual del jugador, no a consideraciones extradeportivas.</t>
        </is>
      </c>
      <c r="J369" s="62" t="n"/>
      <c r="K369" s="62" t="n"/>
      <c r="L369" s="62" t="n"/>
      <c r="M369" s="62" t="n"/>
      <c r="N369" s="62" t="n"/>
      <c r="O369" s="62" t="n"/>
      <c r="P369" s="62" t="n"/>
      <c r="Q369" s="62" t="n"/>
      <c r="R369" s="62" t="n"/>
      <c r="S369" s="62" t="n"/>
      <c r="T369" s="62" t="n"/>
      <c r="U369" s="62" t="n"/>
      <c r="V369" s="62" t="n"/>
      <c r="W369" s="62" t="n"/>
      <c r="X369" s="62" t="n"/>
      <c r="Y369" s="62" t="n"/>
      <c r="Z369" s="62" t="n"/>
      <c r="AA369" s="62" t="n"/>
      <c r="AB369" s="62" t="n"/>
      <c r="AC369" s="62" t="n"/>
      <c r="AD369" s="62" t="n"/>
      <c r="AE369" s="62" t="n"/>
      <c r="AF369" s="61">
        <f>IF(COUNTIF($B$5:B369,B369)=1,1,0)</f>
        <v/>
      </c>
      <c r="AG369" s="62" t="inlineStr">
        <is>
          <t>https://www.infobae.com/colombia/deportes/2026/05/20/sebastian-villa-es-defendido-por-la-acolfutpro-en-prelista-de-seleccion-colombia-los-mejores-tienen-que-representarnos/</t>
        </is>
      </c>
    </row>
    <row r="370">
      <c r="A370" s="62" t="inlineStr">
        <is>
          <t>ART_324</t>
        </is>
      </c>
      <c r="B370" s="62" t="inlineStr">
        <is>
          <t>ART_324_S06</t>
        </is>
      </c>
      <c r="C370" s="62" t="inlineStr">
        <is>
          <t>Infobae Colombia</t>
        </is>
      </c>
      <c r="D370" s="62" t="inlineStr">
        <is>
          <t>Deportes</t>
        </is>
      </c>
      <c r="E370" s="62" t="inlineStr">
        <is>
          <t>Noticia dura</t>
        </is>
      </c>
      <c r="F370" s="62" t="inlineStr">
        <is>
          <t>2026-05-20T00:29:26Z</t>
        </is>
      </c>
      <c r="G370" s="62" t="inlineStr">
        <is>
          <t>De acuerdo con Lorenzo, la convocatoria responde al rendimiento futbolístico actual del jugador, no a consideraciones extradeportivas.</t>
        </is>
      </c>
      <c r="H370" s="62" t="inlineStr">
        <is>
          <t>Néstor Lorenzo, director técnico de la selección, reforzó esa postura al indicar en Gol Caracol que Sebastián Villa “está jugando, está rindiendo bien, está a la altura” en Independiente Rivadavia.</t>
        </is>
      </c>
      <c r="I370" s="62"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J370" s="62" t="n"/>
      <c r="K370" s="62" t="n"/>
      <c r="L370" s="62" t="n"/>
      <c r="M370" s="62" t="n"/>
      <c r="N370" s="62" t="n"/>
      <c r="O370" s="62" t="n"/>
      <c r="P370" s="62" t="n"/>
      <c r="Q370" s="62" t="n"/>
      <c r="R370" s="62" t="n"/>
      <c r="S370" s="62" t="n"/>
      <c r="T370" s="62" t="n"/>
      <c r="U370" s="62" t="n"/>
      <c r="V370" s="62" t="n"/>
      <c r="W370" s="62" t="n"/>
      <c r="X370" s="62" t="n"/>
      <c r="Y370" s="62" t="n"/>
      <c r="Z370" s="62" t="n"/>
      <c r="AA370" s="62" t="n"/>
      <c r="AB370" s="62" t="n"/>
      <c r="AC370" s="62" t="n"/>
      <c r="AD370" s="62" t="n"/>
      <c r="AE370" s="62" t="n"/>
      <c r="AF370" s="61">
        <f>IF(COUNTIF($B$5:B370,B370)=1,1,0)</f>
        <v/>
      </c>
      <c r="AG370" s="62" t="inlineStr">
        <is>
          <t>https://www.infobae.com/colombia/deportes/2026/05/20/sebastian-villa-es-defendido-por-la-acolfutpro-en-prelista-de-seleccion-colombia-los-mejores-tienen-que-representarnos/</t>
        </is>
      </c>
    </row>
    <row r="371">
      <c r="A371" s="62" t="inlineStr">
        <is>
          <t>ART_324</t>
        </is>
      </c>
      <c r="B371" s="62" t="inlineStr">
        <is>
          <t>ART_324_S07</t>
        </is>
      </c>
      <c r="C371" s="62" t="inlineStr">
        <is>
          <t>Infobae Colombia</t>
        </is>
      </c>
      <c r="D371" s="62" t="inlineStr">
        <is>
          <t>Deportes</t>
        </is>
      </c>
      <c r="E371" s="62" t="inlineStr">
        <is>
          <t>Noticia dura</t>
        </is>
      </c>
      <c r="F371" s="62" t="inlineStr">
        <is>
          <t>2026-05-20T00:29:26Z</t>
        </is>
      </c>
      <c r="G371" s="62"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H371" s="62" t="inlineStr">
        <is>
          <t>De acuerdo con Lorenzo, la convocatoria responde al rendimiento futbolístico actual del jugador, no a consideraciones extradeportivas.</t>
        </is>
      </c>
      <c r="I371" s="62" t="inlineStr">
        <is>
          <t>Los aspectos morales no entro a cuestionarlos, ella tiene sus posiciones, yo no las comparto”.</t>
        </is>
      </c>
      <c r="J371" s="62" t="n"/>
      <c r="K371" s="62" t="n"/>
      <c r="L371" s="62" t="n"/>
      <c r="M371" s="62" t="n"/>
      <c r="N371" s="62" t="n"/>
      <c r="O371" s="62" t="n"/>
      <c r="P371" s="62" t="n"/>
      <c r="Q371" s="62" t="n"/>
      <c r="R371" s="62" t="n"/>
      <c r="S371" s="62" t="n"/>
      <c r="T371" s="62" t="n"/>
      <c r="U371" s="62" t="n"/>
      <c r="V371" s="62" t="n"/>
      <c r="W371" s="62" t="n"/>
      <c r="X371" s="62" t="n"/>
      <c r="Y371" s="62" t="n"/>
      <c r="Z371" s="62" t="n"/>
      <c r="AA371" s="62" t="n"/>
      <c r="AB371" s="62" t="n"/>
      <c r="AC371" s="62" t="n"/>
      <c r="AD371" s="62" t="n"/>
      <c r="AE371" s="62" t="n"/>
      <c r="AF371" s="61">
        <f>IF(COUNTIF($B$5:B371,B371)=1,1,0)</f>
        <v/>
      </c>
      <c r="AG371" s="62" t="inlineStr">
        <is>
          <t>https://www.infobae.com/colombia/deportes/2026/05/20/sebastian-villa-es-defendido-por-la-acolfutpro-en-prelista-de-seleccion-colombia-los-mejores-tienen-que-representarnos/</t>
        </is>
      </c>
    </row>
    <row r="372">
      <c r="A372" s="62" t="inlineStr">
        <is>
          <t>ART_324</t>
        </is>
      </c>
      <c r="B372" s="62" t="inlineStr">
        <is>
          <t>ART_324_S08</t>
        </is>
      </c>
      <c r="C372" s="62" t="inlineStr">
        <is>
          <t>Infobae Colombia</t>
        </is>
      </c>
      <c r="D372" s="62" t="inlineStr">
        <is>
          <t>Deportes</t>
        </is>
      </c>
      <c r="E372" s="62" t="inlineStr">
        <is>
          <t>Noticia dura</t>
        </is>
      </c>
      <c r="F372" s="62" t="inlineStr">
        <is>
          <t>2026-05-20T00:29:26Z</t>
        </is>
      </c>
      <c r="G372" s="62" t="inlineStr">
        <is>
          <t>Los aspectos morales no entro a cuestionarlos, ella tiene sus posiciones, yo no las comparto”.</t>
        </is>
      </c>
      <c r="H372" s="62"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I372" s="62" t="inlineStr">
        <is>
          <t>Tanto el dirigente como Lorenzo insisten en que no existe, en este momento, ninguna restricción legal que obligue a excluir a Villa de la prelista de la selección Colombia.</t>
        </is>
      </c>
      <c r="J372" s="62" t="n"/>
      <c r="K372" s="62" t="n"/>
      <c r="L372" s="62" t="n"/>
      <c r="M372" s="62" t="n"/>
      <c r="N372" s="62" t="n"/>
      <c r="O372" s="62" t="n"/>
      <c r="P372" s="62" t="n"/>
      <c r="Q372" s="62" t="n"/>
      <c r="R372" s="62" t="n"/>
      <c r="S372" s="62" t="n"/>
      <c r="T372" s="62" t="n"/>
      <c r="U372" s="62" t="n"/>
      <c r="V372" s="62" t="n"/>
      <c r="W372" s="62" t="n"/>
      <c r="X372" s="62" t="n"/>
      <c r="Y372" s="62" t="n"/>
      <c r="Z372" s="62" t="n"/>
      <c r="AA372" s="62" t="n"/>
      <c r="AB372" s="62" t="n"/>
      <c r="AC372" s="62" t="n"/>
      <c r="AD372" s="62" t="n"/>
      <c r="AE372" s="62" t="n"/>
      <c r="AF372" s="61">
        <f>IF(COUNTIF($B$5:B372,B372)=1,1,0)</f>
        <v/>
      </c>
      <c r="AG372" s="62" t="inlineStr">
        <is>
          <t>https://www.infobae.com/colombia/deportes/2026/05/20/sebastian-villa-es-defendido-por-la-acolfutpro-en-prelista-de-seleccion-colombia-los-mejores-tienen-que-representarnos/</t>
        </is>
      </c>
    </row>
    <row r="373">
      <c r="A373" s="62" t="inlineStr">
        <is>
          <t>ART_324</t>
        </is>
      </c>
      <c r="B373" s="62" t="inlineStr">
        <is>
          <t>ART_324_S09</t>
        </is>
      </c>
      <c r="C373" s="62" t="inlineStr">
        <is>
          <t>Infobae Colombia</t>
        </is>
      </c>
      <c r="D373" s="62" t="inlineStr">
        <is>
          <t>Deportes</t>
        </is>
      </c>
      <c r="E373" s="62" t="inlineStr">
        <is>
          <t>Noticia dura</t>
        </is>
      </c>
      <c r="F373" s="62" t="inlineStr">
        <is>
          <t>2026-05-20T00:29:26Z</t>
        </is>
      </c>
      <c r="G373" s="62" t="inlineStr">
        <is>
          <t>Tanto el dirigente como Lorenzo insisten en que no existe, en este momento, ninguna restricción legal que obligue a excluir a Villa de la prelista de la selección Colombia.</t>
        </is>
      </c>
      <c r="H373" s="62" t="inlineStr">
        <is>
          <t>Los aspectos morales no entro a cuestionarlos, ella tiene sus posiciones, yo no las comparto”.</t>
        </is>
      </c>
      <c r="I373" s="62" t="inlineStr">
        <is>
          <t>Para ambos, la prioridad debe ser el rendimiento deportivo del jugador, quedando los juicios éticos y sociales fuera de los criterios de elegibilidad.</t>
        </is>
      </c>
      <c r="J373" s="62" t="n"/>
      <c r="K373" s="62" t="n"/>
      <c r="L373" s="62" t="n"/>
      <c r="M373" s="62" t="n"/>
      <c r="N373" s="62" t="n"/>
      <c r="O373" s="62" t="n"/>
      <c r="P373" s="62" t="n"/>
      <c r="Q373" s="62" t="n"/>
      <c r="R373" s="62" t="n"/>
      <c r="S373" s="62" t="n"/>
      <c r="T373" s="62" t="n"/>
      <c r="U373" s="62" t="n"/>
      <c r="V373" s="62" t="n"/>
      <c r="W373" s="62" t="n"/>
      <c r="X373" s="62" t="n"/>
      <c r="Y373" s="62" t="n"/>
      <c r="Z373" s="62" t="n"/>
      <c r="AA373" s="62" t="n"/>
      <c r="AB373" s="62" t="n"/>
      <c r="AC373" s="62" t="n"/>
      <c r="AD373" s="62" t="n"/>
      <c r="AE373" s="62" t="n"/>
      <c r="AF373" s="61">
        <f>IF(COUNTIF($B$5:B373,B373)=1,1,0)</f>
        <v/>
      </c>
      <c r="AG373" s="62" t="inlineStr">
        <is>
          <t>https://www.infobae.com/colombia/deportes/2026/05/20/sebastian-villa-es-defendido-por-la-acolfutpro-en-prelista-de-seleccion-colombia-los-mejores-tienen-que-representarnos/</t>
        </is>
      </c>
    </row>
    <row r="374">
      <c r="A374" s="62" t="inlineStr">
        <is>
          <t>ART_324</t>
        </is>
      </c>
      <c r="B374" s="62" t="inlineStr">
        <is>
          <t>ART_324_S10</t>
        </is>
      </c>
      <c r="C374" s="62" t="inlineStr">
        <is>
          <t>Infobae Colombia</t>
        </is>
      </c>
      <c r="D374" s="62" t="inlineStr">
        <is>
          <t>Deportes</t>
        </is>
      </c>
      <c r="E374" s="62" t="inlineStr">
        <is>
          <t>Noticia dura</t>
        </is>
      </c>
      <c r="F374" s="62" t="inlineStr">
        <is>
          <t>2026-05-20T00:29:26Z</t>
        </is>
      </c>
      <c r="G374" s="62" t="inlineStr">
        <is>
          <t>Para ambos, la prioridad debe ser el rendimiento deportivo del jugador, quedando los juicios éticos y sociales fuera de los criterios de elegibilidad.</t>
        </is>
      </c>
      <c r="H374" s="62" t="inlineStr">
        <is>
          <t>Tanto el dirigente como Lorenzo insisten en que no existe, en este momento, ninguna restricción legal que obligue a excluir a Villa de la prelista de la selección Colombia.</t>
        </is>
      </c>
      <c r="I374" s="62" t="inlineStr">
        <is>
          <t>Lorenzo explicó, en rueda de prensa en Bogotá, que el futbolista no había sido citado anteriormente debido a “algún tema” personal, pero enfatizó que “hoy está jugando, está rindiendo bien, está a la altura”, según Gol Caracol.</t>
        </is>
      </c>
      <c r="J374" s="62" t="n"/>
      <c r="K374" s="62" t="n"/>
      <c r="L374" s="62" t="n"/>
      <c r="M374" s="62" t="n"/>
      <c r="N374" s="62" t="n"/>
      <c r="O374" s="62" t="n"/>
      <c r="P374" s="62" t="n"/>
      <c r="Q374" s="62" t="n"/>
      <c r="R374" s="62" t="n"/>
      <c r="S374" s="62" t="n"/>
      <c r="T374" s="62" t="n"/>
      <c r="U374" s="62" t="n"/>
      <c r="V374" s="62" t="n"/>
      <c r="W374" s="62" t="n"/>
      <c r="X374" s="62" t="n"/>
      <c r="Y374" s="62" t="n"/>
      <c r="Z374" s="62" t="n"/>
      <c r="AA374" s="62" t="n"/>
      <c r="AB374" s="62" t="n"/>
      <c r="AC374" s="62" t="n"/>
      <c r="AD374" s="62" t="n"/>
      <c r="AE374" s="62" t="n"/>
      <c r="AF374" s="61">
        <f>IF(COUNTIF($B$5:B374,B374)=1,1,0)</f>
        <v/>
      </c>
      <c r="AG374" s="62" t="inlineStr">
        <is>
          <t>https://www.infobae.com/colombia/deportes/2026/05/20/sebastian-villa-es-defendido-por-la-acolfutpro-en-prelista-de-seleccion-colombia-los-mejores-tienen-que-representarnos/</t>
        </is>
      </c>
    </row>
    <row r="375">
      <c r="A375" s="62" t="inlineStr">
        <is>
          <t>ART_324</t>
        </is>
      </c>
      <c r="B375" s="62" t="inlineStr">
        <is>
          <t>ART_324_S11</t>
        </is>
      </c>
      <c r="C375" s="62" t="inlineStr">
        <is>
          <t>Infobae Colombia</t>
        </is>
      </c>
      <c r="D375" s="62" t="inlineStr">
        <is>
          <t>Deportes</t>
        </is>
      </c>
      <c r="E375" s="62" t="inlineStr">
        <is>
          <t>Noticia dura</t>
        </is>
      </c>
      <c r="F375" s="62" t="inlineStr">
        <is>
          <t>2026-05-20T00:29:26Z</t>
        </is>
      </c>
      <c r="G375" s="62" t="inlineStr">
        <is>
          <t>Lorenzo explicó, en rueda de prensa en Bogotá, que el futbolista no había sido citado anteriormente debido a “algún tema” personal, pero enfatizó que “hoy está jugando, está rindiendo bien, está a la altura”, según Gol Caracol.</t>
        </is>
      </c>
      <c r="H375" s="62" t="inlineStr">
        <is>
          <t>Para ambos, la prioridad debe ser el rendimiento deportivo del jugador, quedando los juicios éticos y sociales fuera de los criterios de elegibilidad.</t>
        </is>
      </c>
      <c r="I375" s="62" t="n"/>
      <c r="J375" s="62" t="n"/>
      <c r="K375" s="62" t="n"/>
      <c r="L375" s="62" t="n"/>
      <c r="M375" s="62" t="n"/>
      <c r="N375" s="62" t="n"/>
      <c r="O375" s="62" t="n"/>
      <c r="P375" s="62" t="n"/>
      <c r="Q375" s="62" t="n"/>
      <c r="R375" s="62" t="n"/>
      <c r="S375" s="62" t="n"/>
      <c r="T375" s="62" t="n"/>
      <c r="U375" s="62" t="n"/>
      <c r="V375" s="62" t="n"/>
      <c r="W375" s="62" t="n"/>
      <c r="X375" s="62" t="n"/>
      <c r="Y375" s="62" t="n"/>
      <c r="Z375" s="62" t="n"/>
      <c r="AA375" s="62" t="n"/>
      <c r="AB375" s="62" t="n"/>
      <c r="AC375" s="62" t="n"/>
      <c r="AD375" s="62" t="n"/>
      <c r="AE375" s="62" t="n"/>
      <c r="AF375" s="61">
        <f>IF(COUNTIF($B$5:B375,B375)=1,1,0)</f>
        <v/>
      </c>
      <c r="AG375" s="62" t="inlineStr">
        <is>
          <t>https://www.infobae.com/colombia/deportes/2026/05/20/sebastian-villa-es-defendido-por-la-acolfutpro-en-prelista-de-seleccion-colombia-los-mejores-tienen-que-representarnos/</t>
        </is>
      </c>
    </row>
    <row r="376">
      <c r="A376" s="62" t="inlineStr">
        <is>
          <t>ART_325</t>
        </is>
      </c>
      <c r="B376" s="62" t="inlineStr">
        <is>
          <t>ART_325_S01</t>
        </is>
      </c>
      <c r="C376" s="62" t="inlineStr">
        <is>
          <t>Infobae Colombia</t>
        </is>
      </c>
      <c r="D376" s="62" t="inlineStr">
        <is>
          <t>Deportes</t>
        </is>
      </c>
      <c r="E376" s="62" t="inlineStr">
        <is>
          <t>Noticia dura</t>
        </is>
      </c>
      <c r="F376" s="62" t="inlineStr">
        <is>
          <t>2026-05-22T18:44:32Z</t>
        </is>
      </c>
      <c r="G376" s="62" t="inlineStr">
        <is>
          <t>La Federación Colombiana de Fútbol (FCF) habría tomado una determinación que impacta directamente en la convocatoria de la selección para el Mundial 2026: Sebastián Villa, hombre que había sido incluido en la prelista de Néstor Lorenzo, sería dejado de lado por decisión expresa de la entidad.</t>
        </is>
      </c>
      <c r="H376" s="62" t="n"/>
      <c r="I376" s="62" t="n"/>
      <c r="J376" s="62" t="n"/>
      <c r="K376" s="62" t="n"/>
      <c r="L376" s="62" t="n"/>
      <c r="M376" s="62" t="n"/>
      <c r="N376" s="62" t="n"/>
      <c r="O376" s="62" t="n"/>
      <c r="P376" s="62" t="n"/>
      <c r="Q376" s="62" t="n"/>
      <c r="R376" s="62" t="n"/>
      <c r="S376" s="62" t="n"/>
      <c r="T376" s="62" t="n"/>
      <c r="U376" s="62" t="n"/>
      <c r="V376" s="62" t="n"/>
      <c r="W376" s="62" t="n"/>
      <c r="X376" s="62" t="n"/>
      <c r="Y376" s="62" t="n"/>
      <c r="Z376" s="62" t="n"/>
      <c r="AA376" s="62" t="n"/>
      <c r="AB376" s="62" t="n"/>
      <c r="AC376" s="62" t="n"/>
      <c r="AD376" s="62" t="n"/>
      <c r="AE376" s="62" t="n"/>
      <c r="AF376" s="61">
        <f>IF(COUNTIF($B$5:B376,B376)=1,1,0)</f>
        <v/>
      </c>
      <c r="AG376" s="62" t="inlineStr">
        <is>
          <t>https://www.infobae.com/colombia/deportes/2026/05/22/la-federacion-colombiana-de-futbol-habria-pedido-que-no-convoquen-a-un-jugador-para-el-mundial-2026/</t>
        </is>
      </c>
    </row>
    <row r="377">
      <c r="A377" s="62" t="inlineStr">
        <is>
          <t>ART_335</t>
        </is>
      </c>
      <c r="B377" s="62" t="inlineStr">
        <is>
          <t>ART_335_S01</t>
        </is>
      </c>
      <c r="C377" s="62" t="inlineStr">
        <is>
          <t>El Tiempo</t>
        </is>
      </c>
      <c r="D377" s="62" t="inlineStr">
        <is>
          <t>Deportes</t>
        </is>
      </c>
      <c r="E377" s="62" t="inlineStr">
        <is>
          <t>Noticia dura</t>
        </is>
      </c>
      <c r="F377" s="62" t="inlineStr">
        <is>
          <t>2026-06-05T21:15:37-05:00</t>
        </is>
      </c>
      <c r="G377" s="62" t="inlineStr">
        <is>
          <t>Néstor Lorenzo, técnico de la Selección Colombia, salió al paso de la polémica por el supuesto desplante de James Rodríguez a Antonella, hija del presidente Gustavo Petro, y dijo que lo sucedido durante el acto de entrega de la bandera a la delegación en el aeropuerto de Catam se malinterpretó.</t>
        </is>
      </c>
      <c r="H377" s="62" t="n"/>
      <c r="I377" s="62" t="inlineStr">
        <is>
          <t>“El grupo ya está acostumbrado a estas cosas.</t>
        </is>
      </c>
      <c r="J377" s="62" t="n"/>
      <c r="K377" s="62" t="n"/>
      <c r="L377" s="62" t="n"/>
      <c r="M377" s="62" t="n"/>
      <c r="N377" s="62" t="n"/>
      <c r="O377" s="62" t="n"/>
      <c r="P377" s="62" t="n"/>
      <c r="Q377" s="62" t="n"/>
      <c r="R377" s="62" t="n"/>
      <c r="S377" s="62" t="n"/>
      <c r="T377" s="62" t="n"/>
      <c r="U377" s="62" t="n"/>
      <c r="V377" s="62" t="n"/>
      <c r="W377" s="62" t="n"/>
      <c r="X377" s="62" t="n"/>
      <c r="Y377" s="62" t="n"/>
      <c r="Z377" s="62" t="n"/>
      <c r="AA377" s="62" t="n"/>
      <c r="AB377" s="62" t="n"/>
      <c r="AC377" s="62" t="n"/>
      <c r="AD377" s="62" t="n"/>
      <c r="AE377" s="62" t="n"/>
      <c r="AF377" s="61">
        <f>IF(COUNTIF($B$5:B377,B377)=1,1,0)</f>
        <v/>
      </c>
      <c r="AG377" s="62" t="inlineStr">
        <is>
          <t>https://www.eltiempo.com/deportes/futbol-internacional/nestor-lorenzo-salio-al-paso-de-la-polemica-por-supuesto-desplante-de-james-rodriguez-tenemos-que-estar-blindados-ante-las-criticas-3562531</t>
        </is>
      </c>
    </row>
    <row r="378">
      <c r="A378" s="62" t="inlineStr">
        <is>
          <t>ART_335</t>
        </is>
      </c>
      <c r="B378" s="62" t="inlineStr">
        <is>
          <t>ART_335_S02</t>
        </is>
      </c>
      <c r="C378" s="62" t="inlineStr">
        <is>
          <t>El Tiempo</t>
        </is>
      </c>
      <c r="D378" s="62" t="inlineStr">
        <is>
          <t>Deportes</t>
        </is>
      </c>
      <c r="E378" s="62" t="inlineStr">
        <is>
          <t>Noticia dura</t>
        </is>
      </c>
      <c r="F378" s="62" t="inlineStr">
        <is>
          <t>2026-06-05T21:15:37-05:00</t>
        </is>
      </c>
      <c r="G378" s="62" t="inlineStr">
        <is>
          <t>“El grupo ya está acostumbrado a estas cosas.</t>
        </is>
      </c>
      <c r="H378" s="62" t="inlineStr">
        <is>
          <t>Néstor Lorenzo, técnico de la Selección Colombia, salió al paso de la polémica por el supuesto desplante de James Rodríguez a Antonella, hija del presidente Gustavo Petro, y dijo que lo sucedido durante el acto de entrega de la bandera a la delegación en el aeropuerto de Catam se malinterpretó.</t>
        </is>
      </c>
      <c r="I378" s="62" t="inlineStr">
        <is>
          <t>Siempre digo que tenemos que estar blindados ante las críticas y los elogios.</t>
        </is>
      </c>
      <c r="J378" s="62" t="n"/>
      <c r="K378" s="62" t="n"/>
      <c r="L378" s="62" t="n"/>
      <c r="M378" s="62" t="n"/>
      <c r="N378" s="62" t="n"/>
      <c r="O378" s="62" t="n"/>
      <c r="P378" s="62" t="n"/>
      <c r="Q378" s="62" t="n"/>
      <c r="R378" s="62" t="n"/>
      <c r="S378" s="62" t="n"/>
      <c r="T378" s="62" t="n"/>
      <c r="U378" s="62" t="n"/>
      <c r="V378" s="62" t="n"/>
      <c r="W378" s="62" t="n"/>
      <c r="X378" s="62" t="n"/>
      <c r="Y378" s="62" t="n"/>
      <c r="Z378" s="62" t="n"/>
      <c r="AA378" s="62" t="n"/>
      <c r="AB378" s="62" t="n"/>
      <c r="AC378" s="62" t="n"/>
      <c r="AD378" s="62" t="n"/>
      <c r="AE378" s="62" t="n"/>
      <c r="AF378" s="61">
        <f>IF(COUNTIF($B$5:B378,B378)=1,1,0)</f>
        <v/>
      </c>
      <c r="AG378" s="62" t="inlineStr">
        <is>
          <t>https://www.eltiempo.com/deportes/futbol-internacional/nestor-lorenzo-salio-al-paso-de-la-polemica-por-supuesto-desplante-de-james-rodriguez-tenemos-que-estar-blindados-ante-las-criticas-3562531</t>
        </is>
      </c>
    </row>
    <row r="379">
      <c r="A379" s="62" t="inlineStr">
        <is>
          <t>ART_335</t>
        </is>
      </c>
      <c r="B379" s="62" t="inlineStr">
        <is>
          <t>ART_335_S03</t>
        </is>
      </c>
      <c r="C379" s="62" t="inlineStr">
        <is>
          <t>El Tiempo</t>
        </is>
      </c>
      <c r="D379" s="62" t="inlineStr">
        <is>
          <t>Deportes</t>
        </is>
      </c>
      <c r="E379" s="62" t="inlineStr">
        <is>
          <t>Noticia dura</t>
        </is>
      </c>
      <c r="F379" s="62" t="inlineStr">
        <is>
          <t>2026-06-05T21:15:37-05:00</t>
        </is>
      </c>
      <c r="G379" s="62" t="inlineStr">
        <is>
          <t>Siempre digo que tenemos que estar blindados ante las críticas y los elogios.</t>
        </is>
      </c>
      <c r="H379" s="62" t="inlineStr">
        <is>
          <t>“El grupo ya está acostumbrado a estas cosas.</t>
        </is>
      </c>
      <c r="I379" s="62" t="inlineStr">
        <is>
          <t>Fuimos a un acto protocolario y lo hicimos con respeto y orgullo.</t>
        </is>
      </c>
      <c r="J379" s="62" t="n"/>
      <c r="K379" s="62" t="n"/>
      <c r="L379" s="62" t="n"/>
      <c r="M379" s="62" t="n"/>
      <c r="N379" s="62" t="n"/>
      <c r="O379" s="62" t="n"/>
      <c r="P379" s="62" t="n"/>
      <c r="Q379" s="62" t="n"/>
      <c r="R379" s="62" t="n"/>
      <c r="S379" s="62" t="n"/>
      <c r="T379" s="62" t="n"/>
      <c r="U379" s="62" t="n"/>
      <c r="V379" s="62" t="n"/>
      <c r="W379" s="62" t="n"/>
      <c r="X379" s="62" t="n"/>
      <c r="Y379" s="62" t="n"/>
      <c r="Z379" s="62" t="n"/>
      <c r="AA379" s="62" t="n"/>
      <c r="AB379" s="62" t="n"/>
      <c r="AC379" s="62" t="n"/>
      <c r="AD379" s="62" t="n"/>
      <c r="AE379" s="62" t="n"/>
      <c r="AF379" s="61">
        <f>IF(COUNTIF($B$5:B379,B379)=1,1,0)</f>
        <v/>
      </c>
      <c r="AG379" s="62" t="inlineStr">
        <is>
          <t>https://www.eltiempo.com/deportes/futbol-internacional/nestor-lorenzo-salio-al-paso-de-la-polemica-por-supuesto-desplante-de-james-rodriguez-tenemos-que-estar-blindados-ante-las-criticas-3562531</t>
        </is>
      </c>
    </row>
    <row r="380">
      <c r="A380" s="62" t="inlineStr">
        <is>
          <t>ART_335</t>
        </is>
      </c>
      <c r="B380" s="62" t="inlineStr">
        <is>
          <t>ART_335_S04</t>
        </is>
      </c>
      <c r="C380" s="62" t="inlineStr">
        <is>
          <t>El Tiempo</t>
        </is>
      </c>
      <c r="D380" s="62" t="inlineStr">
        <is>
          <t>Deportes</t>
        </is>
      </c>
      <c r="E380" s="62" t="inlineStr">
        <is>
          <t>Noticia dura</t>
        </is>
      </c>
      <c r="F380" s="62" t="inlineStr">
        <is>
          <t>2026-06-05T21:15:37-05:00</t>
        </is>
      </c>
      <c r="G380" s="62" t="inlineStr">
        <is>
          <t>Fuimos a un acto protocolario y lo hicimos con respeto y orgullo.</t>
        </is>
      </c>
      <c r="H380" s="62" t="inlineStr">
        <is>
          <t>Siempre digo que tenemos que estar blindados ante las críticas y los elogios.</t>
        </is>
      </c>
      <c r="I380" s="62" t="inlineStr">
        <is>
          <t>Desde que estamos nosotros, el equipo jugó para toda Colombia y las arengas de los capitanes son así antes de los partidos”, dijo Lorenzo en rueda de prensa en San Diego (Estados Unidos), en el primer acto oficial en el país sede del Mundial.</t>
        </is>
      </c>
      <c r="J380" s="62" t="n"/>
      <c r="K380" s="62" t="n"/>
      <c r="L380" s="62" t="n"/>
      <c r="M380" s="62" t="n"/>
      <c r="N380" s="62" t="n"/>
      <c r="O380" s="62" t="n"/>
      <c r="P380" s="62" t="n"/>
      <c r="Q380" s="62" t="n"/>
      <c r="R380" s="62" t="n"/>
      <c r="S380" s="62" t="n"/>
      <c r="T380" s="62" t="n"/>
      <c r="U380" s="62" t="n"/>
      <c r="V380" s="62" t="n"/>
      <c r="W380" s="62" t="n"/>
      <c r="X380" s="62" t="n"/>
      <c r="Y380" s="62" t="n"/>
      <c r="Z380" s="62" t="n"/>
      <c r="AA380" s="62" t="n"/>
      <c r="AB380" s="62" t="n"/>
      <c r="AC380" s="62" t="n"/>
      <c r="AD380" s="62" t="n"/>
      <c r="AE380" s="62" t="n"/>
      <c r="AF380" s="61">
        <f>IF(COUNTIF($B$5:B380,B380)=1,1,0)</f>
        <v/>
      </c>
      <c r="AG380" s="62" t="inlineStr">
        <is>
          <t>https://www.eltiempo.com/deportes/futbol-internacional/nestor-lorenzo-salio-al-paso-de-la-polemica-por-supuesto-desplante-de-james-rodriguez-tenemos-que-estar-blindados-ante-las-criticas-3562531</t>
        </is>
      </c>
    </row>
    <row r="381">
      <c r="A381" s="62" t="inlineStr">
        <is>
          <t>ART_335</t>
        </is>
      </c>
      <c r="B381" s="62" t="inlineStr">
        <is>
          <t>ART_335_S05</t>
        </is>
      </c>
      <c r="C381" s="62" t="inlineStr">
        <is>
          <t>El Tiempo</t>
        </is>
      </c>
      <c r="D381" s="62" t="inlineStr">
        <is>
          <t>Deportes</t>
        </is>
      </c>
      <c r="E381" s="62" t="inlineStr">
        <is>
          <t>Noticia dura</t>
        </is>
      </c>
      <c r="F381" s="62" t="inlineStr">
        <is>
          <t>2026-06-05T21:15:37-05:00</t>
        </is>
      </c>
      <c r="G381" s="62" t="inlineStr">
        <is>
          <t>Desde que estamos nosotros, el equipo jugó para toda Colombia y las arengas de los capitanes son así antes de los partidos”, dijo Lorenzo en rueda de prensa en San Diego (Estados Unidos), en el primer acto oficial en el país sede del Mundial.</t>
        </is>
      </c>
      <c r="H381" s="62" t="inlineStr">
        <is>
          <t>Fuimos a un acto protocolario y lo hicimos con respeto y orgullo.</t>
        </is>
      </c>
      <c r="I381" s="62" t="inlineStr">
        <is>
          <t>“Ese compromiso que asumimos recibiendo el pabellón ya lo traíamos.</t>
        </is>
      </c>
      <c r="J381" s="62" t="n"/>
      <c r="K381" s="62" t="n"/>
      <c r="L381" s="62" t="n"/>
      <c r="M381" s="62" t="n"/>
      <c r="N381" s="62" t="n"/>
      <c r="O381" s="62" t="n"/>
      <c r="P381" s="62" t="n"/>
      <c r="Q381" s="62" t="n"/>
      <c r="R381" s="62" t="n"/>
      <c r="S381" s="62" t="n"/>
      <c r="T381" s="62" t="n"/>
      <c r="U381" s="62" t="n"/>
      <c r="V381" s="62" t="n"/>
      <c r="W381" s="62" t="n"/>
      <c r="X381" s="62" t="n"/>
      <c r="Y381" s="62" t="n"/>
      <c r="Z381" s="62" t="n"/>
      <c r="AA381" s="62" t="n"/>
      <c r="AB381" s="62" t="n"/>
      <c r="AC381" s="62" t="n"/>
      <c r="AD381" s="62" t="n"/>
      <c r="AE381" s="62" t="n"/>
      <c r="AF381" s="61">
        <f>IF(COUNTIF($B$5:B381,B381)=1,1,0)</f>
        <v/>
      </c>
      <c r="AG381" s="62" t="inlineStr">
        <is>
          <t>https://www.eltiempo.com/deportes/futbol-internacional/nestor-lorenzo-salio-al-paso-de-la-polemica-por-supuesto-desplante-de-james-rodriguez-tenemos-que-estar-blindados-ante-las-criticas-3562531</t>
        </is>
      </c>
    </row>
    <row r="382">
      <c r="A382" s="62" t="inlineStr">
        <is>
          <t>ART_335</t>
        </is>
      </c>
      <c r="B382" s="62" t="inlineStr">
        <is>
          <t>ART_335_S06</t>
        </is>
      </c>
      <c r="C382" s="62" t="inlineStr">
        <is>
          <t>El Tiempo</t>
        </is>
      </c>
      <c r="D382" s="62" t="inlineStr">
        <is>
          <t>Deportes</t>
        </is>
      </c>
      <c r="E382" s="62" t="inlineStr">
        <is>
          <t>Noticia dura</t>
        </is>
      </c>
      <c r="F382" s="62" t="inlineStr">
        <is>
          <t>2026-06-05T21:15:37-05:00</t>
        </is>
      </c>
      <c r="G382" s="62" t="inlineStr">
        <is>
          <t>“Ese compromiso que asumimos recibiendo el pabellón ya lo traíamos.</t>
        </is>
      </c>
      <c r="H382" s="62" t="inlineStr">
        <is>
          <t>Desde que estamos nosotros, el equipo jugó para toda Colombia y las arengas de los capitanes son así antes de los partidos”, dijo Lorenzo en rueda de prensa en San Diego (Estados Unidos), en el primer acto oficial en el país sede del Mundial.</t>
        </is>
      </c>
      <c r="I382" s="62" t="inlineStr">
        <is>
          <t>Sabemos que ha habido malas interpretaciones, con videos cortados, pero bregamos por la unión, la entrega y hacer las cosas de corazón.</t>
        </is>
      </c>
      <c r="J382" s="62" t="n"/>
      <c r="K382" s="62" t="n"/>
      <c r="L382" s="62" t="n"/>
      <c r="M382" s="62" t="n"/>
      <c r="N382" s="62" t="n"/>
      <c r="O382" s="62" t="n"/>
      <c r="P382" s="62" t="n"/>
      <c r="Q382" s="62" t="n"/>
      <c r="R382" s="62" t="n"/>
      <c r="S382" s="62" t="n"/>
      <c r="T382" s="62" t="n"/>
      <c r="U382" s="62" t="n"/>
      <c r="V382" s="62" t="n"/>
      <c r="W382" s="62" t="n"/>
      <c r="X382" s="62" t="n"/>
      <c r="Y382" s="62" t="n"/>
      <c r="Z382" s="62" t="n"/>
      <c r="AA382" s="62" t="n"/>
      <c r="AB382" s="62" t="n"/>
      <c r="AC382" s="62" t="n"/>
      <c r="AD382" s="62" t="n"/>
      <c r="AE382" s="62" t="n"/>
      <c r="AF382" s="61">
        <f>IF(COUNTIF($B$5:B382,B382)=1,1,0)</f>
        <v/>
      </c>
      <c r="AG382" s="62" t="inlineStr">
        <is>
          <t>https://www.eltiempo.com/deportes/futbol-internacional/nestor-lorenzo-salio-al-paso-de-la-polemica-por-supuesto-desplante-de-james-rodriguez-tenemos-que-estar-blindados-ante-las-criticas-3562531</t>
        </is>
      </c>
    </row>
    <row r="383">
      <c r="A383" s="62" t="inlineStr">
        <is>
          <t>ART_335</t>
        </is>
      </c>
      <c r="B383" s="62" t="inlineStr">
        <is>
          <t>ART_335_S07</t>
        </is>
      </c>
      <c r="C383" s="62" t="inlineStr">
        <is>
          <t>El Tiempo</t>
        </is>
      </c>
      <c r="D383" s="62" t="inlineStr">
        <is>
          <t>Deportes</t>
        </is>
      </c>
      <c r="E383" s="62" t="inlineStr">
        <is>
          <t>Noticia dura</t>
        </is>
      </c>
      <c r="F383" s="62" t="inlineStr">
        <is>
          <t>2026-06-05T21:15:37-05:00</t>
        </is>
      </c>
      <c r="G383" s="62" t="inlineStr">
        <is>
          <t>Sabemos que ha habido malas interpretaciones, con videos cortados, pero bregamos por la unión, la entrega y hacer las cosas de corazón.</t>
        </is>
      </c>
      <c r="H383" s="62" t="inlineStr">
        <is>
          <t>“Ese compromiso que asumimos recibiendo el pabellón ya lo traíamos.</t>
        </is>
      </c>
      <c r="I383" s="62" t="inlineStr">
        <is>
          <t>Es para todos, para los 50 millones de colombianos”, agregó Lorenzo.</t>
        </is>
      </c>
      <c r="J383" s="62" t="n"/>
      <c r="K383" s="62" t="n"/>
      <c r="L383" s="62" t="n"/>
      <c r="M383" s="62" t="n"/>
      <c r="N383" s="62" t="n"/>
      <c r="O383" s="62" t="n"/>
      <c r="P383" s="62" t="n"/>
      <c r="Q383" s="62" t="n"/>
      <c r="R383" s="62" t="n"/>
      <c r="S383" s="62" t="n"/>
      <c r="T383" s="62" t="n"/>
      <c r="U383" s="62" t="n"/>
      <c r="V383" s="62" t="n"/>
      <c r="W383" s="62" t="n"/>
      <c r="X383" s="62" t="n"/>
      <c r="Y383" s="62" t="n"/>
      <c r="Z383" s="62" t="n"/>
      <c r="AA383" s="62" t="n"/>
      <c r="AB383" s="62" t="n"/>
      <c r="AC383" s="62" t="n"/>
      <c r="AD383" s="62" t="n"/>
      <c r="AE383" s="62" t="n"/>
      <c r="AF383" s="61">
        <f>IF(COUNTIF($B$5:B383,B383)=1,1,0)</f>
        <v/>
      </c>
      <c r="AG383" s="62" t="inlineStr">
        <is>
          <t>https://www.eltiempo.com/deportes/futbol-internacional/nestor-lorenzo-salio-al-paso-de-la-polemica-por-supuesto-desplante-de-james-rodriguez-tenemos-que-estar-blindados-ante-las-criticas-3562531</t>
        </is>
      </c>
    </row>
    <row r="384">
      <c r="A384" s="62" t="inlineStr">
        <is>
          <t>ART_335</t>
        </is>
      </c>
      <c r="B384" s="62" t="inlineStr">
        <is>
          <t>ART_335_S08</t>
        </is>
      </c>
      <c r="C384" s="62" t="inlineStr">
        <is>
          <t>El Tiempo</t>
        </is>
      </c>
      <c r="D384" s="62" t="inlineStr">
        <is>
          <t>Deportes</t>
        </is>
      </c>
      <c r="E384" s="62" t="inlineStr">
        <is>
          <t>Noticia dura</t>
        </is>
      </c>
      <c r="F384" s="62" t="inlineStr">
        <is>
          <t>2026-06-05T21:15:37-05:00</t>
        </is>
      </c>
      <c r="G384" s="62" t="inlineStr">
        <is>
          <t>Es para todos, para los 50 millones de colombianos”, agregó Lorenzo.</t>
        </is>
      </c>
      <c r="H384" s="62" t="inlineStr">
        <is>
          <t>Sabemos que ha habido malas interpretaciones, con videos cortados, pero bregamos por la unión, la entrega y hacer las cosas de corazón.</t>
        </is>
      </c>
      <c r="I384" s="62" t="inlineStr">
        <is>
          <t>Durante el acto, el presidente Petro le entregó un sombrero vueltiao a cada integrante de la Selección.</t>
        </is>
      </c>
      <c r="J384" s="62" t="n"/>
      <c r="K384" s="62" t="n"/>
      <c r="L384" s="62" t="n"/>
      <c r="M384" s="62" t="n"/>
      <c r="N384" s="62" t="n"/>
      <c r="O384" s="62" t="n"/>
      <c r="P384" s="62" t="n"/>
      <c r="Q384" s="62" t="n"/>
      <c r="R384" s="62" t="n"/>
      <c r="S384" s="62" t="n"/>
      <c r="T384" s="62" t="n"/>
      <c r="U384" s="62" t="n"/>
      <c r="V384" s="62" t="n"/>
      <c r="W384" s="62" t="n"/>
      <c r="X384" s="62" t="n"/>
      <c r="Y384" s="62" t="n"/>
      <c r="Z384" s="62" t="n"/>
      <c r="AA384" s="62" t="n"/>
      <c r="AB384" s="62" t="n"/>
      <c r="AC384" s="62" t="n"/>
      <c r="AD384" s="62" t="n"/>
      <c r="AE384" s="62" t="n"/>
      <c r="AF384" s="61">
        <f>IF(COUNTIF($B$5:B384,B384)=1,1,0)</f>
        <v/>
      </c>
      <c r="AG384" s="62" t="inlineStr">
        <is>
          <t>https://www.eltiempo.com/deportes/futbol-internacional/nestor-lorenzo-salio-al-paso-de-la-polemica-por-supuesto-desplante-de-james-rodriguez-tenemos-que-estar-blindados-ante-las-criticas-3562531</t>
        </is>
      </c>
    </row>
    <row r="385">
      <c r="A385" s="62" t="inlineStr">
        <is>
          <t>ART_335</t>
        </is>
      </c>
      <c r="B385" s="62" t="inlineStr">
        <is>
          <t>ART_335_S09</t>
        </is>
      </c>
      <c r="C385" s="62" t="inlineStr">
        <is>
          <t>El Tiempo</t>
        </is>
      </c>
      <c r="D385" s="62" t="inlineStr">
        <is>
          <t>Deportes</t>
        </is>
      </c>
      <c r="E385" s="62" t="inlineStr">
        <is>
          <t>Noticia dura</t>
        </is>
      </c>
      <c r="F385" s="62" t="inlineStr">
        <is>
          <t>2026-06-05T21:15:37-05:00</t>
        </is>
      </c>
      <c r="G385" s="62" t="inlineStr">
        <is>
          <t>Durante el acto, el presidente Petro le entregó un sombrero vueltiao a cada integrante de la Selección.</t>
        </is>
      </c>
      <c r="H385" s="62" t="inlineStr">
        <is>
          <t>Es para todos, para los 50 millones de colombianos”, agregó Lorenzo.</t>
        </is>
      </c>
      <c r="I385" s="62" t="inlineStr">
        <is>
          <t>Cuando James pasó frente a Antonella, ella le pidió una foto, pero el jugador pasó de largo.</t>
        </is>
      </c>
      <c r="J385" s="62" t="n"/>
      <c r="K385" s="62" t="n"/>
      <c r="L385" s="62" t="n"/>
      <c r="M385" s="62" t="n"/>
      <c r="N385" s="62" t="n"/>
      <c r="O385" s="62" t="n"/>
      <c r="P385" s="62" t="n"/>
      <c r="Q385" s="62" t="n"/>
      <c r="R385" s="62" t="n"/>
      <c r="S385" s="62" t="n"/>
      <c r="T385" s="62" t="n"/>
      <c r="U385" s="62" t="n"/>
      <c r="V385" s="62" t="n"/>
      <c r="W385" s="62" t="n"/>
      <c r="X385" s="62" t="n"/>
      <c r="Y385" s="62" t="n"/>
      <c r="Z385" s="62" t="n"/>
      <c r="AA385" s="62" t="n"/>
      <c r="AB385" s="62" t="n"/>
      <c r="AC385" s="62" t="n"/>
      <c r="AD385" s="62" t="n"/>
      <c r="AE385" s="62" t="n"/>
      <c r="AF385" s="61">
        <f>IF(COUNTIF($B$5:B385,B385)=1,1,0)</f>
        <v/>
      </c>
      <c r="AG385" s="62" t="inlineStr">
        <is>
          <t>https://www.eltiempo.com/deportes/futbol-internacional/nestor-lorenzo-salio-al-paso-de-la-polemica-por-supuesto-desplante-de-james-rodriguez-tenemos-que-estar-blindados-ante-las-criticas-3562531</t>
        </is>
      </c>
    </row>
    <row r="386">
      <c r="A386" s="62" t="inlineStr">
        <is>
          <t>ART_335</t>
        </is>
      </c>
      <c r="B386" s="62" t="inlineStr">
        <is>
          <t>ART_335_S10</t>
        </is>
      </c>
      <c r="C386" s="62" t="inlineStr">
        <is>
          <t>El Tiempo</t>
        </is>
      </c>
      <c r="D386" s="62" t="inlineStr">
        <is>
          <t>Deportes</t>
        </is>
      </c>
      <c r="E386" s="62" t="inlineStr">
        <is>
          <t>Noticia dura</t>
        </is>
      </c>
      <c r="F386" s="62" t="inlineStr">
        <is>
          <t>2026-06-05T21:15:37-05:00</t>
        </is>
      </c>
      <c r="G386" s="62" t="inlineStr">
        <is>
          <t>Cuando James pasó frente a Antonella, ella le pidió una foto, pero el jugador pasó de largo.</t>
        </is>
      </c>
      <c r="H386" s="62" t="inlineStr">
        <is>
          <t>Durante el acto, el presidente Petro le entregó un sombrero vueltiao a cada integrante de la Selección.</t>
        </is>
      </c>
      <c r="I386" s="62" t="inlineStr">
        <is>
          <t>La propia joven zanjó el tema amigablemente, en medio de duras críticas a James en las redes sociales, y publicó este viernes un video en el que manifestó su admiración por el '10'.</t>
        </is>
      </c>
      <c r="J386" s="62" t="n"/>
      <c r="K386" s="62" t="n"/>
      <c r="L386" s="62" t="n"/>
      <c r="M386" s="62" t="n"/>
      <c r="N386" s="62" t="n"/>
      <c r="O386" s="62" t="n"/>
      <c r="P386" s="62" t="n"/>
      <c r="Q386" s="62" t="n"/>
      <c r="R386" s="62" t="n"/>
      <c r="S386" s="62" t="n"/>
      <c r="T386" s="62" t="n"/>
      <c r="U386" s="62" t="n"/>
      <c r="V386" s="62" t="n"/>
      <c r="W386" s="62" t="n"/>
      <c r="X386" s="62" t="n"/>
      <c r="Y386" s="62" t="n"/>
      <c r="Z386" s="62" t="n"/>
      <c r="AA386" s="62" t="n"/>
      <c r="AB386" s="62" t="n"/>
      <c r="AC386" s="62" t="n"/>
      <c r="AD386" s="62" t="n"/>
      <c r="AE386" s="62" t="n"/>
      <c r="AF386" s="61">
        <f>IF(COUNTIF($B$5:B386,B386)=1,1,0)</f>
        <v/>
      </c>
      <c r="AG386" s="62" t="inlineStr">
        <is>
          <t>https://www.eltiempo.com/deportes/futbol-internacional/nestor-lorenzo-salio-al-paso-de-la-polemica-por-supuesto-desplante-de-james-rodriguez-tenemos-que-estar-blindados-ante-las-criticas-3562531</t>
        </is>
      </c>
    </row>
    <row r="387">
      <c r="A387" s="62" t="inlineStr">
        <is>
          <t>ART_335</t>
        </is>
      </c>
      <c r="B387" s="62" t="inlineStr">
        <is>
          <t>ART_335_S11</t>
        </is>
      </c>
      <c r="C387" s="62" t="inlineStr">
        <is>
          <t>El Tiempo</t>
        </is>
      </c>
      <c r="D387" s="62" t="inlineStr">
        <is>
          <t>Deportes</t>
        </is>
      </c>
      <c r="E387" s="62" t="inlineStr">
        <is>
          <t>Noticia dura</t>
        </is>
      </c>
      <c r="F387" s="62" t="inlineStr">
        <is>
          <t>2026-06-05T21:15:37-05:00</t>
        </is>
      </c>
      <c r="G387" s="62" t="inlineStr">
        <is>
          <t>La propia joven zanjó el tema amigablemente, en medio de duras críticas a James en las redes sociales, y publicó este viernes un video en el que manifestó su admiración por el '10'.</t>
        </is>
      </c>
      <c r="H387" s="62" t="inlineStr">
        <is>
          <t>Cuando James pasó frente a Antonella, ella le pidió una foto, pero el jugador pasó de largo.</t>
        </is>
      </c>
      <c r="I387" s="62" t="n"/>
      <c r="J387" s="62" t="n"/>
      <c r="K387" s="62" t="n"/>
      <c r="L387" s="62" t="n"/>
      <c r="M387" s="62" t="n"/>
      <c r="N387" s="62" t="n"/>
      <c r="O387" s="62" t="n"/>
      <c r="P387" s="62" t="n"/>
      <c r="Q387" s="62" t="n"/>
      <c r="R387" s="62" t="n"/>
      <c r="S387" s="62" t="n"/>
      <c r="T387" s="62" t="n"/>
      <c r="U387" s="62" t="n"/>
      <c r="V387" s="62" t="n"/>
      <c r="W387" s="62" t="n"/>
      <c r="X387" s="62" t="n"/>
      <c r="Y387" s="62" t="n"/>
      <c r="Z387" s="62" t="n"/>
      <c r="AA387" s="62" t="n"/>
      <c r="AB387" s="62" t="n"/>
      <c r="AC387" s="62" t="n"/>
      <c r="AD387" s="62" t="n"/>
      <c r="AE387" s="62" t="n"/>
      <c r="AF387" s="61">
        <f>IF(COUNTIF($B$5:B387,B387)=1,1,0)</f>
        <v/>
      </c>
      <c r="AG387" s="62" t="inlineStr">
        <is>
          <t>https://www.eltiempo.com/deportes/futbol-internacional/nestor-lorenzo-salio-al-paso-de-la-polemica-por-supuesto-desplante-de-james-rodriguez-tenemos-que-estar-blindados-ante-las-criticas-3562531</t>
        </is>
      </c>
    </row>
    <row r="388">
      <c r="A388" s="62" t="inlineStr">
        <is>
          <t>ART_336</t>
        </is>
      </c>
      <c r="B388" s="62" t="inlineStr">
        <is>
          <t>ART_336_S01</t>
        </is>
      </c>
      <c r="C388" s="62" t="inlineStr">
        <is>
          <t>El Tiempo</t>
        </is>
      </c>
      <c r="D388" s="62" t="inlineStr">
        <is>
          <t>Deportes</t>
        </is>
      </c>
      <c r="E388" s="62" t="inlineStr">
        <is>
          <t>Noticia dura</t>
        </is>
      </c>
      <c r="F388" s="62" t="inlineStr">
        <is>
          <t>2026-05-15T16:22:42-05:00</t>
        </is>
      </c>
      <c r="G388" s="62" t="inlineStr">
        <is>
          <t>La prelista de jugadores que presentó el técnico de la Selección Colombia, Néstor Lorenzo, para disputar el mundial de fútbol de este año, tuvo varias sorpresas.</t>
        </is>
      </c>
      <c r="H388" s="62" t="n"/>
      <c r="I388" s="62" t="inlineStr">
        <is>
          <t>Una de estas es la inclusión del jugador Sebastián Villa Cano, actual delantero del club Independiente Rivadavia, de Argentina, quien fue condenado en ese país por violencia de género en 2023.</t>
        </is>
      </c>
      <c r="J388" s="62" t="n"/>
      <c r="K388" s="62" t="n"/>
      <c r="L388" s="62" t="n"/>
      <c r="M388" s="62" t="n"/>
      <c r="N388" s="62" t="n"/>
      <c r="O388" s="62" t="n"/>
      <c r="P388" s="62" t="n"/>
      <c r="Q388" s="62" t="n"/>
      <c r="R388" s="62" t="n"/>
      <c r="S388" s="62" t="n"/>
      <c r="T388" s="62" t="n"/>
      <c r="U388" s="62" t="n"/>
      <c r="V388" s="62" t="n"/>
      <c r="W388" s="62" t="n"/>
      <c r="X388" s="62" t="n"/>
      <c r="Y388" s="62" t="n"/>
      <c r="Z388" s="62" t="n"/>
      <c r="AA388" s="62" t="n"/>
      <c r="AB388" s="62" t="n"/>
      <c r="AC388" s="62" t="n"/>
      <c r="AD388" s="62" t="n"/>
      <c r="AE388" s="62" t="n"/>
      <c r="AF388" s="61">
        <f>IF(COUNTIF($B$5:B388,B388)=1,1,0)</f>
        <v/>
      </c>
      <c r="AG388" s="62" t="inlineStr">
        <is>
          <t>https://www.eltiempo.com/unidad-investigativa/los-testimonios-por-violencia-de-genero-contra-el-jugador-sebastian-villa-que-desataron-polemica-tras-su-inclusion-en-listado-para-el-mundial-3555864</t>
        </is>
      </c>
    </row>
    <row r="389">
      <c r="A389" s="62" t="inlineStr">
        <is>
          <t>ART_336</t>
        </is>
      </c>
      <c r="B389" s="62" t="inlineStr">
        <is>
          <t>ART_336_S02</t>
        </is>
      </c>
      <c r="C389" s="62" t="inlineStr">
        <is>
          <t>El Tiempo</t>
        </is>
      </c>
      <c r="D389" s="62" t="inlineStr">
        <is>
          <t>Deportes</t>
        </is>
      </c>
      <c r="E389" s="62" t="inlineStr">
        <is>
          <t>Noticia dura</t>
        </is>
      </c>
      <c r="F389" s="62" t="inlineStr">
        <is>
          <t>2026-05-15T16:22:42-05:00</t>
        </is>
      </c>
      <c r="G389" s="62" t="inlineStr">
        <is>
          <t>Una de estas es la inclusión del jugador Sebastián Villa Cano, actual delantero del club Independiente Rivadavia, de Argentina, quien fue condenado en ese país por violencia de género en 2023.</t>
        </is>
      </c>
      <c r="H389" s="62" t="inlineStr">
        <is>
          <t>La prelista de jugadores que presentó el técnico de la Selección Colombia, Néstor Lorenzo, para disputar el mundial de fútbol de este año, tuvo varias sorpresas.</t>
        </is>
      </c>
      <c r="I389" s="62" t="inlineStr">
        <is>
          <t>“Entiendo a la opinión pública y a los periodistas.</t>
        </is>
      </c>
      <c r="J389" s="62" t="n"/>
      <c r="K389" s="62" t="n"/>
      <c r="L389" s="62" t="n"/>
      <c r="M389" s="62" t="n"/>
      <c r="N389" s="62" t="n"/>
      <c r="O389" s="62" t="n"/>
      <c r="P389" s="62" t="n"/>
      <c r="Q389" s="62" t="n"/>
      <c r="R389" s="62" t="n"/>
      <c r="S389" s="62" t="n"/>
      <c r="T389" s="62" t="n"/>
      <c r="U389" s="62" t="n"/>
      <c r="V389" s="62" t="n"/>
      <c r="W389" s="62" t="n"/>
      <c r="X389" s="62" t="n"/>
      <c r="Y389" s="62" t="n"/>
      <c r="Z389" s="62" t="n"/>
      <c r="AA389" s="62" t="n"/>
      <c r="AB389" s="62" t="n"/>
      <c r="AC389" s="62" t="n"/>
      <c r="AD389" s="62" t="n"/>
      <c r="AE389" s="62" t="n"/>
      <c r="AF389" s="61">
        <f>IF(COUNTIF($B$5:B389,B389)=1,1,0)</f>
        <v/>
      </c>
      <c r="AG389" s="62" t="inlineStr">
        <is>
          <t>https://www.eltiempo.com/unidad-investigativa/los-testimonios-por-violencia-de-genero-contra-el-jugador-sebastian-villa-que-desataron-polemica-tras-su-inclusion-en-listado-para-el-mundial-3555864</t>
        </is>
      </c>
    </row>
    <row r="390">
      <c r="A390" s="62" t="inlineStr">
        <is>
          <t>ART_336</t>
        </is>
      </c>
      <c r="B390" s="62" t="inlineStr">
        <is>
          <t>ART_336_S03</t>
        </is>
      </c>
      <c r="C390" s="62" t="inlineStr">
        <is>
          <t>El Tiempo</t>
        </is>
      </c>
      <c r="D390" s="62" t="inlineStr">
        <is>
          <t>Deportes</t>
        </is>
      </c>
      <c r="E390" s="62" t="inlineStr">
        <is>
          <t>Noticia dura</t>
        </is>
      </c>
      <c r="F390" s="62" t="inlineStr">
        <is>
          <t>2026-05-15T16:22:42-05:00</t>
        </is>
      </c>
      <c r="G390" s="62" t="inlineStr">
        <is>
          <t>“Entiendo a la opinión pública y a los periodistas.</t>
        </is>
      </c>
      <c r="H390" s="62" t="inlineStr">
        <is>
          <t>Una de estas es la inclusión del jugador Sebastián Villa Cano, actual delantero del club Independiente Rivadavia, de Argentina, quien fue condenado en ese país por violencia de género en 2023.</t>
        </is>
      </c>
      <c r="I390" s="62"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J390" s="62" t="n"/>
      <c r="K390" s="62" t="n"/>
      <c r="L390" s="62" t="n"/>
      <c r="M390" s="62" t="n"/>
      <c r="N390" s="62" t="n"/>
      <c r="O390" s="62" t="n"/>
      <c r="P390" s="62" t="n"/>
      <c r="Q390" s="62" t="n"/>
      <c r="R390" s="62" t="n"/>
      <c r="S390" s="62" t="n"/>
      <c r="T390" s="62" t="n"/>
      <c r="U390" s="62" t="n"/>
      <c r="V390" s="62" t="n"/>
      <c r="W390" s="62" t="n"/>
      <c r="X390" s="62" t="n"/>
      <c r="Y390" s="62" t="n"/>
      <c r="Z390" s="62" t="n"/>
      <c r="AA390" s="62" t="n"/>
      <c r="AB390" s="62" t="n"/>
      <c r="AC390" s="62" t="n"/>
      <c r="AD390" s="62" t="n"/>
      <c r="AE390" s="62" t="n"/>
      <c r="AF390" s="61">
        <f>IF(COUNTIF($B$5:B390,B390)=1,1,0)</f>
        <v/>
      </c>
      <c r="AG390" s="62" t="inlineStr">
        <is>
          <t>https://www.eltiempo.com/unidad-investigativa/los-testimonios-por-violencia-de-genero-contra-el-jugador-sebastian-villa-que-desataron-polemica-tras-su-inclusion-en-listado-para-el-mundial-3555864</t>
        </is>
      </c>
    </row>
    <row r="391">
      <c r="A391" s="62" t="inlineStr">
        <is>
          <t>ART_336</t>
        </is>
      </c>
      <c r="B391" s="62" t="inlineStr">
        <is>
          <t>ART_336_S04</t>
        </is>
      </c>
      <c r="C391" s="62" t="inlineStr">
        <is>
          <t>El Tiempo</t>
        </is>
      </c>
      <c r="D391" s="62" t="inlineStr">
        <is>
          <t>Deportes</t>
        </is>
      </c>
      <c r="E391" s="62" t="inlineStr">
        <is>
          <t>Noticia dura</t>
        </is>
      </c>
      <c r="F391" s="62" t="inlineStr">
        <is>
          <t>2026-05-15T16:22:42-05:00</t>
        </is>
      </c>
      <c r="G391" s="62"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H391" s="62" t="inlineStr">
        <is>
          <t>“Entiendo a la opinión pública y a los periodistas.</t>
        </is>
      </c>
      <c r="I391" s="62" t="inlineStr">
        <is>
          <t>La situación generó polémica en redes sociales por parte de periodistas y aficionados.</t>
        </is>
      </c>
      <c r="J391" s="62" t="n"/>
      <c r="K391" s="62" t="n"/>
      <c r="L391" s="62" t="n"/>
      <c r="M391" s="62" t="n"/>
      <c r="N391" s="62" t="n"/>
      <c r="O391" s="62" t="n"/>
      <c r="P391" s="62" t="n"/>
      <c r="Q391" s="62" t="n"/>
      <c r="R391" s="62" t="n"/>
      <c r="S391" s="62" t="n"/>
      <c r="T391" s="62" t="n"/>
      <c r="U391" s="62" t="n"/>
      <c r="V391" s="62" t="n"/>
      <c r="W391" s="62" t="n"/>
      <c r="X391" s="62" t="n"/>
      <c r="Y391" s="62" t="n"/>
      <c r="Z391" s="62" t="n"/>
      <c r="AA391" s="62" t="n"/>
      <c r="AB391" s="62" t="n"/>
      <c r="AC391" s="62" t="n"/>
      <c r="AD391" s="62" t="n"/>
      <c r="AE391" s="62" t="n"/>
      <c r="AF391" s="61">
        <f>IF(COUNTIF($B$5:B391,B391)=1,1,0)</f>
        <v/>
      </c>
      <c r="AG391" s="62" t="inlineStr">
        <is>
          <t>https://www.eltiempo.com/unidad-investigativa/los-testimonios-por-violencia-de-genero-contra-el-jugador-sebastian-villa-que-desataron-polemica-tras-su-inclusion-en-listado-para-el-mundial-3555864</t>
        </is>
      </c>
    </row>
    <row r="392">
      <c r="A392" s="62" t="inlineStr">
        <is>
          <t>ART_336</t>
        </is>
      </c>
      <c r="B392" s="62" t="inlineStr">
        <is>
          <t>ART_336_S05</t>
        </is>
      </c>
      <c r="C392" s="62" t="inlineStr">
        <is>
          <t>El Tiempo</t>
        </is>
      </c>
      <c r="D392" s="62" t="inlineStr">
        <is>
          <t>Deportes</t>
        </is>
      </c>
      <c r="E392" s="62" t="inlineStr">
        <is>
          <t>Noticia dura</t>
        </is>
      </c>
      <c r="F392" s="62" t="inlineStr">
        <is>
          <t>2026-05-15T16:22:42-05:00</t>
        </is>
      </c>
      <c r="G392" s="62" t="inlineStr">
        <is>
          <t>La situación generó polémica en redes sociales por parte de periodistas y aficionados.</t>
        </is>
      </c>
      <c r="H392" s="62"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I392" s="62" t="n"/>
      <c r="J392" s="62" t="n"/>
      <c r="K392" s="62" t="n"/>
      <c r="L392" s="62" t="n"/>
      <c r="M392" s="62" t="n"/>
      <c r="N392" s="62" t="n"/>
      <c r="O392" s="62" t="n"/>
      <c r="P392" s="62" t="n"/>
      <c r="Q392" s="62" t="n"/>
      <c r="R392" s="62" t="n"/>
      <c r="S392" s="62" t="n"/>
      <c r="T392" s="62" t="n"/>
      <c r="U392" s="62" t="n"/>
      <c r="V392" s="62" t="n"/>
      <c r="W392" s="62" t="n"/>
      <c r="X392" s="62" t="n"/>
      <c r="Y392" s="62" t="n"/>
      <c r="Z392" s="62" t="n"/>
      <c r="AA392" s="62" t="n"/>
      <c r="AB392" s="62" t="n"/>
      <c r="AC392" s="62" t="n"/>
      <c r="AD392" s="62" t="n"/>
      <c r="AE392" s="62" t="n"/>
      <c r="AF392" s="61">
        <f>IF(COUNTIF($B$5:B392,B392)=1,1,0)</f>
        <v/>
      </c>
      <c r="AG392" s="62" t="inlineStr">
        <is>
          <t>https://www.eltiempo.com/unidad-investigativa/los-testimonios-por-violencia-de-genero-contra-el-jugador-sebastian-villa-que-desataron-polemica-tras-su-inclusion-en-listado-para-el-mundial-3555864</t>
        </is>
      </c>
    </row>
    <row r="393">
      <c r="A393" s="62" t="inlineStr">
        <is>
          <t>ART_343</t>
        </is>
      </c>
      <c r="B393" s="62" t="inlineStr">
        <is>
          <t>ART_343_S01</t>
        </is>
      </c>
      <c r="C393" s="62" t="inlineStr">
        <is>
          <t>El Tiempo</t>
        </is>
      </c>
      <c r="D393" s="62" t="inlineStr">
        <is>
          <t>Deportes</t>
        </is>
      </c>
      <c r="E393" s="62" t="inlineStr">
        <is>
          <t>Opinión-análisis</t>
        </is>
      </c>
      <c r="F393" s="62" t="inlineStr">
        <is>
          <t>2026-07-10T23:09:09-05:00</t>
        </is>
      </c>
      <c r="G393" s="62" t="inlineStr">
        <is>
          <t>La belleza del Mundial es que durante un mes todos están pendientes de él, hasta los menos futboleros.</t>
        </is>
      </c>
      <c r="H393" s="62" t="n"/>
      <c r="I393" s="62"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J393" s="62" t="n"/>
      <c r="K393" s="62" t="n"/>
      <c r="L393" s="62" t="n"/>
      <c r="M393" s="62" t="n"/>
      <c r="N393" s="62" t="n"/>
      <c r="O393" s="62" t="n"/>
      <c r="P393" s="62" t="n"/>
      <c r="Q393" s="62" t="n"/>
      <c r="R393" s="62" t="n"/>
      <c r="S393" s="62" t="n"/>
      <c r="T393" s="62" t="n"/>
      <c r="U393" s="62" t="n"/>
      <c r="V393" s="62" t="n"/>
      <c r="W393" s="62" t="n"/>
      <c r="X393" s="62" t="n"/>
      <c r="Y393" s="62" t="n"/>
      <c r="Z393" s="62" t="n"/>
      <c r="AA393" s="62" t="n"/>
      <c r="AB393" s="62" t="n"/>
      <c r="AC393" s="62" t="n"/>
      <c r="AD393" s="62" t="n"/>
      <c r="AE393" s="62" t="n"/>
      <c r="AF393" s="61">
        <f>IF(COUNTIF($B$5:B393,B393)=1,1,0)</f>
        <v/>
      </c>
      <c r="AG393" s="62" t="inlineStr">
        <is>
          <t>https://www.eltiempo.com/opinion/columnistas/todo-lo-que-no-me-gusta-es-robo-3570630</t>
        </is>
      </c>
    </row>
    <row r="394">
      <c r="A394" s="62" t="inlineStr">
        <is>
          <t>ART_343</t>
        </is>
      </c>
      <c r="B394" s="62" t="inlineStr">
        <is>
          <t>ART_343_S02</t>
        </is>
      </c>
      <c r="C394" s="62" t="inlineStr">
        <is>
          <t>El Tiempo</t>
        </is>
      </c>
      <c r="D394" s="62" t="inlineStr">
        <is>
          <t>Deportes</t>
        </is>
      </c>
      <c r="E394" s="62" t="inlineStr">
        <is>
          <t>Opinión-análisis</t>
        </is>
      </c>
      <c r="F394" s="62" t="inlineStr">
        <is>
          <t>2026-07-10T23:09:09-05:00</t>
        </is>
      </c>
      <c r="G394" s="62"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H394" s="62" t="inlineStr">
        <is>
          <t>La belleza del Mundial es que durante un mes todos están pendientes de él, hasta los menos futboleros.</t>
        </is>
      </c>
      <c r="I394" s="62" t="inlineStr">
        <is>
          <t>Esto para decir que hay que dejar de llamarlas robo a las decisiones arbitrales que no nos gustan.</t>
        </is>
      </c>
      <c r="J394" s="62" t="n"/>
      <c r="K394" s="62" t="n"/>
      <c r="L394" s="62" t="n"/>
      <c r="M394" s="62" t="n"/>
      <c r="N394" s="62" t="n"/>
      <c r="O394" s="62" t="n"/>
      <c r="P394" s="62" t="n"/>
      <c r="Q394" s="62" t="n"/>
      <c r="R394" s="62" t="n"/>
      <c r="S394" s="62" t="n"/>
      <c r="T394" s="62" t="n"/>
      <c r="U394" s="62" t="n"/>
      <c r="V394" s="62" t="n"/>
      <c r="W394" s="62" t="n"/>
      <c r="X394" s="62" t="n"/>
      <c r="Y394" s="62" t="n"/>
      <c r="Z394" s="62" t="n"/>
      <c r="AA394" s="62" t="n"/>
      <c r="AB394" s="62" t="n"/>
      <c r="AC394" s="62" t="n"/>
      <c r="AD394" s="62" t="n"/>
      <c r="AE394" s="62" t="n"/>
      <c r="AF394" s="61">
        <f>IF(COUNTIF($B$5:B394,B394)=1,1,0)</f>
        <v/>
      </c>
      <c r="AG394" s="62" t="inlineStr">
        <is>
          <t>https://www.eltiempo.com/opinion/columnistas/todo-lo-que-no-me-gusta-es-robo-3570630</t>
        </is>
      </c>
    </row>
    <row r="395">
      <c r="A395" s="62" t="inlineStr">
        <is>
          <t>ART_343</t>
        </is>
      </c>
      <c r="B395" s="62" t="inlineStr">
        <is>
          <t>ART_343_S03</t>
        </is>
      </c>
      <c r="C395" s="62" t="inlineStr">
        <is>
          <t>El Tiempo</t>
        </is>
      </c>
      <c r="D395" s="62" t="inlineStr">
        <is>
          <t>Deportes</t>
        </is>
      </c>
      <c r="E395" s="62" t="inlineStr">
        <is>
          <t>Opinión-análisis</t>
        </is>
      </c>
      <c r="F395" s="62" t="inlineStr">
        <is>
          <t>2026-07-10T23:09:09-05:00</t>
        </is>
      </c>
      <c r="G395" s="62" t="inlineStr">
        <is>
          <t>Esto para decir que hay que dejar de llamarlas robo a las decisiones arbitrales que no nos gustan.</t>
        </is>
      </c>
      <c r="H395" s="62"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I395" s="62" t="inlineStr">
        <is>
          <t>Que la Fifa es un ente cuanto menos cuestionable, se sabe, pero creo que el nivel de influencia que maneja se escapa al entendimiento del ciudadano común.</t>
        </is>
      </c>
      <c r="J395" s="62" t="n"/>
      <c r="K395" s="62" t="n"/>
      <c r="L395" s="62" t="n"/>
      <c r="M395" s="62" t="n"/>
      <c r="N395" s="62" t="n"/>
      <c r="O395" s="62" t="n"/>
      <c r="P395" s="62" t="n"/>
      <c r="Q395" s="62" t="n"/>
      <c r="R395" s="62" t="n"/>
      <c r="S395" s="62" t="n"/>
      <c r="T395" s="62" t="n"/>
      <c r="U395" s="62" t="n"/>
      <c r="V395" s="62" t="n"/>
      <c r="W395" s="62" t="n"/>
      <c r="X395" s="62" t="n"/>
      <c r="Y395" s="62" t="n"/>
      <c r="Z395" s="62" t="n"/>
      <c r="AA395" s="62" t="n"/>
      <c r="AB395" s="62" t="n"/>
      <c r="AC395" s="62" t="n"/>
      <c r="AD395" s="62" t="n"/>
      <c r="AE395" s="62" t="n"/>
      <c r="AF395" s="61">
        <f>IF(COUNTIF($B$5:B395,B395)=1,1,0)</f>
        <v/>
      </c>
      <c r="AG395" s="62" t="inlineStr">
        <is>
          <t>https://www.eltiempo.com/opinion/columnistas/todo-lo-que-no-me-gusta-es-robo-3570630</t>
        </is>
      </c>
    </row>
    <row r="396">
      <c r="A396" s="62" t="inlineStr">
        <is>
          <t>ART_343</t>
        </is>
      </c>
      <c r="B396" s="62" t="inlineStr">
        <is>
          <t>ART_343_S04</t>
        </is>
      </c>
      <c r="C396" s="62" t="inlineStr">
        <is>
          <t>El Tiempo</t>
        </is>
      </c>
      <c r="D396" s="62" t="inlineStr">
        <is>
          <t>Deportes</t>
        </is>
      </c>
      <c r="E396" s="62" t="inlineStr">
        <is>
          <t>Opinión-análisis</t>
        </is>
      </c>
      <c r="F396" s="62" t="inlineStr">
        <is>
          <t>2026-07-10T23:09:09-05:00</t>
        </is>
      </c>
      <c r="G396" s="62" t="inlineStr">
        <is>
          <t>Que la Fifa es un ente cuanto menos cuestionable, se sabe, pero creo que el nivel de influencia que maneja se escapa al entendimiento del ciudadano común.</t>
        </is>
      </c>
      <c r="H396" s="62" t="inlineStr">
        <is>
          <t>Esto para decir que hay que dejar de llamarlas robo a las decisiones arbitrales que no nos gustan.</t>
        </is>
      </c>
      <c r="I396" s="62" t="inlineStr">
        <is>
          <t>Muy pocos de nosotros hemos estado involucrados en ese grado de poder que incluye federaciones nacionales, organizaciones internacionales, grandes corporaciones, diplomáticos de alto perfil y hasta jefes de Estado.</t>
        </is>
      </c>
      <c r="J396" s="62" t="n"/>
      <c r="K396" s="62" t="n"/>
      <c r="L396" s="62" t="n"/>
      <c r="M396" s="62" t="n"/>
      <c r="N396" s="62" t="n"/>
      <c r="O396" s="62" t="n"/>
      <c r="P396" s="62" t="n"/>
      <c r="Q396" s="62" t="n"/>
      <c r="R396" s="62" t="n"/>
      <c r="S396" s="62" t="n"/>
      <c r="T396" s="62" t="n"/>
      <c r="U396" s="62" t="n"/>
      <c r="V396" s="62" t="n"/>
      <c r="W396" s="62" t="n"/>
      <c r="X396" s="62" t="n"/>
      <c r="Y396" s="62" t="n"/>
      <c r="Z396" s="62" t="n"/>
      <c r="AA396" s="62" t="n"/>
      <c r="AB396" s="62" t="n"/>
      <c r="AC396" s="62" t="n"/>
      <c r="AD396" s="62" t="n"/>
      <c r="AE396" s="62" t="n"/>
      <c r="AF396" s="61">
        <f>IF(COUNTIF($B$5:B396,B396)=1,1,0)</f>
        <v/>
      </c>
      <c r="AG396" s="62" t="inlineStr">
        <is>
          <t>https://www.eltiempo.com/opinion/columnistas/todo-lo-que-no-me-gusta-es-robo-3570630</t>
        </is>
      </c>
    </row>
    <row r="397">
      <c r="A397" s="62" t="inlineStr">
        <is>
          <t>ART_343</t>
        </is>
      </c>
      <c r="B397" s="62" t="inlineStr">
        <is>
          <t>ART_343_S05</t>
        </is>
      </c>
      <c r="C397" s="62" t="inlineStr">
        <is>
          <t>El Tiempo</t>
        </is>
      </c>
      <c r="D397" s="62" t="inlineStr">
        <is>
          <t>Deportes</t>
        </is>
      </c>
      <c r="E397" s="62" t="inlineStr">
        <is>
          <t>Opinión-análisis</t>
        </is>
      </c>
      <c r="F397" s="62" t="inlineStr">
        <is>
          <t>2026-07-10T23:09:09-05:00</t>
        </is>
      </c>
      <c r="G397" s="62" t="inlineStr">
        <is>
          <t>Muy pocos de nosotros hemos estado involucrados en ese grado de poder que incluye federaciones nacionales, organizaciones internacionales, grandes corporaciones, diplomáticos de alto perfil y hasta jefes de Estado.</t>
        </is>
      </c>
      <c r="H397" s="62" t="inlineStr">
        <is>
          <t>Que la Fifa es un ente cuanto menos cuestionable, se sabe, pero creo que el nivel de influencia que maneja se escapa al entendimiento del ciudadano común.</t>
        </is>
      </c>
      <c r="I397" s="62" t="inlineStr">
        <is>
          <t>Sin duda hay un juego de interés ahí, pero no puede ser que si el tres de Alemania no recibió amarilla por pisar al extremo de Curazao es que están robando al pobre equipo caribeño producto de un elaborado complot internacional.</t>
        </is>
      </c>
      <c r="J397" s="62" t="n"/>
      <c r="K397" s="62" t="n"/>
      <c r="L397" s="62" t="n"/>
      <c r="M397" s="62" t="n"/>
      <c r="N397" s="62" t="n"/>
      <c r="O397" s="62" t="n"/>
      <c r="P397" s="62" t="n"/>
      <c r="Q397" s="62" t="n"/>
      <c r="R397" s="62" t="n"/>
      <c r="S397" s="62" t="n"/>
      <c r="T397" s="62" t="n"/>
      <c r="U397" s="62" t="n"/>
      <c r="V397" s="62" t="n"/>
      <c r="W397" s="62" t="n"/>
      <c r="X397" s="62" t="n"/>
      <c r="Y397" s="62" t="n"/>
      <c r="Z397" s="62" t="n"/>
      <c r="AA397" s="62" t="n"/>
      <c r="AB397" s="62" t="n"/>
      <c r="AC397" s="62" t="n"/>
      <c r="AD397" s="62" t="n"/>
      <c r="AE397" s="62" t="n"/>
      <c r="AF397" s="61">
        <f>IF(COUNTIF($B$5:B397,B397)=1,1,0)</f>
        <v/>
      </c>
      <c r="AG397" s="62" t="inlineStr">
        <is>
          <t>https://www.eltiempo.com/opinion/columnistas/todo-lo-que-no-me-gusta-es-robo-3570630</t>
        </is>
      </c>
    </row>
    <row r="398">
      <c r="A398" s="62" t="inlineStr">
        <is>
          <t>ART_343</t>
        </is>
      </c>
      <c r="B398" s="62" t="inlineStr">
        <is>
          <t>ART_343_S06</t>
        </is>
      </c>
      <c r="C398" s="62" t="inlineStr">
        <is>
          <t>El Tiempo</t>
        </is>
      </c>
      <c r="D398" s="62" t="inlineStr">
        <is>
          <t>Deportes</t>
        </is>
      </c>
      <c r="E398" s="62" t="inlineStr">
        <is>
          <t>Opinión-análisis</t>
        </is>
      </c>
      <c r="F398" s="62" t="inlineStr">
        <is>
          <t>2026-07-10T23:09:09-05:00</t>
        </is>
      </c>
      <c r="G398" s="62" t="inlineStr">
        <is>
          <t>Sin duda hay un juego de interés ahí, pero no puede ser que si el tres de Alemania no recibió amarilla por pisar al extremo de Curazao es que están robando al pobre equipo caribeño producto de un elaborado complot internacional.</t>
        </is>
      </c>
      <c r="H398" s="62" t="inlineStr">
        <is>
          <t>Muy pocos de nosotros hemos estado involucrados en ese grado de poder que incluye federaciones nacionales, organizaciones internacionales, grandes corporaciones, diplomáticos de alto perfil y hasta jefes de Estado.</t>
        </is>
      </c>
      <c r="I398" s="62" t="inlineStr">
        <is>
          <t>En el fútbol siempre se ha favorecido al fuerte y al local, y eso no siempre tiene que ver con conspiraciones, sino por simple torpeza, servilismo o miedo.</t>
        </is>
      </c>
      <c r="J398" s="62" t="n"/>
      <c r="K398" s="62" t="n"/>
      <c r="L398" s="62" t="n"/>
      <c r="M398" s="62" t="n"/>
      <c r="N398" s="62" t="n"/>
      <c r="O398" s="62" t="n"/>
      <c r="P398" s="62" t="n"/>
      <c r="Q398" s="62" t="n"/>
      <c r="R398" s="62" t="n"/>
      <c r="S398" s="62" t="n"/>
      <c r="T398" s="62" t="n"/>
      <c r="U398" s="62" t="n"/>
      <c r="V398" s="62" t="n"/>
      <c r="W398" s="62" t="n"/>
      <c r="X398" s="62" t="n"/>
      <c r="Y398" s="62" t="n"/>
      <c r="Z398" s="62" t="n"/>
      <c r="AA398" s="62" t="n"/>
      <c r="AB398" s="62" t="n"/>
      <c r="AC398" s="62" t="n"/>
      <c r="AD398" s="62" t="n"/>
      <c r="AE398" s="62" t="n"/>
      <c r="AF398" s="61">
        <f>IF(COUNTIF($B$5:B398,B398)=1,1,0)</f>
        <v/>
      </c>
      <c r="AG398" s="62" t="inlineStr">
        <is>
          <t>https://www.eltiempo.com/opinion/columnistas/todo-lo-que-no-me-gusta-es-robo-3570630</t>
        </is>
      </c>
    </row>
    <row r="399">
      <c r="A399" s="62" t="inlineStr">
        <is>
          <t>ART_343</t>
        </is>
      </c>
      <c r="B399" s="62" t="inlineStr">
        <is>
          <t>ART_343_S07</t>
        </is>
      </c>
      <c r="C399" s="62" t="inlineStr">
        <is>
          <t>El Tiempo</t>
        </is>
      </c>
      <c r="D399" s="62" t="inlineStr">
        <is>
          <t>Deportes</t>
        </is>
      </c>
      <c r="E399" s="62" t="inlineStr">
        <is>
          <t>Opinión-análisis</t>
        </is>
      </c>
      <c r="F399" s="62" t="inlineStr">
        <is>
          <t>2026-07-10T23:09:09-05:00</t>
        </is>
      </c>
      <c r="G399" s="62" t="inlineStr">
        <is>
          <t>En el fútbol siempre se ha favorecido al fuerte y al local, y eso no siempre tiene que ver con conspiraciones, sino por simple torpeza, servilismo o miedo.</t>
        </is>
      </c>
      <c r="H399" s="62" t="inlineStr">
        <is>
          <t>Sin duda hay un juego de interés ahí, pero no puede ser que si el tres de Alemania no recibió amarilla por pisar al extremo de Curazao es que están robando al pobre equipo caribeño producto de un elaborado complot internacional.</t>
        </is>
      </c>
      <c r="I399" s="62" t="inlineStr">
        <is>
          <t>¿Está tan podrido el deporte que todo error arbitral no es solo un yerro, sino un eslabón más en la infinita cadena de corrupción que busca trucar torneos y elegir campeones a dedo?</t>
        </is>
      </c>
      <c r="J399" s="62" t="n"/>
      <c r="K399" s="62" t="n"/>
      <c r="L399" s="62" t="n"/>
      <c r="M399" s="62" t="n"/>
      <c r="N399" s="62" t="n"/>
      <c r="O399" s="62" t="n"/>
      <c r="P399" s="62" t="n"/>
      <c r="Q399" s="62" t="n"/>
      <c r="R399" s="62" t="n"/>
      <c r="S399" s="62" t="n"/>
      <c r="T399" s="62" t="n"/>
      <c r="U399" s="62" t="n"/>
      <c r="V399" s="62" t="n"/>
      <c r="W399" s="62" t="n"/>
      <c r="X399" s="62" t="n"/>
      <c r="Y399" s="62" t="n"/>
      <c r="Z399" s="62" t="n"/>
      <c r="AA399" s="62" t="n"/>
      <c r="AB399" s="62" t="n"/>
      <c r="AC399" s="62" t="n"/>
      <c r="AD399" s="62" t="n"/>
      <c r="AE399" s="62" t="n"/>
      <c r="AF399" s="61">
        <f>IF(COUNTIF($B$5:B399,B399)=1,1,0)</f>
        <v/>
      </c>
      <c r="AG399" s="62" t="inlineStr">
        <is>
          <t>https://www.eltiempo.com/opinion/columnistas/todo-lo-que-no-me-gusta-es-robo-3570630</t>
        </is>
      </c>
    </row>
    <row r="400">
      <c r="A400" s="62" t="inlineStr">
        <is>
          <t>ART_343</t>
        </is>
      </c>
      <c r="B400" s="62" t="inlineStr">
        <is>
          <t>ART_343_S08</t>
        </is>
      </c>
      <c r="C400" s="62" t="inlineStr">
        <is>
          <t>El Tiempo</t>
        </is>
      </c>
      <c r="D400" s="62" t="inlineStr">
        <is>
          <t>Deportes</t>
        </is>
      </c>
      <c r="E400" s="62" t="inlineStr">
        <is>
          <t>Opinión-análisis</t>
        </is>
      </c>
      <c r="F400" s="62" t="inlineStr">
        <is>
          <t>2026-07-10T23:09:09-05:00</t>
        </is>
      </c>
      <c r="G400" s="62" t="inlineStr">
        <is>
          <t>¿Está tan podrido el deporte que todo error arbitral no es solo un yerro, sino un eslabón más en la infinita cadena de corrupción que busca trucar torneos y elegir campeones a dedo?</t>
        </is>
      </c>
      <c r="H400" s="62" t="inlineStr">
        <is>
          <t>En el fútbol siempre se ha favorecido al fuerte y al local, y eso no siempre tiene que ver con conspiraciones, sino por simple torpeza, servilismo o miedo.</t>
        </is>
      </c>
      <c r="I400" s="62" t="n"/>
      <c r="J400" s="62" t="n"/>
      <c r="K400" s="62" t="n"/>
      <c r="L400" s="62" t="n"/>
      <c r="M400" s="62" t="n"/>
      <c r="N400" s="62" t="n"/>
      <c r="O400" s="62" t="n"/>
      <c r="P400" s="62" t="n"/>
      <c r="Q400" s="62" t="n"/>
      <c r="R400" s="62" t="n"/>
      <c r="S400" s="62" t="n"/>
      <c r="T400" s="62" t="n"/>
      <c r="U400" s="62" t="n"/>
      <c r="V400" s="62" t="n"/>
      <c r="W400" s="62" t="n"/>
      <c r="X400" s="62" t="n"/>
      <c r="Y400" s="62" t="n"/>
      <c r="Z400" s="62" t="n"/>
      <c r="AA400" s="62" t="n"/>
      <c r="AB400" s="62" t="n"/>
      <c r="AC400" s="62" t="n"/>
      <c r="AD400" s="62" t="n"/>
      <c r="AE400" s="62" t="n"/>
      <c r="AF400" s="61">
        <f>IF(COUNTIF($B$5:B400,B400)=1,1,0)</f>
        <v/>
      </c>
      <c r="AG400" s="62" t="inlineStr">
        <is>
          <t>https://www.eltiempo.com/opinion/columnistas/todo-lo-que-no-me-gusta-es-robo-3570630</t>
        </is>
      </c>
    </row>
    <row r="401">
      <c r="A401" s="62" t="inlineStr">
        <is>
          <t>ART_344</t>
        </is>
      </c>
      <c r="B401" s="62" t="inlineStr">
        <is>
          <t>ART_344_S01</t>
        </is>
      </c>
      <c r="C401" s="62" t="inlineStr">
        <is>
          <t>El Espectador</t>
        </is>
      </c>
      <c r="D401" s="62" t="inlineStr">
        <is>
          <t>Deportes</t>
        </is>
      </c>
      <c r="E401" s="62" t="inlineStr">
        <is>
          <t>Noticia dura</t>
        </is>
      </c>
      <c r="F401" s="62" t="inlineStr">
        <is>
          <t>2025-12-22T17:22:42-05:00</t>
        </is>
      </c>
      <c r="G401" s="62" t="inlineStr">
        <is>
          <t>La Comisión Arbitral vuelve a quedar bajo la lupa por castigos que abren el debate sobre criterios y transparencia en el fútbol colombiano.</t>
        </is>
      </c>
      <c r="H401" s="62" t="n"/>
      <c r="I401" s="62" t="inlineStr">
        <is>
          <t>El arbitraje del fútbol profesional colombiano atraviesa uno de sus momentos más críticos.</t>
        </is>
      </c>
      <c r="J401" s="62" t="n"/>
      <c r="K401" s="62" t="n"/>
      <c r="L401" s="62" t="n"/>
      <c r="M401" s="62" t="n"/>
      <c r="N401" s="62" t="n"/>
      <c r="O401" s="62" t="n"/>
      <c r="P401" s="62" t="n"/>
      <c r="Q401" s="62" t="n"/>
      <c r="R401" s="62" t="n"/>
      <c r="S401" s="62" t="n"/>
      <c r="T401" s="62" t="n"/>
      <c r="U401" s="62" t="n"/>
      <c r="V401" s="62" t="n"/>
      <c r="W401" s="62" t="n"/>
      <c r="X401" s="62" t="n"/>
      <c r="Y401" s="62" t="n"/>
      <c r="Z401" s="62" t="n"/>
      <c r="AA401" s="62" t="n"/>
      <c r="AB401" s="62" t="n"/>
      <c r="AC401" s="62" t="n"/>
      <c r="AD401" s="62" t="n"/>
      <c r="AE401" s="62" t="n"/>
      <c r="AF401" s="61">
        <f>IF(COUNTIF($B$5:B401,B401)=1,1,0)</f>
        <v/>
      </c>
      <c r="AG401" s="62" t="inlineStr">
        <is>
          <t>https://www.elespectador.com/deportes/futbol-colombiano/crisis-en-el-arbitraje-colombiano-jueces-sancionados-y-otros-no-fueron-llamados-para-2026/</t>
        </is>
      </c>
    </row>
    <row r="402">
      <c r="A402" s="62" t="inlineStr">
        <is>
          <t>ART_344</t>
        </is>
      </c>
      <c r="B402" s="62" t="inlineStr">
        <is>
          <t>ART_344_S02</t>
        </is>
      </c>
      <c r="C402" s="62" t="inlineStr">
        <is>
          <t>El Espectador</t>
        </is>
      </c>
      <c r="D402" s="62" t="inlineStr">
        <is>
          <t>Deportes</t>
        </is>
      </c>
      <c r="E402" s="62" t="inlineStr">
        <is>
          <t>Noticia dura</t>
        </is>
      </c>
      <c r="F402" s="62" t="inlineStr">
        <is>
          <t>2025-12-22T17:22:42-05:00</t>
        </is>
      </c>
      <c r="G402" s="62" t="inlineStr">
        <is>
          <t>El arbitraje del fútbol profesional colombiano atraviesa uno de sus momentos más críticos.</t>
        </is>
      </c>
      <c r="H402" s="62" t="inlineStr">
        <is>
          <t>La Comisión Arbitral vuelve a quedar bajo la lupa por castigos que abren el debate sobre criterios y transparencia en el fútbol colombiano.</t>
        </is>
      </c>
      <c r="I402" s="62" t="inlineStr">
        <is>
          <t>En cuestión de días, la Comisión Arbitral de la Federación Colombiana de Fútbol tomó decisiones sin precedentes que reavivaron el debate sobre la coherencia disciplinaria del sistema arbitral en el país.</t>
        </is>
      </c>
      <c r="J402" s="62" t="n"/>
      <c r="K402" s="62" t="n"/>
      <c r="L402" s="62" t="n"/>
      <c r="M402" s="62" t="n"/>
      <c r="N402" s="62" t="n"/>
      <c r="O402" s="62" t="n"/>
      <c r="P402" s="62" t="n"/>
      <c r="Q402" s="62" t="n"/>
      <c r="R402" s="62" t="n"/>
      <c r="S402" s="62" t="n"/>
      <c r="T402" s="62" t="n"/>
      <c r="U402" s="62" t="n"/>
      <c r="V402" s="62" t="n"/>
      <c r="W402" s="62" t="n"/>
      <c r="X402" s="62" t="n"/>
      <c r="Y402" s="62" t="n"/>
      <c r="Z402" s="62" t="n"/>
      <c r="AA402" s="62" t="n"/>
      <c r="AB402" s="62" t="n"/>
      <c r="AC402" s="62" t="n"/>
      <c r="AD402" s="62" t="n"/>
      <c r="AE402" s="62" t="n"/>
      <c r="AF402" s="61">
        <f>IF(COUNTIF($B$5:B402,B402)=1,1,0)</f>
        <v/>
      </c>
      <c r="AG402" s="62" t="inlineStr">
        <is>
          <t>https://www.elespectador.com/deportes/futbol-colombiano/crisis-en-el-arbitraje-colombiano-jueces-sancionados-y-otros-no-fueron-llamados-para-2026/</t>
        </is>
      </c>
    </row>
    <row r="403">
      <c r="A403" s="62" t="inlineStr">
        <is>
          <t>ART_344</t>
        </is>
      </c>
      <c r="B403" s="62" t="inlineStr">
        <is>
          <t>ART_344_S03</t>
        </is>
      </c>
      <c r="C403" s="62" t="inlineStr">
        <is>
          <t>El Espectador</t>
        </is>
      </c>
      <c r="D403" s="62" t="inlineStr">
        <is>
          <t>Deportes</t>
        </is>
      </c>
      <c r="E403" s="62" t="inlineStr">
        <is>
          <t>Noticia dura</t>
        </is>
      </c>
      <c r="F403" s="62" t="inlineStr">
        <is>
          <t>2025-12-22T17:22:42-05:00</t>
        </is>
      </c>
      <c r="G403" s="62" t="inlineStr">
        <is>
          <t>En cuestión de días, la Comisión Arbitral de la Federación Colombiana de Fútbol tomó decisiones sin precedentes que reavivaron el debate sobre la coherencia disciplinaria del sistema arbitral en el país.</t>
        </is>
      </c>
      <c r="H403" s="62" t="inlineStr">
        <is>
          <t>El arbitraje del fútbol profesional colombiano atraviesa uno de sus momentos más críticos.</t>
        </is>
      </c>
      <c r="I403" s="62" t="inlineStr">
        <is>
          <t>El caso que detonó la polémica fue el del árbitro Jhon Hinestroza, quien recibió el castigo más severo posible tras un error cometido en el partido de cuadrangulares de la Liga BetPlay 2024-2 entre Deportes Tolima y Once Caldas.</t>
        </is>
      </c>
      <c r="J403" s="62" t="n"/>
      <c r="K403" s="62" t="n"/>
      <c r="L403" s="62" t="n"/>
      <c r="M403" s="62" t="n"/>
      <c r="N403" s="62" t="n"/>
      <c r="O403" s="62" t="n"/>
      <c r="P403" s="62" t="n"/>
      <c r="Q403" s="62" t="n"/>
      <c r="R403" s="62" t="n"/>
      <c r="S403" s="62" t="n"/>
      <c r="T403" s="62" t="n"/>
      <c r="U403" s="62" t="n"/>
      <c r="V403" s="62" t="n"/>
      <c r="W403" s="62" t="n"/>
      <c r="X403" s="62" t="n"/>
      <c r="Y403" s="62" t="n"/>
      <c r="Z403" s="62" t="n"/>
      <c r="AA403" s="62" t="n"/>
      <c r="AB403" s="62" t="n"/>
      <c r="AC403" s="62" t="n"/>
      <c r="AD403" s="62" t="n"/>
      <c r="AE403" s="62" t="n"/>
      <c r="AF403" s="61">
        <f>IF(COUNTIF($B$5:B403,B403)=1,1,0)</f>
        <v/>
      </c>
      <c r="AG403" s="62" t="inlineStr">
        <is>
          <t>https://www.elespectador.com/deportes/futbol-colombiano/crisis-en-el-arbitraje-colombiano-jueces-sancionados-y-otros-no-fueron-llamados-para-2026/</t>
        </is>
      </c>
    </row>
    <row r="404">
      <c r="A404" s="62" t="inlineStr">
        <is>
          <t>ART_344</t>
        </is>
      </c>
      <c r="B404" s="62" t="inlineStr">
        <is>
          <t>ART_344_S04</t>
        </is>
      </c>
      <c r="C404" s="62" t="inlineStr">
        <is>
          <t>El Espectador</t>
        </is>
      </c>
      <c r="D404" s="62" t="inlineStr">
        <is>
          <t>Deportes</t>
        </is>
      </c>
      <c r="E404" s="62" t="inlineStr">
        <is>
          <t>Noticia dura</t>
        </is>
      </c>
      <c r="F404" s="62" t="inlineStr">
        <is>
          <t>2025-12-22T17:22:42-05:00</t>
        </is>
      </c>
      <c r="G404" s="62" t="inlineStr">
        <is>
          <t>El caso que detonó la polémica fue el del árbitro Jhon Hinestroza, quien recibió el castigo más severo posible tras un error cometido en el partido de cuadrangulares de la Liga BetPlay 2024-2 entre Deportes Tolima y Once Caldas.</t>
        </is>
      </c>
      <c r="H404" s="62" t="inlineStr">
        <is>
          <t>En cuestión de días, la Comisión Arbitral de la Federación Colombiana de Fútbol tomó decisiones sin precedentes que reavivaron el debate sobre la coherencia disciplinaria del sistema arbitral en el país.</t>
        </is>
      </c>
      <c r="I404" s="62" t="inlineStr">
        <is>
          <t>Jhon Hinestroza (Chocó) no dirige en Colombia desde el 08 de diciembre de 2024.</t>
        </is>
      </c>
      <c r="J404" s="62" t="n"/>
      <c r="K404" s="62" t="n"/>
      <c r="L404" s="62" t="n"/>
      <c r="M404" s="62" t="n"/>
      <c r="N404" s="62" t="n"/>
      <c r="O404" s="62" t="n"/>
      <c r="P404" s="62" t="n"/>
      <c r="Q404" s="62" t="n"/>
      <c r="R404" s="62" t="n"/>
      <c r="S404" s="62" t="n"/>
      <c r="T404" s="62" t="n"/>
      <c r="U404" s="62" t="n"/>
      <c r="V404" s="62" t="n"/>
      <c r="W404" s="62" t="n"/>
      <c r="X404" s="62" t="n"/>
      <c r="Y404" s="62" t="n"/>
      <c r="Z404" s="62" t="n"/>
      <c r="AA404" s="62" t="n"/>
      <c r="AB404" s="62" t="n"/>
      <c r="AC404" s="62" t="n"/>
      <c r="AD404" s="62" t="n"/>
      <c r="AE404" s="62" t="n"/>
      <c r="AF404" s="61">
        <f>IF(COUNTIF($B$5:B404,B404)=1,1,0)</f>
        <v/>
      </c>
      <c r="AG404" s="62" t="inlineStr">
        <is>
          <t>https://www.elespectador.com/deportes/futbol-colombiano/crisis-en-el-arbitraje-colombiano-jueces-sancionados-y-otros-no-fueron-llamados-para-2026/</t>
        </is>
      </c>
    </row>
    <row r="405">
      <c r="A405" s="62" t="inlineStr">
        <is>
          <t>ART_344</t>
        </is>
      </c>
      <c r="B405" s="62" t="inlineStr">
        <is>
          <t>ART_344_S05</t>
        </is>
      </c>
      <c r="C405" s="62" t="inlineStr">
        <is>
          <t>El Espectador</t>
        </is>
      </c>
      <c r="D405" s="62" t="inlineStr">
        <is>
          <t>Deportes</t>
        </is>
      </c>
      <c r="E405" s="62" t="inlineStr">
        <is>
          <t>Noticia dura</t>
        </is>
      </c>
      <c r="F405" s="62" t="inlineStr">
        <is>
          <t>2025-12-22T17:22:42-05:00</t>
        </is>
      </c>
      <c r="G405" s="62" t="inlineStr">
        <is>
          <t>Jhon Hinestroza (Chocó) no dirige en Colombia desde el 08 de diciembre de 2024.</t>
        </is>
      </c>
      <c r="H405" s="62" t="inlineStr">
        <is>
          <t>El caso que detonó la polémica fue el del árbitro Jhon Hinestroza, quien recibió el castigo más severo posible tras un error cometido en el partido de cuadrangulares de la Liga BetPlay 2024-2 entre Deportes Tolima y Once Caldas.</t>
        </is>
      </c>
      <c r="I405" s="62" t="inlineStr">
        <is>
          <t>Aquel día se equivocó al no conceder un penal a Once Caldas quien se jugaba su paso a la final.</t>
        </is>
      </c>
      <c r="J405" s="62" t="n"/>
      <c r="K405" s="62" t="n"/>
      <c r="L405" s="62" t="n"/>
      <c r="M405" s="62" t="n"/>
      <c r="N405" s="62" t="n"/>
      <c r="O405" s="62" t="n"/>
      <c r="P405" s="62" t="n"/>
      <c r="Q405" s="62" t="n"/>
      <c r="R405" s="62" t="n"/>
      <c r="S405" s="62" t="n"/>
      <c r="T405" s="62" t="n"/>
      <c r="U405" s="62" t="n"/>
      <c r="V405" s="62" t="n"/>
      <c r="W405" s="62" t="n"/>
      <c r="X405" s="62" t="n"/>
      <c r="Y405" s="62" t="n"/>
      <c r="Z405" s="62" t="n"/>
      <c r="AA405" s="62" t="n"/>
      <c r="AB405" s="62" t="n"/>
      <c r="AC405" s="62" t="n"/>
      <c r="AD405" s="62" t="n"/>
      <c r="AE405" s="62" t="n"/>
      <c r="AF405" s="61">
        <f>IF(COUNTIF($B$5:B405,B405)=1,1,0)</f>
        <v/>
      </c>
      <c r="AG405" s="62" t="inlineStr">
        <is>
          <t>https://www.elespectador.com/deportes/futbol-colombiano/crisis-en-el-arbitraje-colombiano-jueces-sancionados-y-otros-no-fueron-llamados-para-2026/</t>
        </is>
      </c>
    </row>
    <row r="406">
      <c r="A406" s="62" t="inlineStr">
        <is>
          <t>ART_344</t>
        </is>
      </c>
      <c r="B406" s="62" t="inlineStr">
        <is>
          <t>ART_344_S06</t>
        </is>
      </c>
      <c r="C406" s="62" t="inlineStr">
        <is>
          <t>El Espectador</t>
        </is>
      </c>
      <c r="D406" s="62" t="inlineStr">
        <is>
          <t>Deportes</t>
        </is>
      </c>
      <c r="E406" s="62" t="inlineStr">
        <is>
          <t>Noticia dura</t>
        </is>
      </c>
      <c r="F406" s="62" t="inlineStr">
        <is>
          <t>2025-12-22T17:22:42-05:00</t>
        </is>
      </c>
      <c r="G406" s="62" t="inlineStr">
        <is>
          <t>Aquel día se equivocó al no conceder un penal a Once Caldas quien se jugaba su paso a la final.</t>
        </is>
      </c>
      <c r="H406" s="62" t="inlineStr">
        <is>
          <t>Jhon Hinestroza (Chocó) no dirige en Colombia desde el 08 de diciembre de 2024.</t>
        </is>
      </c>
      <c r="I406" s="62" t="n"/>
      <c r="J406" s="62" t="n"/>
      <c r="K406" s="62" t="n"/>
      <c r="L406" s="62" t="n"/>
      <c r="M406" s="62" t="n"/>
      <c r="N406" s="62" t="n"/>
      <c r="O406" s="62" t="n"/>
      <c r="P406" s="62" t="n"/>
      <c r="Q406" s="62" t="n"/>
      <c r="R406" s="62" t="n"/>
      <c r="S406" s="62" t="n"/>
      <c r="T406" s="62" t="n"/>
      <c r="U406" s="62" t="n"/>
      <c r="V406" s="62" t="n"/>
      <c r="W406" s="62" t="n"/>
      <c r="X406" s="62" t="n"/>
      <c r="Y406" s="62" t="n"/>
      <c r="Z406" s="62" t="n"/>
      <c r="AA406" s="62" t="n"/>
      <c r="AB406" s="62" t="n"/>
      <c r="AC406" s="62" t="n"/>
      <c r="AD406" s="62" t="n"/>
      <c r="AE406" s="62" t="n"/>
      <c r="AF406" s="61">
        <f>IF(COUNTIF($B$5:B406,B406)=1,1,0)</f>
        <v/>
      </c>
      <c r="AG406" s="62" t="inlineStr">
        <is>
          <t>https://www.elespectador.com/deportes/futbol-colombiano/crisis-en-el-arbitraje-colombiano-jueces-sancionados-y-otros-no-fueron-llamados-para-2026/</t>
        </is>
      </c>
    </row>
    <row r="407">
      <c r="A407" s="62" t="inlineStr">
        <is>
          <t>ART_348</t>
        </is>
      </c>
      <c r="B407" s="62" t="inlineStr">
        <is>
          <t>ART_348_S01</t>
        </is>
      </c>
      <c r="C407" s="62" t="inlineStr">
        <is>
          <t>El Espectador</t>
        </is>
      </c>
      <c r="D407" s="62" t="inlineStr">
        <is>
          <t>Deportes</t>
        </is>
      </c>
      <c r="E407" s="62" t="inlineStr">
        <is>
          <t>Opinión-análisis</t>
        </is>
      </c>
      <c r="F407" s="62" t="inlineStr">
        <is>
          <t>2026-07-13T07:00:00-05:00</t>
        </is>
      </c>
      <c r="G407" s="62" t="inlineStr">
        <is>
          <t>Néstor Lorenzo merece continuar.</t>
        </is>
      </c>
      <c r="H407" s="62" t="n"/>
      <c r="I407" s="62" t="inlineStr">
        <is>
          <t>No por gratitud ni por nostalgia, sino porque ha hecho méritos suficientes para que Colombia construya sobre una base sólida en lugar de volver a empezar de cero, un error que ya cometimos y que nos costó demasiado.</t>
        </is>
      </c>
      <c r="J407" s="62" t="n"/>
      <c r="K407" s="62" t="n"/>
      <c r="L407" s="62" t="n"/>
      <c r="M407" s="62" t="n"/>
      <c r="N407" s="62" t="n"/>
      <c r="O407" s="62" t="n"/>
      <c r="P407" s="62" t="n"/>
      <c r="Q407" s="62" t="n"/>
      <c r="R407" s="62" t="n"/>
      <c r="S407" s="62" t="n"/>
      <c r="T407" s="62" t="n"/>
      <c r="U407" s="62" t="n"/>
      <c r="V407" s="62" t="n"/>
      <c r="W407" s="62" t="n"/>
      <c r="X407" s="62" t="n"/>
      <c r="Y407" s="62" t="n"/>
      <c r="Z407" s="62" t="n"/>
      <c r="AA407" s="62" t="n"/>
      <c r="AB407" s="62" t="n"/>
      <c r="AC407" s="62" t="n"/>
      <c r="AD407" s="62" t="n"/>
      <c r="AE407" s="62" t="n"/>
      <c r="AF407" s="61">
        <f>IF(COUNTIF($B$5:B407,B407)=1,1,0)</f>
        <v/>
      </c>
      <c r="AG407" s="62" t="inlineStr">
        <is>
          <t>https://www.elespectador.com/opinion/columnistas/antonio-casale/la-tentacion-de-destruir-el-futuro-de-la-seleccion-colombia-y-nestor-lorenzo-columna-de-antonio-casale/</t>
        </is>
      </c>
    </row>
    <row r="408">
      <c r="A408" s="62" t="inlineStr">
        <is>
          <t>ART_348</t>
        </is>
      </c>
      <c r="B408" s="62" t="inlineStr">
        <is>
          <t>ART_348_S02</t>
        </is>
      </c>
      <c r="C408" s="62" t="inlineStr">
        <is>
          <t>El Espectador</t>
        </is>
      </c>
      <c r="D408" s="62" t="inlineStr">
        <is>
          <t>Deportes</t>
        </is>
      </c>
      <c r="E408" s="62" t="inlineStr">
        <is>
          <t>Opinión-análisis</t>
        </is>
      </c>
      <c r="F408" s="62" t="inlineStr">
        <is>
          <t>2026-07-13T07:00:00-05:00</t>
        </is>
      </c>
      <c r="G408" s="62" t="inlineStr">
        <is>
          <t>No por gratitud ni por nostalgia, sino porque ha hecho méritos suficientes para que Colombia construya sobre una base sólida en lugar de volver a empezar de cero, un error que ya cometimos y que nos costó demasiado.</t>
        </is>
      </c>
      <c r="H408" s="62" t="inlineStr">
        <is>
          <t>Néstor Lorenzo merece continuar.</t>
        </is>
      </c>
      <c r="I408" s="62" t="inlineStr">
        <is>
          <t>Estamos hablando de un hombre de fútbol.</t>
        </is>
      </c>
      <c r="J408" s="62" t="n"/>
      <c r="K408" s="62" t="n"/>
      <c r="L408" s="62" t="n"/>
      <c r="M408" s="62" t="n"/>
      <c r="N408" s="62" t="n"/>
      <c r="O408" s="62" t="n"/>
      <c r="P408" s="62" t="n"/>
      <c r="Q408" s="62" t="n"/>
      <c r="R408" s="62" t="n"/>
      <c r="S408" s="62" t="n"/>
      <c r="T408" s="62" t="n"/>
      <c r="U408" s="62" t="n"/>
      <c r="V408" s="62" t="n"/>
      <c r="W408" s="62" t="n"/>
      <c r="X408" s="62" t="n"/>
      <c r="Y408" s="62" t="n"/>
      <c r="Z408" s="62" t="n"/>
      <c r="AA408" s="62" t="n"/>
      <c r="AB408" s="62" t="n"/>
      <c r="AC408" s="62" t="n"/>
      <c r="AD408" s="62" t="n"/>
      <c r="AE408" s="62" t="n"/>
      <c r="AF408" s="61">
        <f>IF(COUNTIF($B$5:B408,B408)=1,1,0)</f>
        <v/>
      </c>
      <c r="AG408" s="62" t="inlineStr">
        <is>
          <t>https://www.elespectador.com/opinion/columnistas/antonio-casale/la-tentacion-de-destruir-el-futuro-de-la-seleccion-colombia-y-nestor-lorenzo-columna-de-antonio-casale/</t>
        </is>
      </c>
    </row>
    <row r="409">
      <c r="A409" s="62" t="inlineStr">
        <is>
          <t>ART_348</t>
        </is>
      </c>
      <c r="B409" s="62" t="inlineStr">
        <is>
          <t>ART_348_S03</t>
        </is>
      </c>
      <c r="C409" s="62" t="inlineStr">
        <is>
          <t>El Espectador</t>
        </is>
      </c>
      <c r="D409" s="62" t="inlineStr">
        <is>
          <t>Deportes</t>
        </is>
      </c>
      <c r="E409" s="62" t="inlineStr">
        <is>
          <t>Opinión-análisis</t>
        </is>
      </c>
      <c r="F409" s="62" t="inlineStr">
        <is>
          <t>2026-07-13T07:00:00-05:00</t>
        </is>
      </c>
      <c r="G409" s="62" t="inlineStr">
        <is>
          <t>Estamos hablando de un hombre de fútbol.</t>
        </is>
      </c>
      <c r="H409" s="62" t="inlineStr">
        <is>
          <t>No por gratitud ni por nostalgia, sino porque ha hecho méritos suficientes para que Colombia construya sobre una base sólida en lugar de volver a empezar de cero, un error que ya cometimos y que nos costó demasiado.</t>
        </is>
      </c>
      <c r="I409" s="62"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J409" s="62" t="n"/>
      <c r="K409" s="62" t="n"/>
      <c r="L409" s="62" t="n"/>
      <c r="M409" s="62" t="n"/>
      <c r="N409" s="62" t="n"/>
      <c r="O409" s="62" t="n"/>
      <c r="P409" s="62" t="n"/>
      <c r="Q409" s="62" t="n"/>
      <c r="R409" s="62" t="n"/>
      <c r="S409" s="62" t="n"/>
      <c r="T409" s="62" t="n"/>
      <c r="U409" s="62" t="n"/>
      <c r="V409" s="62" t="n"/>
      <c r="W409" s="62" t="n"/>
      <c r="X409" s="62" t="n"/>
      <c r="Y409" s="62" t="n"/>
      <c r="Z409" s="62" t="n"/>
      <c r="AA409" s="62" t="n"/>
      <c r="AB409" s="62" t="n"/>
      <c r="AC409" s="62" t="n"/>
      <c r="AD409" s="62" t="n"/>
      <c r="AE409" s="62" t="n"/>
      <c r="AF409" s="61">
        <f>IF(COUNTIF($B$5:B409,B409)=1,1,0)</f>
        <v/>
      </c>
      <c r="AG409" s="62" t="inlineStr">
        <is>
          <t>https://www.elespectador.com/opinion/columnistas/antonio-casale/la-tentacion-de-destruir-el-futuro-de-la-seleccion-colombia-y-nestor-lorenzo-columna-de-antonio-casale/</t>
        </is>
      </c>
    </row>
    <row r="410">
      <c r="A410" s="62" t="inlineStr">
        <is>
          <t>ART_348</t>
        </is>
      </c>
      <c r="B410" s="62" t="inlineStr">
        <is>
          <t>ART_348_S04</t>
        </is>
      </c>
      <c r="C410" s="62" t="inlineStr">
        <is>
          <t>El Espectador</t>
        </is>
      </c>
      <c r="D410" s="62" t="inlineStr">
        <is>
          <t>Deportes</t>
        </is>
      </c>
      <c r="E410" s="62" t="inlineStr">
        <is>
          <t>Opinión-análisis</t>
        </is>
      </c>
      <c r="F410" s="62" t="inlineStr">
        <is>
          <t>2026-07-13T07:00:00-05:00</t>
        </is>
      </c>
      <c r="G410" s="62"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H410" s="62" t="inlineStr">
        <is>
          <t>Estamos hablando de un hombre de fútbol.</t>
        </is>
      </c>
      <c r="I410" s="62" t="inlineStr">
        <is>
          <t>El balance es positivo.</t>
        </is>
      </c>
      <c r="J410" s="62" t="n"/>
      <c r="K410" s="62" t="n"/>
      <c r="L410" s="62" t="n"/>
      <c r="M410" s="62" t="n"/>
      <c r="N410" s="62" t="n"/>
      <c r="O410" s="62" t="n"/>
      <c r="P410" s="62" t="n"/>
      <c r="Q410" s="62" t="n"/>
      <c r="R410" s="62" t="n"/>
      <c r="S410" s="62" t="n"/>
      <c r="T410" s="62" t="n"/>
      <c r="U410" s="62" t="n"/>
      <c r="V410" s="62" t="n"/>
      <c r="W410" s="62" t="n"/>
      <c r="X410" s="62" t="n"/>
      <c r="Y410" s="62" t="n"/>
      <c r="Z410" s="62" t="n"/>
      <c r="AA410" s="62" t="n"/>
      <c r="AB410" s="62" t="n"/>
      <c r="AC410" s="62" t="n"/>
      <c r="AD410" s="62" t="n"/>
      <c r="AE410" s="62" t="n"/>
      <c r="AF410" s="61">
        <f>IF(COUNTIF($B$5:B410,B410)=1,1,0)</f>
        <v/>
      </c>
      <c r="AG410" s="62" t="inlineStr">
        <is>
          <t>https://www.elespectador.com/opinion/columnistas/antonio-casale/la-tentacion-de-destruir-el-futuro-de-la-seleccion-colombia-y-nestor-lorenzo-columna-de-antonio-casale/</t>
        </is>
      </c>
    </row>
    <row r="411">
      <c r="A411" s="62" t="inlineStr">
        <is>
          <t>ART_348</t>
        </is>
      </c>
      <c r="B411" s="62" t="inlineStr">
        <is>
          <t>ART_348_S05</t>
        </is>
      </c>
      <c r="C411" s="62" t="inlineStr">
        <is>
          <t>El Espectador</t>
        </is>
      </c>
      <c r="D411" s="62" t="inlineStr">
        <is>
          <t>Deportes</t>
        </is>
      </c>
      <c r="E411" s="62" t="inlineStr">
        <is>
          <t>Opinión-análisis</t>
        </is>
      </c>
      <c r="F411" s="62" t="inlineStr">
        <is>
          <t>2026-07-13T07:00:00-05:00</t>
        </is>
      </c>
      <c r="G411" s="62" t="inlineStr">
        <is>
          <t>El balance es positivo.</t>
        </is>
      </c>
      <c r="H411" s="62"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I411" s="62" t="inlineStr">
        <is>
          <t>Colombia disputó una final de Copa América y alcanzó los octavos de final del Mundial, en el que recibió apenas un gol y anotó cinco.</t>
        </is>
      </c>
      <c r="J411" s="62" t="n"/>
      <c r="K411" s="62" t="n"/>
      <c r="L411" s="62" t="n"/>
      <c r="M411" s="62" t="n"/>
      <c r="N411" s="62" t="n"/>
      <c r="O411" s="62" t="n"/>
      <c r="P411" s="62" t="n"/>
      <c r="Q411" s="62" t="n"/>
      <c r="R411" s="62" t="n"/>
      <c r="S411" s="62" t="n"/>
      <c r="T411" s="62" t="n"/>
      <c r="U411" s="62" t="n"/>
      <c r="V411" s="62" t="n"/>
      <c r="W411" s="62" t="n"/>
      <c r="X411" s="62" t="n"/>
      <c r="Y411" s="62" t="n"/>
      <c r="Z411" s="62" t="n"/>
      <c r="AA411" s="62" t="n"/>
      <c r="AB411" s="62" t="n"/>
      <c r="AC411" s="62" t="n"/>
      <c r="AD411" s="62" t="n"/>
      <c r="AE411" s="62" t="n"/>
      <c r="AF411" s="61">
        <f>IF(COUNTIF($B$5:B411,B411)=1,1,0)</f>
        <v/>
      </c>
      <c r="AG411" s="62" t="inlineStr">
        <is>
          <t>https://www.elespectador.com/opinion/columnistas/antonio-casale/la-tentacion-de-destruir-el-futuro-de-la-seleccion-colombia-y-nestor-lorenzo-columna-de-antonio-casale/</t>
        </is>
      </c>
    </row>
    <row r="412">
      <c r="A412" s="62" t="inlineStr">
        <is>
          <t>ART_348</t>
        </is>
      </c>
      <c r="B412" s="62" t="inlineStr">
        <is>
          <t>ART_348_S06</t>
        </is>
      </c>
      <c r="C412" s="62" t="inlineStr">
        <is>
          <t>El Espectador</t>
        </is>
      </c>
      <c r="D412" s="62" t="inlineStr">
        <is>
          <t>Deportes</t>
        </is>
      </c>
      <c r="E412" s="62" t="inlineStr">
        <is>
          <t>Opinión-análisis</t>
        </is>
      </c>
      <c r="F412" s="62" t="inlineStr">
        <is>
          <t>2026-07-13T07:00:00-05:00</t>
        </is>
      </c>
      <c r="G412" s="62" t="inlineStr">
        <is>
          <t>Colombia disputó una final de Copa América y alcanzó los octavos de final del Mundial, en el que recibió apenas un gol y anotó cinco.</t>
        </is>
      </c>
      <c r="H412" s="62" t="inlineStr">
        <is>
          <t>El balance es positivo.</t>
        </is>
      </c>
      <c r="I412" s="62" t="inlineStr">
        <is>
          <t>Sí, hay aspectos por corregir, como los hay en cualquier selección que aspire a competir con las mejores del planeta.</t>
        </is>
      </c>
      <c r="J412" s="62" t="n"/>
      <c r="K412" s="62" t="n"/>
      <c r="L412" s="62" t="n"/>
      <c r="M412" s="62" t="n"/>
      <c r="N412" s="62" t="n"/>
      <c r="O412" s="62" t="n"/>
      <c r="P412" s="62" t="n"/>
      <c r="Q412" s="62" t="n"/>
      <c r="R412" s="62" t="n"/>
      <c r="S412" s="62" t="n"/>
      <c r="T412" s="62" t="n"/>
      <c r="U412" s="62" t="n"/>
      <c r="V412" s="62" t="n"/>
      <c r="W412" s="62" t="n"/>
      <c r="X412" s="62" t="n"/>
      <c r="Y412" s="62" t="n"/>
      <c r="Z412" s="62" t="n"/>
      <c r="AA412" s="62" t="n"/>
      <c r="AB412" s="62" t="n"/>
      <c r="AC412" s="62" t="n"/>
      <c r="AD412" s="62" t="n"/>
      <c r="AE412" s="62" t="n"/>
      <c r="AF412" s="61">
        <f>IF(COUNTIF($B$5:B412,B412)=1,1,0)</f>
        <v/>
      </c>
      <c r="AG412" s="62" t="inlineStr">
        <is>
          <t>https://www.elespectador.com/opinion/columnistas/antonio-casale/la-tentacion-de-destruir-el-futuro-de-la-seleccion-colombia-y-nestor-lorenzo-columna-de-antonio-casale/</t>
        </is>
      </c>
    </row>
    <row r="413">
      <c r="A413" s="62" t="inlineStr">
        <is>
          <t>ART_348</t>
        </is>
      </c>
      <c r="B413" s="62" t="inlineStr">
        <is>
          <t>ART_348_S07</t>
        </is>
      </c>
      <c r="C413" s="62" t="inlineStr">
        <is>
          <t>El Espectador</t>
        </is>
      </c>
      <c r="D413" s="62" t="inlineStr">
        <is>
          <t>Deportes</t>
        </is>
      </c>
      <c r="E413" s="62" t="inlineStr">
        <is>
          <t>Opinión-análisis</t>
        </is>
      </c>
      <c r="F413" s="62" t="inlineStr">
        <is>
          <t>2026-07-13T07:00:00-05:00</t>
        </is>
      </c>
      <c r="G413" s="62" t="inlineStr">
        <is>
          <t>Sí, hay aspectos por corregir, como los hay en cualquier selección que aspire a competir con las mejores del planeta.</t>
        </is>
      </c>
      <c r="H413" s="62" t="inlineStr">
        <is>
          <t>Colombia disputó una final de Copa América y alcanzó los octavos de final del Mundial, en el que recibió apenas un gol y anotó cinco.</t>
        </is>
      </c>
      <c r="I413" s="62" t="inlineStr">
        <is>
          <t>Pero reducir todo el proceso a la eliminación sería desconocer el contexto y el camino recorrido.</t>
        </is>
      </c>
      <c r="J413" s="62" t="n"/>
      <c r="K413" s="62" t="n"/>
      <c r="L413" s="62" t="n"/>
      <c r="M413" s="62" t="n"/>
      <c r="N413" s="62" t="n"/>
      <c r="O413" s="62" t="n"/>
      <c r="P413" s="62" t="n"/>
      <c r="Q413" s="62" t="n"/>
      <c r="R413" s="62" t="n"/>
      <c r="S413" s="62" t="n"/>
      <c r="T413" s="62" t="n"/>
      <c r="U413" s="62" t="n"/>
      <c r="V413" s="62" t="n"/>
      <c r="W413" s="62" t="n"/>
      <c r="X413" s="62" t="n"/>
      <c r="Y413" s="62" t="n"/>
      <c r="Z413" s="62" t="n"/>
      <c r="AA413" s="62" t="n"/>
      <c r="AB413" s="62" t="n"/>
      <c r="AC413" s="62" t="n"/>
      <c r="AD413" s="62" t="n"/>
      <c r="AE413" s="62" t="n"/>
      <c r="AF413" s="61">
        <f>IF(COUNTIF($B$5:B413,B413)=1,1,0)</f>
        <v/>
      </c>
      <c r="AG413" s="62" t="inlineStr">
        <is>
          <t>https://www.elespectador.com/opinion/columnistas/antonio-casale/la-tentacion-de-destruir-el-futuro-de-la-seleccion-colombia-y-nestor-lorenzo-columna-de-antonio-casale/</t>
        </is>
      </c>
    </row>
    <row r="414">
      <c r="A414" s="62" t="inlineStr">
        <is>
          <t>ART_348</t>
        </is>
      </c>
      <c r="B414" s="62" t="inlineStr">
        <is>
          <t>ART_348_S08</t>
        </is>
      </c>
      <c r="C414" s="62" t="inlineStr">
        <is>
          <t>El Espectador</t>
        </is>
      </c>
      <c r="D414" s="62" t="inlineStr">
        <is>
          <t>Deportes</t>
        </is>
      </c>
      <c r="E414" s="62" t="inlineStr">
        <is>
          <t>Opinión-análisis</t>
        </is>
      </c>
      <c r="F414" s="62" t="inlineStr">
        <is>
          <t>2026-07-13T07:00:00-05:00</t>
        </is>
      </c>
      <c r="G414" s="62" t="inlineStr">
        <is>
          <t>Pero reducir todo el proceso a la eliminación sería desconocer el contexto y el camino recorrido.</t>
        </is>
      </c>
      <c r="H414" s="62" t="inlineStr">
        <is>
          <t>Sí, hay aspectos por corregir, como los hay en cualquier selección que aspire a competir con las mejores del planeta.</t>
        </is>
      </c>
      <c r="I414" s="62" t="inlineStr">
        <is>
          <t>Además, Lorenzo ha construido mucho más que un equipo competitivo.</t>
        </is>
      </c>
      <c r="J414" s="62" t="n"/>
      <c r="K414" s="62" t="n"/>
      <c r="L414" s="62" t="n"/>
      <c r="M414" s="62" t="n"/>
      <c r="N414" s="62" t="n"/>
      <c r="O414" s="62" t="n"/>
      <c r="P414" s="62" t="n"/>
      <c r="Q414" s="62" t="n"/>
      <c r="R414" s="62" t="n"/>
      <c r="S414" s="62" t="n"/>
      <c r="T414" s="62" t="n"/>
      <c r="U414" s="62" t="n"/>
      <c r="V414" s="62" t="n"/>
      <c r="W414" s="62" t="n"/>
      <c r="X414" s="62" t="n"/>
      <c r="Y414" s="62" t="n"/>
      <c r="Z414" s="62" t="n"/>
      <c r="AA414" s="62" t="n"/>
      <c r="AB414" s="62" t="n"/>
      <c r="AC414" s="62" t="n"/>
      <c r="AD414" s="62" t="n"/>
      <c r="AE414" s="62" t="n"/>
      <c r="AF414" s="61">
        <f>IF(COUNTIF($B$5:B414,B414)=1,1,0)</f>
        <v/>
      </c>
      <c r="AG414" s="62" t="inlineStr">
        <is>
          <t>https://www.elespectador.com/opinion/columnistas/antonio-casale/la-tentacion-de-destruir-el-futuro-de-la-seleccion-colombia-y-nestor-lorenzo-columna-de-antonio-casale/</t>
        </is>
      </c>
    </row>
    <row r="415">
      <c r="A415" s="62" t="inlineStr">
        <is>
          <t>ART_348</t>
        </is>
      </c>
      <c r="B415" s="62" t="inlineStr">
        <is>
          <t>ART_348_S09</t>
        </is>
      </c>
      <c r="C415" s="62" t="inlineStr">
        <is>
          <t>El Espectador</t>
        </is>
      </c>
      <c r="D415" s="62" t="inlineStr">
        <is>
          <t>Deportes</t>
        </is>
      </c>
      <c r="E415" s="62" t="inlineStr">
        <is>
          <t>Opinión-análisis</t>
        </is>
      </c>
      <c r="F415" s="62" t="inlineStr">
        <is>
          <t>2026-07-13T07:00:00-05:00</t>
        </is>
      </c>
      <c r="G415" s="62" t="inlineStr">
        <is>
          <t>Además, Lorenzo ha construido mucho más que un equipo competitivo.</t>
        </is>
      </c>
      <c r="H415" s="62" t="inlineStr">
        <is>
          <t>Pero reducir todo el proceso a la eliminación sería desconocer el contexto y el camino recorrido.</t>
        </is>
      </c>
      <c r="I415" s="62"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J415" s="62" t="n"/>
      <c r="K415" s="62" t="n"/>
      <c r="L415" s="62" t="n"/>
      <c r="M415" s="62" t="n"/>
      <c r="N415" s="62" t="n"/>
      <c r="O415" s="62" t="n"/>
      <c r="P415" s="62" t="n"/>
      <c r="Q415" s="62" t="n"/>
      <c r="R415" s="62" t="n"/>
      <c r="S415" s="62" t="n"/>
      <c r="T415" s="62" t="n"/>
      <c r="U415" s="62" t="n"/>
      <c r="V415" s="62" t="n"/>
      <c r="W415" s="62" t="n"/>
      <c r="X415" s="62" t="n"/>
      <c r="Y415" s="62" t="n"/>
      <c r="Z415" s="62" t="n"/>
      <c r="AA415" s="62" t="n"/>
      <c r="AB415" s="62" t="n"/>
      <c r="AC415" s="62" t="n"/>
      <c r="AD415" s="62" t="n"/>
      <c r="AE415" s="62" t="n"/>
      <c r="AF415" s="61">
        <f>IF(COUNTIF($B$5:B415,B415)=1,1,0)</f>
        <v/>
      </c>
      <c r="AG415" s="62" t="inlineStr">
        <is>
          <t>https://www.elespectador.com/opinion/columnistas/antonio-casale/la-tentacion-de-destruir-el-futuro-de-la-seleccion-colombia-y-nestor-lorenzo-columna-de-antonio-casale/</t>
        </is>
      </c>
    </row>
    <row r="416">
      <c r="A416" s="62" t="inlineStr">
        <is>
          <t>ART_348</t>
        </is>
      </c>
      <c r="B416" s="62" t="inlineStr">
        <is>
          <t>ART_348_S10</t>
        </is>
      </c>
      <c r="C416" s="62" t="inlineStr">
        <is>
          <t>El Espectador</t>
        </is>
      </c>
      <c r="D416" s="62" t="inlineStr">
        <is>
          <t>Deportes</t>
        </is>
      </c>
      <c r="E416" s="62" t="inlineStr">
        <is>
          <t>Opinión-análisis</t>
        </is>
      </c>
      <c r="F416" s="62" t="inlineStr">
        <is>
          <t>2026-07-13T07:00:00-05:00</t>
        </is>
      </c>
      <c r="G416" s="62"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H416" s="62" t="inlineStr">
        <is>
          <t>Además, Lorenzo ha construido mucho más que un equipo competitivo.</t>
        </is>
      </c>
      <c r="I416" s="62" t="inlineStr">
        <is>
          <t>No olvidemos tampoco la dimensión real de Colombia en el contexto internacional.</t>
        </is>
      </c>
      <c r="J416" s="62" t="n"/>
      <c r="K416" s="62" t="n"/>
      <c r="L416" s="62" t="n"/>
      <c r="M416" s="62" t="n"/>
      <c r="N416" s="62" t="n"/>
      <c r="O416" s="62" t="n"/>
      <c r="P416" s="62" t="n"/>
      <c r="Q416" s="62" t="n"/>
      <c r="R416" s="62" t="n"/>
      <c r="S416" s="62" t="n"/>
      <c r="T416" s="62" t="n"/>
      <c r="U416" s="62" t="n"/>
      <c r="V416" s="62" t="n"/>
      <c r="W416" s="62" t="n"/>
      <c r="X416" s="62" t="n"/>
      <c r="Y416" s="62" t="n"/>
      <c r="Z416" s="62" t="n"/>
      <c r="AA416" s="62" t="n"/>
      <c r="AB416" s="62" t="n"/>
      <c r="AC416" s="62" t="n"/>
      <c r="AD416" s="62" t="n"/>
      <c r="AE416" s="62" t="n"/>
      <c r="AF416" s="61">
        <f>IF(COUNTIF($B$5:B416,B416)=1,1,0)</f>
        <v/>
      </c>
      <c r="AG416" s="62" t="inlineStr">
        <is>
          <t>https://www.elespectador.com/opinion/columnistas/antonio-casale/la-tentacion-de-destruir-el-futuro-de-la-seleccion-colombia-y-nestor-lorenzo-columna-de-antonio-casale/</t>
        </is>
      </c>
    </row>
    <row r="417">
      <c r="A417" s="62" t="inlineStr">
        <is>
          <t>ART_348</t>
        </is>
      </c>
      <c r="B417" s="62" t="inlineStr">
        <is>
          <t>ART_348_S11</t>
        </is>
      </c>
      <c r="C417" s="62" t="inlineStr">
        <is>
          <t>El Espectador</t>
        </is>
      </c>
      <c r="D417" s="62" t="inlineStr">
        <is>
          <t>Deportes</t>
        </is>
      </c>
      <c r="E417" s="62" t="inlineStr">
        <is>
          <t>Opinión-análisis</t>
        </is>
      </c>
      <c r="F417" s="62" t="inlineStr">
        <is>
          <t>2026-07-13T07:00:00-05:00</t>
        </is>
      </c>
      <c r="G417" s="62" t="inlineStr">
        <is>
          <t>No olvidemos tampoco la dimensión real de Colombia en el contexto internacional.</t>
        </is>
      </c>
      <c r="H417" s="62"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I417" s="62" t="inlineStr">
        <is>
          <t>Hoy solamente diez selecciones aparecen por delante en el ranking FIFA y cerca de 180 están por detrás.</t>
        </is>
      </c>
      <c r="J417" s="62" t="n"/>
      <c r="K417" s="62" t="n"/>
      <c r="L417" s="62" t="n"/>
      <c r="M417" s="62" t="n"/>
      <c r="N417" s="62" t="n"/>
      <c r="O417" s="62" t="n"/>
      <c r="P417" s="62" t="n"/>
      <c r="Q417" s="62" t="n"/>
      <c r="R417" s="62" t="n"/>
      <c r="S417" s="62" t="n"/>
      <c r="T417" s="62" t="n"/>
      <c r="U417" s="62" t="n"/>
      <c r="V417" s="62" t="n"/>
      <c r="W417" s="62" t="n"/>
      <c r="X417" s="62" t="n"/>
      <c r="Y417" s="62" t="n"/>
      <c r="Z417" s="62" t="n"/>
      <c r="AA417" s="62" t="n"/>
      <c r="AB417" s="62" t="n"/>
      <c r="AC417" s="62" t="n"/>
      <c r="AD417" s="62" t="n"/>
      <c r="AE417" s="62" t="n"/>
      <c r="AF417" s="61">
        <f>IF(COUNTIF($B$5:B417,B417)=1,1,0)</f>
        <v/>
      </c>
      <c r="AG417" s="62" t="inlineStr">
        <is>
          <t>https://www.elespectador.com/opinion/columnistas/antonio-casale/la-tentacion-de-destruir-el-futuro-de-la-seleccion-colombia-y-nestor-lorenzo-columna-de-antonio-casale/</t>
        </is>
      </c>
    </row>
    <row r="418">
      <c r="A418" s="62" t="inlineStr">
        <is>
          <t>ART_348</t>
        </is>
      </c>
      <c r="B418" s="62" t="inlineStr">
        <is>
          <t>ART_348_S12</t>
        </is>
      </c>
      <c r="C418" s="62" t="inlineStr">
        <is>
          <t>El Espectador</t>
        </is>
      </c>
      <c r="D418" s="62" t="inlineStr">
        <is>
          <t>Deportes</t>
        </is>
      </c>
      <c r="E418" s="62" t="inlineStr">
        <is>
          <t>Opinión-análisis</t>
        </is>
      </c>
      <c r="F418" s="62" t="inlineStr">
        <is>
          <t>2026-07-13T07:00:00-05:00</t>
        </is>
      </c>
      <c r="G418" s="62" t="inlineStr">
        <is>
          <t>Hoy solamente diez selecciones aparecen por delante en el ranking FIFA y cerca de 180 están por detrás.</t>
        </is>
      </c>
      <c r="H418" s="62" t="inlineStr">
        <is>
          <t>No olvidemos tampoco la dimensión real de Colombia en el contexto internacional.</t>
        </is>
      </c>
      <c r="I418" s="62" t="inlineStr">
        <is>
          <t>Eso no significa conformismo; significa reconocer desde dónde competimos y valorar un proceso que nos mantiene entre los mejores del mundo mientras se busca dar el siguiente salto.</t>
        </is>
      </c>
      <c r="J418" s="62" t="n"/>
      <c r="K418" s="62" t="n"/>
      <c r="L418" s="62" t="n"/>
      <c r="M418" s="62" t="n"/>
      <c r="N418" s="62" t="n"/>
      <c r="O418" s="62" t="n"/>
      <c r="P418" s="62" t="n"/>
      <c r="Q418" s="62" t="n"/>
      <c r="R418" s="62" t="n"/>
      <c r="S418" s="62" t="n"/>
      <c r="T418" s="62" t="n"/>
      <c r="U418" s="62" t="n"/>
      <c r="V418" s="62" t="n"/>
      <c r="W418" s="62" t="n"/>
      <c r="X418" s="62" t="n"/>
      <c r="Y418" s="62" t="n"/>
      <c r="Z418" s="62" t="n"/>
      <c r="AA418" s="62" t="n"/>
      <c r="AB418" s="62" t="n"/>
      <c r="AC418" s="62" t="n"/>
      <c r="AD418" s="62" t="n"/>
      <c r="AE418" s="62" t="n"/>
      <c r="AF418" s="61">
        <f>IF(COUNTIF($B$5:B418,B418)=1,1,0)</f>
        <v/>
      </c>
      <c r="AG418" s="62" t="inlineStr">
        <is>
          <t>https://www.elespectador.com/opinion/columnistas/antonio-casale/la-tentacion-de-destruir-el-futuro-de-la-seleccion-colombia-y-nestor-lorenzo-columna-de-antonio-casale/</t>
        </is>
      </c>
    </row>
    <row r="419">
      <c r="A419" s="62" t="inlineStr">
        <is>
          <t>ART_348</t>
        </is>
      </c>
      <c r="B419" s="62" t="inlineStr">
        <is>
          <t>ART_348_S13</t>
        </is>
      </c>
      <c r="C419" s="62" t="inlineStr">
        <is>
          <t>El Espectador</t>
        </is>
      </c>
      <c r="D419" s="62" t="inlineStr">
        <is>
          <t>Deportes</t>
        </is>
      </c>
      <c r="E419" s="62" t="inlineStr">
        <is>
          <t>Opinión-análisis</t>
        </is>
      </c>
      <c r="F419" s="62" t="inlineStr">
        <is>
          <t>2026-07-13T07:00:00-05:00</t>
        </is>
      </c>
      <c r="G419" s="62" t="inlineStr">
        <is>
          <t>Eso no significa conformismo; significa reconocer desde dónde competimos y valorar un proceso que nos mantiene entre los mejores del mundo mientras se busca dar el siguiente salto.</t>
        </is>
      </c>
      <c r="H419" s="62" t="inlineStr">
        <is>
          <t>Hoy solamente diez selecciones aparecen por delante en el ranking FIFA y cerca de 180 están por detrás.</t>
        </is>
      </c>
      <c r="I419" s="62" t="inlineStr">
        <is>
          <t>La historia reciente también deja una enseñanza.</t>
        </is>
      </c>
      <c r="J419" s="62" t="n"/>
      <c r="K419" s="62" t="n"/>
      <c r="L419" s="62" t="n"/>
      <c r="M419" s="62" t="n"/>
      <c r="N419" s="62" t="n"/>
      <c r="O419" s="62" t="n"/>
      <c r="P419" s="62" t="n"/>
      <c r="Q419" s="62" t="n"/>
      <c r="R419" s="62" t="n"/>
      <c r="S419" s="62" t="n"/>
      <c r="T419" s="62" t="n"/>
      <c r="U419" s="62" t="n"/>
      <c r="V419" s="62" t="n"/>
      <c r="W419" s="62" t="n"/>
      <c r="X419" s="62" t="n"/>
      <c r="Y419" s="62" t="n"/>
      <c r="Z419" s="62" t="n"/>
      <c r="AA419" s="62" t="n"/>
      <c r="AB419" s="62" t="n"/>
      <c r="AC419" s="62" t="n"/>
      <c r="AD419" s="62" t="n"/>
      <c r="AE419" s="62" t="n"/>
      <c r="AF419" s="61">
        <f>IF(COUNTIF($B$5:B419,B419)=1,1,0)</f>
        <v/>
      </c>
      <c r="AG419" s="62" t="inlineStr">
        <is>
          <t>https://www.elespectador.com/opinion/columnistas/antonio-casale/la-tentacion-de-destruir-el-futuro-de-la-seleccion-colombia-y-nestor-lorenzo-columna-de-antonio-casale/</t>
        </is>
      </c>
    </row>
    <row r="420">
      <c r="A420" s="62" t="inlineStr">
        <is>
          <t>ART_348</t>
        </is>
      </c>
      <c r="B420" s="62" t="inlineStr">
        <is>
          <t>ART_348_S14</t>
        </is>
      </c>
      <c r="C420" s="62" t="inlineStr">
        <is>
          <t>El Espectador</t>
        </is>
      </c>
      <c r="D420" s="62" t="inlineStr">
        <is>
          <t>Deportes</t>
        </is>
      </c>
      <c r="E420" s="62" t="inlineStr">
        <is>
          <t>Opinión-análisis</t>
        </is>
      </c>
      <c r="F420" s="62" t="inlineStr">
        <is>
          <t>2026-07-13T07:00:00-05:00</t>
        </is>
      </c>
      <c r="G420" s="62" t="inlineStr">
        <is>
          <t>La historia reciente también deja una enseñanza.</t>
        </is>
      </c>
      <c r="H420" s="62" t="inlineStr">
        <is>
          <t>Eso no significa conformismo; significa reconocer desde dónde competimos y valorar un proceso que nos mantiene entre los mejores del mundo mientras se busca dar el siguiente salto.</t>
        </is>
      </c>
      <c r="I420" s="62" t="inlineStr">
        <is>
          <t>Cuando terminó el exitoso ciclo de Pekerman decidimos derribar todo lo construido para comenzar desde cero con Carlos Queiroz.</t>
        </is>
      </c>
      <c r="J420" s="62" t="n"/>
      <c r="K420" s="62" t="n"/>
      <c r="L420" s="62" t="n"/>
      <c r="M420" s="62" t="n"/>
      <c r="N420" s="62" t="n"/>
      <c r="O420" s="62" t="n"/>
      <c r="P420" s="62" t="n"/>
      <c r="Q420" s="62" t="n"/>
      <c r="R420" s="62" t="n"/>
      <c r="S420" s="62" t="n"/>
      <c r="T420" s="62" t="n"/>
      <c r="U420" s="62" t="n"/>
      <c r="V420" s="62" t="n"/>
      <c r="W420" s="62" t="n"/>
      <c r="X420" s="62" t="n"/>
      <c r="Y420" s="62" t="n"/>
      <c r="Z420" s="62" t="n"/>
      <c r="AA420" s="62" t="n"/>
      <c r="AB420" s="62" t="n"/>
      <c r="AC420" s="62" t="n"/>
      <c r="AD420" s="62" t="n"/>
      <c r="AE420" s="62" t="n"/>
      <c r="AF420" s="61">
        <f>IF(COUNTIF($B$5:B420,B420)=1,1,0)</f>
        <v/>
      </c>
      <c r="AG420" s="62" t="inlineStr">
        <is>
          <t>https://www.elespectador.com/opinion/columnistas/antonio-casale/la-tentacion-de-destruir-el-futuro-de-la-seleccion-colombia-y-nestor-lorenzo-columna-de-antonio-casale/</t>
        </is>
      </c>
    </row>
    <row r="421">
      <c r="A421" s="62" t="inlineStr">
        <is>
          <t>ART_348</t>
        </is>
      </c>
      <c r="B421" s="62" t="inlineStr">
        <is>
          <t>ART_348_S15</t>
        </is>
      </c>
      <c r="C421" s="62" t="inlineStr">
        <is>
          <t>El Espectador</t>
        </is>
      </c>
      <c r="D421" s="62" t="inlineStr">
        <is>
          <t>Deportes</t>
        </is>
      </c>
      <c r="E421" s="62" t="inlineStr">
        <is>
          <t>Opinión-análisis</t>
        </is>
      </c>
      <c r="F421" s="62" t="inlineStr">
        <is>
          <t>2026-07-13T07:00:00-05:00</t>
        </is>
      </c>
      <c r="G421" s="62" t="inlineStr">
        <is>
          <t>Cuando terminó el exitoso ciclo de Pekerman decidimos derribar todo lo construido para comenzar desde cero con Carlos Queiroz.</t>
        </is>
      </c>
      <c r="H421" s="62" t="inlineStr">
        <is>
          <t>La historia reciente también deja una enseñanza.</t>
        </is>
      </c>
      <c r="I421" s="62" t="inlineStr">
        <is>
          <t>Aquella ruptura nos hizo perder tiempo, identidad y competitividad.</t>
        </is>
      </c>
      <c r="J421" s="62" t="n"/>
      <c r="K421" s="62" t="n"/>
      <c r="L421" s="62" t="n"/>
      <c r="M421" s="62" t="n"/>
      <c r="N421" s="62" t="n"/>
      <c r="O421" s="62" t="n"/>
      <c r="P421" s="62" t="n"/>
      <c r="Q421" s="62" t="n"/>
      <c r="R421" s="62" t="n"/>
      <c r="S421" s="62" t="n"/>
      <c r="T421" s="62" t="n"/>
      <c r="U421" s="62" t="n"/>
      <c r="V421" s="62" t="n"/>
      <c r="W421" s="62" t="n"/>
      <c r="X421" s="62" t="n"/>
      <c r="Y421" s="62" t="n"/>
      <c r="Z421" s="62" t="n"/>
      <c r="AA421" s="62" t="n"/>
      <c r="AB421" s="62" t="n"/>
      <c r="AC421" s="62" t="n"/>
      <c r="AD421" s="62" t="n"/>
      <c r="AE421" s="62" t="n"/>
      <c r="AF421" s="61">
        <f>IF(COUNTIF($B$5:B421,B421)=1,1,0)</f>
        <v/>
      </c>
      <c r="AG421" s="62" t="inlineStr">
        <is>
          <t>https://www.elespectador.com/opinion/columnistas/antonio-casale/la-tentacion-de-destruir-el-futuro-de-la-seleccion-colombia-y-nestor-lorenzo-columna-de-antonio-casale/</t>
        </is>
      </c>
    </row>
    <row r="422">
      <c r="A422" s="62" t="inlineStr">
        <is>
          <t>ART_348</t>
        </is>
      </c>
      <c r="B422" s="62" t="inlineStr">
        <is>
          <t>ART_348_S16</t>
        </is>
      </c>
      <c r="C422" s="62" t="inlineStr">
        <is>
          <t>El Espectador</t>
        </is>
      </c>
      <c r="D422" s="62" t="inlineStr">
        <is>
          <t>Deportes</t>
        </is>
      </c>
      <c r="E422" s="62" t="inlineStr">
        <is>
          <t>Opinión-análisis</t>
        </is>
      </c>
      <c r="F422" s="62" t="inlineStr">
        <is>
          <t>2026-07-13T07:00:00-05:00</t>
        </is>
      </c>
      <c r="G422" s="62" t="inlineStr">
        <is>
          <t>Aquella ruptura nos hizo perder tiempo, identidad y competitividad.</t>
        </is>
      </c>
      <c r="H422" s="62" t="inlineStr">
        <is>
          <t>Cuando terminó el exitoso ciclo de Pekerman decidimos derribar todo lo construido para comenzar desde cero con Carlos Queiroz.</t>
        </is>
      </c>
      <c r="I422" s="62" t="n"/>
      <c r="J422" s="62" t="n"/>
      <c r="K422" s="62" t="n"/>
      <c r="L422" s="62" t="n"/>
      <c r="M422" s="62" t="n"/>
      <c r="N422" s="62" t="n"/>
      <c r="O422" s="62" t="n"/>
      <c r="P422" s="62" t="n"/>
      <c r="Q422" s="62" t="n"/>
      <c r="R422" s="62" t="n"/>
      <c r="S422" s="62" t="n"/>
      <c r="T422" s="62" t="n"/>
      <c r="U422" s="62" t="n"/>
      <c r="V422" s="62" t="n"/>
      <c r="W422" s="62" t="n"/>
      <c r="X422" s="62" t="n"/>
      <c r="Y422" s="62" t="n"/>
      <c r="Z422" s="62" t="n"/>
      <c r="AA422" s="62" t="n"/>
      <c r="AB422" s="62" t="n"/>
      <c r="AC422" s="62" t="n"/>
      <c r="AD422" s="62" t="n"/>
      <c r="AE422" s="62" t="n"/>
      <c r="AF422" s="61">
        <f>IF(COUNTIF($B$5:B422,B422)=1,1,0)</f>
        <v/>
      </c>
      <c r="AG422" s="62" t="inlineStr">
        <is>
          <t>https://www.elespectador.com/opinion/columnistas/antonio-casale/la-tentacion-de-destruir-el-futuro-de-la-seleccion-colombia-y-nestor-lorenzo-columna-de-antonio-casale/</t>
        </is>
      </c>
    </row>
    <row r="423">
      <c r="A423" s="62" t="inlineStr">
        <is>
          <t>ART_354</t>
        </is>
      </c>
      <c r="B423" s="62" t="inlineStr">
        <is>
          <t>ART_354_S01</t>
        </is>
      </c>
      <c r="C423" s="62" t="inlineStr">
        <is>
          <t>Semana</t>
        </is>
      </c>
      <c r="D423" s="62" t="inlineStr">
        <is>
          <t>Deportes</t>
        </is>
      </c>
      <c r="E423" s="62" t="inlineStr">
        <is>
          <t>Noticia dura</t>
        </is>
      </c>
      <c r="F423" s="62" t="inlineStr">
        <is>
          <t>2025-06-05T09:29:08-05:00</t>
        </is>
      </c>
      <c r="G423" s="62" t="inlineStr">
        <is>
          <t>Más complicado de lo pensado ha sido la configuración de la nómina de la Selección Colombia para las dos fechas venideras de las Eliminatorias al Mundial 2026.</t>
        </is>
      </c>
      <c r="H423" s="62" t="n"/>
      <c r="I423" s="62" t="inlineStr">
        <is>
          <t>Al final, el entrenador nacional, Néstor Lorenzo, tuvo que cambiar más de dos veces los nombres de los citados tras las bajas de Jhon Córdoba, Rafael Santos Borré y Juan Fernando Quintero.</t>
        </is>
      </c>
      <c r="J423" s="62" t="n"/>
      <c r="K423" s="62" t="n"/>
      <c r="L423" s="62" t="n"/>
      <c r="M423" s="62" t="n"/>
      <c r="N423" s="62" t="n"/>
      <c r="O423" s="62" t="n"/>
      <c r="P423" s="62" t="n"/>
      <c r="Q423" s="62" t="n"/>
      <c r="R423" s="62" t="n"/>
      <c r="S423" s="62" t="n"/>
      <c r="T423" s="62" t="n"/>
      <c r="U423" s="62" t="n"/>
      <c r="V423" s="62" t="n"/>
      <c r="W423" s="62" t="n"/>
      <c r="X423" s="62" t="n"/>
      <c r="Y423" s="62" t="n"/>
      <c r="Z423" s="62" t="n"/>
      <c r="AA423" s="62" t="n"/>
      <c r="AB423" s="62" t="n"/>
      <c r="AC423" s="62" t="n"/>
      <c r="AD423" s="62" t="n"/>
      <c r="AE423" s="62" t="n"/>
      <c r="AF423" s="61">
        <f>IF(COUNTIF($B$5:B423,B423)=1,1,0)</f>
        <v/>
      </c>
      <c r="AG423" s="62" t="inlineStr">
        <is>
          <t>https://www.semana.com/deportes/articulo/nestor-lorenzo-no-aguanta-criticas-y-contesto-por-convocatoria-de-colombia-se-quejan/202549/</t>
        </is>
      </c>
    </row>
    <row r="424">
      <c r="A424" s="62" t="inlineStr">
        <is>
          <t>ART_354</t>
        </is>
      </c>
      <c r="B424" s="62" t="inlineStr">
        <is>
          <t>ART_354_S02</t>
        </is>
      </c>
      <c r="C424" s="62" t="inlineStr">
        <is>
          <t>Semana</t>
        </is>
      </c>
      <c r="D424" s="62" t="inlineStr">
        <is>
          <t>Deportes</t>
        </is>
      </c>
      <c r="E424" s="62" t="inlineStr">
        <is>
          <t>Noticia dura</t>
        </is>
      </c>
      <c r="F424" s="62" t="inlineStr">
        <is>
          <t>2025-06-05T09:29:08-05:00</t>
        </is>
      </c>
      <c r="G424" s="62" t="inlineStr">
        <is>
          <t>Al final, el entrenador nacional, Néstor Lorenzo, tuvo que cambiar más de dos veces los nombres de los citados tras las bajas de Jhon Córdoba, Rafael Santos Borré y Juan Fernando Quintero.</t>
        </is>
      </c>
      <c r="H424" s="62" t="inlineStr">
        <is>
          <t>Más complicado de lo pensado ha sido la configuración de la nómina de la Selección Colombia para las dos fechas venideras de las Eliminatorias al Mundial 2026.</t>
        </is>
      </c>
      <c r="I424" s="62" t="inlineStr">
        <is>
          <t>Quien entró a ser el delantero centro que reemplazó a los dos antes mencionados fue el del Almería de España, Luis Suárez.</t>
        </is>
      </c>
      <c r="J424" s="62" t="n"/>
      <c r="K424" s="62" t="n"/>
      <c r="L424" s="62" t="n"/>
      <c r="M424" s="62" t="n"/>
      <c r="N424" s="62" t="n"/>
      <c r="O424" s="62" t="n"/>
      <c r="P424" s="62" t="n"/>
      <c r="Q424" s="62" t="n"/>
      <c r="R424" s="62" t="n"/>
      <c r="S424" s="62" t="n"/>
      <c r="T424" s="62" t="n"/>
      <c r="U424" s="62" t="n"/>
      <c r="V424" s="62" t="n"/>
      <c r="W424" s="62" t="n"/>
      <c r="X424" s="62" t="n"/>
      <c r="Y424" s="62" t="n"/>
      <c r="Z424" s="62" t="n"/>
      <c r="AA424" s="62" t="n"/>
      <c r="AB424" s="62" t="n"/>
      <c r="AC424" s="62" t="n"/>
      <c r="AD424" s="62" t="n"/>
      <c r="AE424" s="62" t="n"/>
      <c r="AF424" s="61">
        <f>IF(COUNTIF($B$5:B424,B424)=1,1,0)</f>
        <v/>
      </c>
      <c r="AG424" s="62" t="inlineStr">
        <is>
          <t>https://www.semana.com/deportes/articulo/nestor-lorenzo-no-aguanta-criticas-y-contesto-por-convocatoria-de-colombia-se-quejan/202549/</t>
        </is>
      </c>
    </row>
    <row r="425">
      <c r="A425" s="62" t="inlineStr">
        <is>
          <t>ART_354</t>
        </is>
      </c>
      <c r="B425" s="62" t="inlineStr">
        <is>
          <t>ART_354_S03</t>
        </is>
      </c>
      <c r="C425" s="62" t="inlineStr">
        <is>
          <t>Semana</t>
        </is>
      </c>
      <c r="D425" s="62" t="inlineStr">
        <is>
          <t>Deportes</t>
        </is>
      </c>
      <c r="E425" s="62" t="inlineStr">
        <is>
          <t>Noticia dura</t>
        </is>
      </c>
      <c r="F425" s="62" t="inlineStr">
        <is>
          <t>2025-06-05T09:29:08-05:00</t>
        </is>
      </c>
      <c r="G425" s="62" t="inlineStr">
        <is>
          <t>Quien entró a ser el delantero centro que reemplazó a los dos antes mencionados fue el del Almería de España, Luis Suárez.</t>
        </is>
      </c>
      <c r="H425" s="62" t="inlineStr">
        <is>
          <t>Al final, el entrenador nacional, Néstor Lorenzo, tuvo que cambiar más de dos veces los nombres de los citados tras las bajas de Jhon Córdoba, Rafael Santos Borré y Juan Fernando Quintero.</t>
        </is>
      </c>
      <c r="I425" s="62" t="inlineStr">
        <is>
          <t>Sobre el infortunio que fue perder a habituales llamados a su proceso, en la rueda de prensa oficial previa al duelo con Perú el entrenador contestó: “Suele ocurrir.</t>
        </is>
      </c>
      <c r="J425" s="62" t="n"/>
      <c r="K425" s="62" t="n"/>
      <c r="L425" s="62" t="n"/>
      <c r="M425" s="62" t="n"/>
      <c r="N425" s="62" t="n"/>
      <c r="O425" s="62" t="n"/>
      <c r="P425" s="62" t="n"/>
      <c r="Q425" s="62" t="n"/>
      <c r="R425" s="62" t="n"/>
      <c r="S425" s="62" t="n"/>
      <c r="T425" s="62" t="n"/>
      <c r="U425" s="62" t="n"/>
      <c r="V425" s="62" t="n"/>
      <c r="W425" s="62" t="n"/>
      <c r="X425" s="62" t="n"/>
      <c r="Y425" s="62" t="n"/>
      <c r="Z425" s="62" t="n"/>
      <c r="AA425" s="62" t="n"/>
      <c r="AB425" s="62" t="n"/>
      <c r="AC425" s="62" t="n"/>
      <c r="AD425" s="62" t="n"/>
      <c r="AE425" s="62" t="n"/>
      <c r="AF425" s="61">
        <f>IF(COUNTIF($B$5:B425,B425)=1,1,0)</f>
        <v/>
      </c>
      <c r="AG425" s="62" t="inlineStr">
        <is>
          <t>https://www.semana.com/deportes/articulo/nestor-lorenzo-no-aguanta-criticas-y-contesto-por-convocatoria-de-colombia-se-quejan/202549/</t>
        </is>
      </c>
    </row>
    <row r="426">
      <c r="A426" s="62" t="inlineStr">
        <is>
          <t>ART_354</t>
        </is>
      </c>
      <c r="B426" s="62" t="inlineStr">
        <is>
          <t>ART_354_S04</t>
        </is>
      </c>
      <c r="C426" s="62" t="inlineStr">
        <is>
          <t>Semana</t>
        </is>
      </c>
      <c r="D426" s="62" t="inlineStr">
        <is>
          <t>Deportes</t>
        </is>
      </c>
      <c r="E426" s="62" t="inlineStr">
        <is>
          <t>Noticia dura</t>
        </is>
      </c>
      <c r="F426" s="62" t="inlineStr">
        <is>
          <t>2025-06-05T09:29:08-05:00</t>
        </is>
      </c>
      <c r="G426" s="62" t="inlineStr">
        <is>
          <t>Sobre el infortunio que fue perder a habituales llamados a su proceso, en la rueda de prensa oficial previa al duelo con Perú el entrenador contestó: “Suele ocurrir.</t>
        </is>
      </c>
      <c r="H426" s="62" t="inlineStr">
        <is>
          <t>Quien entró a ser el delantero centro que reemplazó a los dos antes mencionados fue el del Almería de España, Luis Suárez.</t>
        </is>
      </c>
      <c r="I426" s="62" t="inlineStr">
        <is>
          <t>Es final de temporada y es producto de la carga que tienen, sobre todo, los europeos”.</t>
        </is>
      </c>
      <c r="J426" s="62" t="n"/>
      <c r="K426" s="62" t="n"/>
      <c r="L426" s="62" t="n"/>
      <c r="M426" s="62" t="n"/>
      <c r="N426" s="62" t="n"/>
      <c r="O426" s="62" t="n"/>
      <c r="P426" s="62" t="n"/>
      <c r="Q426" s="62" t="n"/>
      <c r="R426" s="62" t="n"/>
      <c r="S426" s="62" t="n"/>
      <c r="T426" s="62" t="n"/>
      <c r="U426" s="62" t="n"/>
      <c r="V426" s="62" t="n"/>
      <c r="W426" s="62" t="n"/>
      <c r="X426" s="62" t="n"/>
      <c r="Y426" s="62" t="n"/>
      <c r="Z426" s="62" t="n"/>
      <c r="AA426" s="62" t="n"/>
      <c r="AB426" s="62" t="n"/>
      <c r="AC426" s="62" t="n"/>
      <c r="AD426" s="62" t="n"/>
      <c r="AE426" s="62" t="n"/>
      <c r="AF426" s="61">
        <f>IF(COUNTIF($B$5:B426,B426)=1,1,0)</f>
        <v/>
      </c>
      <c r="AG426" s="62" t="inlineStr">
        <is>
          <t>https://www.semana.com/deportes/articulo/nestor-lorenzo-no-aguanta-criticas-y-contesto-por-convocatoria-de-colombia-se-quejan/202549/</t>
        </is>
      </c>
    </row>
    <row r="427">
      <c r="A427" s="62" t="inlineStr">
        <is>
          <t>ART_354</t>
        </is>
      </c>
      <c r="B427" s="62" t="inlineStr">
        <is>
          <t>ART_354_S05</t>
        </is>
      </c>
      <c r="C427" s="62" t="inlineStr">
        <is>
          <t>Semana</t>
        </is>
      </c>
      <c r="D427" s="62" t="inlineStr">
        <is>
          <t>Deportes</t>
        </is>
      </c>
      <c r="E427" s="62" t="inlineStr">
        <is>
          <t>Noticia dura</t>
        </is>
      </c>
      <c r="F427" s="62" t="inlineStr">
        <is>
          <t>2025-06-05T09:29:08-05:00</t>
        </is>
      </c>
      <c r="G427" s="62" t="inlineStr">
        <is>
          <t>Es final de temporada y es producto de la carga que tienen, sobre todo, los europeos”.</t>
        </is>
      </c>
      <c r="H427" s="62" t="inlineStr">
        <is>
          <t>Sobre el infortunio que fue perder a habituales llamados a su proceso, en la rueda de prensa oficial previa al duelo con Perú el entrenador contestó: “Suele ocurrir.</t>
        </is>
      </c>
      <c r="I427" s="62" t="inlineStr">
        <is>
          <t>Después de eso, dio mirada a las críticas que cayeron sobre el llamado a última hora de Suárez, el cual no fue bien recibido por un sector del aficionado, pues se presionaba más era por la presencia de Dayro Moreno.</t>
        </is>
      </c>
      <c r="J427" s="62" t="n"/>
      <c r="K427" s="62" t="n"/>
      <c r="L427" s="62" t="n"/>
      <c r="M427" s="62" t="n"/>
      <c r="N427" s="62" t="n"/>
      <c r="O427" s="62" t="n"/>
      <c r="P427" s="62" t="n"/>
      <c r="Q427" s="62" t="n"/>
      <c r="R427" s="62" t="n"/>
      <c r="S427" s="62" t="n"/>
      <c r="T427" s="62" t="n"/>
      <c r="U427" s="62" t="n"/>
      <c r="V427" s="62" t="n"/>
      <c r="W427" s="62" t="n"/>
      <c r="X427" s="62" t="n"/>
      <c r="Y427" s="62" t="n"/>
      <c r="Z427" s="62" t="n"/>
      <c r="AA427" s="62" t="n"/>
      <c r="AB427" s="62" t="n"/>
      <c r="AC427" s="62" t="n"/>
      <c r="AD427" s="62" t="n"/>
      <c r="AE427" s="62" t="n"/>
      <c r="AF427" s="61">
        <f>IF(COUNTIF($B$5:B427,B427)=1,1,0)</f>
        <v/>
      </c>
      <c r="AG427" s="62" t="inlineStr">
        <is>
          <t>https://www.semana.com/deportes/articulo/nestor-lorenzo-no-aguanta-criticas-y-contesto-por-convocatoria-de-colombia-se-quejan/202549/</t>
        </is>
      </c>
    </row>
    <row r="428">
      <c r="A428" s="62" t="inlineStr">
        <is>
          <t>ART_354</t>
        </is>
      </c>
      <c r="B428" s="62" t="inlineStr">
        <is>
          <t>ART_354_S06</t>
        </is>
      </c>
      <c r="C428" s="62" t="inlineStr">
        <is>
          <t>Semana</t>
        </is>
      </c>
      <c r="D428" s="62" t="inlineStr">
        <is>
          <t>Deportes</t>
        </is>
      </c>
      <c r="E428" s="62" t="inlineStr">
        <is>
          <t>Noticia dura</t>
        </is>
      </c>
      <c r="F428" s="62" t="inlineStr">
        <is>
          <t>2025-06-05T09:29:08-05:00</t>
        </is>
      </c>
      <c r="G428" s="62" t="inlineStr">
        <is>
          <t>Después de eso, dio mirada a las críticas que cayeron sobre el llamado a última hora de Suárez, el cual no fue bien recibido por un sector del aficionado, pues se presionaba más era por la presencia de Dayro Moreno.</t>
        </is>
      </c>
      <c r="H428" s="62" t="inlineStr">
        <is>
          <t>Es final de temporada y es producto de la carga que tienen, sobre todo, los europeos”.</t>
        </is>
      </c>
      <c r="I428" s="62" t="inlineStr">
        <is>
          <t>“Cuando decimos que tenemos 50-55 bloqueados es lo que sucede.</t>
        </is>
      </c>
      <c r="J428" s="62" t="n"/>
      <c r="K428" s="62" t="n"/>
      <c r="L428" s="62" t="n"/>
      <c r="M428" s="62" t="n"/>
      <c r="N428" s="62" t="n"/>
      <c r="O428" s="62" t="n"/>
      <c r="P428" s="62" t="n"/>
      <c r="Q428" s="62" t="n"/>
      <c r="R428" s="62" t="n"/>
      <c r="S428" s="62" t="n"/>
      <c r="T428" s="62" t="n"/>
      <c r="U428" s="62" t="n"/>
      <c r="V428" s="62" t="n"/>
      <c r="W428" s="62" t="n"/>
      <c r="X428" s="62" t="n"/>
      <c r="Y428" s="62" t="n"/>
      <c r="Z428" s="62" t="n"/>
      <c r="AA428" s="62" t="n"/>
      <c r="AB428" s="62" t="n"/>
      <c r="AC428" s="62" t="n"/>
      <c r="AD428" s="62" t="n"/>
      <c r="AE428" s="62" t="n"/>
      <c r="AF428" s="61">
        <f>IF(COUNTIF($B$5:B428,B428)=1,1,0)</f>
        <v/>
      </c>
      <c r="AG428" s="62" t="inlineStr">
        <is>
          <t>https://www.semana.com/deportes/articulo/nestor-lorenzo-no-aguanta-criticas-y-contesto-por-convocatoria-de-colombia-se-quejan/202549/</t>
        </is>
      </c>
    </row>
    <row r="429">
      <c r="A429" s="62" t="inlineStr">
        <is>
          <t>ART_354</t>
        </is>
      </c>
      <c r="B429" s="62" t="inlineStr">
        <is>
          <t>ART_354_S07</t>
        </is>
      </c>
      <c r="C429" s="62" t="inlineStr">
        <is>
          <t>Semana</t>
        </is>
      </c>
      <c r="D429" s="62" t="inlineStr">
        <is>
          <t>Deportes</t>
        </is>
      </c>
      <c r="E429" s="62" t="inlineStr">
        <is>
          <t>Noticia dura</t>
        </is>
      </c>
      <c r="F429" s="62" t="inlineStr">
        <is>
          <t>2025-06-05T09:29:08-05:00</t>
        </is>
      </c>
      <c r="G429" s="62" t="inlineStr">
        <is>
          <t>“Cuando decimos que tenemos 50-55 bloqueados es lo que sucede.</t>
        </is>
      </c>
      <c r="H429" s="62" t="inlineStr">
        <is>
          <t>Después de eso, dio mirada a las críticas que cayeron sobre el llamado a última hora de Suárez, el cual no fue bien recibido por un sector del aficionado, pues se presionaba más era por la presencia de Dayro Moreno.</t>
        </is>
      </c>
      <c r="I429" s="62" t="inlineStr">
        <is>
          <t>A veces los clubes o los jugadores mismos se quejan de que se bloquean, pero no se traen, y ahora se traen y se quejan”, contestó a las críticas Lorenzo.</t>
        </is>
      </c>
      <c r="J429" s="62" t="n"/>
      <c r="K429" s="62" t="n"/>
      <c r="L429" s="62" t="n"/>
      <c r="M429" s="62" t="n"/>
      <c r="N429" s="62" t="n"/>
      <c r="O429" s="62" t="n"/>
      <c r="P429" s="62" t="n"/>
      <c r="Q429" s="62" t="n"/>
      <c r="R429" s="62" t="n"/>
      <c r="S429" s="62" t="n"/>
      <c r="T429" s="62" t="n"/>
      <c r="U429" s="62" t="n"/>
      <c r="V429" s="62" t="n"/>
      <c r="W429" s="62" t="n"/>
      <c r="X429" s="62" t="n"/>
      <c r="Y429" s="62" t="n"/>
      <c r="Z429" s="62" t="n"/>
      <c r="AA429" s="62" t="n"/>
      <c r="AB429" s="62" t="n"/>
      <c r="AC429" s="62" t="n"/>
      <c r="AD429" s="62" t="n"/>
      <c r="AE429" s="62" t="n"/>
      <c r="AF429" s="61">
        <f>IF(COUNTIF($B$5:B429,B429)=1,1,0)</f>
        <v/>
      </c>
      <c r="AG429" s="62" t="inlineStr">
        <is>
          <t>https://www.semana.com/deportes/articulo/nestor-lorenzo-no-aguanta-criticas-y-contesto-por-convocatoria-de-colombia-se-quejan/202549/</t>
        </is>
      </c>
    </row>
    <row r="430">
      <c r="A430" s="62" t="inlineStr">
        <is>
          <t>ART_354</t>
        </is>
      </c>
      <c r="B430" s="62" t="inlineStr">
        <is>
          <t>ART_354_S08</t>
        </is>
      </c>
      <c r="C430" s="62" t="inlineStr">
        <is>
          <t>Semana</t>
        </is>
      </c>
      <c r="D430" s="62" t="inlineStr">
        <is>
          <t>Deportes</t>
        </is>
      </c>
      <c r="E430" s="62" t="inlineStr">
        <is>
          <t>Noticia dura</t>
        </is>
      </c>
      <c r="F430" s="62" t="inlineStr">
        <is>
          <t>2025-06-05T09:29:08-05:00</t>
        </is>
      </c>
      <c r="G430" s="62" t="inlineStr">
        <is>
          <t>A veces los clubes o los jugadores mismos se quejan de que se bloquean, pero no se traen, y ahora se traen y se quejan”, contestó a las críticas Lorenzo.</t>
        </is>
      </c>
      <c r="H430" s="62" t="inlineStr">
        <is>
          <t>“Cuando decimos que tenemos 50-55 bloqueados es lo que sucede.</t>
        </is>
      </c>
      <c r="I430" s="62" t="inlineStr">
        <is>
          <t>Sobre el haber tenido que sumarlo al grupo de manera fugaz, no vio problema alguno a ello y lo defendió así.</t>
        </is>
      </c>
      <c r="J430" s="62" t="n"/>
      <c r="K430" s="62" t="n"/>
      <c r="L430" s="62" t="n"/>
      <c r="M430" s="62" t="n"/>
      <c r="N430" s="62" t="n"/>
      <c r="O430" s="62" t="n"/>
      <c r="P430" s="62" t="n"/>
      <c r="Q430" s="62" t="n"/>
      <c r="R430" s="62" t="n"/>
      <c r="S430" s="62" t="n"/>
      <c r="T430" s="62" t="n"/>
      <c r="U430" s="62" t="n"/>
      <c r="V430" s="62" t="n"/>
      <c r="W430" s="62" t="n"/>
      <c r="X430" s="62" t="n"/>
      <c r="Y430" s="62" t="n"/>
      <c r="Z430" s="62" t="n"/>
      <c r="AA430" s="62" t="n"/>
      <c r="AB430" s="62" t="n"/>
      <c r="AC430" s="62" t="n"/>
      <c r="AD430" s="62" t="n"/>
      <c r="AE430" s="62" t="n"/>
      <c r="AF430" s="61">
        <f>IF(COUNTIF($B$5:B430,B430)=1,1,0)</f>
        <v/>
      </c>
      <c r="AG430" s="62" t="inlineStr">
        <is>
          <t>https://www.semana.com/deportes/articulo/nestor-lorenzo-no-aguanta-criticas-y-contesto-por-convocatoria-de-colombia-se-quejan/202549/</t>
        </is>
      </c>
    </row>
    <row r="431">
      <c r="A431" s="62" t="inlineStr">
        <is>
          <t>ART_354</t>
        </is>
      </c>
      <c r="B431" s="62" t="inlineStr">
        <is>
          <t>ART_354_S09</t>
        </is>
      </c>
      <c r="C431" s="62" t="inlineStr">
        <is>
          <t>Semana</t>
        </is>
      </c>
      <c r="D431" s="62" t="inlineStr">
        <is>
          <t>Deportes</t>
        </is>
      </c>
      <c r="E431" s="62" t="inlineStr">
        <is>
          <t>Noticia dura</t>
        </is>
      </c>
      <c r="F431" s="62" t="inlineStr">
        <is>
          <t>2025-06-05T09:29:08-05:00</t>
        </is>
      </c>
      <c r="G431" s="62" t="inlineStr">
        <is>
          <t>Sobre el haber tenido que sumarlo al grupo de manera fugaz, no vio problema alguno a ello y lo defendió así.</t>
        </is>
      </c>
      <c r="H431" s="62" t="inlineStr">
        <is>
          <t>A veces los clubes o los jugadores mismos se quejan de que se bloquean, pero no se traen, y ahora se traen y se quejan”, contestó a las críticas Lorenzo.</t>
        </is>
      </c>
      <c r="I431" s="62" t="inlineStr">
        <is>
          <t>“El jugador está contento de haber venido.</t>
        </is>
      </c>
      <c r="J431" s="62" t="n"/>
      <c r="K431" s="62" t="n"/>
      <c r="L431" s="62" t="n"/>
      <c r="M431" s="62" t="n"/>
      <c r="N431" s="62" t="n"/>
      <c r="O431" s="62" t="n"/>
      <c r="P431" s="62" t="n"/>
      <c r="Q431" s="62" t="n"/>
      <c r="R431" s="62" t="n"/>
      <c r="S431" s="62" t="n"/>
      <c r="T431" s="62" t="n"/>
      <c r="U431" s="62" t="n"/>
      <c r="V431" s="62" t="n"/>
      <c r="W431" s="62" t="n"/>
      <c r="X431" s="62" t="n"/>
      <c r="Y431" s="62" t="n"/>
      <c r="Z431" s="62" t="n"/>
      <c r="AA431" s="62" t="n"/>
      <c r="AB431" s="62" t="n"/>
      <c r="AC431" s="62" t="n"/>
      <c r="AD431" s="62" t="n"/>
      <c r="AE431" s="62" t="n"/>
      <c r="AF431" s="61">
        <f>IF(COUNTIF($B$5:B431,B431)=1,1,0)</f>
        <v/>
      </c>
      <c r="AG431" s="62" t="inlineStr">
        <is>
          <t>https://www.semana.com/deportes/articulo/nestor-lorenzo-no-aguanta-criticas-y-contesto-por-convocatoria-de-colombia-se-quejan/202549/</t>
        </is>
      </c>
    </row>
    <row r="432">
      <c r="A432" s="62" t="inlineStr">
        <is>
          <t>ART_354</t>
        </is>
      </c>
      <c r="B432" s="62" t="inlineStr">
        <is>
          <t>ART_354_S10</t>
        </is>
      </c>
      <c r="C432" s="62" t="inlineStr">
        <is>
          <t>Semana</t>
        </is>
      </c>
      <c r="D432" s="62" t="inlineStr">
        <is>
          <t>Deportes</t>
        </is>
      </c>
      <c r="E432" s="62" t="inlineStr">
        <is>
          <t>Noticia dura</t>
        </is>
      </c>
      <c r="F432" s="62" t="inlineStr">
        <is>
          <t>2025-06-05T09:29:08-05:00</t>
        </is>
      </c>
      <c r="G432" s="62" t="inlineStr">
        <is>
          <t>“El jugador está contento de haber venido.</t>
        </is>
      </c>
      <c r="H432" s="62" t="inlineStr">
        <is>
          <t>Sobre el haber tenido que sumarlo al grupo de manera fugaz, no vio problema alguno a ello y lo defendió así.</t>
        </is>
      </c>
      <c r="I432" s="62" t="inlineStr">
        <is>
          <t>No estaba previsto, pero las cosas sucedieron y creemos es el indicado”.</t>
        </is>
      </c>
      <c r="J432" s="62" t="n"/>
      <c r="K432" s="62" t="n"/>
      <c r="L432" s="62" t="n"/>
      <c r="M432" s="62" t="n"/>
      <c r="N432" s="62" t="n"/>
      <c r="O432" s="62" t="n"/>
      <c r="P432" s="62" t="n"/>
      <c r="Q432" s="62" t="n"/>
      <c r="R432" s="62" t="n"/>
      <c r="S432" s="62" t="n"/>
      <c r="T432" s="62" t="n"/>
      <c r="U432" s="62" t="n"/>
      <c r="V432" s="62" t="n"/>
      <c r="W432" s="62" t="n"/>
      <c r="X432" s="62" t="n"/>
      <c r="Y432" s="62" t="n"/>
      <c r="Z432" s="62" t="n"/>
      <c r="AA432" s="62" t="n"/>
      <c r="AB432" s="62" t="n"/>
      <c r="AC432" s="62" t="n"/>
      <c r="AD432" s="62" t="n"/>
      <c r="AE432" s="62" t="n"/>
      <c r="AF432" s="61">
        <f>IF(COUNTIF($B$5:B432,B432)=1,1,0)</f>
        <v/>
      </c>
      <c r="AG432" s="62" t="inlineStr">
        <is>
          <t>https://www.semana.com/deportes/articulo/nestor-lorenzo-no-aguanta-criticas-y-contesto-por-convocatoria-de-colombia-se-quejan/202549/</t>
        </is>
      </c>
    </row>
    <row r="433">
      <c r="A433" s="62" t="inlineStr">
        <is>
          <t>ART_354</t>
        </is>
      </c>
      <c r="B433" s="62" t="inlineStr">
        <is>
          <t>ART_354_S11</t>
        </is>
      </c>
      <c r="C433" s="62" t="inlineStr">
        <is>
          <t>Semana</t>
        </is>
      </c>
      <c r="D433" s="62" t="inlineStr">
        <is>
          <t>Deportes</t>
        </is>
      </c>
      <c r="E433" s="62" t="inlineStr">
        <is>
          <t>Noticia dura</t>
        </is>
      </c>
      <c r="F433" s="62" t="inlineStr">
        <is>
          <t>2025-06-05T09:29:08-05:00</t>
        </is>
      </c>
      <c r="G433" s="62" t="inlineStr">
        <is>
          <t>No estaba previsto, pero las cosas sucedieron y creemos es el indicado”.</t>
        </is>
      </c>
      <c r="H433" s="62" t="inlineStr">
        <is>
          <t>“El jugador está contento de haber venido.</t>
        </is>
      </c>
      <c r="I433" s="62" t="inlineStr">
        <is>
          <t>De lo que ha sido un ambiente tenso en los meses previos al juego del viernes sumó: “No es que queramos que nos aplaudan siempre.</t>
        </is>
      </c>
      <c r="J433" s="62" t="n"/>
      <c r="K433" s="62" t="n"/>
      <c r="L433" s="62" t="n"/>
      <c r="M433" s="62" t="n"/>
      <c r="N433" s="62" t="n"/>
      <c r="O433" s="62" t="n"/>
      <c r="P433" s="62" t="n"/>
      <c r="Q433" s="62" t="n"/>
      <c r="R433" s="62" t="n"/>
      <c r="S433" s="62" t="n"/>
      <c r="T433" s="62" t="n"/>
      <c r="U433" s="62" t="n"/>
      <c r="V433" s="62" t="n"/>
      <c r="W433" s="62" t="n"/>
      <c r="X433" s="62" t="n"/>
      <c r="Y433" s="62" t="n"/>
      <c r="Z433" s="62" t="n"/>
      <c r="AA433" s="62" t="n"/>
      <c r="AB433" s="62" t="n"/>
      <c r="AC433" s="62" t="n"/>
      <c r="AD433" s="62" t="n"/>
      <c r="AE433" s="62" t="n"/>
      <c r="AF433" s="61">
        <f>IF(COUNTIF($B$5:B433,B433)=1,1,0)</f>
        <v/>
      </c>
      <c r="AG433" s="62" t="inlineStr">
        <is>
          <t>https://www.semana.com/deportes/articulo/nestor-lorenzo-no-aguanta-criticas-y-contesto-por-convocatoria-de-colombia-se-quejan/202549/</t>
        </is>
      </c>
    </row>
    <row r="434">
      <c r="A434" s="62" t="inlineStr">
        <is>
          <t>ART_354</t>
        </is>
      </c>
      <c r="B434" s="62" t="inlineStr">
        <is>
          <t>ART_354_S12</t>
        </is>
      </c>
      <c r="C434" s="62" t="inlineStr">
        <is>
          <t>Semana</t>
        </is>
      </c>
      <c r="D434" s="62" t="inlineStr">
        <is>
          <t>Deportes</t>
        </is>
      </c>
      <c r="E434" s="62" t="inlineStr">
        <is>
          <t>Noticia dura</t>
        </is>
      </c>
      <c r="F434" s="62" t="inlineStr">
        <is>
          <t>2025-06-05T09:29:08-05:00</t>
        </is>
      </c>
      <c r="G434" s="62" t="inlineStr">
        <is>
          <t>De lo que ha sido un ambiente tenso en los meses previos al juego del viernes sumó: “No es que queramos que nos aplaudan siempre.</t>
        </is>
      </c>
      <c r="H434" s="62" t="inlineStr">
        <is>
          <t>No estaba previsto, pero las cosas sucedieron y creemos es el indicado”.</t>
        </is>
      </c>
      <c r="I434" s="62" t="n"/>
      <c r="J434" s="62" t="n"/>
      <c r="K434" s="62" t="n"/>
      <c r="L434" s="62" t="n"/>
      <c r="M434" s="62" t="n"/>
      <c r="N434" s="62" t="n"/>
      <c r="O434" s="62" t="n"/>
      <c r="P434" s="62" t="n"/>
      <c r="Q434" s="62" t="n"/>
      <c r="R434" s="62" t="n"/>
      <c r="S434" s="62" t="n"/>
      <c r="T434" s="62" t="n"/>
      <c r="U434" s="62" t="n"/>
      <c r="V434" s="62" t="n"/>
      <c r="W434" s="62" t="n"/>
      <c r="X434" s="62" t="n"/>
      <c r="Y434" s="62" t="n"/>
      <c r="Z434" s="62" t="n"/>
      <c r="AA434" s="62" t="n"/>
      <c r="AB434" s="62" t="n"/>
      <c r="AC434" s="62" t="n"/>
      <c r="AD434" s="62" t="n"/>
      <c r="AE434" s="62" t="n"/>
      <c r="AF434" s="61">
        <f>IF(COUNTIF($B$5:B434,B434)=1,1,0)</f>
        <v/>
      </c>
      <c r="AG434" s="62" t="inlineStr">
        <is>
          <t>https://www.semana.com/deportes/articulo/nestor-lorenzo-no-aguanta-criticas-y-contesto-por-convocatoria-de-colombia-se-quejan/202549/</t>
        </is>
      </c>
    </row>
    <row r="435">
      <c r="A435" s="62" t="inlineStr">
        <is>
          <t>ART_355</t>
        </is>
      </c>
      <c r="B435" s="62" t="inlineStr">
        <is>
          <t>ART_355_S01</t>
        </is>
      </c>
      <c r="C435" s="62" t="inlineStr">
        <is>
          <t>Semana</t>
        </is>
      </c>
      <c r="D435" s="62" t="inlineStr">
        <is>
          <t>Deportes</t>
        </is>
      </c>
      <c r="E435" s="62" t="inlineStr">
        <is>
          <t>Noticia dura</t>
        </is>
      </c>
      <c r="F435" s="62" t="inlineStr">
        <is>
          <t>2026-05-25T12:55:54-05:00</t>
        </is>
      </c>
      <c r="G435" s="62" t="inlineStr">
        <is>
          <t>Sebastián Villa encontró cerradas las puertas de la Selección Colombia.</t>
        </is>
      </c>
      <c r="H435" s="62" t="n"/>
      <c r="I435" s="62" t="n"/>
      <c r="J435" s="62" t="n"/>
      <c r="K435" s="62" t="n"/>
      <c r="L435" s="62" t="n"/>
      <c r="M435" s="62" t="n"/>
      <c r="N435" s="62" t="n"/>
      <c r="O435" s="62" t="n"/>
      <c r="P435" s="62" t="n"/>
      <c r="Q435" s="62" t="n"/>
      <c r="R435" s="62" t="n"/>
      <c r="S435" s="62" t="n"/>
      <c r="T435" s="62" t="n"/>
      <c r="U435" s="62" t="n"/>
      <c r="V435" s="62" t="n"/>
      <c r="W435" s="62" t="n"/>
      <c r="X435" s="62" t="n"/>
      <c r="Y435" s="62" t="n"/>
      <c r="Z435" s="62" t="n"/>
      <c r="AA435" s="62" t="n"/>
      <c r="AB435" s="62" t="n"/>
      <c r="AC435" s="62" t="n"/>
      <c r="AD435" s="62" t="n"/>
      <c r="AE435" s="62" t="n"/>
      <c r="AF435" s="61">
        <f>IF(COUNTIF($B$5:B435,B435)=1,1,0)</f>
        <v/>
      </c>
      <c r="AG435" s="62" t="inlineStr">
        <is>
          <t>https://www.semana.com/deportes/articulo/asi-fue-el-portazo-de-la-seleccion-colombia-contra-sebastian-villa-escandalo-judicial-le-peso/202654/</t>
        </is>
      </c>
    </row>
    <row r="436">
      <c r="A436" s="62" t="inlineStr">
        <is>
          <t>ART_372</t>
        </is>
      </c>
      <c r="B436" s="62" t="inlineStr">
        <is>
          <t>ART_372_S01</t>
        </is>
      </c>
      <c r="C436" s="62" t="inlineStr">
        <is>
          <t>El Tiempo</t>
        </is>
      </c>
      <c r="D436" s="62" t="inlineStr">
        <is>
          <t>Medio ambiente</t>
        </is>
      </c>
      <c r="E436" s="62" t="inlineStr">
        <is>
          <t>Opinión-análisis</t>
        </is>
      </c>
      <c r="F436" s="62" t="inlineStr">
        <is>
          <t>2026-08-02T23:01:00-05:00</t>
        </is>
      </c>
      <c r="G436" s="62" t="inlineStr">
        <is>
          <t>Colombia inicia un nuevo ciclo político y hay decisiones que trascienden ideologías.</t>
        </is>
      </c>
      <c r="H436" s="62" t="n"/>
      <c r="I436" s="62" t="inlineStr">
        <is>
          <t>Una de ellas es la seguridad energética, frente en el que el país llega herido.</t>
        </is>
      </c>
      <c r="J436" s="62" t="n"/>
      <c r="K436" s="62" t="n"/>
      <c r="L436" s="62" t="n"/>
      <c r="M436" s="62" t="n"/>
      <c r="N436" s="62" t="n"/>
      <c r="O436" s="62" t="n"/>
      <c r="P436" s="62" t="n"/>
      <c r="Q436" s="62" t="n"/>
      <c r="R436" s="62" t="n"/>
      <c r="S436" s="62" t="n"/>
      <c r="T436" s="62" t="n"/>
      <c r="U436" s="62" t="n"/>
      <c r="V436" s="62" t="n"/>
      <c r="W436" s="62" t="n"/>
      <c r="X436" s="62" t="n"/>
      <c r="Y436" s="62" t="n"/>
      <c r="Z436" s="62" t="n"/>
      <c r="AA436" s="62" t="n"/>
      <c r="AB436" s="62" t="n"/>
      <c r="AC436" s="62" t="n"/>
      <c r="AD436" s="62" t="n"/>
      <c r="AE436" s="62" t="n"/>
      <c r="AF436" s="61">
        <f>IF(COUNTIF($B$5:B436,B436)=1,1,0)</f>
        <v/>
      </c>
      <c r="AG436" s="62" t="inlineStr">
        <is>
          <t>https://www.eltiempo.com/opinion/columnistas/fracking-ya-3575669</t>
        </is>
      </c>
    </row>
    <row r="437">
      <c r="A437" s="62" t="inlineStr">
        <is>
          <t>ART_372</t>
        </is>
      </c>
      <c r="B437" s="62" t="inlineStr">
        <is>
          <t>ART_372_S02</t>
        </is>
      </c>
      <c r="C437" s="62" t="inlineStr">
        <is>
          <t>El Tiempo</t>
        </is>
      </c>
      <c r="D437" s="62" t="inlineStr">
        <is>
          <t>Medio ambiente</t>
        </is>
      </c>
      <c r="E437" s="62" t="inlineStr">
        <is>
          <t>Opinión-análisis</t>
        </is>
      </c>
      <c r="F437" s="62" t="inlineStr">
        <is>
          <t>2026-08-02T23:01:00-05:00</t>
        </is>
      </c>
      <c r="G437" s="62" t="inlineStr">
        <is>
          <t>Una de ellas es la seguridad energética, frente en el que el país llega herido.</t>
        </is>
      </c>
      <c r="H437" s="62" t="inlineStr">
        <is>
          <t>Colombia inicia un nuevo ciclo político y hay decisiones que trascienden ideologías.</t>
        </is>
      </c>
      <c r="I437" s="62" t="inlineStr">
        <is>
          <t>Los números son inequívocos.</t>
        </is>
      </c>
      <c r="J437" s="62" t="n"/>
      <c r="K437" s="62" t="n"/>
      <c r="L437" s="62" t="n"/>
      <c r="M437" s="62" t="n"/>
      <c r="N437" s="62" t="n"/>
      <c r="O437" s="62" t="n"/>
      <c r="P437" s="62" t="n"/>
      <c r="Q437" s="62" t="n"/>
      <c r="R437" s="62" t="n"/>
      <c r="S437" s="62" t="n"/>
      <c r="T437" s="62" t="n"/>
      <c r="U437" s="62" t="n"/>
      <c r="V437" s="62" t="n"/>
      <c r="W437" s="62" t="n"/>
      <c r="X437" s="62" t="n"/>
      <c r="Y437" s="62" t="n"/>
      <c r="Z437" s="62" t="n"/>
      <c r="AA437" s="62" t="n"/>
      <c r="AB437" s="62" t="n"/>
      <c r="AC437" s="62" t="n"/>
      <c r="AD437" s="62" t="n"/>
      <c r="AE437" s="62" t="n"/>
      <c r="AF437" s="61">
        <f>IF(COUNTIF($B$5:B437,B437)=1,1,0)</f>
        <v/>
      </c>
      <c r="AG437" s="62" t="inlineStr">
        <is>
          <t>https://www.eltiempo.com/opinion/columnistas/fracking-ya-3575669</t>
        </is>
      </c>
    </row>
    <row r="438">
      <c r="A438" s="62" t="inlineStr">
        <is>
          <t>ART_372</t>
        </is>
      </c>
      <c r="B438" s="62" t="inlineStr">
        <is>
          <t>ART_372_S03</t>
        </is>
      </c>
      <c r="C438" s="62" t="inlineStr">
        <is>
          <t>El Tiempo</t>
        </is>
      </c>
      <c r="D438" s="62" t="inlineStr">
        <is>
          <t>Medio ambiente</t>
        </is>
      </c>
      <c r="E438" s="62" t="inlineStr">
        <is>
          <t>Opinión-análisis</t>
        </is>
      </c>
      <c r="F438" s="62" t="inlineStr">
        <is>
          <t>2026-08-02T23:01:00-05:00</t>
        </is>
      </c>
      <c r="G438" s="62" t="inlineStr">
        <is>
          <t>Los números son inequívocos.</t>
        </is>
      </c>
      <c r="H438" s="62" t="inlineStr">
        <is>
          <t>Una de ellas es la seguridad energética, frente en el que el país llega herido.</t>
        </is>
      </c>
      <c r="I438" s="62" t="inlineStr">
        <is>
          <t>En los últimos cuatro años las reservas probadas de gas natural cayeron cerca del 46 %, y la producción, más del 30 %, ya insuficientes para atender la demanda.</t>
        </is>
      </c>
      <c r="J438" s="62" t="n"/>
      <c r="K438" s="62" t="n"/>
      <c r="L438" s="62" t="n"/>
      <c r="M438" s="62" t="n"/>
      <c r="N438" s="62" t="n"/>
      <c r="O438" s="62" t="n"/>
      <c r="P438" s="62" t="n"/>
      <c r="Q438" s="62" t="n"/>
      <c r="R438" s="62" t="n"/>
      <c r="S438" s="62" t="n"/>
      <c r="T438" s="62" t="n"/>
      <c r="U438" s="62" t="n"/>
      <c r="V438" s="62" t="n"/>
      <c r="W438" s="62" t="n"/>
      <c r="X438" s="62" t="n"/>
      <c r="Y438" s="62" t="n"/>
      <c r="Z438" s="62" t="n"/>
      <c r="AA438" s="62" t="n"/>
      <c r="AB438" s="62" t="n"/>
      <c r="AC438" s="62" t="n"/>
      <c r="AD438" s="62" t="n"/>
      <c r="AE438" s="62" t="n"/>
      <c r="AF438" s="61">
        <f>IF(COUNTIF($B$5:B438,B438)=1,1,0)</f>
        <v/>
      </c>
      <c r="AG438" s="62" t="inlineStr">
        <is>
          <t>https://www.eltiempo.com/opinion/columnistas/fracking-ya-3575669</t>
        </is>
      </c>
    </row>
    <row r="439">
      <c r="A439" s="62" t="inlineStr">
        <is>
          <t>ART_372</t>
        </is>
      </c>
      <c r="B439" s="62" t="inlineStr">
        <is>
          <t>ART_372_S04</t>
        </is>
      </c>
      <c r="C439" s="62" t="inlineStr">
        <is>
          <t>El Tiempo</t>
        </is>
      </c>
      <c r="D439" s="62" t="inlineStr">
        <is>
          <t>Medio ambiente</t>
        </is>
      </c>
      <c r="E439" s="62" t="inlineStr">
        <is>
          <t>Opinión-análisis</t>
        </is>
      </c>
      <c r="F439" s="62" t="inlineStr">
        <is>
          <t>2026-08-02T23:01:00-05:00</t>
        </is>
      </c>
      <c r="G439" s="62" t="inlineStr">
        <is>
          <t>En los últimos cuatro años las reservas probadas de gas natural cayeron cerca del 46 %, y la producción, más del 30 %, ya insuficientes para atender la demanda.</t>
        </is>
      </c>
      <c r="H439" s="62" t="inlineStr">
        <is>
          <t>Los números son inequívocos.</t>
        </is>
      </c>
      <c r="I439" s="62" t="inlineStr">
        <is>
          <t>En petróleo, las reservas se mantienen alrededor de 2.000 millones de barriles, pero la producción bajó de 850.000 a menos de 750.000 barriles diarios.</t>
        </is>
      </c>
      <c r="J439" s="62" t="n"/>
      <c r="K439" s="62" t="n"/>
      <c r="L439" s="62" t="n"/>
      <c r="M439" s="62" t="n"/>
      <c r="N439" s="62" t="n"/>
      <c r="O439" s="62" t="n"/>
      <c r="P439" s="62" t="n"/>
      <c r="Q439" s="62" t="n"/>
      <c r="R439" s="62" t="n"/>
      <c r="S439" s="62" t="n"/>
      <c r="T439" s="62" t="n"/>
      <c r="U439" s="62" t="n"/>
      <c r="V439" s="62" t="n"/>
      <c r="W439" s="62" t="n"/>
      <c r="X439" s="62" t="n"/>
      <c r="Y439" s="62" t="n"/>
      <c r="Z439" s="62" t="n"/>
      <c r="AA439" s="62" t="n"/>
      <c r="AB439" s="62" t="n"/>
      <c r="AC439" s="62" t="n"/>
      <c r="AD439" s="62" t="n"/>
      <c r="AE439" s="62" t="n"/>
      <c r="AF439" s="61">
        <f>IF(COUNTIF($B$5:B439,B439)=1,1,0)</f>
        <v/>
      </c>
      <c r="AG439" s="62" t="inlineStr">
        <is>
          <t>https://www.eltiempo.com/opinion/columnistas/fracking-ya-3575669</t>
        </is>
      </c>
    </row>
    <row r="440">
      <c r="A440" s="62" t="inlineStr">
        <is>
          <t>ART_372</t>
        </is>
      </c>
      <c r="B440" s="62" t="inlineStr">
        <is>
          <t>ART_372_S05</t>
        </is>
      </c>
      <c r="C440" s="62" t="inlineStr">
        <is>
          <t>El Tiempo</t>
        </is>
      </c>
      <c r="D440" s="62" t="inlineStr">
        <is>
          <t>Medio ambiente</t>
        </is>
      </c>
      <c r="E440" s="62" t="inlineStr">
        <is>
          <t>Opinión-análisis</t>
        </is>
      </c>
      <c r="F440" s="62" t="inlineStr">
        <is>
          <t>2026-08-02T23:01:00-05:00</t>
        </is>
      </c>
      <c r="G440" s="62" t="inlineStr">
        <is>
          <t>En petróleo, las reservas se mantienen alrededor de 2.000 millones de barriles, pero la producción bajó de 850.000 a menos de 750.000 barriles diarios.</t>
        </is>
      </c>
      <c r="H440" s="62" t="inlineStr">
        <is>
          <t>En los últimos cuatro años las reservas probadas de gas natural cayeron cerca del 46 %, y la producción, más del 30 %, ya insuficientes para atender la demanda.</t>
        </is>
      </c>
      <c r="I440" s="62" t="inlineStr">
        <is>
          <t>Los nuevos descubrimientos aportan menos del 2 % de la incorporación anual de reservas por el colapso de la exploración.</t>
        </is>
      </c>
      <c r="J440" s="62" t="n"/>
      <c r="K440" s="62" t="n"/>
      <c r="L440" s="62" t="n"/>
      <c r="M440" s="62" t="n"/>
      <c r="N440" s="62" t="n"/>
      <c r="O440" s="62" t="n"/>
      <c r="P440" s="62" t="n"/>
      <c r="Q440" s="62" t="n"/>
      <c r="R440" s="62" t="n"/>
      <c r="S440" s="62" t="n"/>
      <c r="T440" s="62" t="n"/>
      <c r="U440" s="62" t="n"/>
      <c r="V440" s="62" t="n"/>
      <c r="W440" s="62" t="n"/>
      <c r="X440" s="62" t="n"/>
      <c r="Y440" s="62" t="n"/>
      <c r="Z440" s="62" t="n"/>
      <c r="AA440" s="62" t="n"/>
      <c r="AB440" s="62" t="n"/>
      <c r="AC440" s="62" t="n"/>
      <c r="AD440" s="62" t="n"/>
      <c r="AE440" s="62" t="n"/>
      <c r="AF440" s="61">
        <f>IF(COUNTIF($B$5:B440,B440)=1,1,0)</f>
        <v/>
      </c>
      <c r="AG440" s="62" t="inlineStr">
        <is>
          <t>https://www.eltiempo.com/opinion/columnistas/fracking-ya-3575669</t>
        </is>
      </c>
    </row>
    <row r="441">
      <c r="A441" s="62" t="inlineStr">
        <is>
          <t>ART_372</t>
        </is>
      </c>
      <c r="B441" s="62" t="inlineStr">
        <is>
          <t>ART_372_S06</t>
        </is>
      </c>
      <c r="C441" s="62" t="inlineStr">
        <is>
          <t>El Tiempo</t>
        </is>
      </c>
      <c r="D441" s="62" t="inlineStr">
        <is>
          <t>Medio ambiente</t>
        </is>
      </c>
      <c r="E441" s="62" t="inlineStr">
        <is>
          <t>Opinión-análisis</t>
        </is>
      </c>
      <c r="F441" s="62" t="inlineStr">
        <is>
          <t>2026-08-02T23:01:00-05:00</t>
        </is>
      </c>
      <c r="G441" s="62" t="inlineStr">
        <is>
          <t>Los nuevos descubrimientos aportan menos del 2 % de la incorporación anual de reservas por el colapso de la exploración.</t>
        </is>
      </c>
      <c r="H441" s="62" t="inlineStr">
        <is>
          <t>En petróleo, las reservas se mantienen alrededor de 2.000 millones de barriles, pero la producción bajó de 850.000 a menos de 750.000 barriles diarios.</t>
        </is>
      </c>
      <c r="I441" s="62" t="n"/>
      <c r="J441" s="62" t="n"/>
      <c r="K441" s="62" t="n"/>
      <c r="L441" s="62" t="n"/>
      <c r="M441" s="62" t="n"/>
      <c r="N441" s="62" t="n"/>
      <c r="O441" s="62" t="n"/>
      <c r="P441" s="62" t="n"/>
      <c r="Q441" s="62" t="n"/>
      <c r="R441" s="62" t="n"/>
      <c r="S441" s="62" t="n"/>
      <c r="T441" s="62" t="n"/>
      <c r="U441" s="62" t="n"/>
      <c r="V441" s="62" t="n"/>
      <c r="W441" s="62" t="n"/>
      <c r="X441" s="62" t="n"/>
      <c r="Y441" s="62" t="n"/>
      <c r="Z441" s="62" t="n"/>
      <c r="AA441" s="62" t="n"/>
      <c r="AB441" s="62" t="n"/>
      <c r="AC441" s="62" t="n"/>
      <c r="AD441" s="62" t="n"/>
      <c r="AE441" s="62" t="n"/>
      <c r="AF441" s="61">
        <f>IF(COUNTIF($B$5:B441,B441)=1,1,0)</f>
        <v/>
      </c>
      <c r="AG441" s="62" t="inlineStr">
        <is>
          <t>https://www.eltiempo.com/opinion/columnistas/fracking-ya-3575669</t>
        </is>
      </c>
    </row>
    <row r="442">
      <c r="A442" s="62" t="inlineStr">
        <is>
          <t>ART_393</t>
        </is>
      </c>
      <c r="B442" s="62" t="inlineStr">
        <is>
          <t>ART_393_S01</t>
        </is>
      </c>
      <c r="C442" s="62" t="inlineStr">
        <is>
          <t>La Silla Vacía</t>
        </is>
      </c>
      <c r="D442" s="62" t="inlineStr">
        <is>
          <t>Medio ambiente</t>
        </is>
      </c>
      <c r="E442" s="62" t="inlineStr">
        <is>
          <t>Opinión-análisis</t>
        </is>
      </c>
      <c r="F442" s="62" t="inlineStr">
        <is>
          <t>2015-04-22T06:35:02+00:00</t>
        </is>
      </c>
      <c r="G442" s="62" t="inlineStr">
        <is>
          <t>Juan Camilo Cárdenas, profesor de la Facultad de Economía de la Universidad de los Andes, viene trabajando hace varios años con metodologías de economía comportamental y experimental para explorar cómo se crean espacios de construcción colectiva.</t>
        </is>
      </c>
      <c r="H442" s="62" t="n"/>
      <c r="I442" s="62"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J442" s="62" t="n"/>
      <c r="K442" s="62" t="n"/>
      <c r="L442" s="62" t="n"/>
      <c r="M442" s="62" t="n"/>
      <c r="N442" s="62" t="n"/>
      <c r="O442" s="62" t="n"/>
      <c r="P442" s="62" t="n"/>
      <c r="Q442" s="62" t="n"/>
      <c r="R442" s="62" t="n"/>
      <c r="S442" s="62" t="n"/>
      <c r="T442" s="62" t="n"/>
      <c r="U442" s="62" t="n"/>
      <c r="V442" s="62" t="n"/>
      <c r="W442" s="62" t="n"/>
      <c r="X442" s="62" t="n"/>
      <c r="Y442" s="62" t="n"/>
      <c r="Z442" s="62" t="n"/>
      <c r="AA442" s="62" t="n"/>
      <c r="AB442" s="62" t="n"/>
      <c r="AC442" s="62" t="n"/>
      <c r="AD442" s="62" t="n"/>
      <c r="AE442" s="62" t="n"/>
      <c r="AF442" s="61">
        <f>IF(COUNTIF($B$5:B442,B442)=1,1,0)</f>
        <v/>
      </c>
      <c r="AG442" s="62" t="inlineStr">
        <is>
          <t>https://www.lasillavacia.com/red-de-expertos/red-lider/caso-santurban-jugando-jugando-se-va-transformando-juan-camilo-cardenas-trendinglider/</t>
        </is>
      </c>
    </row>
    <row r="443">
      <c r="A443" s="62" t="inlineStr">
        <is>
          <t>ART_393</t>
        </is>
      </c>
      <c r="B443" s="62" t="inlineStr">
        <is>
          <t>ART_393_S02</t>
        </is>
      </c>
      <c r="C443" s="62" t="inlineStr">
        <is>
          <t>La Silla Vacía</t>
        </is>
      </c>
      <c r="D443" s="62" t="inlineStr">
        <is>
          <t>Medio ambiente</t>
        </is>
      </c>
      <c r="E443" s="62" t="inlineStr">
        <is>
          <t>Opinión-análisis</t>
        </is>
      </c>
      <c r="F443" s="62" t="inlineStr">
        <is>
          <t>2015-04-22T06:35:02+00:00</t>
        </is>
      </c>
      <c r="G443" s="62"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H443" s="62" t="inlineStr">
        <is>
          <t>Juan Camilo Cárdenas, profesor de la Facultad de Economía de la Universidad de los Andes, viene trabajando hace varios años con metodologías de economía comportamental y experimental para explorar cómo se crean espacios de construcción colectiva.</t>
        </is>
      </c>
      <c r="I443" s="62"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J443" s="62" t="n"/>
      <c r="K443" s="62" t="n"/>
      <c r="L443" s="62" t="n"/>
      <c r="M443" s="62" t="n"/>
      <c r="N443" s="62" t="n"/>
      <c r="O443" s="62" t="n"/>
      <c r="P443" s="62" t="n"/>
      <c r="Q443" s="62" t="n"/>
      <c r="R443" s="62" t="n"/>
      <c r="S443" s="62" t="n"/>
      <c r="T443" s="62" t="n"/>
      <c r="U443" s="62" t="n"/>
      <c r="V443" s="62" t="n"/>
      <c r="W443" s="62" t="n"/>
      <c r="X443" s="62" t="n"/>
      <c r="Y443" s="62" t="n"/>
      <c r="Z443" s="62" t="n"/>
      <c r="AA443" s="62" t="n"/>
      <c r="AB443" s="62" t="n"/>
      <c r="AC443" s="62" t="n"/>
      <c r="AD443" s="62" t="n"/>
      <c r="AE443" s="62" t="n"/>
      <c r="AF443" s="61">
        <f>IF(COUNTIF($B$5:B443,B443)=1,1,0)</f>
        <v/>
      </c>
      <c r="AG443" s="62" t="inlineStr">
        <is>
          <t>https://www.lasillavacia.com/red-de-expertos/red-lider/caso-santurban-jugando-jugando-se-va-transformando-juan-camilo-cardenas-trendinglider/</t>
        </is>
      </c>
    </row>
    <row r="444">
      <c r="A444" s="62" t="inlineStr">
        <is>
          <t>ART_393</t>
        </is>
      </c>
      <c r="B444" s="62" t="inlineStr">
        <is>
          <t>ART_393_S03</t>
        </is>
      </c>
      <c r="C444" s="62" t="inlineStr">
        <is>
          <t>La Silla Vacía</t>
        </is>
      </c>
      <c r="D444" s="62" t="inlineStr">
        <is>
          <t>Medio ambiente</t>
        </is>
      </c>
      <c r="E444" s="62" t="inlineStr">
        <is>
          <t>Opinión-análisis</t>
        </is>
      </c>
      <c r="F444" s="62" t="inlineStr">
        <is>
          <t>2015-04-22T06:35:02+00:00</t>
        </is>
      </c>
      <c r="G444" s="62"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H444" s="62"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I444" s="62"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J444" s="62" t="n"/>
      <c r="K444" s="62" t="n"/>
      <c r="L444" s="62" t="n"/>
      <c r="M444" s="62" t="n"/>
      <c r="N444" s="62" t="n"/>
      <c r="O444" s="62" t="n"/>
      <c r="P444" s="62" t="n"/>
      <c r="Q444" s="62" t="n"/>
      <c r="R444" s="62" t="n"/>
      <c r="S444" s="62" t="n"/>
      <c r="T444" s="62" t="n"/>
      <c r="U444" s="62" t="n"/>
      <c r="V444" s="62" t="n"/>
      <c r="W444" s="62" t="n"/>
      <c r="X444" s="62" t="n"/>
      <c r="Y444" s="62" t="n"/>
      <c r="Z444" s="62" t="n"/>
      <c r="AA444" s="62" t="n"/>
      <c r="AB444" s="62" t="n"/>
      <c r="AC444" s="62" t="n"/>
      <c r="AD444" s="62" t="n"/>
      <c r="AE444" s="62" t="n"/>
      <c r="AF444" s="61">
        <f>IF(COUNTIF($B$5:B444,B444)=1,1,0)</f>
        <v/>
      </c>
      <c r="AG444" s="62" t="inlineStr">
        <is>
          <t>https://www.lasillavacia.com/red-de-expertos/red-lider/caso-santurban-jugando-jugando-se-va-transformando-juan-camilo-cardenas-trendinglider/</t>
        </is>
      </c>
    </row>
    <row r="445">
      <c r="A445" s="62" t="inlineStr">
        <is>
          <t>ART_393</t>
        </is>
      </c>
      <c r="B445" s="62" t="inlineStr">
        <is>
          <t>ART_393_S04</t>
        </is>
      </c>
      <c r="C445" s="62" t="inlineStr">
        <is>
          <t>La Silla Vacía</t>
        </is>
      </c>
      <c r="D445" s="62" t="inlineStr">
        <is>
          <t>Medio ambiente</t>
        </is>
      </c>
      <c r="E445" s="62" t="inlineStr">
        <is>
          <t>Opinión-análisis</t>
        </is>
      </c>
      <c r="F445" s="62" t="inlineStr">
        <is>
          <t>2015-04-22T06:35:02+00:00</t>
        </is>
      </c>
      <c r="G445" s="62"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H445" s="62"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I445" s="62"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J445" s="62" t="n"/>
      <c r="K445" s="62" t="n"/>
      <c r="L445" s="62" t="n"/>
      <c r="M445" s="62" t="n"/>
      <c r="N445" s="62" t="n"/>
      <c r="O445" s="62" t="n"/>
      <c r="P445" s="62" t="n"/>
      <c r="Q445" s="62" t="n"/>
      <c r="R445" s="62" t="n"/>
      <c r="S445" s="62" t="n"/>
      <c r="T445" s="62" t="n"/>
      <c r="U445" s="62" t="n"/>
      <c r="V445" s="62" t="n"/>
      <c r="W445" s="62" t="n"/>
      <c r="X445" s="62" t="n"/>
      <c r="Y445" s="62" t="n"/>
      <c r="Z445" s="62" t="n"/>
      <c r="AA445" s="62" t="n"/>
      <c r="AB445" s="62" t="n"/>
      <c r="AC445" s="62" t="n"/>
      <c r="AD445" s="62" t="n"/>
      <c r="AE445" s="62" t="n"/>
      <c r="AF445" s="61">
        <f>IF(COUNTIF($B$5:B445,B445)=1,1,0)</f>
        <v/>
      </c>
      <c r="AG445" s="62" t="inlineStr">
        <is>
          <t>https://www.lasillavacia.com/red-de-expertos/red-lider/caso-santurban-jugando-jugando-se-va-transformando-juan-camilo-cardenas-trendinglider/</t>
        </is>
      </c>
    </row>
    <row r="446">
      <c r="A446" s="62" t="inlineStr">
        <is>
          <t>ART_393</t>
        </is>
      </c>
      <c r="B446" s="62" t="inlineStr">
        <is>
          <t>ART_393_S05</t>
        </is>
      </c>
      <c r="C446" s="62" t="inlineStr">
        <is>
          <t>La Silla Vacía</t>
        </is>
      </c>
      <c r="D446" s="62" t="inlineStr">
        <is>
          <t>Medio ambiente</t>
        </is>
      </c>
      <c r="E446" s="62" t="inlineStr">
        <is>
          <t>Opinión-análisis</t>
        </is>
      </c>
      <c r="F446" s="62" t="inlineStr">
        <is>
          <t>2015-04-22T06:35:02+00:00</t>
        </is>
      </c>
      <c r="G446" s="62"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H446" s="62"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I446" s="62" t="inlineStr">
        <is>
          <t>Así, Cárdenas puso a jugar a los que viven, trabajan y dependen del páramo en un taller en Bucaramanga .</t>
        </is>
      </c>
      <c r="J446" s="62" t="n"/>
      <c r="K446" s="62" t="n"/>
      <c r="L446" s="62" t="n"/>
      <c r="M446" s="62" t="n"/>
      <c r="N446" s="62" t="n"/>
      <c r="O446" s="62" t="n"/>
      <c r="P446" s="62" t="n"/>
      <c r="Q446" s="62" t="n"/>
      <c r="R446" s="62" t="n"/>
      <c r="S446" s="62" t="n"/>
      <c r="T446" s="62" t="n"/>
      <c r="U446" s="62" t="n"/>
      <c r="V446" s="62" t="n"/>
      <c r="W446" s="62" t="n"/>
      <c r="X446" s="62" t="n"/>
      <c r="Y446" s="62" t="n"/>
      <c r="Z446" s="62" t="n"/>
      <c r="AA446" s="62" t="n"/>
      <c r="AB446" s="62" t="n"/>
      <c r="AC446" s="62" t="n"/>
      <c r="AD446" s="62" t="n"/>
      <c r="AE446" s="62" t="n"/>
      <c r="AF446" s="61">
        <f>IF(COUNTIF($B$5:B446,B446)=1,1,0)</f>
        <v/>
      </c>
      <c r="AG446" s="62" t="inlineStr">
        <is>
          <t>https://www.lasillavacia.com/red-de-expertos/red-lider/caso-santurban-jugando-jugando-se-va-transformando-juan-camilo-cardenas-trendinglider/</t>
        </is>
      </c>
    </row>
    <row r="447">
      <c r="A447" s="62" t="inlineStr">
        <is>
          <t>ART_393</t>
        </is>
      </c>
      <c r="B447" s="62" t="inlineStr">
        <is>
          <t>ART_393_S06</t>
        </is>
      </c>
      <c r="C447" s="62" t="inlineStr">
        <is>
          <t>La Silla Vacía</t>
        </is>
      </c>
      <c r="D447" s="62" t="inlineStr">
        <is>
          <t>Medio ambiente</t>
        </is>
      </c>
      <c r="E447" s="62" t="inlineStr">
        <is>
          <t>Opinión-análisis</t>
        </is>
      </c>
      <c r="F447" s="62" t="inlineStr">
        <is>
          <t>2015-04-22T06:35:02+00:00</t>
        </is>
      </c>
      <c r="G447" s="62" t="inlineStr">
        <is>
          <t>Así, Cárdenas puso a jugar a los que viven, trabajan y dependen del páramo en un taller en Bucaramanga .</t>
        </is>
      </c>
      <c r="H447" s="62"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I447" s="62" t="inlineStr">
        <is>
          <t>La intención era comenzar con un trabajo de diseño e implementación de acuerdos logrados entre las partes involucradas.</t>
        </is>
      </c>
      <c r="J447" s="62" t="n"/>
      <c r="K447" s="62" t="n"/>
      <c r="L447" s="62" t="n"/>
      <c r="M447" s="62" t="n"/>
      <c r="N447" s="62" t="n"/>
      <c r="O447" s="62" t="n"/>
      <c r="P447" s="62" t="n"/>
      <c r="Q447" s="62" t="n"/>
      <c r="R447" s="62" t="n"/>
      <c r="S447" s="62" t="n"/>
      <c r="T447" s="62" t="n"/>
      <c r="U447" s="62" t="n"/>
      <c r="V447" s="62" t="n"/>
      <c r="W447" s="62" t="n"/>
      <c r="X447" s="62" t="n"/>
      <c r="Y447" s="62" t="n"/>
      <c r="Z447" s="62" t="n"/>
      <c r="AA447" s="62" t="n"/>
      <c r="AB447" s="62" t="n"/>
      <c r="AC447" s="62" t="n"/>
      <c r="AD447" s="62" t="n"/>
      <c r="AE447" s="62" t="n"/>
      <c r="AF447" s="61">
        <f>IF(COUNTIF($B$5:B447,B447)=1,1,0)</f>
        <v/>
      </c>
      <c r="AG447" s="62" t="inlineStr">
        <is>
          <t>https://www.lasillavacia.com/red-de-expertos/red-lider/caso-santurban-jugando-jugando-se-va-transformando-juan-camilo-cardenas-trendinglider/</t>
        </is>
      </c>
    </row>
    <row r="448">
      <c r="A448" s="62" t="inlineStr">
        <is>
          <t>ART_393</t>
        </is>
      </c>
      <c r="B448" s="62" t="inlineStr">
        <is>
          <t>ART_393_S07</t>
        </is>
      </c>
      <c r="C448" s="62" t="inlineStr">
        <is>
          <t>La Silla Vacía</t>
        </is>
      </c>
      <c r="D448" s="62" t="inlineStr">
        <is>
          <t>Medio ambiente</t>
        </is>
      </c>
      <c r="E448" s="62" t="inlineStr">
        <is>
          <t>Opinión-análisis</t>
        </is>
      </c>
      <c r="F448" s="62" t="inlineStr">
        <is>
          <t>2015-04-22T06:35:02+00:00</t>
        </is>
      </c>
      <c r="G448" s="62" t="inlineStr">
        <is>
          <t>La intención era comenzar con un trabajo de diseño e implementación de acuerdos logrados entre las partes involucradas.</t>
        </is>
      </c>
      <c r="H448" s="62" t="inlineStr">
        <is>
          <t>Así, Cárdenas puso a jugar a los que viven, trabajan y dependen del páramo en un taller en Bucaramanga .</t>
        </is>
      </c>
      <c r="I448" s="62"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J448" s="62" t="n"/>
      <c r="K448" s="62" t="n"/>
      <c r="L448" s="62" t="n"/>
      <c r="M448" s="62" t="n"/>
      <c r="N448" s="62" t="n"/>
      <c r="O448" s="62" t="n"/>
      <c r="P448" s="62" t="n"/>
      <c r="Q448" s="62" t="n"/>
      <c r="R448" s="62" t="n"/>
      <c r="S448" s="62" t="n"/>
      <c r="T448" s="62" t="n"/>
      <c r="U448" s="62" t="n"/>
      <c r="V448" s="62" t="n"/>
      <c r="W448" s="62" t="n"/>
      <c r="X448" s="62" t="n"/>
      <c r="Y448" s="62" t="n"/>
      <c r="Z448" s="62" t="n"/>
      <c r="AA448" s="62" t="n"/>
      <c r="AB448" s="62" t="n"/>
      <c r="AC448" s="62" t="n"/>
      <c r="AD448" s="62" t="n"/>
      <c r="AE448" s="62" t="n"/>
      <c r="AF448" s="61">
        <f>IF(COUNTIF($B$5:B448,B448)=1,1,0)</f>
        <v/>
      </c>
      <c r="AG448" s="62" t="inlineStr">
        <is>
          <t>https://www.lasillavacia.com/red-de-expertos/red-lider/caso-santurban-jugando-jugando-se-va-transformando-juan-camilo-cardenas-trendinglider/</t>
        </is>
      </c>
    </row>
    <row r="449">
      <c r="A449" s="62" t="inlineStr">
        <is>
          <t>ART_393</t>
        </is>
      </c>
      <c r="B449" s="62" t="inlineStr">
        <is>
          <t>ART_393_S08</t>
        </is>
      </c>
      <c r="C449" s="62" t="inlineStr">
        <is>
          <t>La Silla Vacía</t>
        </is>
      </c>
      <c r="D449" s="62" t="inlineStr">
        <is>
          <t>Medio ambiente</t>
        </is>
      </c>
      <c r="E449" s="62" t="inlineStr">
        <is>
          <t>Opinión-análisis</t>
        </is>
      </c>
      <c r="F449" s="62" t="inlineStr">
        <is>
          <t>2015-04-22T06:35:02+00:00</t>
        </is>
      </c>
      <c r="G449" s="62"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H449" s="62" t="inlineStr">
        <is>
          <t>La intención era comenzar con un trabajo de diseño e implementación de acuerdos logrados entre las partes involucradas.</t>
        </is>
      </c>
      <c r="I449" s="62" t="inlineStr">
        <is>
          <t>Así es más fácil entender los intereses del otro, que están determinando a través de sus acciones, los intereses de la contraparte.</t>
        </is>
      </c>
      <c r="J449" s="62" t="n"/>
      <c r="K449" s="62" t="n"/>
      <c r="L449" s="62" t="n"/>
      <c r="M449" s="62" t="n"/>
      <c r="N449" s="62" t="n"/>
      <c r="O449" s="62" t="n"/>
      <c r="P449" s="62" t="n"/>
      <c r="Q449" s="62" t="n"/>
      <c r="R449" s="62" t="n"/>
      <c r="S449" s="62" t="n"/>
      <c r="T449" s="62" t="n"/>
      <c r="U449" s="62" t="n"/>
      <c r="V449" s="62" t="n"/>
      <c r="W449" s="62" t="n"/>
      <c r="X449" s="62" t="n"/>
      <c r="Y449" s="62" t="n"/>
      <c r="Z449" s="62" t="n"/>
      <c r="AA449" s="62" t="n"/>
      <c r="AB449" s="62" t="n"/>
      <c r="AC449" s="62" t="n"/>
      <c r="AD449" s="62" t="n"/>
      <c r="AE449" s="62" t="n"/>
      <c r="AF449" s="61">
        <f>IF(COUNTIF($B$5:B449,B449)=1,1,0)</f>
        <v/>
      </c>
      <c r="AG449" s="62" t="inlineStr">
        <is>
          <t>https://www.lasillavacia.com/red-de-expertos/red-lider/caso-santurban-jugando-jugando-se-va-transformando-juan-camilo-cardenas-trendinglider/</t>
        </is>
      </c>
    </row>
    <row r="450">
      <c r="A450" s="62" t="inlineStr">
        <is>
          <t>ART_393</t>
        </is>
      </c>
      <c r="B450" s="62" t="inlineStr">
        <is>
          <t>ART_393_S09</t>
        </is>
      </c>
      <c r="C450" s="62" t="inlineStr">
        <is>
          <t>La Silla Vacía</t>
        </is>
      </c>
      <c r="D450" s="62" t="inlineStr">
        <is>
          <t>Medio ambiente</t>
        </is>
      </c>
      <c r="E450" s="62" t="inlineStr">
        <is>
          <t>Opinión-análisis</t>
        </is>
      </c>
      <c r="F450" s="62" t="inlineStr">
        <is>
          <t>2015-04-22T06:35:02+00:00</t>
        </is>
      </c>
      <c r="G450" s="62" t="inlineStr">
        <is>
          <t>Así es más fácil entender los intereses del otro, que están determinando a través de sus acciones, los intereses de la contraparte.</t>
        </is>
      </c>
      <c r="H450" s="62"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I450" s="62" t="inlineStr">
        <is>
          <t>Y poder acercar a las personas a la idea de transformar estas situaciones en una posibilidad de acción colectiva.</t>
        </is>
      </c>
      <c r="J450" s="62" t="n"/>
      <c r="K450" s="62" t="n"/>
      <c r="L450" s="62" t="n"/>
      <c r="M450" s="62" t="n"/>
      <c r="N450" s="62" t="n"/>
      <c r="O450" s="62" t="n"/>
      <c r="P450" s="62" t="n"/>
      <c r="Q450" s="62" t="n"/>
      <c r="R450" s="62" t="n"/>
      <c r="S450" s="62" t="n"/>
      <c r="T450" s="62" t="n"/>
      <c r="U450" s="62" t="n"/>
      <c r="V450" s="62" t="n"/>
      <c r="W450" s="62" t="n"/>
      <c r="X450" s="62" t="n"/>
      <c r="Y450" s="62" t="n"/>
      <c r="Z450" s="62" t="n"/>
      <c r="AA450" s="62" t="n"/>
      <c r="AB450" s="62" t="n"/>
      <c r="AC450" s="62" t="n"/>
      <c r="AD450" s="62" t="n"/>
      <c r="AE450" s="62" t="n"/>
      <c r="AF450" s="61">
        <f>IF(COUNTIF($B$5:B450,B450)=1,1,0)</f>
        <v/>
      </c>
      <c r="AG450" s="62" t="inlineStr">
        <is>
          <t>https://www.lasillavacia.com/red-de-expertos/red-lider/caso-santurban-jugando-jugando-se-va-transformando-juan-camilo-cardenas-trendinglider/</t>
        </is>
      </c>
    </row>
    <row r="451">
      <c r="A451" s="62" t="inlineStr">
        <is>
          <t>ART_393</t>
        </is>
      </c>
      <c r="B451" s="62" t="inlineStr">
        <is>
          <t>ART_393_S10</t>
        </is>
      </c>
      <c r="C451" s="62" t="inlineStr">
        <is>
          <t>La Silla Vacía</t>
        </is>
      </c>
      <c r="D451" s="62" t="inlineStr">
        <is>
          <t>Medio ambiente</t>
        </is>
      </c>
      <c r="E451" s="62" t="inlineStr">
        <is>
          <t>Opinión-análisis</t>
        </is>
      </c>
      <c r="F451" s="62" t="inlineStr">
        <is>
          <t>2015-04-22T06:35:02+00:00</t>
        </is>
      </c>
      <c r="G451" s="62" t="inlineStr">
        <is>
          <t>Y poder acercar a las personas a la idea de transformar estas situaciones en una posibilidad de acción colectiva.</t>
        </is>
      </c>
      <c r="H451" s="62" t="inlineStr">
        <is>
          <t>Así es más fácil entender los intereses del otro, que están determinando a través de sus acciones, los intereses de la contraparte.</t>
        </is>
      </c>
      <c r="I451" s="62" t="inlineStr">
        <is>
          <t>En marzo pasado el Ministro de Medio Ambiente Gabriel Vallejo nuevamente lo llamó para continuar con este esfuerzo. Pero esta vez en la ciudad de Cúcuta.</t>
        </is>
      </c>
      <c r="J451" s="62" t="n"/>
      <c r="K451" s="62" t="n"/>
      <c r="L451" s="62" t="n"/>
      <c r="M451" s="62" t="n"/>
      <c r="N451" s="62" t="n"/>
      <c r="O451" s="62" t="n"/>
      <c r="P451" s="62" t="n"/>
      <c r="Q451" s="62" t="n"/>
      <c r="R451" s="62" t="n"/>
      <c r="S451" s="62" t="n"/>
      <c r="T451" s="62" t="n"/>
      <c r="U451" s="62" t="n"/>
      <c r="V451" s="62" t="n"/>
      <c r="W451" s="62" t="n"/>
      <c r="X451" s="62" t="n"/>
      <c r="Y451" s="62" t="n"/>
      <c r="Z451" s="62" t="n"/>
      <c r="AA451" s="62" t="n"/>
      <c r="AB451" s="62" t="n"/>
      <c r="AC451" s="62" t="n"/>
      <c r="AD451" s="62" t="n"/>
      <c r="AE451" s="62" t="n"/>
      <c r="AF451" s="61">
        <f>IF(COUNTIF($B$5:B451,B451)=1,1,0)</f>
        <v/>
      </c>
      <c r="AG451" s="62" t="inlineStr">
        <is>
          <t>https://www.lasillavacia.com/red-de-expertos/red-lider/caso-santurban-jugando-jugando-se-va-transformando-juan-camilo-cardenas-trendinglider/</t>
        </is>
      </c>
    </row>
    <row r="452">
      <c r="A452" s="62" t="inlineStr">
        <is>
          <t>ART_393</t>
        </is>
      </c>
      <c r="B452" s="62" t="inlineStr">
        <is>
          <t>ART_393_S11</t>
        </is>
      </c>
      <c r="C452" s="62" t="inlineStr">
        <is>
          <t>La Silla Vacía</t>
        </is>
      </c>
      <c r="D452" s="62" t="inlineStr">
        <is>
          <t>Medio ambiente</t>
        </is>
      </c>
      <c r="E452" s="62" t="inlineStr">
        <is>
          <t>Opinión-análisis</t>
        </is>
      </c>
      <c r="F452" s="62" t="inlineStr">
        <is>
          <t>2015-04-22T06:35:02+00:00</t>
        </is>
      </c>
      <c r="G452" s="62" t="inlineStr">
        <is>
          <t>En marzo pasado el Ministro de Medio Ambiente Gabriel Vallejo nuevamente lo llamó para continuar con este esfuerzo. Pero esta vez en la ciudad de Cúcuta.</t>
        </is>
      </c>
      <c r="H452" s="62" t="inlineStr">
        <is>
          <t>Y poder acercar a las personas a la idea de transformar estas situaciones en una posibilidad de acción colectiva.</t>
        </is>
      </c>
      <c r="I452" s="62" t="n"/>
      <c r="J452" s="62" t="n"/>
      <c r="K452" s="62" t="n"/>
      <c r="L452" s="62" t="n"/>
      <c r="M452" s="62" t="n"/>
      <c r="N452" s="62" t="n"/>
      <c r="O452" s="62" t="n"/>
      <c r="P452" s="62" t="n"/>
      <c r="Q452" s="62" t="n"/>
      <c r="R452" s="62" t="n"/>
      <c r="S452" s="62" t="n"/>
      <c r="T452" s="62" t="n"/>
      <c r="U452" s="62" t="n"/>
      <c r="V452" s="62" t="n"/>
      <c r="W452" s="62" t="n"/>
      <c r="X452" s="62" t="n"/>
      <c r="Y452" s="62" t="n"/>
      <c r="Z452" s="62" t="n"/>
      <c r="AA452" s="62" t="n"/>
      <c r="AB452" s="62" t="n"/>
      <c r="AC452" s="62" t="n"/>
      <c r="AD452" s="62" t="n"/>
      <c r="AE452" s="62" t="n"/>
      <c r="AF452" s="61">
        <f>IF(COUNTIF($B$5:B452,B452)=1,1,0)</f>
        <v/>
      </c>
      <c r="AG452" s="62" t="inlineStr">
        <is>
          <t>https://www.lasillavacia.com/red-de-expertos/red-lider/caso-santurban-jugando-jugando-se-va-transformando-juan-camilo-cardenas-trendinglider/</t>
        </is>
      </c>
    </row>
    <row r="453">
      <c r="A453" s="62" t="inlineStr">
        <is>
          <t>ART_425</t>
        </is>
      </c>
      <c r="B453" s="62" t="inlineStr">
        <is>
          <t>ART_425_S01</t>
        </is>
      </c>
      <c r="C453" s="62" t="inlineStr">
        <is>
          <t>El Espectador</t>
        </is>
      </c>
      <c r="D453" s="62" t="inlineStr">
        <is>
          <t>Medio ambiente</t>
        </is>
      </c>
      <c r="E453" s="62" t="inlineStr">
        <is>
          <t>Noticia dura</t>
        </is>
      </c>
      <c r="F453" s="62" t="inlineStr">
        <is>
          <t>2026-06-14T10:00:00-05:00</t>
        </is>
      </c>
      <c r="G453" s="62" t="inlineStr">
        <is>
          <t>La idea de hacer fracturación hidráulica para explotar gas y petróleo en Colombia volvió al debate público en estas elecciones.</t>
        </is>
      </c>
      <c r="H453" s="62" t="n"/>
      <c r="I453" s="62" t="inlineStr">
        <is>
          <t>¿Qué es mentira y qué es verdad sobre esta práctica?</t>
        </is>
      </c>
      <c r="J453" s="62" t="n"/>
      <c r="K453" s="62" t="n"/>
      <c r="L453" s="62" t="n"/>
      <c r="M453" s="62" t="n"/>
      <c r="N453" s="62" t="n"/>
      <c r="O453" s="62" t="n"/>
      <c r="P453" s="62" t="n"/>
      <c r="Q453" s="62" t="n"/>
      <c r="R453" s="62" t="n"/>
      <c r="S453" s="62" t="n"/>
      <c r="T453" s="62" t="n"/>
      <c r="U453" s="62" t="n"/>
      <c r="V453" s="62" t="n"/>
      <c r="W453" s="62" t="n"/>
      <c r="X453" s="62" t="n"/>
      <c r="Y453" s="62" t="n"/>
      <c r="Z453" s="62" t="n"/>
      <c r="AA453" s="62" t="n"/>
      <c r="AB453" s="62" t="n"/>
      <c r="AC453" s="62" t="n"/>
      <c r="AD453" s="62" t="n"/>
      <c r="AE453" s="62" t="n"/>
      <c r="AF453" s="61">
        <f>IF(COUNTIF($B$5:B453,B453)=1,1,0)</f>
        <v/>
      </c>
      <c r="AG453" s="62" t="inlineStr">
        <is>
          <t>https://www.elespectador.com/ambiente/el-fracking-en-colombia-entre-los-debates-ambientales-y-la-incapacidad-del-estado/</t>
        </is>
      </c>
    </row>
    <row r="454">
      <c r="A454" s="62" t="inlineStr">
        <is>
          <t>ART_425</t>
        </is>
      </c>
      <c r="B454" s="62" t="inlineStr">
        <is>
          <t>ART_425_S02</t>
        </is>
      </c>
      <c r="C454" s="62" t="inlineStr">
        <is>
          <t>El Espectador</t>
        </is>
      </c>
      <c r="D454" s="62" t="inlineStr">
        <is>
          <t>Medio ambiente</t>
        </is>
      </c>
      <c r="E454" s="62" t="inlineStr">
        <is>
          <t>Noticia dura</t>
        </is>
      </c>
      <c r="F454" s="62" t="inlineStr">
        <is>
          <t>2026-06-14T10:00:00-05:00</t>
        </is>
      </c>
      <c r="G454" s="62" t="inlineStr">
        <is>
          <t>¿Qué es mentira y qué es verdad sobre esta práctica?</t>
        </is>
      </c>
      <c r="H454" s="62" t="inlineStr">
        <is>
          <t>La idea de hacer fracturación hidráulica para explotar gas y petróleo en Colombia volvió al debate público en estas elecciones.</t>
        </is>
      </c>
      <c r="I454" s="62" t="inlineStr">
        <is>
          <t>El fracking se ha implementado en países como Estados Unidos, Canadá y Argentina.</t>
        </is>
      </c>
      <c r="J454" s="62" t="n"/>
      <c r="K454" s="62" t="n"/>
      <c r="L454" s="62" t="n"/>
      <c r="M454" s="62" t="n"/>
      <c r="N454" s="62" t="n"/>
      <c r="O454" s="62" t="n"/>
      <c r="P454" s="62" t="n"/>
      <c r="Q454" s="62" t="n"/>
      <c r="R454" s="62" t="n"/>
      <c r="S454" s="62" t="n"/>
      <c r="T454" s="62" t="n"/>
      <c r="U454" s="62" t="n"/>
      <c r="V454" s="62" t="n"/>
      <c r="W454" s="62" t="n"/>
      <c r="X454" s="62" t="n"/>
      <c r="Y454" s="62" t="n"/>
      <c r="Z454" s="62" t="n"/>
      <c r="AA454" s="62" t="n"/>
      <c r="AB454" s="62" t="n"/>
      <c r="AC454" s="62" t="n"/>
      <c r="AD454" s="62" t="n"/>
      <c r="AE454" s="62" t="n"/>
      <c r="AF454" s="61">
        <f>IF(COUNTIF($B$5:B454,B454)=1,1,0)</f>
        <v/>
      </c>
      <c r="AG454" s="62" t="inlineStr">
        <is>
          <t>https://www.elespectador.com/ambiente/el-fracking-en-colombia-entre-los-debates-ambientales-y-la-incapacidad-del-estado/</t>
        </is>
      </c>
    </row>
    <row r="455">
      <c r="A455" s="62" t="inlineStr">
        <is>
          <t>ART_425</t>
        </is>
      </c>
      <c r="B455" s="62" t="inlineStr">
        <is>
          <t>ART_425_S03</t>
        </is>
      </c>
      <c r="C455" s="62" t="inlineStr">
        <is>
          <t>El Espectador</t>
        </is>
      </c>
      <c r="D455" s="62" t="inlineStr">
        <is>
          <t>Medio ambiente</t>
        </is>
      </c>
      <c r="E455" s="62" t="inlineStr">
        <is>
          <t>Noticia dura</t>
        </is>
      </c>
      <c r="F455" s="62" t="inlineStr">
        <is>
          <t>2026-06-14T10:00:00-05:00</t>
        </is>
      </c>
      <c r="G455" s="62" t="inlineStr">
        <is>
          <t>El fracking se ha implementado en países como Estados Unidos, Canadá y Argentina.</t>
        </is>
      </c>
      <c r="H455" s="62" t="inlineStr">
        <is>
          <t>¿Qué es mentira y qué es verdad sobre esta práctica?</t>
        </is>
      </c>
      <c r="I455" s="62" t="inlineStr">
        <is>
          <t>Allí también se han adelantado estudios científicos sobre sus impactos.</t>
        </is>
      </c>
      <c r="J455" s="62" t="n"/>
      <c r="K455" s="62" t="n"/>
      <c r="L455" s="62" t="n"/>
      <c r="M455" s="62" t="n"/>
      <c r="N455" s="62" t="n"/>
      <c r="O455" s="62" t="n"/>
      <c r="P455" s="62" t="n"/>
      <c r="Q455" s="62" t="n"/>
      <c r="R455" s="62" t="n"/>
      <c r="S455" s="62" t="n"/>
      <c r="T455" s="62" t="n"/>
      <c r="U455" s="62" t="n"/>
      <c r="V455" s="62" t="n"/>
      <c r="W455" s="62" t="n"/>
      <c r="X455" s="62" t="n"/>
      <c r="Y455" s="62" t="n"/>
      <c r="Z455" s="62" t="n"/>
      <c r="AA455" s="62" t="n"/>
      <c r="AB455" s="62" t="n"/>
      <c r="AC455" s="62" t="n"/>
      <c r="AD455" s="62" t="n"/>
      <c r="AE455" s="62" t="n"/>
      <c r="AF455" s="61">
        <f>IF(COUNTIF($B$5:B455,B455)=1,1,0)</f>
        <v/>
      </c>
      <c r="AG455" s="62" t="inlineStr">
        <is>
          <t>https://www.elespectador.com/ambiente/el-fracking-en-colombia-entre-los-debates-ambientales-y-la-incapacidad-del-estado/</t>
        </is>
      </c>
    </row>
    <row r="456">
      <c r="A456" s="62" t="inlineStr">
        <is>
          <t>ART_425</t>
        </is>
      </c>
      <c r="B456" s="62" t="inlineStr">
        <is>
          <t>ART_425_S04</t>
        </is>
      </c>
      <c r="C456" s="62" t="inlineStr">
        <is>
          <t>El Espectador</t>
        </is>
      </c>
      <c r="D456" s="62" t="inlineStr">
        <is>
          <t>Medio ambiente</t>
        </is>
      </c>
      <c r="E456" s="62" t="inlineStr">
        <is>
          <t>Noticia dura</t>
        </is>
      </c>
      <c r="F456" s="62" t="inlineStr">
        <is>
          <t>2026-06-14T10:00:00-05:00</t>
        </is>
      </c>
      <c r="G456" s="62" t="inlineStr">
        <is>
          <t>Allí también se han adelantado estudios científicos sobre sus impactos.</t>
        </is>
      </c>
      <c r="H456" s="62" t="inlineStr">
        <is>
          <t>El fracking se ha implementado en países como Estados Unidos, Canadá y Argentina.</t>
        </is>
      </c>
      <c r="I456" s="62" t="inlineStr">
        <is>
          <t>Abelardo de la Espriella e Iván Cepeda tienen visiones diametralmente opuestas frente a la extracción de gas y petróleo, y el rol de las energías renovables en el abastecimiento de hogares e industrias en el país.</t>
        </is>
      </c>
      <c r="J456" s="62" t="n"/>
      <c r="K456" s="62" t="n"/>
      <c r="L456" s="62" t="n"/>
      <c r="M456" s="62" t="n"/>
      <c r="N456" s="62" t="n"/>
      <c r="O456" s="62" t="n"/>
      <c r="P456" s="62" t="n"/>
      <c r="Q456" s="62" t="n"/>
      <c r="R456" s="62" t="n"/>
      <c r="S456" s="62" t="n"/>
      <c r="T456" s="62" t="n"/>
      <c r="U456" s="62" t="n"/>
      <c r="V456" s="62" t="n"/>
      <c r="W456" s="62" t="n"/>
      <c r="X456" s="62" t="n"/>
      <c r="Y456" s="62" t="n"/>
      <c r="Z456" s="62" t="n"/>
      <c r="AA456" s="62" t="n"/>
      <c r="AB456" s="62" t="n"/>
      <c r="AC456" s="62" t="n"/>
      <c r="AD456" s="62" t="n"/>
      <c r="AE456" s="62" t="n"/>
      <c r="AF456" s="61">
        <f>IF(COUNTIF($B$5:B456,B456)=1,1,0)</f>
        <v/>
      </c>
      <c r="AG456" s="62" t="inlineStr">
        <is>
          <t>https://www.elespectador.com/ambiente/el-fracking-en-colombia-entre-los-debates-ambientales-y-la-incapacidad-del-estado/</t>
        </is>
      </c>
    </row>
    <row r="457">
      <c r="A457" s="62" t="inlineStr">
        <is>
          <t>ART_425</t>
        </is>
      </c>
      <c r="B457" s="62" t="inlineStr">
        <is>
          <t>ART_425_S05</t>
        </is>
      </c>
      <c r="C457" s="62" t="inlineStr">
        <is>
          <t>El Espectador</t>
        </is>
      </c>
      <c r="D457" s="62" t="inlineStr">
        <is>
          <t>Medio ambiente</t>
        </is>
      </c>
      <c r="E457" s="62" t="inlineStr">
        <is>
          <t>Noticia dura</t>
        </is>
      </c>
      <c r="F457" s="62" t="inlineStr">
        <is>
          <t>2026-06-14T10:00:00-05:00</t>
        </is>
      </c>
      <c r="G457" s="62" t="inlineStr">
        <is>
          <t>Abelardo de la Espriella e Iván Cepeda tienen visiones diametralmente opuestas frente a la extracción de gas y petróleo, y el rol de las energías renovables en el abastecimiento de hogares e industrias en el país.</t>
        </is>
      </c>
      <c r="H457" s="62" t="inlineStr">
        <is>
          <t>Allí también se han adelantado estudios científicos sobre sus impactos.</t>
        </is>
      </c>
      <c r="I457" s="62"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J457" s="62" t="n"/>
      <c r="K457" s="62" t="n"/>
      <c r="L457" s="62" t="n"/>
      <c r="M457" s="62" t="n"/>
      <c r="N457" s="62" t="n"/>
      <c r="O457" s="62" t="n"/>
      <c r="P457" s="62" t="n"/>
      <c r="Q457" s="62" t="n"/>
      <c r="R457" s="62" t="n"/>
      <c r="S457" s="62" t="n"/>
      <c r="T457" s="62" t="n"/>
      <c r="U457" s="62" t="n"/>
      <c r="V457" s="62" t="n"/>
      <c r="W457" s="62" t="n"/>
      <c r="X457" s="62" t="n"/>
      <c r="Y457" s="62" t="n"/>
      <c r="Z457" s="62" t="n"/>
      <c r="AA457" s="62" t="n"/>
      <c r="AB457" s="62" t="n"/>
      <c r="AC457" s="62" t="n"/>
      <c r="AD457" s="62" t="n"/>
      <c r="AE457" s="62" t="n"/>
      <c r="AF457" s="61">
        <f>IF(COUNTIF($B$5:B457,B457)=1,1,0)</f>
        <v/>
      </c>
      <c r="AG457" s="62" t="inlineStr">
        <is>
          <t>https://www.elespectador.com/ambiente/el-fracking-en-colombia-entre-los-debates-ambientales-y-la-incapacidad-del-estado/</t>
        </is>
      </c>
    </row>
    <row r="458">
      <c r="A458" s="62" t="inlineStr">
        <is>
          <t>ART_425</t>
        </is>
      </c>
      <c r="B458" s="62" t="inlineStr">
        <is>
          <t>ART_425_S06</t>
        </is>
      </c>
      <c r="C458" s="62" t="inlineStr">
        <is>
          <t>El Espectador</t>
        </is>
      </c>
      <c r="D458" s="62" t="inlineStr">
        <is>
          <t>Medio ambiente</t>
        </is>
      </c>
      <c r="E458" s="62" t="inlineStr">
        <is>
          <t>Noticia dura</t>
        </is>
      </c>
      <c r="F458" s="62" t="inlineStr">
        <is>
          <t>2026-06-14T10:00:00-05:00</t>
        </is>
      </c>
      <c r="G458" s="62"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H458" s="62" t="inlineStr">
        <is>
          <t>Abelardo de la Espriella e Iván Cepeda tienen visiones diametralmente opuestas frente a la extracción de gas y petróleo, y el rol de las energías renovables en el abastecimiento de hogares e industrias en el país.</t>
        </is>
      </c>
      <c r="I458" s="62"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J458" s="62" t="n"/>
      <c r="K458" s="62" t="n"/>
      <c r="L458" s="62" t="n"/>
      <c r="M458" s="62" t="n"/>
      <c r="N458" s="62" t="n"/>
      <c r="O458" s="62" t="n"/>
      <c r="P458" s="62" t="n"/>
      <c r="Q458" s="62" t="n"/>
      <c r="R458" s="62" t="n"/>
      <c r="S458" s="62" t="n"/>
      <c r="T458" s="62" t="n"/>
      <c r="U458" s="62" t="n"/>
      <c r="V458" s="62" t="n"/>
      <c r="W458" s="62" t="n"/>
      <c r="X458" s="62" t="n"/>
      <c r="Y458" s="62" t="n"/>
      <c r="Z458" s="62" t="n"/>
      <c r="AA458" s="62" t="n"/>
      <c r="AB458" s="62" t="n"/>
      <c r="AC458" s="62" t="n"/>
      <c r="AD458" s="62" t="n"/>
      <c r="AE458" s="62" t="n"/>
      <c r="AF458" s="61">
        <f>IF(COUNTIF($B$5:B458,B458)=1,1,0)</f>
        <v/>
      </c>
      <c r="AG458" s="62" t="inlineStr">
        <is>
          <t>https://www.elespectador.com/ambiente/el-fracking-en-colombia-entre-los-debates-ambientales-y-la-incapacidad-del-estado/</t>
        </is>
      </c>
    </row>
    <row r="459">
      <c r="A459" s="62" t="inlineStr">
        <is>
          <t>ART_425</t>
        </is>
      </c>
      <c r="B459" s="62" t="inlineStr">
        <is>
          <t>ART_425_S07</t>
        </is>
      </c>
      <c r="C459" s="62" t="inlineStr">
        <is>
          <t>El Espectador</t>
        </is>
      </c>
      <c r="D459" s="62" t="inlineStr">
        <is>
          <t>Medio ambiente</t>
        </is>
      </c>
      <c r="E459" s="62" t="inlineStr">
        <is>
          <t>Noticia dura</t>
        </is>
      </c>
      <c r="F459" s="62" t="inlineStr">
        <is>
          <t>2026-06-14T10:00:00-05:00</t>
        </is>
      </c>
      <c r="G459" s="62"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H459" s="62"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I459" s="62"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J459" s="62" t="n"/>
      <c r="K459" s="62" t="n"/>
      <c r="L459" s="62" t="n"/>
      <c r="M459" s="62" t="n"/>
      <c r="N459" s="62" t="n"/>
      <c r="O459" s="62" t="n"/>
      <c r="P459" s="62" t="n"/>
      <c r="Q459" s="62" t="n"/>
      <c r="R459" s="62" t="n"/>
      <c r="S459" s="62" t="n"/>
      <c r="T459" s="62" t="n"/>
      <c r="U459" s="62" t="n"/>
      <c r="V459" s="62" t="n"/>
      <c r="W459" s="62" t="n"/>
      <c r="X459" s="62" t="n"/>
      <c r="Y459" s="62" t="n"/>
      <c r="Z459" s="62" t="n"/>
      <c r="AA459" s="62" t="n"/>
      <c r="AB459" s="62" t="n"/>
      <c r="AC459" s="62" t="n"/>
      <c r="AD459" s="62" t="n"/>
      <c r="AE459" s="62" t="n"/>
      <c r="AF459" s="61">
        <f>IF(COUNTIF($B$5:B459,B459)=1,1,0)</f>
        <v/>
      </c>
      <c r="AG459" s="62" t="inlineStr">
        <is>
          <t>https://www.elespectador.com/ambiente/el-fracking-en-colombia-entre-los-debates-ambientales-y-la-incapacidad-del-estado/</t>
        </is>
      </c>
    </row>
    <row r="460">
      <c r="A460" s="62" t="inlineStr">
        <is>
          <t>ART_425</t>
        </is>
      </c>
      <c r="B460" s="62" t="inlineStr">
        <is>
          <t>ART_425_S08</t>
        </is>
      </c>
      <c r="C460" s="62" t="inlineStr">
        <is>
          <t>El Espectador</t>
        </is>
      </c>
      <c r="D460" s="62" t="inlineStr">
        <is>
          <t>Medio ambiente</t>
        </is>
      </c>
      <c r="E460" s="62" t="inlineStr">
        <is>
          <t>Noticia dura</t>
        </is>
      </c>
      <c r="F460" s="62" t="inlineStr">
        <is>
          <t>2026-06-14T10:00:00-05:00</t>
        </is>
      </c>
      <c r="G460" s="62"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H460" s="62"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I460" s="62"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J460" s="62" t="n"/>
      <c r="K460" s="62" t="n"/>
      <c r="L460" s="62" t="n"/>
      <c r="M460" s="62" t="n"/>
      <c r="N460" s="62" t="n"/>
      <c r="O460" s="62" t="n"/>
      <c r="P460" s="62" t="n"/>
      <c r="Q460" s="62" t="n"/>
      <c r="R460" s="62" t="n"/>
      <c r="S460" s="62" t="n"/>
      <c r="T460" s="62" t="n"/>
      <c r="U460" s="62" t="n"/>
      <c r="V460" s="62" t="n"/>
      <c r="W460" s="62" t="n"/>
      <c r="X460" s="62" t="n"/>
      <c r="Y460" s="62" t="n"/>
      <c r="Z460" s="62" t="n"/>
      <c r="AA460" s="62" t="n"/>
      <c r="AB460" s="62" t="n"/>
      <c r="AC460" s="62" t="n"/>
      <c r="AD460" s="62" t="n"/>
      <c r="AE460" s="62" t="n"/>
      <c r="AF460" s="61">
        <f>IF(COUNTIF($B$5:B460,B460)=1,1,0)</f>
        <v/>
      </c>
      <c r="AG460" s="62" t="inlineStr">
        <is>
          <t>https://www.elespectador.com/ambiente/el-fracking-en-colombia-entre-los-debates-ambientales-y-la-incapacidad-del-estado/</t>
        </is>
      </c>
    </row>
    <row r="461">
      <c r="A461" s="62" t="inlineStr">
        <is>
          <t>ART_425</t>
        </is>
      </c>
      <c r="B461" s="62" t="inlineStr">
        <is>
          <t>ART_425_S09</t>
        </is>
      </c>
      <c r="C461" s="62" t="inlineStr">
        <is>
          <t>El Espectador</t>
        </is>
      </c>
      <c r="D461" s="62" t="inlineStr">
        <is>
          <t>Medio ambiente</t>
        </is>
      </c>
      <c r="E461" s="62" t="inlineStr">
        <is>
          <t>Noticia dura</t>
        </is>
      </c>
      <c r="F461" s="62" t="inlineStr">
        <is>
          <t>2026-06-14T10:00:00-05:00</t>
        </is>
      </c>
      <c r="G461" s="62"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H461" s="62"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I461" s="62" t="inlineStr">
        <is>
          <t>Además, han resaltado que, si Colombia iniciara pilotos de fracking a finales de 2026, estos proyectos entrarían en operación, al menos, la próxima década.</t>
        </is>
      </c>
      <c r="J461" s="62" t="n"/>
      <c r="K461" s="62" t="n"/>
      <c r="L461" s="62" t="n"/>
      <c r="M461" s="62" t="n"/>
      <c r="N461" s="62" t="n"/>
      <c r="O461" s="62" t="n"/>
      <c r="P461" s="62" t="n"/>
      <c r="Q461" s="62" t="n"/>
      <c r="R461" s="62" t="n"/>
      <c r="S461" s="62" t="n"/>
      <c r="T461" s="62" t="n"/>
      <c r="U461" s="62" t="n"/>
      <c r="V461" s="62" t="n"/>
      <c r="W461" s="62" t="n"/>
      <c r="X461" s="62" t="n"/>
      <c r="Y461" s="62" t="n"/>
      <c r="Z461" s="62" t="n"/>
      <c r="AA461" s="62" t="n"/>
      <c r="AB461" s="62" t="n"/>
      <c r="AC461" s="62" t="n"/>
      <c r="AD461" s="62" t="n"/>
      <c r="AE461" s="62" t="n"/>
      <c r="AF461" s="61">
        <f>IF(COUNTIF($B$5:B461,B461)=1,1,0)</f>
        <v/>
      </c>
      <c r="AG461" s="62" t="inlineStr">
        <is>
          <t>https://www.elespectador.com/ambiente/el-fracking-en-colombia-entre-los-debates-ambientales-y-la-incapacidad-del-estado/</t>
        </is>
      </c>
    </row>
    <row r="462">
      <c r="A462" s="62" t="inlineStr">
        <is>
          <t>ART_425</t>
        </is>
      </c>
      <c r="B462" s="62" t="inlineStr">
        <is>
          <t>ART_425_S10</t>
        </is>
      </c>
      <c r="C462" s="62" t="inlineStr">
        <is>
          <t>El Espectador</t>
        </is>
      </c>
      <c r="D462" s="62" t="inlineStr">
        <is>
          <t>Medio ambiente</t>
        </is>
      </c>
      <c r="E462" s="62" t="inlineStr">
        <is>
          <t>Noticia dura</t>
        </is>
      </c>
      <c r="F462" s="62" t="inlineStr">
        <is>
          <t>2026-06-14T10:00:00-05:00</t>
        </is>
      </c>
      <c r="G462" s="62" t="inlineStr">
        <is>
          <t>Además, han resaltado que, si Colombia iniciara pilotos de fracking a finales de 2026, estos proyectos entrarían en operación, al menos, la próxima década.</t>
        </is>
      </c>
      <c r="H462" s="62"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I462" s="62" t="inlineStr">
        <is>
          <t>Según el GEM, los proyectos de gas y petróleo ahora están tardando alrededor de 15 años en entrar en operación, tres veces más de lo que se demoraban en los mejores años para explotación de estos combustibles.</t>
        </is>
      </c>
      <c r="J462" s="62" t="n"/>
      <c r="K462" s="62" t="n"/>
      <c r="L462" s="62" t="n"/>
      <c r="M462" s="62" t="n"/>
      <c r="N462" s="62" t="n"/>
      <c r="O462" s="62" t="n"/>
      <c r="P462" s="62" t="n"/>
      <c r="Q462" s="62" t="n"/>
      <c r="R462" s="62" t="n"/>
      <c r="S462" s="62" t="n"/>
      <c r="T462" s="62" t="n"/>
      <c r="U462" s="62" t="n"/>
      <c r="V462" s="62" t="n"/>
      <c r="W462" s="62" t="n"/>
      <c r="X462" s="62" t="n"/>
      <c r="Y462" s="62" t="n"/>
      <c r="Z462" s="62" t="n"/>
      <c r="AA462" s="62" t="n"/>
      <c r="AB462" s="62" t="n"/>
      <c r="AC462" s="62" t="n"/>
      <c r="AD462" s="62" t="n"/>
      <c r="AE462" s="62" t="n"/>
      <c r="AF462" s="61">
        <f>IF(COUNTIF($B$5:B462,B462)=1,1,0)</f>
        <v/>
      </c>
      <c r="AG462" s="62" t="inlineStr">
        <is>
          <t>https://www.elespectador.com/ambiente/el-fracking-en-colombia-entre-los-debates-ambientales-y-la-incapacidad-del-estado/</t>
        </is>
      </c>
    </row>
    <row r="463">
      <c r="A463" s="62" t="inlineStr">
        <is>
          <t>ART_425</t>
        </is>
      </c>
      <c r="B463" s="62" t="inlineStr">
        <is>
          <t>ART_425_S11</t>
        </is>
      </c>
      <c r="C463" s="62" t="inlineStr">
        <is>
          <t>El Espectador</t>
        </is>
      </c>
      <c r="D463" s="62" t="inlineStr">
        <is>
          <t>Medio ambiente</t>
        </is>
      </c>
      <c r="E463" s="62" t="inlineStr">
        <is>
          <t>Noticia dura</t>
        </is>
      </c>
      <c r="F463" s="62" t="inlineStr">
        <is>
          <t>2026-06-14T10:00:00-05:00</t>
        </is>
      </c>
      <c r="G463" s="62" t="inlineStr">
        <is>
          <t>Según el GEM, los proyectos de gas y petróleo ahora están tardando alrededor de 15 años en entrar en operación, tres veces más de lo que se demoraban en los mejores años para explotación de estos combustibles.</t>
        </is>
      </c>
      <c r="H463" s="62" t="inlineStr">
        <is>
          <t>Además, han resaltado que, si Colombia iniciara pilotos de fracking a finales de 2026, estos proyectos entrarían en operación, al menos, la próxima década.</t>
        </is>
      </c>
      <c r="I463" s="62" t="inlineStr">
        <is>
          <t>En este contexto, la campaña presidencial ha vuelto a abrir la discusión sobre si Colombia debería hacer fracking o no.</t>
        </is>
      </c>
      <c r="J463" s="62" t="n"/>
      <c r="K463" s="62" t="n"/>
      <c r="L463" s="62" t="n"/>
      <c r="M463" s="62" t="n"/>
      <c r="N463" s="62" t="n"/>
      <c r="O463" s="62" t="n"/>
      <c r="P463" s="62" t="n"/>
      <c r="Q463" s="62" t="n"/>
      <c r="R463" s="62" t="n"/>
      <c r="S463" s="62" t="n"/>
      <c r="T463" s="62" t="n"/>
      <c r="U463" s="62" t="n"/>
      <c r="V463" s="62" t="n"/>
      <c r="W463" s="62" t="n"/>
      <c r="X463" s="62" t="n"/>
      <c r="Y463" s="62" t="n"/>
      <c r="Z463" s="62" t="n"/>
      <c r="AA463" s="62" t="n"/>
      <c r="AB463" s="62" t="n"/>
      <c r="AC463" s="62" t="n"/>
      <c r="AD463" s="62" t="n"/>
      <c r="AE463" s="62" t="n"/>
      <c r="AF463" s="61">
        <f>IF(COUNTIF($B$5:B463,B463)=1,1,0)</f>
        <v/>
      </c>
      <c r="AG463" s="62" t="inlineStr">
        <is>
          <t>https://www.elespectador.com/ambiente/el-fracking-en-colombia-entre-los-debates-ambientales-y-la-incapacidad-del-estado/</t>
        </is>
      </c>
    </row>
    <row r="464">
      <c r="A464" s="62" t="inlineStr">
        <is>
          <t>ART_425</t>
        </is>
      </c>
      <c r="B464" s="62" t="inlineStr">
        <is>
          <t>ART_425_S12</t>
        </is>
      </c>
      <c r="C464" s="62" t="inlineStr">
        <is>
          <t>El Espectador</t>
        </is>
      </c>
      <c r="D464" s="62" t="inlineStr">
        <is>
          <t>Medio ambiente</t>
        </is>
      </c>
      <c r="E464" s="62" t="inlineStr">
        <is>
          <t>Noticia dura</t>
        </is>
      </c>
      <c r="F464" s="62" t="inlineStr">
        <is>
          <t>2026-06-14T10:00:00-05:00</t>
        </is>
      </c>
      <c r="G464" s="62" t="inlineStr">
        <is>
          <t>En este contexto, la campaña presidencial ha vuelto a abrir la discusión sobre si Colombia debería hacer fracking o no.</t>
        </is>
      </c>
      <c r="H464" s="62" t="inlineStr">
        <is>
          <t>Según el GEM, los proyectos de gas y petróleo ahora están tardando alrededor de 15 años en entrar en operación, tres veces más de lo que se demoraban en los mejores años para explotación de estos combustibles.</t>
        </is>
      </c>
      <c r="I464" s="62" t="inlineStr">
        <is>
          <t>El debate ya se venía dando desde 2018, cuando una comisión de expertos independientes evaluó los riesgos asociados a esta técnica y la capacidad del país para implementarla.</t>
        </is>
      </c>
      <c r="J464" s="62" t="n"/>
      <c r="K464" s="62" t="n"/>
      <c r="L464" s="62" t="n"/>
      <c r="M464" s="62" t="n"/>
      <c r="N464" s="62" t="n"/>
      <c r="O464" s="62" t="n"/>
      <c r="P464" s="62" t="n"/>
      <c r="Q464" s="62" t="n"/>
      <c r="R464" s="62" t="n"/>
      <c r="S464" s="62" t="n"/>
      <c r="T464" s="62" t="n"/>
      <c r="U464" s="62" t="n"/>
      <c r="V464" s="62" t="n"/>
      <c r="W464" s="62" t="n"/>
      <c r="X464" s="62" t="n"/>
      <c r="Y464" s="62" t="n"/>
      <c r="Z464" s="62" t="n"/>
      <c r="AA464" s="62" t="n"/>
      <c r="AB464" s="62" t="n"/>
      <c r="AC464" s="62" t="n"/>
      <c r="AD464" s="62" t="n"/>
      <c r="AE464" s="62" t="n"/>
      <c r="AF464" s="61">
        <f>IF(COUNTIF($B$5:B464,B464)=1,1,0)</f>
        <v/>
      </c>
      <c r="AG464" s="62" t="inlineStr">
        <is>
          <t>https://www.elespectador.com/ambiente/el-fracking-en-colombia-entre-los-debates-ambientales-y-la-incapacidad-del-estado/</t>
        </is>
      </c>
    </row>
    <row r="465">
      <c r="A465" s="62" t="inlineStr">
        <is>
          <t>ART_425</t>
        </is>
      </c>
      <c r="B465" s="62" t="inlineStr">
        <is>
          <t>ART_425_S13</t>
        </is>
      </c>
      <c r="C465" s="62" t="inlineStr">
        <is>
          <t>El Espectador</t>
        </is>
      </c>
      <c r="D465" s="62" t="inlineStr">
        <is>
          <t>Medio ambiente</t>
        </is>
      </c>
      <c r="E465" s="62" t="inlineStr">
        <is>
          <t>Noticia dura</t>
        </is>
      </c>
      <c r="F465" s="62" t="inlineStr">
        <is>
          <t>2026-06-14T10:00:00-05:00</t>
        </is>
      </c>
      <c r="G465" s="62" t="inlineStr">
        <is>
          <t>El debate ya se venía dando desde 2018, cuando una comisión de expertos independientes evaluó los riesgos asociados a esta técnica y la capacidad del país para implementarla.</t>
        </is>
      </c>
      <c r="H465" s="62" t="inlineStr">
        <is>
          <t>En este contexto, la campaña presidencial ha vuelto a abrir la discusión sobre si Colombia debería hacer fracking o no.</t>
        </is>
      </c>
      <c r="I465" s="62" t="inlineStr">
        <is>
          <t>En la discusión hay varios mitos, preocupaciones ambientales y una pregunta de fondo por el futuro del gas y el petróleo.</t>
        </is>
      </c>
      <c r="J465" s="62" t="n"/>
      <c r="K465" s="62" t="n"/>
      <c r="L465" s="62" t="n"/>
      <c r="M465" s="62" t="n"/>
      <c r="N465" s="62" t="n"/>
      <c r="O465" s="62" t="n"/>
      <c r="P465" s="62" t="n"/>
      <c r="Q465" s="62" t="n"/>
      <c r="R465" s="62" t="n"/>
      <c r="S465" s="62" t="n"/>
      <c r="T465" s="62" t="n"/>
      <c r="U465" s="62" t="n"/>
      <c r="V465" s="62" t="n"/>
      <c r="W465" s="62" t="n"/>
      <c r="X465" s="62" t="n"/>
      <c r="Y465" s="62" t="n"/>
      <c r="Z465" s="62" t="n"/>
      <c r="AA465" s="62" t="n"/>
      <c r="AB465" s="62" t="n"/>
      <c r="AC465" s="62" t="n"/>
      <c r="AD465" s="62" t="n"/>
      <c r="AE465" s="62" t="n"/>
      <c r="AF465" s="61">
        <f>IF(COUNTIF($B$5:B465,B465)=1,1,0)</f>
        <v/>
      </c>
      <c r="AG465" s="62" t="inlineStr">
        <is>
          <t>https://www.elespectador.com/ambiente/el-fracking-en-colombia-entre-los-debates-ambientales-y-la-incapacidad-del-estado/</t>
        </is>
      </c>
    </row>
    <row r="466">
      <c r="A466" s="62" t="inlineStr">
        <is>
          <t>ART_425</t>
        </is>
      </c>
      <c r="B466" s="62" t="inlineStr">
        <is>
          <t>ART_425_S14</t>
        </is>
      </c>
      <c r="C466" s="62" t="inlineStr">
        <is>
          <t>El Espectador</t>
        </is>
      </c>
      <c r="D466" s="62" t="inlineStr">
        <is>
          <t>Medio ambiente</t>
        </is>
      </c>
      <c r="E466" s="62" t="inlineStr">
        <is>
          <t>Noticia dura</t>
        </is>
      </c>
      <c r="F466" s="62" t="inlineStr">
        <is>
          <t>2026-06-14T10:00:00-05:00</t>
        </is>
      </c>
      <c r="G466" s="62" t="inlineStr">
        <is>
          <t>En la discusión hay varios mitos, preocupaciones ambientales y una pregunta de fondo por el futuro del gas y el petróleo.</t>
        </is>
      </c>
      <c r="H466" s="62" t="inlineStr">
        <is>
          <t>El debate ya se venía dando desde 2018, cuando una comisión de expertos independientes evaluó los riesgos asociados a esta técnica y la capacidad del país para implementarla.</t>
        </is>
      </c>
      <c r="I466" s="62" t="n"/>
      <c r="J466" s="62" t="n"/>
      <c r="K466" s="62" t="n"/>
      <c r="L466" s="62" t="n"/>
      <c r="M466" s="62" t="n"/>
      <c r="N466" s="62" t="n"/>
      <c r="O466" s="62" t="n"/>
      <c r="P466" s="62" t="n"/>
      <c r="Q466" s="62" t="n"/>
      <c r="R466" s="62" t="n"/>
      <c r="S466" s="62" t="n"/>
      <c r="T466" s="62" t="n"/>
      <c r="U466" s="62" t="n"/>
      <c r="V466" s="62" t="n"/>
      <c r="W466" s="62" t="n"/>
      <c r="X466" s="62" t="n"/>
      <c r="Y466" s="62" t="n"/>
      <c r="Z466" s="62" t="n"/>
      <c r="AA466" s="62" t="n"/>
      <c r="AB466" s="62" t="n"/>
      <c r="AC466" s="62" t="n"/>
      <c r="AD466" s="62" t="n"/>
      <c r="AE466" s="62" t="n"/>
      <c r="AF466" s="61">
        <f>IF(COUNTIF($B$5:B466,B466)=1,1,0)</f>
        <v/>
      </c>
      <c r="AG466" s="62" t="inlineStr">
        <is>
          <t>https://www.elespectador.com/ambiente/el-fracking-en-colombia-entre-los-debates-ambientales-y-la-incapacidad-del-estado/</t>
        </is>
      </c>
    </row>
    <row r="467">
      <c r="A467" s="62" t="inlineStr">
        <is>
          <t>ART_441</t>
        </is>
      </c>
      <c r="B467" s="62" t="inlineStr">
        <is>
          <t>ART_441_S01</t>
        </is>
      </c>
      <c r="C467" s="62" t="inlineStr">
        <is>
          <t>El Tiempo</t>
        </is>
      </c>
      <c r="D467" s="62" t="inlineStr">
        <is>
          <t>Deportes</t>
        </is>
      </c>
      <c r="E467" s="62" t="inlineStr">
        <is>
          <t>Opinión-análisis</t>
        </is>
      </c>
      <c r="F467" s="62" t="inlineStr">
        <is>
          <t>2026-07-08T22:24:03-05:00</t>
        </is>
      </c>
      <c r="G467" s="62" t="inlineStr">
        <is>
          <t>Tras la dolorosa eliminación en tanda de cobros desde el punto penal puede afirmarse que la selección Colombia cumplió en el Mundial de Norteamérica.</t>
        </is>
      </c>
      <c r="H467" s="62" t="n"/>
      <c r="I467" s="62" t="inlineStr">
        <is>
          <t>Cumplió en lo deportivo: llegar a la ronda de octavos de final, ganar el grupo, recibir un solo gol y salir invicta es un muy buen balance.</t>
        </is>
      </c>
      <c r="J467" s="62" t="n"/>
      <c r="K467" s="62" t="n"/>
      <c r="L467" s="62" t="n"/>
      <c r="M467" s="62" t="n"/>
      <c r="N467" s="62" t="n"/>
      <c r="O467" s="62" t="n"/>
      <c r="P467" s="62" t="n"/>
      <c r="Q467" s="62" t="n"/>
      <c r="R467" s="62" t="n"/>
      <c r="S467" s="62" t="n"/>
      <c r="T467" s="62" t="n"/>
      <c r="U467" s="62" t="n"/>
      <c r="V467" s="62" t="n"/>
      <c r="W467" s="62" t="n"/>
      <c r="X467" s="62" t="n"/>
      <c r="Y467" s="62" t="n"/>
      <c r="Z467" s="62" t="n"/>
      <c r="AA467" s="62" t="n"/>
      <c r="AB467" s="62" t="n"/>
      <c r="AC467" s="62" t="n"/>
      <c r="AD467" s="62" t="n"/>
      <c r="AE467" s="62" t="n"/>
      <c r="AF467" s="61">
        <f>IF(COUNTIF($B$5:B467,B467)=1,1,0)</f>
        <v/>
      </c>
      <c r="AG467" s="62" t="inlineStr">
        <is>
          <t>https://www.eltiempo.com/opinion/editorial/lo-que-deja-el-mundial-3570067</t>
        </is>
      </c>
    </row>
    <row r="468">
      <c r="A468" s="62" t="inlineStr">
        <is>
          <t>ART_441</t>
        </is>
      </c>
      <c r="B468" s="62" t="inlineStr">
        <is>
          <t>ART_441_S02</t>
        </is>
      </c>
      <c r="C468" s="62" t="inlineStr">
        <is>
          <t>El Tiempo</t>
        </is>
      </c>
      <c r="D468" s="62" t="inlineStr">
        <is>
          <t>Deportes</t>
        </is>
      </c>
      <c r="E468" s="62" t="inlineStr">
        <is>
          <t>Opinión-análisis</t>
        </is>
      </c>
      <c r="F468" s="62" t="inlineStr">
        <is>
          <t>2026-07-08T22:24:03-05:00</t>
        </is>
      </c>
      <c r="G468" s="62" t="inlineStr">
        <is>
          <t>Cumplió en lo deportivo: llegar a la ronda de octavos de final, ganar el grupo, recibir un solo gol y salir invicta es un muy buen balance.</t>
        </is>
      </c>
      <c r="H468" s="62" t="inlineStr">
        <is>
          <t>Tras la dolorosa eliminación en tanda de cobros desde el punto penal puede afirmarse que la selección Colombia cumplió en el Mundial de Norteamérica.</t>
        </is>
      </c>
      <c r="I468" s="62" t="inlineStr">
        <is>
          <t>En varios momentos, además, mostró solidez en su juego y jerarquía propia de los grandes del planeta.</t>
        </is>
      </c>
      <c r="J468" s="62" t="n"/>
      <c r="K468" s="62" t="n"/>
      <c r="L468" s="62" t="n"/>
      <c r="M468" s="62" t="n"/>
      <c r="N468" s="62" t="n"/>
      <c r="O468" s="62" t="n"/>
      <c r="P468" s="62" t="n"/>
      <c r="Q468" s="62" t="n"/>
      <c r="R468" s="62" t="n"/>
      <c r="S468" s="62" t="n"/>
      <c r="T468" s="62" t="n"/>
      <c r="U468" s="62" t="n"/>
      <c r="V468" s="62" t="n"/>
      <c r="W468" s="62" t="n"/>
      <c r="X468" s="62" t="n"/>
      <c r="Y468" s="62" t="n"/>
      <c r="Z468" s="62" t="n"/>
      <c r="AA468" s="62" t="n"/>
      <c r="AB468" s="62" t="n"/>
      <c r="AC468" s="62" t="n"/>
      <c r="AD468" s="62" t="n"/>
      <c r="AE468" s="62" t="n"/>
      <c r="AF468" s="61">
        <f>IF(COUNTIF($B$5:B468,B468)=1,1,0)</f>
        <v/>
      </c>
      <c r="AG468" s="62" t="inlineStr">
        <is>
          <t>https://www.eltiempo.com/opinion/editorial/lo-que-deja-el-mundial-3570067</t>
        </is>
      </c>
    </row>
    <row r="469">
      <c r="A469" s="62" t="inlineStr">
        <is>
          <t>ART_441</t>
        </is>
      </c>
      <c r="B469" s="62" t="inlineStr">
        <is>
          <t>ART_441_S03</t>
        </is>
      </c>
      <c r="C469" s="62" t="inlineStr">
        <is>
          <t>El Tiempo</t>
        </is>
      </c>
      <c r="D469" s="62" t="inlineStr">
        <is>
          <t>Deportes</t>
        </is>
      </c>
      <c r="E469" s="62" t="inlineStr">
        <is>
          <t>Opinión-análisis</t>
        </is>
      </c>
      <c r="F469" s="62" t="inlineStr">
        <is>
          <t>2026-07-08T22:24:03-05:00</t>
        </is>
      </c>
      <c r="G469" s="62" t="inlineStr">
        <is>
          <t>En varios momentos, además, mostró solidez en su juego y jerarquía propia de los grandes del planeta.</t>
        </is>
      </c>
      <c r="H469" s="62" t="inlineStr">
        <is>
          <t>Cumplió en lo deportivo: llegar a la ronda de octavos de final, ganar el grupo, recibir un solo gol y salir invicta es un muy buen balance.</t>
        </is>
      </c>
      <c r="I469" s="62" t="inlineStr">
        <is>
          <t>No fueron fruto de la euforia sino más bien fundadas las palabras de quienes dijeron que tenía con qué llegar a rondas más avanzadas.</t>
        </is>
      </c>
      <c r="J469" s="62" t="n"/>
      <c r="K469" s="62" t="n"/>
      <c r="L469" s="62" t="n"/>
      <c r="M469" s="62" t="n"/>
      <c r="N469" s="62" t="n"/>
      <c r="O469" s="62" t="n"/>
      <c r="P469" s="62" t="n"/>
      <c r="Q469" s="62" t="n"/>
      <c r="R469" s="62" t="n"/>
      <c r="S469" s="62" t="n"/>
      <c r="T469" s="62" t="n"/>
      <c r="U469" s="62" t="n"/>
      <c r="V469" s="62" t="n"/>
      <c r="W469" s="62" t="n"/>
      <c r="X469" s="62" t="n"/>
      <c r="Y469" s="62" t="n"/>
      <c r="Z469" s="62" t="n"/>
      <c r="AA469" s="62" t="n"/>
      <c r="AB469" s="62" t="n"/>
      <c r="AC469" s="62" t="n"/>
      <c r="AD469" s="62" t="n"/>
      <c r="AE469" s="62" t="n"/>
      <c r="AF469" s="61">
        <f>IF(COUNTIF($B$5:B469,B469)=1,1,0)</f>
        <v/>
      </c>
      <c r="AG469" s="62" t="inlineStr">
        <is>
          <t>https://www.eltiempo.com/opinion/editorial/lo-que-deja-el-mundial-3570067</t>
        </is>
      </c>
    </row>
    <row r="470">
      <c r="A470" s="62" t="inlineStr">
        <is>
          <t>ART_441</t>
        </is>
      </c>
      <c r="B470" s="62" t="inlineStr">
        <is>
          <t>ART_441_S04</t>
        </is>
      </c>
      <c r="C470" s="62" t="inlineStr">
        <is>
          <t>El Tiempo</t>
        </is>
      </c>
      <c r="D470" s="62" t="inlineStr">
        <is>
          <t>Deportes</t>
        </is>
      </c>
      <c r="E470" s="62" t="inlineStr">
        <is>
          <t>Opinión-análisis</t>
        </is>
      </c>
      <c r="F470" s="62" t="inlineStr">
        <is>
          <t>2026-07-08T22:24:03-05:00</t>
        </is>
      </c>
      <c r="G470" s="62" t="inlineStr">
        <is>
          <t>No fueron fruto de la euforia sino más bien fundadas las palabras de quienes dijeron que tenía con qué llegar a rondas más avanzadas.</t>
        </is>
      </c>
      <c r="H470" s="62" t="inlineStr">
        <is>
          <t>En varios momentos, además, mostró solidez en su juego y jerarquía propia de los grandes del planeta.</t>
        </is>
      </c>
      <c r="I470" s="62"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J470" s="62" t="n"/>
      <c r="K470" s="62" t="n"/>
      <c r="L470" s="62" t="n"/>
      <c r="M470" s="62" t="n"/>
      <c r="N470" s="62" t="n"/>
      <c r="O470" s="62" t="n"/>
      <c r="P470" s="62" t="n"/>
      <c r="Q470" s="62" t="n"/>
      <c r="R470" s="62" t="n"/>
      <c r="S470" s="62" t="n"/>
      <c r="T470" s="62" t="n"/>
      <c r="U470" s="62" t="n"/>
      <c r="V470" s="62" t="n"/>
      <c r="W470" s="62" t="n"/>
      <c r="X470" s="62" t="n"/>
      <c r="Y470" s="62" t="n"/>
      <c r="Z470" s="62" t="n"/>
      <c r="AA470" s="62" t="n"/>
      <c r="AB470" s="62" t="n"/>
      <c r="AC470" s="62" t="n"/>
      <c r="AD470" s="62" t="n"/>
      <c r="AE470" s="62" t="n"/>
      <c r="AF470" s="61">
        <f>IF(COUNTIF($B$5:B470,B470)=1,1,0)</f>
        <v/>
      </c>
      <c r="AG470" s="62" t="inlineStr">
        <is>
          <t>https://www.eltiempo.com/opinion/editorial/lo-que-deja-el-mundial-3570067</t>
        </is>
      </c>
    </row>
    <row r="471">
      <c r="A471" s="62" t="inlineStr">
        <is>
          <t>ART_441</t>
        </is>
      </c>
      <c r="B471" s="62" t="inlineStr">
        <is>
          <t>ART_441_S05</t>
        </is>
      </c>
      <c r="C471" s="62" t="inlineStr">
        <is>
          <t>El Tiempo</t>
        </is>
      </c>
      <c r="D471" s="62" t="inlineStr">
        <is>
          <t>Deportes</t>
        </is>
      </c>
      <c r="E471" s="62" t="inlineStr">
        <is>
          <t>Opinión-análisis</t>
        </is>
      </c>
      <c r="F471" s="62" t="inlineStr">
        <is>
          <t>2026-07-08T22:24:03-05:00</t>
        </is>
      </c>
      <c r="G471" s="62"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H471" s="62" t="inlineStr">
        <is>
          <t>No fueron fruto de la euforia sino más bien fundadas las palabras de quienes dijeron que tenía con qué llegar a rondas más avanzadas.</t>
        </is>
      </c>
      <c r="I471" s="62" t="inlineStr">
        <is>
          <t>También trajo alegría e ilusión cuando más se necesitaban.</t>
        </is>
      </c>
      <c r="J471" s="62" t="n"/>
      <c r="K471" s="62" t="n"/>
      <c r="L471" s="62" t="n"/>
      <c r="M471" s="62" t="n"/>
      <c r="N471" s="62" t="n"/>
      <c r="O471" s="62" t="n"/>
      <c r="P471" s="62" t="n"/>
      <c r="Q471" s="62" t="n"/>
      <c r="R471" s="62" t="n"/>
      <c r="S471" s="62" t="n"/>
      <c r="T471" s="62" t="n"/>
      <c r="U471" s="62" t="n"/>
      <c r="V471" s="62" t="n"/>
      <c r="W471" s="62" t="n"/>
      <c r="X471" s="62" t="n"/>
      <c r="Y471" s="62" t="n"/>
      <c r="Z471" s="62" t="n"/>
      <c r="AA471" s="62" t="n"/>
      <c r="AB471" s="62" t="n"/>
      <c r="AC471" s="62" t="n"/>
      <c r="AD471" s="62" t="n"/>
      <c r="AE471" s="62" t="n"/>
      <c r="AF471" s="61">
        <f>IF(COUNTIF($B$5:B471,B471)=1,1,0)</f>
        <v/>
      </c>
      <c r="AG471" s="62" t="inlineStr">
        <is>
          <t>https://www.eltiempo.com/opinion/editorial/lo-que-deja-el-mundial-3570067</t>
        </is>
      </c>
    </row>
    <row r="472">
      <c r="A472" s="62" t="inlineStr">
        <is>
          <t>ART_441</t>
        </is>
      </c>
      <c r="B472" s="62" t="inlineStr">
        <is>
          <t>ART_441_S06</t>
        </is>
      </c>
      <c r="C472" s="62" t="inlineStr">
        <is>
          <t>El Tiempo</t>
        </is>
      </c>
      <c r="D472" s="62" t="inlineStr">
        <is>
          <t>Deportes</t>
        </is>
      </c>
      <c r="E472" s="62" t="inlineStr">
        <is>
          <t>Opinión-análisis</t>
        </is>
      </c>
      <c r="F472" s="62" t="inlineStr">
        <is>
          <t>2026-07-08T22:24:03-05:00</t>
        </is>
      </c>
      <c r="G472" s="62" t="inlineStr">
        <is>
          <t>También trajo alegría e ilusión cuando más se necesitaban.</t>
        </is>
      </c>
      <c r="H472" s="62"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I472" s="62" t="n"/>
      <c r="J472" s="62" t="n"/>
      <c r="K472" s="62" t="n"/>
      <c r="L472" s="62" t="n"/>
      <c r="M472" s="62" t="n"/>
      <c r="N472" s="62" t="n"/>
      <c r="O472" s="62" t="n"/>
      <c r="P472" s="62" t="n"/>
      <c r="Q472" s="62" t="n"/>
      <c r="R472" s="62" t="n"/>
      <c r="S472" s="62" t="n"/>
      <c r="T472" s="62" t="n"/>
      <c r="U472" s="62" t="n"/>
      <c r="V472" s="62" t="n"/>
      <c r="W472" s="62" t="n"/>
      <c r="X472" s="62" t="n"/>
      <c r="Y472" s="62" t="n"/>
      <c r="Z472" s="62" t="n"/>
      <c r="AA472" s="62" t="n"/>
      <c r="AB472" s="62" t="n"/>
      <c r="AC472" s="62" t="n"/>
      <c r="AD472" s="62" t="n"/>
      <c r="AE472" s="62" t="n"/>
      <c r="AF472" s="61">
        <f>IF(COUNTIF($B$5:B472,B472)=1,1,0)</f>
        <v/>
      </c>
      <c r="AG472" s="62" t="inlineStr">
        <is>
          <t>https://www.eltiempo.com/opinion/editorial/lo-que-deja-el-mundial-3570067</t>
        </is>
      </c>
    </row>
    <row r="473">
      <c r="A473" s="62" t="inlineStr">
        <is>
          <t>ART_447</t>
        </is>
      </c>
      <c r="B473" s="62" t="inlineStr">
        <is>
          <t>ART_447_S01</t>
        </is>
      </c>
      <c r="C473" s="62" t="inlineStr">
        <is>
          <t>El Espectador</t>
        </is>
      </c>
      <c r="D473" s="62" t="inlineStr">
        <is>
          <t>Deportes</t>
        </is>
      </c>
      <c r="E473" s="62" t="inlineStr">
        <is>
          <t>Opinión-análisis</t>
        </is>
      </c>
      <c r="F473" s="62" t="inlineStr">
        <is>
          <t>2026-07-07T06:39:07-05:00</t>
        </is>
      </c>
      <c r="G473" s="62" t="inlineStr">
        <is>
          <t>Hay selecciones que llegan a octavos de final buscando corregir muchos problemas.</t>
        </is>
      </c>
      <c r="H473" s="62" t="n"/>
      <c r="I473" s="62" t="inlineStr">
        <is>
          <t>Colombia, afortunadamente, no es una de ellas.</t>
        </is>
      </c>
      <c r="J473" s="62" t="n"/>
      <c r="K473" s="62" t="n"/>
      <c r="L473" s="62" t="n"/>
      <c r="M473" s="62" t="n"/>
      <c r="N473" s="62" t="n"/>
      <c r="O473" s="62" t="n"/>
      <c r="P473" s="62" t="n"/>
      <c r="Q473" s="62" t="n"/>
      <c r="R473" s="62" t="n"/>
      <c r="S473" s="62" t="n"/>
      <c r="T473" s="62" t="n"/>
      <c r="U473" s="62" t="n"/>
      <c r="V473" s="62" t="n"/>
      <c r="W473" s="62" t="n"/>
      <c r="X473" s="62" t="n"/>
      <c r="Y473" s="62" t="n"/>
      <c r="Z473" s="62" t="n"/>
      <c r="AA473" s="62" t="n"/>
      <c r="AB473" s="62" t="n"/>
      <c r="AC473" s="62" t="n"/>
      <c r="AD473" s="62" t="n"/>
      <c r="AE473" s="62" t="n"/>
      <c r="AF473" s="61">
        <f>IF(COUNTIF($B$5:B473,B473)=1,1,0)</f>
        <v/>
      </c>
      <c r="AG473" s="62" t="inlineStr">
        <is>
          <t>https://www.elespectador.com/opinion/columnistas/antonio-casale/lo-que-le-falta-a-colombia/</t>
        </is>
      </c>
    </row>
    <row r="474">
      <c r="A474" s="62" t="inlineStr">
        <is>
          <t>ART_447</t>
        </is>
      </c>
      <c r="B474" s="62" t="inlineStr">
        <is>
          <t>ART_447_S02</t>
        </is>
      </c>
      <c r="C474" s="62" t="inlineStr">
        <is>
          <t>El Espectador</t>
        </is>
      </c>
      <c r="D474" s="62" t="inlineStr">
        <is>
          <t>Deportes</t>
        </is>
      </c>
      <c r="E474" s="62" t="inlineStr">
        <is>
          <t>Opinión-análisis</t>
        </is>
      </c>
      <c r="F474" s="62" t="inlineStr">
        <is>
          <t>2026-07-07T06:39:07-05:00</t>
        </is>
      </c>
      <c r="G474" s="62" t="inlineStr">
        <is>
          <t>Colombia, afortunadamente, no es una de ellas.</t>
        </is>
      </c>
      <c r="H474" s="62" t="inlineStr">
        <is>
          <t>Hay selecciones que llegan a octavos de final buscando corregir muchos problemas.</t>
        </is>
      </c>
      <c r="I474" s="62" t="inlineStr">
        <is>
          <t>Después de cuatro partidos en el Mundial, el equipo de Néstor Lorenzo tiene prácticamente identificado el único aspecto que debe mejorar si quiere seguir avanzando: la definición.</t>
        </is>
      </c>
      <c r="J474" s="62" t="n"/>
      <c r="K474" s="62" t="n"/>
      <c r="L474" s="62" t="n"/>
      <c r="M474" s="62" t="n"/>
      <c r="N474" s="62" t="n"/>
      <c r="O474" s="62" t="n"/>
      <c r="P474" s="62" t="n"/>
      <c r="Q474" s="62" t="n"/>
      <c r="R474" s="62" t="n"/>
      <c r="S474" s="62" t="n"/>
      <c r="T474" s="62" t="n"/>
      <c r="U474" s="62" t="n"/>
      <c r="V474" s="62" t="n"/>
      <c r="W474" s="62" t="n"/>
      <c r="X474" s="62" t="n"/>
      <c r="Y474" s="62" t="n"/>
      <c r="Z474" s="62" t="n"/>
      <c r="AA474" s="62" t="n"/>
      <c r="AB474" s="62" t="n"/>
      <c r="AC474" s="62" t="n"/>
      <c r="AD474" s="62" t="n"/>
      <c r="AE474" s="62" t="n"/>
      <c r="AF474" s="61">
        <f>IF(COUNTIF($B$5:B474,B474)=1,1,0)</f>
        <v/>
      </c>
      <c r="AG474" s="62" t="inlineStr">
        <is>
          <t>https://www.elespectador.com/opinion/columnistas/antonio-casale/lo-que-le-falta-a-colombia/</t>
        </is>
      </c>
    </row>
    <row r="475">
      <c r="A475" s="62" t="inlineStr">
        <is>
          <t>ART_447</t>
        </is>
      </c>
      <c r="B475" s="62" t="inlineStr">
        <is>
          <t>ART_447_S03</t>
        </is>
      </c>
      <c r="C475" s="62" t="inlineStr">
        <is>
          <t>El Espectador</t>
        </is>
      </c>
      <c r="D475" s="62" t="inlineStr">
        <is>
          <t>Deportes</t>
        </is>
      </c>
      <c r="E475" s="62" t="inlineStr">
        <is>
          <t>Opinión-análisis</t>
        </is>
      </c>
      <c r="F475" s="62" t="inlineStr">
        <is>
          <t>2026-07-07T06:39:07-05:00</t>
        </is>
      </c>
      <c r="G475" s="62" t="inlineStr">
        <is>
          <t>Después de cuatro partidos en el Mundial, el equipo de Néstor Lorenzo tiene prácticamente identificado el único aspecto que debe mejorar si quiere seguir avanzando: la definición.</t>
        </is>
      </c>
      <c r="H475" s="62" t="inlineStr">
        <is>
          <t>Colombia, afortunadamente, no es una de ellas.</t>
        </is>
      </c>
      <c r="I475" s="62" t="inlineStr">
        <is>
          <t>Porque en todo lo demás el balance es ampliamente positivo.</t>
        </is>
      </c>
      <c r="J475" s="62" t="n"/>
      <c r="K475" s="62" t="n"/>
      <c r="L475" s="62" t="n"/>
      <c r="M475" s="62" t="n"/>
      <c r="N475" s="62" t="n"/>
      <c r="O475" s="62" t="n"/>
      <c r="P475" s="62" t="n"/>
      <c r="Q475" s="62" t="n"/>
      <c r="R475" s="62" t="n"/>
      <c r="S475" s="62" t="n"/>
      <c r="T475" s="62" t="n"/>
      <c r="U475" s="62" t="n"/>
      <c r="V475" s="62" t="n"/>
      <c r="W475" s="62" t="n"/>
      <c r="X475" s="62" t="n"/>
      <c r="Y475" s="62" t="n"/>
      <c r="Z475" s="62" t="n"/>
      <c r="AA475" s="62" t="n"/>
      <c r="AB475" s="62" t="n"/>
      <c r="AC475" s="62" t="n"/>
      <c r="AD475" s="62" t="n"/>
      <c r="AE475" s="62" t="n"/>
      <c r="AF475" s="61">
        <f>IF(COUNTIF($B$5:B475,B475)=1,1,0)</f>
        <v/>
      </c>
      <c r="AG475" s="62" t="inlineStr">
        <is>
          <t>https://www.elespectador.com/opinion/columnistas/antonio-casale/lo-que-le-falta-a-colombia/</t>
        </is>
      </c>
    </row>
    <row r="476">
      <c r="A476" s="62" t="inlineStr">
        <is>
          <t>ART_447</t>
        </is>
      </c>
      <c r="B476" s="62" t="inlineStr">
        <is>
          <t>ART_447_S04</t>
        </is>
      </c>
      <c r="C476" s="62" t="inlineStr">
        <is>
          <t>El Espectador</t>
        </is>
      </c>
      <c r="D476" s="62" t="inlineStr">
        <is>
          <t>Deportes</t>
        </is>
      </c>
      <c r="E476" s="62" t="inlineStr">
        <is>
          <t>Opinión-análisis</t>
        </is>
      </c>
      <c r="F476" s="62" t="inlineStr">
        <is>
          <t>2026-07-07T06:39:07-05:00</t>
        </is>
      </c>
      <c r="G476" s="62" t="inlineStr">
        <is>
          <t>Porque en todo lo demás el balance es ampliamente positivo.</t>
        </is>
      </c>
      <c r="H476" s="62" t="inlineStr">
        <is>
          <t>Después de cuatro partidos en el Mundial, el equipo de Néstor Lorenzo tiene prácticamente identificado el único aspecto que debe mejorar si quiere seguir avanzando: la definición.</t>
        </is>
      </c>
      <c r="I476" s="62" t="inlineStr">
        <is>
          <t>Colombia ha evolucionado de manera notable en el trabajo sin balón.</t>
        </is>
      </c>
      <c r="J476" s="62" t="n"/>
      <c r="K476" s="62" t="n"/>
      <c r="L476" s="62" t="n"/>
      <c r="M476" s="62" t="n"/>
      <c r="N476" s="62" t="n"/>
      <c r="O476" s="62" t="n"/>
      <c r="P476" s="62" t="n"/>
      <c r="Q476" s="62" t="n"/>
      <c r="R476" s="62" t="n"/>
      <c r="S476" s="62" t="n"/>
      <c r="T476" s="62" t="n"/>
      <c r="U476" s="62" t="n"/>
      <c r="V476" s="62" t="n"/>
      <c r="W476" s="62" t="n"/>
      <c r="X476" s="62" t="n"/>
      <c r="Y476" s="62" t="n"/>
      <c r="Z476" s="62" t="n"/>
      <c r="AA476" s="62" t="n"/>
      <c r="AB476" s="62" t="n"/>
      <c r="AC476" s="62" t="n"/>
      <c r="AD476" s="62" t="n"/>
      <c r="AE476" s="62" t="n"/>
      <c r="AF476" s="61">
        <f>IF(COUNTIF($B$5:B476,B476)=1,1,0)</f>
        <v/>
      </c>
      <c r="AG476" s="62" t="inlineStr">
        <is>
          <t>https://www.elespectador.com/opinion/columnistas/antonio-casale/lo-que-le-falta-a-colombia/</t>
        </is>
      </c>
    </row>
    <row r="477">
      <c r="A477" s="62" t="inlineStr">
        <is>
          <t>ART_447</t>
        </is>
      </c>
      <c r="B477" s="62" t="inlineStr">
        <is>
          <t>ART_447_S05</t>
        </is>
      </c>
      <c r="C477" s="62" t="inlineStr">
        <is>
          <t>El Espectador</t>
        </is>
      </c>
      <c r="D477" s="62" t="inlineStr">
        <is>
          <t>Deportes</t>
        </is>
      </c>
      <c r="E477" s="62" t="inlineStr">
        <is>
          <t>Opinión-análisis</t>
        </is>
      </c>
      <c r="F477" s="62" t="inlineStr">
        <is>
          <t>2026-07-07T06:39:07-05:00</t>
        </is>
      </c>
      <c r="G477" s="62" t="inlineStr">
        <is>
          <t>Colombia ha evolucionado de manera notable en el trabajo sin balón.</t>
        </is>
      </c>
      <c r="H477" s="62" t="inlineStr">
        <is>
          <t>Porque en todo lo demás el balance es ampliamente positivo.</t>
        </is>
      </c>
      <c r="I477" s="62" t="n"/>
      <c r="J477" s="62" t="n"/>
      <c r="K477" s="62" t="n"/>
      <c r="L477" s="62" t="n"/>
      <c r="M477" s="62" t="n"/>
      <c r="N477" s="62" t="n"/>
      <c r="O477" s="62" t="n"/>
      <c r="P477" s="62" t="n"/>
      <c r="Q477" s="62" t="n"/>
      <c r="R477" s="62" t="n"/>
      <c r="S477" s="62" t="n"/>
      <c r="T477" s="62" t="n"/>
      <c r="U477" s="62" t="n"/>
      <c r="V477" s="62" t="n"/>
      <c r="W477" s="62" t="n"/>
      <c r="X477" s="62" t="n"/>
      <c r="Y477" s="62" t="n"/>
      <c r="Z477" s="62" t="n"/>
      <c r="AA477" s="62" t="n"/>
      <c r="AB477" s="62" t="n"/>
      <c r="AC477" s="62" t="n"/>
      <c r="AD477" s="62" t="n"/>
      <c r="AE477" s="62" t="n"/>
      <c r="AF477" s="61">
        <f>IF(COUNTIF($B$5:B477,B477)=1,1,0)</f>
        <v/>
      </c>
      <c r="AG477" s="62" t="inlineStr">
        <is>
          <t>https://www.elespectador.com/opinion/columnistas/antonio-casale/lo-que-le-falta-a-colombia/</t>
        </is>
      </c>
    </row>
    <row r="478">
      <c r="A478" s="62" t="inlineStr">
        <is>
          <t>ART_449</t>
        </is>
      </c>
      <c r="B478" s="62" t="inlineStr">
        <is>
          <t>ART_449_S01</t>
        </is>
      </c>
      <c r="C478" s="62" t="inlineStr">
        <is>
          <t>Infobae Colombia</t>
        </is>
      </c>
      <c r="D478" s="62" t="inlineStr">
        <is>
          <t>Economía y negocios</t>
        </is>
      </c>
      <c r="E478" s="62" t="inlineStr">
        <is>
          <t>Noticia dura</t>
        </is>
      </c>
      <c r="F478" s="62" t="inlineStr">
        <is>
          <t>2025-12-20T20:19:04Z</t>
        </is>
      </c>
      <c r="G478" s="62" t="inlineStr">
        <is>
          <t>El cierre de la negociación dejó un sabor amargo y un documento sobre la mesa.</t>
        </is>
      </c>
      <c r="H478" s="62" t="n"/>
      <c r="I478" s="62"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J478" s="62" t="n"/>
      <c r="K478" s="62" t="n"/>
      <c r="L478" s="62" t="n"/>
      <c r="M478" s="62" t="n"/>
      <c r="N478" s="62" t="n"/>
      <c r="O478" s="62" t="n"/>
      <c r="P478" s="62" t="n"/>
      <c r="Q478" s="62" t="n"/>
      <c r="R478" s="62" t="n"/>
      <c r="S478" s="62" t="n"/>
      <c r="T478" s="62" t="n"/>
      <c r="U478" s="62" t="n"/>
      <c r="V478" s="62" t="n"/>
      <c r="W478" s="62" t="n"/>
      <c r="X478" s="62" t="n"/>
      <c r="Y478" s="62" t="n"/>
      <c r="Z478" s="62" t="n"/>
      <c r="AA478" s="62" t="n"/>
      <c r="AB478" s="62" t="n"/>
      <c r="AC478" s="62" t="n"/>
      <c r="AD478" s="62" t="n"/>
      <c r="AE478" s="62" t="n"/>
      <c r="AF478" s="61">
        <f>IF(COUNTIF($B$5:B478,B478)=1,1,0)</f>
        <v/>
      </c>
      <c r="AG478" s="62" t="inlineStr">
        <is>
          <t>https://www.infobae.com/colombia/2025/12/20/salario-minimo-2026-al-rojo-vivo-sindicatos-piden-alza-del-16-y-la-negociacion-termina-en-ruptura/</t>
        </is>
      </c>
    </row>
    <row r="479">
      <c r="A479" s="62" t="inlineStr">
        <is>
          <t>ART_449</t>
        </is>
      </c>
      <c r="B479" s="62" t="inlineStr">
        <is>
          <t>ART_449_S02</t>
        </is>
      </c>
      <c r="C479" s="62" t="inlineStr">
        <is>
          <t>Infobae Colombia</t>
        </is>
      </c>
      <c r="D479" s="62" t="inlineStr">
        <is>
          <t>Economía y negocios</t>
        </is>
      </c>
      <c r="E479" s="62" t="inlineStr">
        <is>
          <t>Noticia dura</t>
        </is>
      </c>
      <c r="F479" s="62" t="inlineStr">
        <is>
          <t>2025-12-20T20:19:04Z</t>
        </is>
      </c>
      <c r="G479" s="62"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H479" s="62" t="inlineStr">
        <is>
          <t>El cierre de la negociación dejó un sabor amargo y un documento sobre la mesa.</t>
        </is>
      </c>
      <c r="I479" s="62" t="inlineStr">
        <is>
          <t>El mensaje fue claro, no se trató solo de cifras, sino de visiones opuestas sobre cómo debe protegerse el ingreso de millones de hogares.</t>
        </is>
      </c>
      <c r="J479" s="62" t="n"/>
      <c r="K479" s="62" t="n"/>
      <c r="L479" s="62" t="n"/>
      <c r="M479" s="62" t="n"/>
      <c r="N479" s="62" t="n"/>
      <c r="O479" s="62" t="n"/>
      <c r="P479" s="62" t="n"/>
      <c r="Q479" s="62" t="n"/>
      <c r="R479" s="62" t="n"/>
      <c r="S479" s="62" t="n"/>
      <c r="T479" s="62" t="n"/>
      <c r="U479" s="62" t="n"/>
      <c r="V479" s="62" t="n"/>
      <c r="W479" s="62" t="n"/>
      <c r="X479" s="62" t="n"/>
      <c r="Y479" s="62" t="n"/>
      <c r="Z479" s="62" t="n"/>
      <c r="AA479" s="62" t="n"/>
      <c r="AB479" s="62" t="n"/>
      <c r="AC479" s="62" t="n"/>
      <c r="AD479" s="62" t="n"/>
      <c r="AE479" s="62" t="n"/>
      <c r="AF479" s="61">
        <f>IF(COUNTIF($B$5:B479,B479)=1,1,0)</f>
        <v/>
      </c>
      <c r="AG479" s="62" t="inlineStr">
        <is>
          <t>https://www.infobae.com/colombia/2025/12/20/salario-minimo-2026-al-rojo-vivo-sindicatos-piden-alza-del-16-y-la-negociacion-termina-en-ruptura/</t>
        </is>
      </c>
    </row>
    <row r="480">
      <c r="A480" s="62" t="inlineStr">
        <is>
          <t>ART_449</t>
        </is>
      </c>
      <c r="B480" s="62" t="inlineStr">
        <is>
          <t>ART_449_S03</t>
        </is>
      </c>
      <c r="C480" s="62" t="inlineStr">
        <is>
          <t>Infobae Colombia</t>
        </is>
      </c>
      <c r="D480" s="62" t="inlineStr">
        <is>
          <t>Economía y negocios</t>
        </is>
      </c>
      <c r="E480" s="62" t="inlineStr">
        <is>
          <t>Noticia dura</t>
        </is>
      </c>
      <c r="F480" s="62" t="inlineStr">
        <is>
          <t>2025-12-20T20:19:04Z</t>
        </is>
      </c>
      <c r="G480" s="62" t="inlineStr">
        <is>
          <t>El mensaje fue claro, no se trató solo de cifras, sino de visiones opuestas sobre cómo debe protegerse el ingreso de millones de hogares.</t>
        </is>
      </c>
      <c r="H480" s="62"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I480" s="62" t="n"/>
      <c r="J480" s="62" t="n"/>
      <c r="K480" s="62" t="n"/>
      <c r="L480" s="62" t="n"/>
      <c r="M480" s="62" t="n"/>
      <c r="N480" s="62" t="n"/>
      <c r="O480" s="62" t="n"/>
      <c r="P480" s="62" t="n"/>
      <c r="Q480" s="62" t="n"/>
      <c r="R480" s="62" t="n"/>
      <c r="S480" s="62" t="n"/>
      <c r="T480" s="62" t="n"/>
      <c r="U480" s="62" t="n"/>
      <c r="V480" s="62" t="n"/>
      <c r="W480" s="62" t="n"/>
      <c r="X480" s="62" t="n"/>
      <c r="Y480" s="62" t="n"/>
      <c r="Z480" s="62" t="n"/>
      <c r="AA480" s="62" t="n"/>
      <c r="AB480" s="62" t="n"/>
      <c r="AC480" s="62" t="n"/>
      <c r="AD480" s="62" t="n"/>
      <c r="AE480" s="62" t="n"/>
      <c r="AF480" s="61">
        <f>IF(COUNTIF($B$5:B480,B480)=1,1,0)</f>
        <v/>
      </c>
      <c r="AG480" s="62" t="inlineStr">
        <is>
          <t>https://www.infobae.com/colombia/2025/12/20/salario-minimo-2026-al-rojo-vivo-sindicatos-piden-alza-del-16-y-la-negociacion-termina-en-ruptura/</t>
        </is>
      </c>
    </row>
    <row r="481">
      <c r="A481" s="62" t="inlineStr">
        <is>
          <t>ART_453</t>
        </is>
      </c>
      <c r="B481" s="62" t="inlineStr">
        <is>
          <t>ART_453_S01</t>
        </is>
      </c>
      <c r="C481" s="62" t="inlineStr">
        <is>
          <t>Semana</t>
        </is>
      </c>
      <c r="D481" s="62" t="inlineStr">
        <is>
          <t>Economía y negocios</t>
        </is>
      </c>
      <c r="E481" s="62" t="inlineStr">
        <is>
          <t>Noticia dura</t>
        </is>
      </c>
      <c r="F481" s="62" t="inlineStr">
        <is>
          <t>2025-12-01T08:58:51-05:00</t>
        </is>
      </c>
      <c r="G481" s="62" t="inlineStr">
        <is>
          <t>Aunque solo hasta el viernes 5 de diciembre se conocerá el Índice de Precios al Consumidor (IPC), quizás el insumo determinante para la negociación del incremento en el salario mínimo, por lo tanto, después de esa fecha se tiene previsto el destape de las cifras para lo que podría ser una puja.</t>
        </is>
      </c>
      <c r="H481" s="62" t="n"/>
      <c r="I481" s="62" t="n"/>
      <c r="J481" s="62" t="n"/>
      <c r="K481" s="62" t="n"/>
      <c r="L481" s="62" t="n"/>
      <c r="M481" s="62" t="n"/>
      <c r="N481" s="62" t="n"/>
      <c r="O481" s="62" t="n"/>
      <c r="P481" s="62" t="n"/>
      <c r="Q481" s="62" t="n"/>
      <c r="R481" s="62" t="n"/>
      <c r="S481" s="62" t="n"/>
      <c r="T481" s="62" t="n"/>
      <c r="U481" s="62" t="n"/>
      <c r="V481" s="62" t="n"/>
      <c r="W481" s="62" t="n"/>
      <c r="X481" s="62" t="n"/>
      <c r="Y481" s="62" t="n"/>
      <c r="Z481" s="62" t="n"/>
      <c r="AA481" s="62" t="n"/>
      <c r="AB481" s="62" t="n"/>
      <c r="AC481" s="62" t="n"/>
      <c r="AD481" s="62" t="n"/>
      <c r="AE481" s="62" t="n"/>
      <c r="AF481" s="61">
        <f>IF(COUNTIF($B$5:B481,B481)=1,1,0)</f>
        <v/>
      </c>
      <c r="AG481" s="62" t="inlineStr">
        <is>
          <t>https://www.semana.com/economia/macroeconomia/articulo/con-el-salario-minimo-2026-sindicatos-pelearan-por-alza-de-dos-digitos-confirma-presidente-de-la-cut/202510/</t>
        </is>
      </c>
    </row>
    <row r="482">
      <c r="A482" s="62" t="inlineStr">
        <is>
          <t>ART_454</t>
        </is>
      </c>
      <c r="B482" s="62" t="inlineStr">
        <is>
          <t>ART_454_S01</t>
        </is>
      </c>
      <c r="C482" s="62" t="inlineStr">
        <is>
          <t>Infobae Colombia</t>
        </is>
      </c>
      <c r="D482" s="62" t="inlineStr">
        <is>
          <t>Salud</t>
        </is>
      </c>
      <c r="E482" s="62" t="inlineStr">
        <is>
          <t>Noticia dura</t>
        </is>
      </c>
      <c r="F482" s="62" t="inlineStr">
        <is>
          <t>2026-09-01T04:09:00Z</t>
        </is>
      </c>
      <c r="G482" s="62" t="inlineStr">
        <is>
          <t>La crisis financiera de las EPS volvió a encender las alertas entre hospitales, clínicas y demás prestadores de servicios de salud.</t>
        </is>
      </c>
      <c r="H482" s="62" t="n"/>
      <c r="I482" s="62" t="inlineStr">
        <is>
          <t>La Unión Nacional de IPS, UNIPS, reaccionó al informe de la Contraloría General de la República sobre la situación financiera de las aseguradoras durante 2025 y advirtió que el deterioro del sistema ya está presionando la liquidez de la red prestadora.</t>
        </is>
      </c>
      <c r="J482" s="62" t="n"/>
      <c r="K482" s="62" t="n"/>
      <c r="L482" s="62" t="n"/>
      <c r="M482" s="62" t="n"/>
      <c r="N482" s="62" t="n"/>
      <c r="O482" s="62" t="n"/>
      <c r="P482" s="62" t="n"/>
      <c r="Q482" s="62" t="n"/>
      <c r="R482" s="62" t="n"/>
      <c r="S482" s="62" t="n"/>
      <c r="T482" s="62" t="n"/>
      <c r="U482" s="62" t="n"/>
      <c r="V482" s="62" t="n"/>
      <c r="W482" s="62" t="n"/>
      <c r="X482" s="62" t="n"/>
      <c r="Y482" s="62" t="n"/>
      <c r="Z482" s="62" t="n"/>
      <c r="AA482" s="62" t="n"/>
      <c r="AB482" s="62" t="n"/>
      <c r="AC482" s="62" t="n"/>
      <c r="AD482" s="62" t="n"/>
      <c r="AE482" s="62" t="n"/>
      <c r="AF482" s="61">
        <f>IF(COUNTIF($B$5:B482,B482)=1,1,0)</f>
        <v/>
      </c>
      <c r="AG482" s="62" t="inlineStr">
        <is>
          <t>https://www.infobae.com/colombia/2026/09/01/unips-alerta-que-crisis-de-eps-amenaza-pagos-medicamentos-y-sostenibilidad-de-hospitales/</t>
        </is>
      </c>
    </row>
    <row r="483">
      <c r="A483" s="62" t="inlineStr">
        <is>
          <t>ART_454</t>
        </is>
      </c>
      <c r="B483" s="62" t="inlineStr">
        <is>
          <t>ART_454_S02</t>
        </is>
      </c>
      <c r="C483" s="62" t="inlineStr">
        <is>
          <t>Infobae Colombia</t>
        </is>
      </c>
      <c r="D483" s="62" t="inlineStr">
        <is>
          <t>Salud</t>
        </is>
      </c>
      <c r="E483" s="62" t="inlineStr">
        <is>
          <t>Noticia dura</t>
        </is>
      </c>
      <c r="F483" s="62" t="inlineStr">
        <is>
          <t>2026-09-01T04:09:00Z</t>
        </is>
      </c>
      <c r="G483" s="62" t="inlineStr">
        <is>
          <t>La Unión Nacional de IPS, UNIPS, reaccionó al informe de la Contraloría General de la República sobre la situación financiera de las aseguradoras durante 2025 y advirtió que el deterioro del sistema ya está presionando la liquidez de la red prestadora.</t>
        </is>
      </c>
      <c r="H483" s="62" t="inlineStr">
        <is>
          <t>La crisis financiera de las EPS volvió a encender las alertas entre hospitales, clínicas y demás prestadores de servicios de salud.</t>
        </is>
      </c>
      <c r="I483" s="62" t="n"/>
      <c r="J483" s="62" t="n"/>
      <c r="K483" s="62" t="n"/>
      <c r="L483" s="62" t="n"/>
      <c r="M483" s="62" t="n"/>
      <c r="N483" s="62" t="n"/>
      <c r="O483" s="62" t="n"/>
      <c r="P483" s="62" t="n"/>
      <c r="Q483" s="62" t="n"/>
      <c r="R483" s="62" t="n"/>
      <c r="S483" s="62" t="n"/>
      <c r="T483" s="62" t="n"/>
      <c r="U483" s="62" t="n"/>
      <c r="V483" s="62" t="n"/>
      <c r="W483" s="62" t="n"/>
      <c r="X483" s="62" t="n"/>
      <c r="Y483" s="62" t="n"/>
      <c r="Z483" s="62" t="n"/>
      <c r="AA483" s="62" t="n"/>
      <c r="AB483" s="62" t="n"/>
      <c r="AC483" s="62" t="n"/>
      <c r="AD483" s="62" t="n"/>
      <c r="AE483" s="62" t="n"/>
      <c r="AF483" s="61">
        <f>IF(COUNTIF($B$5:B483,B483)=1,1,0)</f>
        <v/>
      </c>
      <c r="AG483" s="62" t="inlineStr">
        <is>
          <t>https://www.infobae.com/colombia/2026/09/01/unips-alerta-que-crisis-de-eps-amenaza-pagos-medicamentos-y-sostenibilidad-de-hospitales/</t>
        </is>
      </c>
    </row>
    <row r="484">
      <c r="A484" s="62" t="inlineStr">
        <is>
          <t>ART_467</t>
        </is>
      </c>
      <c r="B484" s="62" t="inlineStr">
        <is>
          <t>ART_467_S01</t>
        </is>
      </c>
      <c r="C484" s="62" t="inlineStr">
        <is>
          <t>El Tiempo</t>
        </is>
      </c>
      <c r="D484" s="62" t="inlineStr">
        <is>
          <t>Medio ambiente</t>
        </is>
      </c>
      <c r="E484" s="62" t="inlineStr">
        <is>
          <t>Noticia dura</t>
        </is>
      </c>
      <c r="F484" s="62" t="inlineStr">
        <is>
          <t>2026-08-20T07:55:04-05:00</t>
        </is>
      </c>
      <c r="G484" s="62" t="inlineStr">
        <is>
          <t>Colombia podría volver a poner sobre la mesa el desarrollo de proyectos de exploración mediante fracturamiento hidráulico, conocido como fracking, como una de las alternativas para aumentar la oferta de gas natural en los próximos años.</t>
        </is>
      </c>
      <c r="H484" s="62" t="n"/>
      <c r="I484" s="62" t="n"/>
      <c r="J484" s="62" t="n"/>
      <c r="K484" s="62" t="n"/>
      <c r="L484" s="62" t="n"/>
      <c r="M484" s="62" t="n"/>
      <c r="N484" s="62" t="n"/>
      <c r="O484" s="62" t="n"/>
      <c r="P484" s="62" t="n"/>
      <c r="Q484" s="62" t="n"/>
      <c r="R484" s="62" t="n"/>
      <c r="S484" s="62" t="n"/>
      <c r="T484" s="62" t="n"/>
      <c r="U484" s="62" t="n"/>
      <c r="V484" s="62" t="n"/>
      <c r="W484" s="62" t="n"/>
      <c r="X484" s="62" t="n"/>
      <c r="Y484" s="62" t="n"/>
      <c r="Z484" s="62" t="n"/>
      <c r="AA484" s="62" t="n"/>
      <c r="AB484" s="62" t="n"/>
      <c r="AC484" s="62" t="n"/>
      <c r="AD484" s="62" t="n"/>
      <c r="AE484" s="62" t="n"/>
      <c r="AF484" s="61">
        <f>IF(COUNTIF($B$5:B484,B484)=1,1,0)</f>
        <v/>
      </c>
      <c r="AG484" s="62" t="inlineStr">
        <is>
          <t>https://www.eltiempo.com/colombia/barranquilla/naturgas-pide-al-gobierno-nacional-reactivar-proyectos-de-fracking-en-cesar-y-norte-de-santander-para-aumentar-oferta-de-gas-en-colombia-3579617</t>
        </is>
      </c>
    </row>
    <row r="485">
      <c r="A485" s="62" t="inlineStr">
        <is>
          <t>ART_486</t>
        </is>
      </c>
      <c r="B485" s="62" t="inlineStr">
        <is>
          <t>ART_486_S01</t>
        </is>
      </c>
      <c r="C485" s="62" t="inlineStr">
        <is>
          <t>La Silla Vacía</t>
        </is>
      </c>
      <c r="D485" s="62" t="inlineStr">
        <is>
          <t>Medio ambiente</t>
        </is>
      </c>
      <c r="E485" s="62" t="inlineStr">
        <is>
          <t>Noticia dura</t>
        </is>
      </c>
      <c r="F485" s="62" t="inlineStr">
        <is>
          <t>2026-07-03T23:17:19+00:00</t>
        </is>
      </c>
      <c r="G485" s="62" t="inlineStr">
        <is>
          <t>Durante la ronda de medios que hizo este viernes, el próximo ministro de Ambiente, Fabio Arjona , dio a entender que desde el Ministerio no se opondrá al fracking, sino que se concentrará en supervisar que no genere daños ambientales irreparables.</t>
        </is>
      </c>
      <c r="H485" s="62" t="n"/>
      <c r="I485" s="62" t="n"/>
      <c r="J485" s="62" t="n"/>
      <c r="K485" s="62" t="n"/>
      <c r="L485" s="62" t="n"/>
      <c r="M485" s="62" t="n"/>
      <c r="N485" s="62" t="n"/>
      <c r="O485" s="62" t="n"/>
      <c r="P485" s="62" t="n"/>
      <c r="Q485" s="62" t="n"/>
      <c r="R485" s="62" t="n"/>
      <c r="S485" s="62" t="n"/>
      <c r="T485" s="62" t="n"/>
      <c r="U485" s="62" t="n"/>
      <c r="V485" s="62" t="n"/>
      <c r="W485" s="62" t="n"/>
      <c r="X485" s="62" t="n"/>
      <c r="Y485" s="62" t="n"/>
      <c r="Z485" s="62" t="n"/>
      <c r="AA485" s="62" t="n"/>
      <c r="AB485" s="62" t="n"/>
      <c r="AC485" s="62" t="n"/>
      <c r="AD485" s="62" t="n"/>
      <c r="AE485" s="62" t="n"/>
      <c r="AF485" s="61">
        <f>IF(COUNTIF($B$5:B485,B485)=1,1,0)</f>
        <v/>
      </c>
      <c r="AG485" s="62" t="inlineStr">
        <is>
          <t>https://www.lasillavacia.com/silla-amazonia/amazonia-en-breve/nuevo-minambiente-afirma-que-el-nuevo-gobierno-dara-pie-al-fracking/</t>
        </is>
      </c>
    </row>
    <row r="486">
      <c r="A486" s="62" t="inlineStr">
        <is>
          <t>ART_487</t>
        </is>
      </c>
      <c r="B486" s="62" t="inlineStr">
        <is>
          <t>ART_487_S01</t>
        </is>
      </c>
      <c r="C486" s="62" t="inlineStr">
        <is>
          <t>Infobae Colombia</t>
        </is>
      </c>
      <c r="D486" s="62" t="inlineStr">
        <is>
          <t>Deportes</t>
        </is>
      </c>
      <c r="E486" s="62" t="inlineStr">
        <is>
          <t>Noticia dura</t>
        </is>
      </c>
      <c r="F486" s="62" t="inlineStr">
        <is>
          <t>2026-05-15T12:03:11Z</t>
        </is>
      </c>
      <c r="G486" s="62" t="inlineStr">
        <is>
          <t>Este jueves 14 de mayo de 2026, el técnico argentino Néstor Lorenzo dio a conocer la prelista de 55 jugadores que tendrá en cuenta para conformar la nómina de la selección Colombia para el Mundial de la FIFA Norteamérica 2026.</t>
        </is>
      </c>
      <c r="H486" s="62" t="n"/>
      <c r="I486" s="62" t="inlineStr">
        <is>
          <t>El listado de jugadores que podrían confirmar la escuadra colombiana en el mundial generó diferentes reacciones, y la polémica por el llamado de Sebastián Villa y Jhon Jáder Durán a la Tricolor sigue siendo uno de los temas que más llamó la atención.</t>
        </is>
      </c>
      <c r="J486" s="62" t="n"/>
      <c r="K486" s="62" t="n"/>
      <c r="L486" s="62" t="n"/>
      <c r="M486" s="62" t="n"/>
      <c r="N486" s="62" t="n"/>
      <c r="O486" s="62" t="n"/>
      <c r="P486" s="62" t="n"/>
      <c r="Q486" s="62" t="n"/>
      <c r="R486" s="62" t="n"/>
      <c r="S486" s="62" t="n"/>
      <c r="T486" s="62" t="n"/>
      <c r="U486" s="62" t="n"/>
      <c r="V486" s="62" t="n"/>
      <c r="W486" s="62" t="n"/>
      <c r="X486" s="62" t="n"/>
      <c r="Y486" s="62" t="n"/>
      <c r="Z486" s="62" t="n"/>
      <c r="AA486" s="62" t="n"/>
      <c r="AB486" s="62" t="n"/>
      <c r="AC486" s="62" t="n"/>
      <c r="AD486" s="62" t="n"/>
      <c r="AE486" s="62" t="n"/>
      <c r="AF486" s="61">
        <f>IF(COUNTIF($B$5:B486,B486)=1,1,0)</f>
        <v/>
      </c>
      <c r="AG486" s="62" t="inlineStr">
        <is>
          <t>https://www.infobae.com/colombia/deportes/2026/05/15/francisco-pacho-maturana-analizo-la-prelista-de-colombia-y-defendio-a-nestor-lorenzo-todos-tienen-razon-menos-el-dt/</t>
        </is>
      </c>
    </row>
    <row r="487">
      <c r="A487" s="62" t="inlineStr">
        <is>
          <t>ART_487</t>
        </is>
      </c>
      <c r="B487" s="62" t="inlineStr">
        <is>
          <t>ART_487_S02</t>
        </is>
      </c>
      <c r="C487" s="62" t="inlineStr">
        <is>
          <t>Infobae Colombia</t>
        </is>
      </c>
      <c r="D487" s="62" t="inlineStr">
        <is>
          <t>Deportes</t>
        </is>
      </c>
      <c r="E487" s="62" t="inlineStr">
        <is>
          <t>Noticia dura</t>
        </is>
      </c>
      <c r="F487" s="62" t="inlineStr">
        <is>
          <t>2026-05-15T12:03:11Z</t>
        </is>
      </c>
      <c r="G487" s="62" t="inlineStr">
        <is>
          <t>El listado de jugadores que podrían confirmar la escuadra colombiana en el mundial generó diferentes reacciones, y la polémica por el llamado de Sebastián Villa y Jhon Jáder Durán a la Tricolor sigue siendo uno de los temas que más llamó la atención.</t>
        </is>
      </c>
      <c r="H487" s="62" t="inlineStr">
        <is>
          <t>Este jueves 14 de mayo de 2026, el técnico argentino Néstor Lorenzo dio a conocer la prelista de 55 jugadores que tendrá en cuenta para conformar la nómina de la selección Colombia para el Mundial de la FIFA Norteamérica 2026.</t>
        </is>
      </c>
      <c r="I487" s="62" t="n"/>
      <c r="J487" s="62" t="n"/>
      <c r="K487" s="62" t="n"/>
      <c r="L487" s="62" t="n"/>
      <c r="M487" s="62" t="n"/>
      <c r="N487" s="62" t="n"/>
      <c r="O487" s="62" t="n"/>
      <c r="P487" s="62" t="n"/>
      <c r="Q487" s="62" t="n"/>
      <c r="R487" s="62" t="n"/>
      <c r="S487" s="62" t="n"/>
      <c r="T487" s="62" t="n"/>
      <c r="U487" s="62" t="n"/>
      <c r="V487" s="62" t="n"/>
      <c r="W487" s="62" t="n"/>
      <c r="X487" s="62" t="n"/>
      <c r="Y487" s="62" t="n"/>
      <c r="Z487" s="62" t="n"/>
      <c r="AA487" s="62" t="n"/>
      <c r="AB487" s="62" t="n"/>
      <c r="AC487" s="62" t="n"/>
      <c r="AD487" s="62" t="n"/>
      <c r="AE487" s="62" t="n"/>
      <c r="AF487" s="61">
        <f>IF(COUNTIF($B$5:B487,B487)=1,1,0)</f>
        <v/>
      </c>
      <c r="AG487" s="62" t="inlineStr">
        <is>
          <t>https://www.infobae.com/colombia/deportes/2026/05/15/francisco-pacho-maturana-analizo-la-prelista-de-colombia-y-defendio-a-nestor-lorenzo-todos-tienen-razon-menos-el-dt/</t>
        </is>
      </c>
    </row>
    <row r="488">
      <c r="A488" s="62" t="inlineStr">
        <is>
          <t>ART_496</t>
        </is>
      </c>
      <c r="B488" s="62" t="inlineStr">
        <is>
          <t>ART_496_S01</t>
        </is>
      </c>
      <c r="C488" s="62" t="inlineStr">
        <is>
          <t>El Tiempo</t>
        </is>
      </c>
      <c r="D488" s="62" t="inlineStr">
        <is>
          <t>Deportes</t>
        </is>
      </c>
      <c r="E488" s="62" t="inlineStr">
        <is>
          <t>Noticia dura</t>
        </is>
      </c>
      <c r="F488" s="62" t="inlineStr">
        <is>
          <t>2026-05-14T12:17:24-05:00</t>
        </is>
      </c>
      <c r="G488" s="62" t="inlineStr">
        <is>
          <t>Néstor Lorenzo, técnico de la Selección Colombia, entregó este jueves la prelista de 55 jugadores con miras al Mundial de 2026, pero el nombre de Sebastián Villa ha generado todo tipo de comentarios negativos.</t>
        </is>
      </c>
      <c r="H488" s="62" t="n"/>
      <c r="I488" s="62" t="n"/>
      <c r="J488" s="62" t="n"/>
      <c r="K488" s="62" t="n"/>
      <c r="L488" s="62" t="n"/>
      <c r="M488" s="62" t="n"/>
      <c r="N488" s="62" t="n"/>
      <c r="O488" s="62" t="n"/>
      <c r="P488" s="62" t="n"/>
      <c r="Q488" s="62" t="n"/>
      <c r="R488" s="62" t="n"/>
      <c r="S488" s="62" t="n"/>
      <c r="T488" s="62" t="n"/>
      <c r="U488" s="62" t="n"/>
      <c r="V488" s="62" t="n"/>
      <c r="W488" s="62" t="n"/>
      <c r="X488" s="62" t="n"/>
      <c r="Y488" s="62" t="n"/>
      <c r="Z488" s="62" t="n"/>
      <c r="AA488" s="62" t="n"/>
      <c r="AB488" s="62" t="n"/>
      <c r="AC488" s="62" t="n"/>
      <c r="AD488" s="62" t="n"/>
      <c r="AE488" s="62" t="n"/>
      <c r="AF488" s="61">
        <f>IF(COUNTIF($B$5:B488,B488)=1,1,0)</f>
        <v/>
      </c>
      <c r="AG488" s="62" t="inlineStr">
        <is>
          <t>https://www.eltiempo.com/deportes/futbol-internacional/presencia-de-sebastian-villa-en-la-prelista-de-colombia-para-el-mundial-de-2026-desata-impresionante-polemica-nestor-lorenzo-senalado-3555733</t>
        </is>
      </c>
    </row>
    <row r="489">
      <c r="A489" s="62" t="inlineStr">
        <is>
          <t>ART_504</t>
        </is>
      </c>
      <c r="B489" s="62" t="inlineStr">
        <is>
          <t>ART_504_S01</t>
        </is>
      </c>
      <c r="C489" s="62" t="inlineStr">
        <is>
          <t>El Espectador</t>
        </is>
      </c>
      <c r="D489" s="62" t="inlineStr">
        <is>
          <t>Deportes</t>
        </is>
      </c>
      <c r="E489" s="62" t="inlineStr">
        <is>
          <t>Noticia dura</t>
        </is>
      </c>
      <c r="F489" s="62" t="inlineStr">
        <is>
          <t>2025-12-23T08:27:05-05:00</t>
        </is>
      </c>
      <c r="G489" s="62" t="inlineStr">
        <is>
          <t>Carlos Mario Zuluaga, presidente de la División Mayor del Fútbol Colombiano, deslegitimó logros obtenidos en la Copa Colombia.</t>
        </is>
      </c>
      <c r="H489" s="62" t="n"/>
      <c r="I489" s="62" t="inlineStr">
        <is>
          <t>Una nueva controversia en el fútbol profesional colombiano generó malestar entre algunos hinchas tras las declaraciones del presidente de la Dimayor, Carlos Mario Zuluaga, quien aseguró que los títulos de la Copa Colombia obtenidos antes de 2008 no deben considerarse oficiales.</t>
        </is>
      </c>
      <c r="J489" s="62" t="n"/>
      <c r="K489" s="62" t="n"/>
      <c r="L489" s="62" t="n"/>
      <c r="M489" s="62" t="n"/>
      <c r="N489" s="62" t="n"/>
      <c r="O489" s="62" t="n"/>
      <c r="P489" s="62" t="n"/>
      <c r="Q489" s="62" t="n"/>
      <c r="R489" s="62" t="n"/>
      <c r="S489" s="62" t="n"/>
      <c r="T489" s="62" t="n"/>
      <c r="U489" s="62" t="n"/>
      <c r="V489" s="62" t="n"/>
      <c r="W489" s="62" t="n"/>
      <c r="X489" s="62" t="n"/>
      <c r="Y489" s="62" t="n"/>
      <c r="Z489" s="62" t="n"/>
      <c r="AA489" s="62" t="n"/>
      <c r="AB489" s="62" t="n"/>
      <c r="AC489" s="62" t="n"/>
      <c r="AD489" s="62" t="n"/>
      <c r="AE489" s="62" t="n"/>
      <c r="AF489" s="61">
        <f>IF(COUNTIF($B$5:B489,B489)=1,1,0)</f>
        <v/>
      </c>
      <c r="AG489" s="62" t="inlineStr">
        <is>
          <t>https://www.elespectador.com/deportes/futbol-colombiano/santa-fe/polemica-en-el-futbol-colombiano-la-dimayor-puso-en-duda-titulos-de-santa-fe-y-millonarios/</t>
        </is>
      </c>
    </row>
    <row r="490">
      <c r="A490" s="62" t="inlineStr">
        <is>
          <t>ART_504</t>
        </is>
      </c>
      <c r="B490" s="62" t="inlineStr">
        <is>
          <t>ART_504_S02</t>
        </is>
      </c>
      <c r="C490" s="62" t="inlineStr">
        <is>
          <t>El Espectador</t>
        </is>
      </c>
      <c r="D490" s="62" t="inlineStr">
        <is>
          <t>Deportes</t>
        </is>
      </c>
      <c r="E490" s="62" t="inlineStr">
        <is>
          <t>Noticia dura</t>
        </is>
      </c>
      <c r="F490" s="62" t="inlineStr">
        <is>
          <t>2025-12-23T08:27:05-05:00</t>
        </is>
      </c>
      <c r="G490" s="62" t="inlineStr">
        <is>
          <t>Una nueva controversia en el fútbol profesional colombiano generó malestar entre algunos hinchas tras las declaraciones del presidente de la Dimayor, Carlos Mario Zuluaga, quien aseguró que los títulos de la Copa Colombia obtenidos antes de 2008 no deben considerarse oficiales.</t>
        </is>
      </c>
      <c r="H490" s="62" t="inlineStr">
        <is>
          <t>Carlos Mario Zuluaga, presidente de la División Mayor del Fútbol Colombiano, deslegitimó logros obtenidos en la Copa Colombia.</t>
        </is>
      </c>
      <c r="I490" s="62" t="n"/>
      <c r="J490" s="62" t="n"/>
      <c r="K490" s="62" t="n"/>
      <c r="L490" s="62" t="n"/>
      <c r="M490" s="62" t="n"/>
      <c r="N490" s="62" t="n"/>
      <c r="O490" s="62" t="n"/>
      <c r="P490" s="62" t="n"/>
      <c r="Q490" s="62" t="n"/>
      <c r="R490" s="62" t="n"/>
      <c r="S490" s="62" t="n"/>
      <c r="T490" s="62" t="n"/>
      <c r="U490" s="62" t="n"/>
      <c r="V490" s="62" t="n"/>
      <c r="W490" s="62" t="n"/>
      <c r="X490" s="62" t="n"/>
      <c r="Y490" s="62" t="n"/>
      <c r="Z490" s="62" t="n"/>
      <c r="AA490" s="62" t="n"/>
      <c r="AB490" s="62" t="n"/>
      <c r="AC490" s="62" t="n"/>
      <c r="AD490" s="62" t="n"/>
      <c r="AE490" s="62" t="n"/>
      <c r="AF490" s="61">
        <f>IF(COUNTIF($B$5:B490,B490)=1,1,0)</f>
        <v/>
      </c>
      <c r="AG490" s="62" t="inlineStr">
        <is>
          <t>https://www.elespectador.com/deportes/futbol-colombiano/santa-fe/polemica-en-el-futbol-colombiano-la-dimayor-puso-en-duda-titulos-de-santa-fe-y-millonarios/</t>
        </is>
      </c>
    </row>
    <row r="491">
      <c r="A491" s="62" t="inlineStr">
        <is>
          <t>ART_507</t>
        </is>
      </c>
      <c r="B491" s="62" t="inlineStr">
        <is>
          <t>ART_507_S01</t>
        </is>
      </c>
      <c r="C491" s="62" t="inlineStr">
        <is>
          <t>El Espectador</t>
        </is>
      </c>
      <c r="D491" s="62" t="inlineStr">
        <is>
          <t>Deportes</t>
        </is>
      </c>
      <c r="E491" s="62" t="inlineStr">
        <is>
          <t>Opinión-análisis</t>
        </is>
      </c>
      <c r="F491" s="62" t="inlineStr">
        <is>
          <t>2026-05-29T07:23:54-05:00</t>
        </is>
      </c>
      <c r="G491" s="62" t="inlineStr">
        <is>
          <t>El técnico de la selección de Colombia de mayores, que disputará el Mundial del año 2026, eligió a los jugadores que tendrán la responsabilidad y el compromiso de realizar la mejor Copa del Mundo de nuestro país en el certamen más importante de esta disciplina deportiva.</t>
        </is>
      </c>
      <c r="H491" s="62" t="n"/>
      <c r="I491" s="62" t="inlineStr">
        <is>
          <t>Luego de haber dado a conocer una prelista de 55 jugadores, el profesor Lorenzo anunció los 26 elegidos.</t>
        </is>
      </c>
      <c r="J491" s="62" t="n"/>
      <c r="K491" s="62" t="n"/>
      <c r="L491" s="62" t="n"/>
      <c r="M491" s="62" t="n"/>
      <c r="N491" s="62" t="n"/>
      <c r="O491" s="62" t="n"/>
      <c r="P491" s="62" t="n"/>
      <c r="Q491" s="62" t="n"/>
      <c r="R491" s="62" t="n"/>
      <c r="S491" s="62" t="n"/>
      <c r="T491" s="62" t="n"/>
      <c r="U491" s="62" t="n"/>
      <c r="V491" s="62" t="n"/>
      <c r="W491" s="62" t="n"/>
      <c r="X491" s="62" t="n"/>
      <c r="Y491" s="62" t="n"/>
      <c r="Z491" s="62" t="n"/>
      <c r="AA491" s="62" t="n"/>
      <c r="AB491" s="62" t="n"/>
      <c r="AC491" s="62" t="n"/>
      <c r="AD491" s="62" t="n"/>
      <c r="AE491" s="62" t="n"/>
      <c r="AF491" s="61">
        <f>IF(COUNTIF($B$5:B491,B491)=1,1,0)</f>
        <v/>
      </c>
      <c r="AG491" s="62" t="inlineStr">
        <is>
          <t>https://www.elespectador.com/opinion/columnistas/luis-fernando-montoya/nestor-lorenzo-y-sus-mundialistas/</t>
        </is>
      </c>
    </row>
    <row r="492">
      <c r="A492" s="62" t="inlineStr">
        <is>
          <t>ART_507</t>
        </is>
      </c>
      <c r="B492" s="62" t="inlineStr">
        <is>
          <t>ART_507_S02</t>
        </is>
      </c>
      <c r="C492" s="62" t="inlineStr">
        <is>
          <t>El Espectador</t>
        </is>
      </c>
      <c r="D492" s="62" t="inlineStr">
        <is>
          <t>Deportes</t>
        </is>
      </c>
      <c r="E492" s="62" t="inlineStr">
        <is>
          <t>Opinión-análisis</t>
        </is>
      </c>
      <c r="F492" s="62" t="inlineStr">
        <is>
          <t>2026-05-29T07:23:54-05:00</t>
        </is>
      </c>
      <c r="G492" s="62" t="inlineStr">
        <is>
          <t>Luego de haber dado a conocer una prelista de 55 jugadores, el profesor Lorenzo anunció los 26 elegidos.</t>
        </is>
      </c>
      <c r="H492" s="62" t="inlineStr">
        <is>
          <t>El técnico de la selección de Colombia de mayores, que disputará el Mundial del año 2026, eligió a los jugadores que tendrán la responsabilidad y el compromiso de realizar la mejor Copa del Mundo de nuestro país en el certamen más importante de esta disciplina deportiva.</t>
        </is>
      </c>
      <c r="I492" s="62" t="n"/>
      <c r="J492" s="62" t="n"/>
      <c r="K492" s="62" t="n"/>
      <c r="L492" s="62" t="n"/>
      <c r="M492" s="62" t="n"/>
      <c r="N492" s="62" t="n"/>
      <c r="O492" s="62" t="n"/>
      <c r="P492" s="62" t="n"/>
      <c r="Q492" s="62" t="n"/>
      <c r="R492" s="62" t="n"/>
      <c r="S492" s="62" t="n"/>
      <c r="T492" s="62" t="n"/>
      <c r="U492" s="62" t="n"/>
      <c r="V492" s="62" t="n"/>
      <c r="W492" s="62" t="n"/>
      <c r="X492" s="62" t="n"/>
      <c r="Y492" s="62" t="n"/>
      <c r="Z492" s="62" t="n"/>
      <c r="AA492" s="62" t="n"/>
      <c r="AB492" s="62" t="n"/>
      <c r="AC492" s="62" t="n"/>
      <c r="AD492" s="62" t="n"/>
      <c r="AE492" s="62" t="n"/>
      <c r="AF492" s="61">
        <f>IF(COUNTIF($B$5:B492,B492)=1,1,0)</f>
        <v/>
      </c>
      <c r="AG492" s="62" t="inlineStr">
        <is>
          <t>https://www.elespectador.com/opinion/columnistas/luis-fernando-montoya/nestor-lorenzo-y-sus-mundialistas/</t>
        </is>
      </c>
    </row>
    <row r="493">
      <c r="A493" s="62" t="inlineStr">
        <is>
          <t>ART_511</t>
        </is>
      </c>
      <c r="B493" s="62" t="inlineStr">
        <is>
          <t>ART_511_S01</t>
        </is>
      </c>
      <c r="C493" s="62" t="inlineStr">
        <is>
          <t>El Tiempo</t>
        </is>
      </c>
      <c r="D493" s="62" t="inlineStr">
        <is>
          <t>Economía y negocios</t>
        </is>
      </c>
      <c r="E493" s="62" t="inlineStr">
        <is>
          <t>Opinión-análisis</t>
        </is>
      </c>
      <c r="F493" s="62" t="inlineStr">
        <is>
          <t>2025-11-30T22:00:00-05:00</t>
        </is>
      </c>
      <c r="G493" s="62" t="inlineStr">
        <is>
          <t>Hoy se instala formalmente la mesa de la Comisión de Concertación de Políticas Salariales y Laborales, a cargo del proceso de diálogo para la definición del salario mínimo para el 2026.</t>
        </is>
      </c>
      <c r="H493" s="62" t="n"/>
      <c r="I493" s="62" t="inlineStr">
        <is>
          <t>Este diálogo tripartito –empresarios, sindicatos y Gobierno Nacional– está previsto para desarrollarse hasta el próximo 30 de diciembre y es la instancia legal para esta negociación, crucial para la economía, la inflación y el empleo.</t>
        </is>
      </c>
      <c r="J493" s="62" t="n"/>
      <c r="K493" s="62" t="n"/>
      <c r="L493" s="62" t="n"/>
      <c r="M493" s="62" t="n"/>
      <c r="N493" s="62" t="n"/>
      <c r="O493" s="62" t="n"/>
      <c r="P493" s="62" t="n"/>
      <c r="Q493" s="62" t="n"/>
      <c r="R493" s="62" t="n"/>
      <c r="S493" s="62" t="n"/>
      <c r="T493" s="62" t="n"/>
      <c r="U493" s="62" t="n"/>
      <c r="V493" s="62" t="n"/>
      <c r="W493" s="62" t="n"/>
      <c r="X493" s="62" t="n"/>
      <c r="Y493" s="62" t="n"/>
      <c r="Z493" s="62" t="n"/>
      <c r="AA493" s="62" t="n"/>
      <c r="AB493" s="62" t="n"/>
      <c r="AC493" s="62" t="n"/>
      <c r="AD493" s="62" t="n"/>
      <c r="AE493" s="62" t="n"/>
      <c r="AF493" s="61">
        <f>IF(COUNTIF($B$5:B493,B493)=1,1,0)</f>
        <v/>
      </c>
      <c r="AG493" s="62" t="inlineStr">
        <is>
          <t>https://www.eltiempo.com/opinion/editorial/minimo-de-discusion-3513132</t>
        </is>
      </c>
    </row>
    <row r="494">
      <c r="A494" s="62" t="inlineStr">
        <is>
          <t>ART_511</t>
        </is>
      </c>
      <c r="B494" s="62" t="inlineStr">
        <is>
          <t>ART_511_S02</t>
        </is>
      </c>
      <c r="C494" s="62" t="inlineStr">
        <is>
          <t>El Tiempo</t>
        </is>
      </c>
      <c r="D494" s="62" t="inlineStr">
        <is>
          <t>Economía y negocios</t>
        </is>
      </c>
      <c r="E494" s="62" t="inlineStr">
        <is>
          <t>Opinión-análisis</t>
        </is>
      </c>
      <c r="F494" s="62" t="inlineStr">
        <is>
          <t>2025-11-30T22:00:00-05:00</t>
        </is>
      </c>
      <c r="G494" s="62" t="inlineStr">
        <is>
          <t>Este diálogo tripartito –empresarios, sindicatos y Gobierno Nacional– está previsto para desarrollarse hasta el próximo 30 de diciembre y es la instancia legal para esta negociación, crucial para la economía, la inflación y el empleo.</t>
        </is>
      </c>
      <c r="H494" s="62" t="inlineStr">
        <is>
          <t>Hoy se instala formalmente la mesa de la Comisión de Concertación de Políticas Salariales y Laborales, a cargo del proceso de diálogo para la definición del salario mínimo para el 2026.</t>
        </is>
      </c>
      <c r="I494" s="62"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J494" s="62" t="n"/>
      <c r="K494" s="62" t="n"/>
      <c r="L494" s="62" t="n"/>
      <c r="M494" s="62" t="n"/>
      <c r="N494" s="62" t="n"/>
      <c r="O494" s="62" t="n"/>
      <c r="P494" s="62" t="n"/>
      <c r="Q494" s="62" t="n"/>
      <c r="R494" s="62" t="n"/>
      <c r="S494" s="62" t="n"/>
      <c r="T494" s="62" t="n"/>
      <c r="U494" s="62" t="n"/>
      <c r="V494" s="62" t="n"/>
      <c r="W494" s="62" t="n"/>
      <c r="X494" s="62" t="n"/>
      <c r="Y494" s="62" t="n"/>
      <c r="Z494" s="62" t="n"/>
      <c r="AA494" s="62" t="n"/>
      <c r="AB494" s="62" t="n"/>
      <c r="AC494" s="62" t="n"/>
      <c r="AD494" s="62" t="n"/>
      <c r="AE494" s="62" t="n"/>
      <c r="AF494" s="61">
        <f>IF(COUNTIF($B$5:B494,B494)=1,1,0)</f>
        <v/>
      </c>
      <c r="AG494" s="62" t="inlineStr">
        <is>
          <t>https://www.eltiempo.com/opinion/editorial/minimo-de-discusion-3513132</t>
        </is>
      </c>
    </row>
    <row r="495">
      <c r="A495" s="62" t="inlineStr">
        <is>
          <t>ART_511</t>
        </is>
      </c>
      <c r="B495" s="62" t="inlineStr">
        <is>
          <t>ART_511_S03</t>
        </is>
      </c>
      <c r="C495" s="62" t="inlineStr">
        <is>
          <t>El Tiempo</t>
        </is>
      </c>
      <c r="D495" s="62" t="inlineStr">
        <is>
          <t>Economía y negocios</t>
        </is>
      </c>
      <c r="E495" s="62" t="inlineStr">
        <is>
          <t>Opinión-análisis</t>
        </is>
      </c>
      <c r="F495" s="62" t="inlineStr">
        <is>
          <t>2025-11-30T22:00:00-05:00</t>
        </is>
      </c>
      <c r="G495" s="62"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H495" s="62" t="inlineStr">
        <is>
          <t>Este diálogo tripartito –empresarios, sindicatos y Gobierno Nacional– está previsto para desarrollarse hasta el próximo 30 de diciembre y es la instancia legal para esta negociación, crucial para la economía, la inflación y el empleo.</t>
        </is>
      </c>
      <c r="I495" s="62" t="inlineStr">
        <is>
          <t>En años recientes, los aumentos del salario mínimo han crecido de forma sostenida varios puntos por encima de la inflación y de la productividad laboral.</t>
        </is>
      </c>
      <c r="J495" s="62" t="n"/>
      <c r="K495" s="62" t="n"/>
      <c r="L495" s="62" t="n"/>
      <c r="M495" s="62" t="n"/>
      <c r="N495" s="62" t="n"/>
      <c r="O495" s="62" t="n"/>
      <c r="P495" s="62" t="n"/>
      <c r="Q495" s="62" t="n"/>
      <c r="R495" s="62" t="n"/>
      <c r="S495" s="62" t="n"/>
      <c r="T495" s="62" t="n"/>
      <c r="U495" s="62" t="n"/>
      <c r="V495" s="62" t="n"/>
      <c r="W495" s="62" t="n"/>
      <c r="X495" s="62" t="n"/>
      <c r="Y495" s="62" t="n"/>
      <c r="Z495" s="62" t="n"/>
      <c r="AA495" s="62" t="n"/>
      <c r="AB495" s="62" t="n"/>
      <c r="AC495" s="62" t="n"/>
      <c r="AD495" s="62" t="n"/>
      <c r="AE495" s="62" t="n"/>
      <c r="AF495" s="61">
        <f>IF(COUNTIF($B$5:B495,B495)=1,1,0)</f>
        <v/>
      </c>
      <c r="AG495" s="62" t="inlineStr">
        <is>
          <t>https://www.eltiempo.com/opinion/editorial/minimo-de-discusion-3513132</t>
        </is>
      </c>
    </row>
    <row r="496">
      <c r="A496" s="62" t="inlineStr">
        <is>
          <t>ART_511</t>
        </is>
      </c>
      <c r="B496" s="62" t="inlineStr">
        <is>
          <t>ART_511_S04</t>
        </is>
      </c>
      <c r="C496" s="62" t="inlineStr">
        <is>
          <t>El Tiempo</t>
        </is>
      </c>
      <c r="D496" s="62" t="inlineStr">
        <is>
          <t>Economía y negocios</t>
        </is>
      </c>
      <c r="E496" s="62" t="inlineStr">
        <is>
          <t>Opinión-análisis</t>
        </is>
      </c>
      <c r="F496" s="62" t="inlineStr">
        <is>
          <t>2025-11-30T22:00:00-05:00</t>
        </is>
      </c>
      <c r="G496" s="62" t="inlineStr">
        <is>
          <t>En años recientes, los aumentos del salario mínimo han crecido de forma sostenida varios puntos por encima de la inflación y de la productividad laboral.</t>
        </is>
      </c>
      <c r="H496" s="62"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I496" s="62" t="inlineStr">
        <is>
          <t>Además, ha sido más evidente que los aspectos técnicos de esta discusión han quedado subordinados a las consideraciones políticas de las respectivas administraciones.</t>
        </is>
      </c>
      <c r="J496" s="62" t="n"/>
      <c r="K496" s="62" t="n"/>
      <c r="L496" s="62" t="n"/>
      <c r="M496" s="62" t="n"/>
      <c r="N496" s="62" t="n"/>
      <c r="O496" s="62" t="n"/>
      <c r="P496" s="62" t="n"/>
      <c r="Q496" s="62" t="n"/>
      <c r="R496" s="62" t="n"/>
      <c r="S496" s="62" t="n"/>
      <c r="T496" s="62" t="n"/>
      <c r="U496" s="62" t="n"/>
      <c r="V496" s="62" t="n"/>
      <c r="W496" s="62" t="n"/>
      <c r="X496" s="62" t="n"/>
      <c r="Y496" s="62" t="n"/>
      <c r="Z496" s="62" t="n"/>
      <c r="AA496" s="62" t="n"/>
      <c r="AB496" s="62" t="n"/>
      <c r="AC496" s="62" t="n"/>
      <c r="AD496" s="62" t="n"/>
      <c r="AE496" s="62" t="n"/>
      <c r="AF496" s="61">
        <f>IF(COUNTIF($B$5:B496,B496)=1,1,0)</f>
        <v/>
      </c>
      <c r="AG496" s="62" t="inlineStr">
        <is>
          <t>https://www.eltiempo.com/opinion/editorial/minimo-de-discusion-3513132</t>
        </is>
      </c>
    </row>
    <row r="497">
      <c r="A497" s="62" t="inlineStr">
        <is>
          <t>ART_511</t>
        </is>
      </c>
      <c r="B497" s="62" t="inlineStr">
        <is>
          <t>ART_511_S05</t>
        </is>
      </c>
      <c r="C497" s="62" t="inlineStr">
        <is>
          <t>El Tiempo</t>
        </is>
      </c>
      <c r="D497" s="62" t="inlineStr">
        <is>
          <t>Economía y negocios</t>
        </is>
      </c>
      <c r="E497" s="62" t="inlineStr">
        <is>
          <t>Opinión-análisis</t>
        </is>
      </c>
      <c r="F497" s="62" t="inlineStr">
        <is>
          <t>2025-11-30T22:00:00-05:00</t>
        </is>
      </c>
      <c r="G497" s="62" t="inlineStr">
        <is>
          <t>Además, ha sido más evidente que los aspectos técnicos de esta discusión han quedado subordinados a las consideraciones políticas de las respectivas administraciones.</t>
        </is>
      </c>
      <c r="H497" s="62" t="inlineStr">
        <is>
          <t>En años recientes, los aumentos del salario mínimo han crecido de forma sostenida varios puntos por encima de la inflación y de la productividad laboral.</t>
        </is>
      </c>
      <c r="I497" s="62" t="inlineStr">
        <is>
          <t>Las consecuencias de estos incrementos se han sentido en las dinámicas de los precios y, junto con otros factores, han ralentizado la senda descendiente del índice de precios al consumidor (IPC) anual.</t>
        </is>
      </c>
      <c r="J497" s="62" t="n"/>
      <c r="K497" s="62" t="n"/>
      <c r="L497" s="62" t="n"/>
      <c r="M497" s="62" t="n"/>
      <c r="N497" s="62" t="n"/>
      <c r="O497" s="62" t="n"/>
      <c r="P497" s="62" t="n"/>
      <c r="Q497" s="62" t="n"/>
      <c r="R497" s="62" t="n"/>
      <c r="S497" s="62" t="n"/>
      <c r="T497" s="62" t="n"/>
      <c r="U497" s="62" t="n"/>
      <c r="V497" s="62" t="n"/>
      <c r="W497" s="62" t="n"/>
      <c r="X497" s="62" t="n"/>
      <c r="Y497" s="62" t="n"/>
      <c r="Z497" s="62" t="n"/>
      <c r="AA497" s="62" t="n"/>
      <c r="AB497" s="62" t="n"/>
      <c r="AC497" s="62" t="n"/>
      <c r="AD497" s="62" t="n"/>
      <c r="AE497" s="62" t="n"/>
      <c r="AF497" s="61">
        <f>IF(COUNTIF($B$5:B497,B497)=1,1,0)</f>
        <v/>
      </c>
      <c r="AG497" s="62" t="inlineStr">
        <is>
          <t>https://www.eltiempo.com/opinion/editorial/minimo-de-discusion-3513132</t>
        </is>
      </c>
    </row>
    <row r="498">
      <c r="A498" s="62" t="inlineStr">
        <is>
          <t>ART_511</t>
        </is>
      </c>
      <c r="B498" s="62" t="inlineStr">
        <is>
          <t>ART_511_S06</t>
        </is>
      </c>
      <c r="C498" s="62" t="inlineStr">
        <is>
          <t>El Tiempo</t>
        </is>
      </c>
      <c r="D498" s="62" t="inlineStr">
        <is>
          <t>Economía y negocios</t>
        </is>
      </c>
      <c r="E498" s="62" t="inlineStr">
        <is>
          <t>Opinión-análisis</t>
        </is>
      </c>
      <c r="F498" s="62" t="inlineStr">
        <is>
          <t>2025-11-30T22:00:00-05:00</t>
        </is>
      </c>
      <c r="G498" s="62" t="inlineStr">
        <is>
          <t>Las consecuencias de estos incrementos se han sentido en las dinámicas de los precios y, junto con otros factores, han ralentizado la senda descendiente del índice de precios al consumidor (IPC) anual.</t>
        </is>
      </c>
      <c r="H498" s="62" t="inlineStr">
        <is>
          <t>Además, ha sido más evidente que los aspectos técnicos de esta discusión han quedado subordinados a las consideraciones políticas de las respectivas administraciones.</t>
        </is>
      </c>
      <c r="I498" s="62" t="n"/>
      <c r="J498" s="62" t="n"/>
      <c r="K498" s="62" t="n"/>
      <c r="L498" s="62" t="n"/>
      <c r="M498" s="62" t="n"/>
      <c r="N498" s="62" t="n"/>
      <c r="O498" s="62" t="n"/>
      <c r="P498" s="62" t="n"/>
      <c r="Q498" s="62" t="n"/>
      <c r="R498" s="62" t="n"/>
      <c r="S498" s="62" t="n"/>
      <c r="T498" s="62" t="n"/>
      <c r="U498" s="62" t="n"/>
      <c r="V498" s="62" t="n"/>
      <c r="W498" s="62" t="n"/>
      <c r="X498" s="62" t="n"/>
      <c r="Y498" s="62" t="n"/>
      <c r="Z498" s="62" t="n"/>
      <c r="AA498" s="62" t="n"/>
      <c r="AB498" s="62" t="n"/>
      <c r="AC498" s="62" t="n"/>
      <c r="AD498" s="62" t="n"/>
      <c r="AE498" s="62" t="n"/>
      <c r="AF498" s="61">
        <f>IF(COUNTIF($B$5:B498,B498)=1,1,0)</f>
        <v/>
      </c>
      <c r="AG498" s="62" t="inlineStr">
        <is>
          <t>https://www.eltiempo.com/opinion/editorial/minimo-de-discusion-3513132</t>
        </is>
      </c>
    </row>
    <row r="499">
      <c r="A499" s="62" t="inlineStr">
        <is>
          <t>ART_004</t>
        </is>
      </c>
      <c r="B499" s="62" t="inlineStr">
        <is>
          <t>ART_004_S01</t>
        </is>
      </c>
      <c r="C499" s="62" t="inlineStr">
        <is>
          <t>Infobae Colombia</t>
        </is>
      </c>
      <c r="D499" s="62" t="inlineStr">
        <is>
          <t>Política</t>
        </is>
      </c>
      <c r="E499" s="62" t="inlineStr">
        <is>
          <t>Noticia dura</t>
        </is>
      </c>
      <c r="F499" s="62" t="inlineStr">
        <is>
          <t>Fri, 04 Sep 2026 02:29:45 +0000</t>
        </is>
      </c>
      <c r="G499" s="62"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H499" s="62" t="n"/>
      <c r="I499" s="62" t="n"/>
      <c r="J499" s="62" t="n"/>
      <c r="K499" s="62" t="n"/>
      <c r="L499" s="62" t="n"/>
      <c r="M499" s="62" t="n"/>
      <c r="N499" s="62" t="n"/>
      <c r="O499" s="62" t="n"/>
      <c r="P499" s="62" t="n"/>
      <c r="Q499" s="62" t="n"/>
      <c r="R499" s="62" t="n"/>
      <c r="S499" s="62" t="n"/>
      <c r="T499" s="62" t="n"/>
      <c r="U499" s="62" t="n"/>
      <c r="V499" s="62" t="n"/>
      <c r="W499" s="62" t="n"/>
      <c r="X499" s="62" t="n"/>
      <c r="Y499" s="62" t="n"/>
      <c r="Z499" s="62" t="n"/>
      <c r="AA499" s="62" t="n"/>
      <c r="AB499" s="62" t="n"/>
      <c r="AC499" s="62" t="n"/>
      <c r="AD499" s="62" t="n"/>
      <c r="AE499" s="62" t="n"/>
      <c r="AF499" s="61">
        <f>IF(COUNTIF($B$5:B499,B499)=1,1,0)</f>
        <v/>
      </c>
      <c r="AG499" s="62" t="inlineStr">
        <is>
          <t>https://www.infobae.com/colombia/2026/09/04/accionante-que-logro-que-un-juzgado-frenara-bombardeos-por-presencia-de-menores-explico-el-alcance-de-su-tutela-se-deben-proteger/</t>
        </is>
      </c>
    </row>
    <row r="500">
      <c r="A500" s="62" t="inlineStr">
        <is>
          <t>ART_005</t>
        </is>
      </c>
      <c r="B500" s="62" t="inlineStr">
        <is>
          <t>ART_005_S01</t>
        </is>
      </c>
      <c r="C500" s="62" t="inlineStr">
        <is>
          <t>El Tiempo</t>
        </is>
      </c>
      <c r="D500" s="62" t="inlineStr">
        <is>
          <t>Política</t>
        </is>
      </c>
      <c r="E500" s="62" t="inlineStr">
        <is>
          <t>Noticia dura</t>
        </is>
      </c>
      <c r="F500" s="62" t="inlineStr">
        <is>
          <t>2026-09-04T16:36:43-05:00</t>
        </is>
      </c>
      <c r="G500" s="62" t="inlineStr">
        <is>
          <t>La decisión de la Alianza Verde de declararse como partido independiente al gobierno de Abelardo De La Espriella ha generado polémica.</t>
        </is>
      </c>
      <c r="H500" s="62" t="n"/>
      <c r="I500" s="62" t="n"/>
      <c r="J500" s="62" t="n"/>
      <c r="K500" s="62" t="n"/>
      <c r="L500" s="62" t="n"/>
      <c r="M500" s="62" t="n"/>
      <c r="N500" s="62" t="n"/>
      <c r="O500" s="62" t="n"/>
      <c r="P500" s="62" t="n"/>
      <c r="Q500" s="62" t="n"/>
      <c r="R500" s="62" t="n"/>
      <c r="S500" s="62" t="n"/>
      <c r="T500" s="62" t="n"/>
      <c r="U500" s="62" t="n"/>
      <c r="V500" s="62" t="n"/>
      <c r="W500" s="62" t="n"/>
      <c r="X500" s="62" t="n"/>
      <c r="Y500" s="62" t="n"/>
      <c r="Z500" s="62" t="n"/>
      <c r="AA500" s="62" t="n"/>
      <c r="AB500" s="62" t="n"/>
      <c r="AC500" s="62" t="n"/>
      <c r="AD500" s="62" t="n"/>
      <c r="AE500" s="62" t="n"/>
      <c r="AF500" s="61">
        <f>IF(COUNTIF($B$5:B500,B500)=1,1,0)</f>
        <v/>
      </c>
      <c r="AG500" s="62" t="inlineStr">
        <is>
          <t>https://www.eltiempo.com/politica/partidos-politicos/las-movidas-detras-de-la-declaratoria-de-la-alianza-verde-como-partido-independiente-al-gobierno-de-abelardo-de-la-espriella-3583710</t>
        </is>
      </c>
    </row>
    <row r="501">
      <c r="A501" s="62" t="inlineStr">
        <is>
          <t>ART_009</t>
        </is>
      </c>
      <c r="B501" s="62" t="inlineStr">
        <is>
          <t>ART_009_S01</t>
        </is>
      </c>
      <c r="C501" s="62" t="inlineStr">
        <is>
          <t>El Tiempo</t>
        </is>
      </c>
      <c r="D501" s="62" t="inlineStr">
        <is>
          <t>Política</t>
        </is>
      </c>
      <c r="E501" s="62" t="inlineStr">
        <is>
          <t>Noticia dura</t>
        </is>
      </c>
      <c r="F501" s="62" t="inlineStr">
        <is>
          <t>2026-09-04T07:46:26-05:00</t>
        </is>
      </c>
      <c r="G501" s="62" t="inlineStr">
        <is>
          <t>Washington y Nueva York serán los dos escenarios que marcarán el ritmo de la política exterior del gobierno de Abelardo De La Espriella.</t>
        </is>
      </c>
      <c r="H501" s="62" t="n"/>
      <c r="I501" s="62" t="n"/>
      <c r="J501" s="62" t="n"/>
      <c r="K501" s="62" t="n"/>
      <c r="L501" s="62" t="n"/>
      <c r="M501" s="62" t="n"/>
      <c r="N501" s="62" t="n"/>
      <c r="O501" s="62" t="n"/>
      <c r="P501" s="62" t="n"/>
      <c r="Q501" s="62" t="n"/>
      <c r="R501" s="62" t="n"/>
      <c r="S501" s="62" t="n"/>
      <c r="T501" s="62" t="n"/>
      <c r="U501" s="62" t="n"/>
      <c r="V501" s="62" t="n"/>
      <c r="W501" s="62" t="n"/>
      <c r="X501" s="62" t="n"/>
      <c r="Y501" s="62" t="n"/>
      <c r="Z501" s="62" t="n"/>
      <c r="AA501" s="62" t="n"/>
      <c r="AB501" s="62" t="n"/>
      <c r="AC501" s="62" t="n"/>
      <c r="AD501" s="62" t="n"/>
      <c r="AE501" s="62" t="n"/>
      <c r="AF501" s="61">
        <f>IF(COUNTIF($B$5:B501,B501)=1,1,0)</f>
        <v/>
      </c>
      <c r="AG501" s="62" t="inlineStr">
        <is>
          <t>https://www.eltiempo.com/politica/gobierno/embajadores-ante-ee-uu-y-naciones-unidas-se-preparan-para-asumir-los-destinos-clave-para-la-diplomacia-del-presidente-abelardo-de-la-espriella-3583494</t>
        </is>
      </c>
    </row>
    <row r="502">
      <c r="A502" s="62" t="inlineStr">
        <is>
          <t>ART_013</t>
        </is>
      </c>
      <c r="B502" s="62" t="inlineStr">
        <is>
          <t>ART_013_S01</t>
        </is>
      </c>
      <c r="C502" s="62" t="inlineStr">
        <is>
          <t>La Silla Vacía</t>
        </is>
      </c>
      <c r="D502" s="62" t="inlineStr">
        <is>
          <t>Política</t>
        </is>
      </c>
      <c r="E502" s="62" t="inlineStr">
        <is>
          <t>Opinión-análisis</t>
        </is>
      </c>
      <c r="F502" s="62" t="inlineStr">
        <is>
          <t>Fri, 04 Sep 2026 19:00:00 +0000</t>
        </is>
      </c>
      <c r="G502" s="62" t="inlineStr">
        <is>
          <t>Esta disminución sí es de este gobierno y ninguna corrección aritmética lo borra.</t>
        </is>
      </c>
      <c r="H502" s="62" t="n"/>
      <c r="I502" s="62" t="n"/>
      <c r="J502" s="62" t="n"/>
      <c r="K502" s="62" t="n"/>
      <c r="L502" s="62" t="n"/>
      <c r="M502" s="62" t="n"/>
      <c r="N502" s="62" t="n"/>
      <c r="O502" s="62" t="n"/>
      <c r="P502" s="62" t="n"/>
      <c r="Q502" s="62" t="n"/>
      <c r="R502" s="62" t="n"/>
      <c r="S502" s="62" t="n"/>
      <c r="T502" s="62" t="n"/>
      <c r="U502" s="62" t="n"/>
      <c r="V502" s="62" t="n"/>
      <c r="W502" s="62" t="n"/>
      <c r="X502" s="62" t="n"/>
      <c r="Y502" s="62" t="n"/>
      <c r="Z502" s="62" t="n"/>
      <c r="AA502" s="62" t="n"/>
      <c r="AB502" s="62" t="n"/>
      <c r="AC502" s="62" t="n"/>
      <c r="AD502" s="62" t="n"/>
      <c r="AE502" s="62" t="n"/>
      <c r="AF502" s="61">
        <f>IF(COUNTIF($B$5:B502,B502)=1,1,0)</f>
        <v/>
      </c>
      <c r="AG502" s="62" t="inlineStr">
        <is>
          <t>https://www.lasillavacia.com/red-de-expertos/red-social/el-presupuesto-de-cultura-bajo-pero-no-por-la-cifra-que-dicen/</t>
        </is>
      </c>
    </row>
    <row r="503">
      <c r="A503" s="62" t="inlineStr">
        <is>
          <t>ART_021</t>
        </is>
      </c>
      <c r="B503" s="62" t="inlineStr">
        <is>
          <t>ART_021_S01</t>
        </is>
      </c>
      <c r="C503" s="62" t="inlineStr">
        <is>
          <t>La Silla Vacía</t>
        </is>
      </c>
      <c r="D503" s="62" t="inlineStr">
        <is>
          <t>Política</t>
        </is>
      </c>
      <c r="E503" s="62" t="inlineStr">
        <is>
          <t>Noticia dura</t>
        </is>
      </c>
      <c r="F503" s="62" t="inlineStr">
        <is>
          <t>Wed, 26 Aug 2026 00:50:09 +0000</t>
        </is>
      </c>
      <c r="G503" s="62" t="inlineStr">
        <is>
          <t>Con una votación de 7 a 1, la Corte Constitucional avaló la mayoría del articulado de la reforma pensional del gobierno de Gustavo Petro, pero le pidió a la Cámara discutir —en un plazo de 30 días— nueve proposiciones puntuales y un artículo nuevo.</t>
        </is>
      </c>
      <c r="H503" s="62" t="n"/>
      <c r="I503" s="62" t="n"/>
      <c r="J503" s="62" t="n"/>
      <c r="K503" s="62" t="n"/>
      <c r="L503" s="62" t="n"/>
      <c r="M503" s="62" t="n"/>
      <c r="N503" s="62" t="n"/>
      <c r="O503" s="62" t="n"/>
      <c r="P503" s="62" t="n"/>
      <c r="Q503" s="62" t="n"/>
      <c r="R503" s="62" t="n"/>
      <c r="S503" s="62" t="n"/>
      <c r="T503" s="62" t="n"/>
      <c r="U503" s="62" t="n"/>
      <c r="V503" s="62" t="n"/>
      <c r="W503" s="62" t="n"/>
      <c r="X503" s="62" t="n"/>
      <c r="Y503" s="62" t="n"/>
      <c r="Z503" s="62" t="n"/>
      <c r="AA503" s="62" t="n"/>
      <c r="AB503" s="62" t="n"/>
      <c r="AC503" s="62" t="n"/>
      <c r="AD503" s="62" t="n"/>
      <c r="AE503" s="62" t="n"/>
      <c r="AF503" s="61">
        <f>IF(COUNTIF($B$5:B503,B503)=1,1,0)</f>
        <v/>
      </c>
      <c r="AG503" s="62" t="inlineStr">
        <is>
          <t>https://www.lasillavacia.com/en-vivo/reforma-pensional-corte-avala-90-articulos-y-devuelve-9-a-la-camara/</t>
        </is>
      </c>
    </row>
    <row r="504">
      <c r="A504" s="62" t="inlineStr">
        <is>
          <t>ART_022</t>
        </is>
      </c>
      <c r="B504" s="62" t="inlineStr">
        <is>
          <t>ART_022_S01</t>
        </is>
      </c>
      <c r="C504" s="62" t="inlineStr">
        <is>
          <t>La Silla Vacía</t>
        </is>
      </c>
      <c r="D504" s="62" t="inlineStr">
        <is>
          <t>Política</t>
        </is>
      </c>
      <c r="E504" s="62" t="inlineStr">
        <is>
          <t>Noticia dura</t>
        </is>
      </c>
      <c r="F504" s="62" t="inlineStr">
        <is>
          <t>Fri, 26 Dec 2025 05:05:00 +0000</t>
        </is>
      </c>
      <c r="G504" s="62" t="inlineStr">
        <is>
          <t>A la impredictibilidad del presidente Gustavo Petro se sumó el inmenso cambio en el equilibrio de poder mundial producido por la llegada de Donald Trump a la Casa Blanca.</t>
        </is>
      </c>
      <c r="H504" s="62" t="n"/>
      <c r="I504" s="62" t="n"/>
      <c r="J504" s="62" t="n"/>
      <c r="K504" s="62" t="n"/>
      <c r="L504" s="62" t="n"/>
      <c r="M504" s="62" t="n"/>
      <c r="N504" s="62" t="n"/>
      <c r="O504" s="62" t="n"/>
      <c r="P504" s="62" t="n"/>
      <c r="Q504" s="62" t="n"/>
      <c r="R504" s="62" t="n"/>
      <c r="S504" s="62" t="n"/>
      <c r="T504" s="62" t="n"/>
      <c r="U504" s="62" t="n"/>
      <c r="V504" s="62" t="n"/>
      <c r="W504" s="62" t="n"/>
      <c r="X504" s="62" t="n"/>
      <c r="Y504" s="62" t="n"/>
      <c r="Z504" s="62" t="n"/>
      <c r="AA504" s="62" t="n"/>
      <c r="AB504" s="62" t="n"/>
      <c r="AC504" s="62" t="n"/>
      <c r="AD504" s="62" t="n"/>
      <c r="AE504" s="62" t="n"/>
      <c r="AF504" s="61">
        <f>IF(COUNTIF($B$5:B504,B504)=1,1,0)</f>
        <v/>
      </c>
      <c r="AG504" s="62" t="inlineStr">
        <is>
          <t>https://www.lasillavacia.com/silla-nacional/asi-se-transformo-el-poder-en-colombia-en-2025/</t>
        </is>
      </c>
    </row>
    <row r="505">
      <c r="A505" s="62" t="inlineStr">
        <is>
          <t>ART_023</t>
        </is>
      </c>
      <c r="B505" s="62" t="inlineStr">
        <is>
          <t>ART_023_S01</t>
        </is>
      </c>
      <c r="C505" s="62" t="inlineStr">
        <is>
          <t>La Silla Vacía</t>
        </is>
      </c>
      <c r="D505" s="62" t="inlineStr">
        <is>
          <t>Política</t>
        </is>
      </c>
      <c r="E505" s="62" t="inlineStr">
        <is>
          <t>Opinión-análisis</t>
        </is>
      </c>
      <c r="F505" s="62" t="inlineStr">
        <is>
          <t>Thu, 03 Sep 2026 21:00:00 +0000</t>
        </is>
      </c>
      <c r="G505" s="62" t="inlineStr">
        <is>
          <t>Una política de seguridad no debería preguntarse únicamente cuántos fueron capturados o abatidos hoy, sino cuánta capacidad criminal dejó de existir.</t>
        </is>
      </c>
      <c r="H505" s="62" t="n"/>
      <c r="I505" s="62" t="n"/>
      <c r="J505" s="62" t="n"/>
      <c r="K505" s="62" t="n"/>
      <c r="L505" s="62" t="n"/>
      <c r="M505" s="62" t="n"/>
      <c r="N505" s="62" t="n"/>
      <c r="O505" s="62" t="n"/>
      <c r="P505" s="62" t="n"/>
      <c r="Q505" s="62" t="n"/>
      <c r="R505" s="62" t="n"/>
      <c r="S505" s="62" t="n"/>
      <c r="T505" s="62" t="n"/>
      <c r="U505" s="62" t="n"/>
      <c r="V505" s="62" t="n"/>
      <c r="W505" s="62" t="n"/>
      <c r="X505" s="62" t="n"/>
      <c r="Y505" s="62" t="n"/>
      <c r="Z505" s="62" t="n"/>
      <c r="AA505" s="62" t="n"/>
      <c r="AB505" s="62" t="n"/>
      <c r="AC505" s="62" t="n"/>
      <c r="AD505" s="62" t="n"/>
      <c r="AE505" s="62" t="n"/>
      <c r="AF505" s="61">
        <f>IF(COUNTIF($B$5:B505,B505)=1,1,0)</f>
        <v/>
      </c>
      <c r="AG505" s="62" t="inlineStr">
        <is>
          <t>https://www.lasillavacia.com/red-de-expertos/red-de-la-paz/contar-capturas-y-bajas-no-mide-la-seguridad-en-colombia/</t>
        </is>
      </c>
    </row>
    <row r="506">
      <c r="A506" s="62" t="inlineStr">
        <is>
          <t>ART_548</t>
        </is>
      </c>
      <c r="B506" s="62" t="inlineStr">
        <is>
          <t>ART_548_S01</t>
        </is>
      </c>
      <c r="C506" s="62" t="inlineStr">
        <is>
          <t>La Silla Vacía</t>
        </is>
      </c>
      <c r="D506" s="62" t="inlineStr">
        <is>
          <t>Medio ambiente</t>
        </is>
      </c>
      <c r="E506" s="62" t="inlineStr">
        <is>
          <t>Opinión-análisis</t>
        </is>
      </c>
      <c r="F506" s="62" t="inlineStr">
        <is>
          <t>2025-08-05T18:00:00+00:00</t>
        </is>
      </c>
      <c r="G506" s="62" t="inlineStr">
        <is>
          <t>El Páramo de Santurbán es uno de los escenarios más evidentes de la tensión entre desarrollo y justicia ambiental en Colombia.</t>
        </is>
      </c>
      <c r="H506" s="62" t="n"/>
      <c r="I506" s="62" t="n"/>
      <c r="J506" s="62" t="n"/>
      <c r="K506" s="62" t="n"/>
      <c r="L506" s="62" t="n"/>
      <c r="M506" s="62" t="n"/>
      <c r="N506" s="62" t="n"/>
      <c r="O506" s="62" t="n"/>
      <c r="P506" s="62" t="n"/>
      <c r="Q506" s="62" t="n"/>
      <c r="R506" s="62" t="n"/>
      <c r="S506" s="62" t="n"/>
      <c r="T506" s="62" t="n"/>
      <c r="U506" s="62" t="n"/>
      <c r="V506" s="62" t="n"/>
      <c r="W506" s="62" t="n"/>
      <c r="X506" s="62" t="n"/>
      <c r="Y506" s="62" t="n"/>
      <c r="Z506" s="62" t="n"/>
      <c r="AA506" s="62" t="n"/>
      <c r="AB506" s="62" t="n"/>
      <c r="AC506" s="62" t="n"/>
      <c r="AD506" s="62" t="n"/>
      <c r="AE506" s="62" t="n"/>
      <c r="AF506" s="61">
        <f>IF(COUNTIF($B$5:B506,B506)=1,1,0)</f>
        <v/>
      </c>
      <c r="AG506" s="62" t="inlineStr">
        <is>
          <t>https://www.lasillavacia.com/red-de-expertos/red-rural/el-enredo-juridico-en-el-paramo-de-santurban-no-permite-accion/</t>
        </is>
      </c>
    </row>
    <row r="507">
      <c r="A507" s="62" t="inlineStr">
        <is>
          <t>ART_549</t>
        </is>
      </c>
      <c r="B507" s="62" t="inlineStr">
        <is>
          <t>ART_549_S01</t>
        </is>
      </c>
      <c r="C507" s="62" t="inlineStr">
        <is>
          <t>Infobae Colombia</t>
        </is>
      </c>
      <c r="D507" s="62" t="inlineStr">
        <is>
          <t>Deportes</t>
        </is>
      </c>
      <c r="E507" s="62" t="inlineStr">
        <is>
          <t>Noticia dura</t>
        </is>
      </c>
      <c r="F507" s="62" t="inlineStr">
        <is>
          <t>2026-07-24T21:56:30Z</t>
        </is>
      </c>
      <c r="G507" s="62" t="inlineStr">
        <is>
          <t>La selección Colombia empezará pronto su nuevo proceso hacia el Mundial 2030 de España, Portugal y Marruecos, luego de que se renovara el contrato del técnico Néstor Lorenzo y, en los próximos días, arrancará el trabajo para definir el equipo con el que irá a los amistosos de septiembre y octubre.</t>
        </is>
      </c>
      <c r="H507" s="62" t="inlineStr"/>
      <c r="I507" s="62" t="inlineStr"/>
      <c r="J507" s="62" t="n"/>
      <c r="K507" s="62" t="n"/>
      <c r="L507" s="62" t="n"/>
      <c r="M507" s="62" t="n"/>
      <c r="N507" s="62" t="n"/>
      <c r="O507" s="62" t="n"/>
      <c r="P507" s="62" t="n"/>
      <c r="Q507" s="62" t="n"/>
      <c r="R507" s="62" t="n"/>
      <c r="S507" s="62" t="n"/>
      <c r="T507" s="62" t="n"/>
      <c r="U507" s="62" t="n"/>
      <c r="V507" s="62" t="n"/>
      <c r="W507" s="62" t="n"/>
      <c r="X507" s="62" t="n"/>
      <c r="Y507" s="62" t="n"/>
      <c r="Z507" s="62" t="n"/>
      <c r="AA507" s="62" t="n"/>
      <c r="AB507" s="62" t="n"/>
      <c r="AC507" s="62" t="n"/>
      <c r="AD507" s="62" t="n"/>
      <c r="AE507" s="62" t="n"/>
      <c r="AF507" s="61">
        <f>IF(COUNTIF($B$5:B507,B507)=1,1,0)</f>
        <v/>
      </c>
      <c r="AG507" s="62" t="inlineStr">
        <is>
          <t>https://www.infobae.com/colombia/deportes/2026/07/24/nestor-lorenzo-estaria-obligado-a-seguir-con-james-rodriguez-en-la-seleccion-colombia-este-es-el-motivo/</t>
        </is>
      </c>
    </row>
    <row r="508">
      <c r="A508" s="62" t="n"/>
      <c r="B508" s="62" t="n"/>
      <c r="C508" s="62" t="n"/>
      <c r="D508" s="62" t="n"/>
      <c r="E508" s="62" t="n"/>
      <c r="F508" s="62" t="n"/>
      <c r="G508" s="62" t="n"/>
      <c r="H508" s="62" t="n"/>
      <c r="I508" s="62" t="n"/>
      <c r="J508" s="62" t="n"/>
      <c r="K508" s="62" t="n"/>
      <c r="L508" s="62" t="n"/>
      <c r="M508" s="62" t="n"/>
      <c r="N508" s="62" t="n"/>
      <c r="O508" s="62" t="n"/>
      <c r="P508" s="62" t="n"/>
      <c r="Q508" s="62" t="n"/>
      <c r="R508" s="62" t="n"/>
      <c r="S508" s="62" t="n"/>
      <c r="T508" s="62" t="n"/>
      <c r="U508" s="62" t="n"/>
      <c r="V508" s="62" t="n"/>
      <c r="W508" s="62" t="n"/>
      <c r="X508" s="62" t="n"/>
      <c r="Y508" s="62" t="n"/>
      <c r="Z508" s="62" t="n"/>
      <c r="AA508" s="62" t="n"/>
      <c r="AB508" s="62" t="n"/>
      <c r="AC508" s="62" t="n"/>
      <c r="AD508" s="62" t="n"/>
      <c r="AE508" s="62" t="n"/>
      <c r="AF508" s="61">
        <f>IF(COUNTIF($B$5:B508,B508)=1,1,0)</f>
        <v/>
      </c>
      <c r="AG508" s="62" t="n"/>
    </row>
    <row r="509">
      <c r="A509" s="62" t="n"/>
      <c r="B509" s="62" t="n"/>
      <c r="C509" s="62" t="n"/>
      <c r="D509" s="62" t="n"/>
      <c r="E509" s="62" t="n"/>
      <c r="F509" s="62" t="n"/>
      <c r="G509" s="62" t="n"/>
      <c r="H509" s="62" t="n"/>
      <c r="I509" s="62" t="n"/>
      <c r="J509" s="62" t="n"/>
      <c r="K509" s="62" t="n"/>
      <c r="L509" s="62" t="n"/>
      <c r="M509" s="62" t="n"/>
      <c r="N509" s="62" t="n"/>
      <c r="O509" s="62" t="n"/>
      <c r="P509" s="62" t="n"/>
      <c r="Q509" s="62" t="n"/>
      <c r="R509" s="62" t="n"/>
      <c r="S509" s="62" t="n"/>
      <c r="T509" s="62" t="n"/>
      <c r="U509" s="62" t="n"/>
      <c r="V509" s="62" t="n"/>
      <c r="W509" s="62" t="n"/>
      <c r="X509" s="62" t="n"/>
      <c r="Y509" s="62" t="n"/>
      <c r="Z509" s="62" t="n"/>
      <c r="AA509" s="62" t="n"/>
      <c r="AB509" s="62" t="n"/>
      <c r="AC509" s="62" t="n"/>
      <c r="AD509" s="62" t="n"/>
      <c r="AE509" s="62" t="n"/>
      <c r="AF509" s="61">
        <f>IF(COUNTIF($B$5:B509,B509)=1,1,0)</f>
        <v/>
      </c>
      <c r="AG509" s="62" t="n"/>
    </row>
    <row r="510">
      <c r="A510" s="62" t="n"/>
      <c r="B510" s="62" t="n"/>
      <c r="C510" s="62" t="n"/>
      <c r="D510" s="62" t="n"/>
      <c r="E510" s="62" t="n"/>
      <c r="F510" s="62" t="n"/>
      <c r="G510" s="62" t="n"/>
      <c r="H510" s="62" t="n"/>
      <c r="I510" s="62" t="n"/>
      <c r="J510" s="62" t="n"/>
      <c r="K510" s="62" t="n"/>
      <c r="L510" s="62" t="n"/>
      <c r="M510" s="62" t="n"/>
      <c r="N510" s="62" t="n"/>
      <c r="O510" s="62" t="n"/>
      <c r="P510" s="62" t="n"/>
      <c r="Q510" s="62" t="n"/>
      <c r="R510" s="62" t="n"/>
      <c r="S510" s="62" t="n"/>
      <c r="T510" s="62" t="n"/>
      <c r="U510" s="62" t="n"/>
      <c r="V510" s="62" t="n"/>
      <c r="W510" s="62" t="n"/>
      <c r="X510" s="62" t="n"/>
      <c r="Y510" s="62" t="n"/>
      <c r="Z510" s="62" t="n"/>
      <c r="AA510" s="62" t="n"/>
      <c r="AB510" s="62" t="n"/>
      <c r="AC510" s="62" t="n"/>
      <c r="AD510" s="62" t="n"/>
      <c r="AE510" s="62" t="n"/>
      <c r="AF510" s="61">
        <f>IF(COUNTIF($B$5:B510,B510)=1,1,0)</f>
        <v/>
      </c>
      <c r="AG510" s="62" t="n"/>
    </row>
    <row r="511">
      <c r="A511" s="62" t="n"/>
      <c r="B511" s="62" t="n"/>
      <c r="C511" s="62" t="n"/>
      <c r="D511" s="62" t="n"/>
      <c r="E511" s="62" t="n"/>
      <c r="F511" s="62" t="n"/>
      <c r="G511" s="62" t="n"/>
      <c r="H511" s="62" t="n"/>
      <c r="I511" s="62" t="n"/>
      <c r="J511" s="62" t="n"/>
      <c r="K511" s="62" t="n"/>
      <c r="L511" s="62" t="n"/>
      <c r="M511" s="62" t="n"/>
      <c r="N511" s="62" t="n"/>
      <c r="O511" s="62" t="n"/>
      <c r="P511" s="62" t="n"/>
      <c r="Q511" s="62" t="n"/>
      <c r="R511" s="62" t="n"/>
      <c r="S511" s="62" t="n"/>
      <c r="T511" s="62" t="n"/>
      <c r="U511" s="62" t="n"/>
      <c r="V511" s="62" t="n"/>
      <c r="W511" s="62" t="n"/>
      <c r="X511" s="62" t="n"/>
      <c r="Y511" s="62" t="n"/>
      <c r="Z511" s="62" t="n"/>
      <c r="AA511" s="62" t="n"/>
      <c r="AB511" s="62" t="n"/>
      <c r="AC511" s="62" t="n"/>
      <c r="AD511" s="62" t="n"/>
      <c r="AE511" s="62" t="n"/>
      <c r="AF511" s="61">
        <f>IF(COUNTIF($B$5:B511,B511)=1,1,0)</f>
        <v/>
      </c>
      <c r="AG511" s="62" t="n"/>
    </row>
    <row r="512">
      <c r="A512" s="62" t="n"/>
      <c r="B512" s="62" t="n"/>
      <c r="C512" s="62" t="n"/>
      <c r="D512" s="62" t="n"/>
      <c r="E512" s="62" t="n"/>
      <c r="F512" s="62" t="n"/>
      <c r="G512" s="62" t="n"/>
      <c r="H512" s="62" t="n"/>
      <c r="I512" s="62" t="n"/>
      <c r="J512" s="62" t="n"/>
      <c r="K512" s="62" t="n"/>
      <c r="L512" s="62" t="n"/>
      <c r="M512" s="62" t="n"/>
      <c r="N512" s="62" t="n"/>
      <c r="O512" s="62" t="n"/>
      <c r="P512" s="62" t="n"/>
      <c r="Q512" s="62" t="n"/>
      <c r="R512" s="62" t="n"/>
      <c r="S512" s="62" t="n"/>
      <c r="T512" s="62" t="n"/>
      <c r="U512" s="62" t="n"/>
      <c r="V512" s="62" t="n"/>
      <c r="W512" s="62" t="n"/>
      <c r="X512" s="62" t="n"/>
      <c r="Y512" s="62" t="n"/>
      <c r="Z512" s="62" t="n"/>
      <c r="AA512" s="62" t="n"/>
      <c r="AB512" s="62" t="n"/>
      <c r="AC512" s="62" t="n"/>
      <c r="AD512" s="62" t="n"/>
      <c r="AE512" s="62" t="n"/>
      <c r="AF512" s="61">
        <f>IF(COUNTIF($B$5:B512,B512)=1,1,0)</f>
        <v/>
      </c>
      <c r="AG512" s="62" t="n"/>
    </row>
    <row r="513">
      <c r="A513" s="62" t="n"/>
      <c r="B513" s="62" t="n"/>
      <c r="C513" s="62" t="n"/>
      <c r="D513" s="62" t="n"/>
      <c r="E513" s="62" t="n"/>
      <c r="F513" s="62" t="n"/>
      <c r="G513" s="62" t="n"/>
      <c r="H513" s="62" t="n"/>
      <c r="I513" s="62" t="n"/>
      <c r="J513" s="62" t="n"/>
      <c r="K513" s="62" t="n"/>
      <c r="L513" s="62" t="n"/>
      <c r="M513" s="62" t="n"/>
      <c r="N513" s="62" t="n"/>
      <c r="O513" s="62" t="n"/>
      <c r="P513" s="62" t="n"/>
      <c r="Q513" s="62" t="n"/>
      <c r="R513" s="62" t="n"/>
      <c r="S513" s="62" t="n"/>
      <c r="T513" s="62" t="n"/>
      <c r="U513" s="62" t="n"/>
      <c r="V513" s="62" t="n"/>
      <c r="W513" s="62" t="n"/>
      <c r="X513" s="62" t="n"/>
      <c r="Y513" s="62" t="n"/>
      <c r="Z513" s="62" t="n"/>
      <c r="AA513" s="62" t="n"/>
      <c r="AB513" s="62" t="n"/>
      <c r="AC513" s="62" t="n"/>
      <c r="AD513" s="62" t="n"/>
      <c r="AE513" s="62" t="n"/>
      <c r="AF513" s="61">
        <f>IF(COUNTIF($B$5:B513,B513)=1,1,0)</f>
        <v/>
      </c>
      <c r="AG513" s="62" t="n"/>
    </row>
    <row r="514">
      <c r="A514" s="62" t="n"/>
      <c r="B514" s="62" t="n"/>
      <c r="C514" s="62" t="n"/>
      <c r="D514" s="62" t="n"/>
      <c r="E514" s="62" t="n"/>
      <c r="F514" s="62" t="n"/>
      <c r="G514" s="62" t="n"/>
      <c r="H514" s="62" t="n"/>
      <c r="I514" s="62" t="n"/>
      <c r="J514" s="62" t="n"/>
      <c r="K514" s="62" t="n"/>
      <c r="L514" s="62" t="n"/>
      <c r="M514" s="62" t="n"/>
      <c r="N514" s="62" t="n"/>
      <c r="O514" s="62" t="n"/>
      <c r="P514" s="62" t="n"/>
      <c r="Q514" s="62" t="n"/>
      <c r="R514" s="62" t="n"/>
      <c r="S514" s="62" t="n"/>
      <c r="T514" s="62" t="n"/>
      <c r="U514" s="62" t="n"/>
      <c r="V514" s="62" t="n"/>
      <c r="W514" s="62" t="n"/>
      <c r="X514" s="62" t="n"/>
      <c r="Y514" s="62" t="n"/>
      <c r="Z514" s="62" t="n"/>
      <c r="AA514" s="62" t="n"/>
      <c r="AB514" s="62" t="n"/>
      <c r="AC514" s="62" t="n"/>
      <c r="AD514" s="62" t="n"/>
      <c r="AE514" s="62" t="n"/>
      <c r="AF514" s="61">
        <f>IF(COUNTIF($B$5:B514,B514)=1,1,0)</f>
        <v/>
      </c>
      <c r="AG514" s="62" t="n"/>
    </row>
    <row r="515">
      <c r="A515" s="62" t="n"/>
      <c r="B515" s="62" t="n"/>
      <c r="C515" s="62" t="n"/>
      <c r="D515" s="62" t="n"/>
      <c r="E515" s="62" t="n"/>
      <c r="F515" s="62" t="n"/>
      <c r="G515" s="62" t="n"/>
      <c r="H515" s="62" t="n"/>
      <c r="I515" s="62" t="n"/>
      <c r="J515" s="62" t="n"/>
      <c r="K515" s="62" t="n"/>
      <c r="L515" s="62" t="n"/>
      <c r="M515" s="62" t="n"/>
      <c r="N515" s="62" t="n"/>
      <c r="O515" s="62" t="n"/>
      <c r="P515" s="62" t="n"/>
      <c r="Q515" s="62" t="n"/>
      <c r="R515" s="62" t="n"/>
      <c r="S515" s="62" t="n"/>
      <c r="T515" s="62" t="n"/>
      <c r="U515" s="62" t="n"/>
      <c r="V515" s="62" t="n"/>
      <c r="W515" s="62" t="n"/>
      <c r="X515" s="62" t="n"/>
      <c r="Y515" s="62" t="n"/>
      <c r="Z515" s="62" t="n"/>
      <c r="AA515" s="62" t="n"/>
      <c r="AB515" s="62" t="n"/>
      <c r="AC515" s="62" t="n"/>
      <c r="AD515" s="62" t="n"/>
      <c r="AE515" s="62" t="n"/>
      <c r="AF515" s="61">
        <f>IF(COUNTIF($B$5:B515,B515)=1,1,0)</f>
        <v/>
      </c>
      <c r="AG515" s="62" t="n"/>
    </row>
    <row r="516">
      <c r="A516" s="62" t="n"/>
      <c r="B516" s="62" t="n"/>
      <c r="C516" s="62" t="n"/>
      <c r="D516" s="62" t="n"/>
      <c r="E516" s="62" t="n"/>
      <c r="F516" s="62" t="n"/>
      <c r="G516" s="62" t="n"/>
      <c r="H516" s="62" t="n"/>
      <c r="I516" s="62" t="n"/>
      <c r="J516" s="62" t="n"/>
      <c r="K516" s="62" t="n"/>
      <c r="L516" s="62" t="n"/>
      <c r="M516" s="62" t="n"/>
      <c r="N516" s="62" t="n"/>
      <c r="O516" s="62" t="n"/>
      <c r="P516" s="62" t="n"/>
      <c r="Q516" s="62" t="n"/>
      <c r="R516" s="62" t="n"/>
      <c r="S516" s="62" t="n"/>
      <c r="T516" s="62" t="n"/>
      <c r="U516" s="62" t="n"/>
      <c r="V516" s="62" t="n"/>
      <c r="W516" s="62" t="n"/>
      <c r="X516" s="62" t="n"/>
      <c r="Y516" s="62" t="n"/>
      <c r="Z516" s="62" t="n"/>
      <c r="AA516" s="62" t="n"/>
      <c r="AB516" s="62" t="n"/>
      <c r="AC516" s="62" t="n"/>
      <c r="AD516" s="62" t="n"/>
      <c r="AE516" s="62" t="n"/>
      <c r="AF516" s="61">
        <f>IF(COUNTIF($B$5:B516,B516)=1,1,0)</f>
        <v/>
      </c>
      <c r="AG516" s="62" t="n"/>
    </row>
    <row r="517">
      <c r="A517" s="62" t="n"/>
      <c r="B517" s="62" t="n"/>
      <c r="C517" s="62" t="n"/>
      <c r="D517" s="62" t="n"/>
      <c r="E517" s="62" t="n"/>
      <c r="F517" s="62" t="n"/>
      <c r="G517" s="62" t="n"/>
      <c r="H517" s="62" t="n"/>
      <c r="I517" s="62" t="n"/>
      <c r="J517" s="62" t="n"/>
      <c r="K517" s="62" t="n"/>
      <c r="L517" s="62" t="n"/>
      <c r="M517" s="62" t="n"/>
      <c r="N517" s="62" t="n"/>
      <c r="O517" s="62" t="n"/>
      <c r="P517" s="62" t="n"/>
      <c r="Q517" s="62" t="n"/>
      <c r="R517" s="62" t="n"/>
      <c r="S517" s="62" t="n"/>
      <c r="T517" s="62" t="n"/>
      <c r="U517" s="62" t="n"/>
      <c r="V517" s="62" t="n"/>
      <c r="W517" s="62" t="n"/>
      <c r="X517" s="62" t="n"/>
      <c r="Y517" s="62" t="n"/>
      <c r="Z517" s="62" t="n"/>
      <c r="AA517" s="62" t="n"/>
      <c r="AB517" s="62" t="n"/>
      <c r="AC517" s="62" t="n"/>
      <c r="AD517" s="62" t="n"/>
      <c r="AE517" s="62" t="n"/>
      <c r="AF517" s="61">
        <f>IF(COUNTIF($B$5:B517,B517)=1,1,0)</f>
        <v/>
      </c>
      <c r="AG517" s="62" t="n"/>
    </row>
    <row r="518">
      <c r="A518" s="62" t="n"/>
      <c r="B518" s="62" t="n"/>
      <c r="C518" s="62" t="n"/>
      <c r="D518" s="62" t="n"/>
      <c r="E518" s="62" t="n"/>
      <c r="F518" s="62" t="n"/>
      <c r="G518" s="62" t="n"/>
      <c r="H518" s="62" t="n"/>
      <c r="I518" s="62" t="n"/>
      <c r="J518" s="62" t="n"/>
      <c r="K518" s="62" t="n"/>
      <c r="L518" s="62" t="n"/>
      <c r="M518" s="62" t="n"/>
      <c r="N518" s="62" t="n"/>
      <c r="O518" s="62" t="n"/>
      <c r="P518" s="62" t="n"/>
      <c r="Q518" s="62" t="n"/>
      <c r="R518" s="62" t="n"/>
      <c r="S518" s="62" t="n"/>
      <c r="T518" s="62" t="n"/>
      <c r="U518" s="62" t="n"/>
      <c r="V518" s="62" t="n"/>
      <c r="W518" s="62" t="n"/>
      <c r="X518" s="62" t="n"/>
      <c r="Y518" s="62" t="n"/>
      <c r="Z518" s="62" t="n"/>
      <c r="AA518" s="62" t="n"/>
      <c r="AB518" s="62" t="n"/>
      <c r="AC518" s="62" t="n"/>
      <c r="AD518" s="62" t="n"/>
      <c r="AE518" s="62" t="n"/>
      <c r="AF518" s="61">
        <f>IF(COUNTIF($B$5:B518,B518)=1,1,0)</f>
        <v/>
      </c>
      <c r="AG518" s="62" t="n"/>
    </row>
    <row r="519">
      <c r="A519" s="62" t="n"/>
      <c r="B519" s="62" t="n"/>
      <c r="C519" s="62" t="n"/>
      <c r="D519" s="62" t="n"/>
      <c r="E519" s="62" t="n"/>
      <c r="F519" s="62" t="n"/>
      <c r="G519" s="62" t="n"/>
      <c r="H519" s="62" t="n"/>
      <c r="I519" s="62" t="n"/>
      <c r="J519" s="62" t="n"/>
      <c r="K519" s="62" t="n"/>
      <c r="L519" s="62" t="n"/>
      <c r="M519" s="62" t="n"/>
      <c r="N519" s="62" t="n"/>
      <c r="O519" s="62" t="n"/>
      <c r="P519" s="62" t="n"/>
      <c r="Q519" s="62" t="n"/>
      <c r="R519" s="62" t="n"/>
      <c r="S519" s="62" t="n"/>
      <c r="T519" s="62" t="n"/>
      <c r="U519" s="62" t="n"/>
      <c r="V519" s="62" t="n"/>
      <c r="W519" s="62" t="n"/>
      <c r="X519" s="62" t="n"/>
      <c r="Y519" s="62" t="n"/>
      <c r="Z519" s="62" t="n"/>
      <c r="AA519" s="62" t="n"/>
      <c r="AB519" s="62" t="n"/>
      <c r="AC519" s="62" t="n"/>
      <c r="AD519" s="62" t="n"/>
      <c r="AE519" s="62" t="n"/>
      <c r="AF519" s="61">
        <f>IF(COUNTIF($B$5:B519,B519)=1,1,0)</f>
        <v/>
      </c>
      <c r="AG519" s="62" t="n"/>
    </row>
    <row r="520">
      <c r="A520" s="62" t="n"/>
      <c r="B520" s="62" t="n"/>
      <c r="C520" s="62" t="n"/>
      <c r="D520" s="62" t="n"/>
      <c r="E520" s="62" t="n"/>
      <c r="F520" s="62" t="n"/>
      <c r="G520" s="62" t="n"/>
      <c r="H520" s="62" t="n"/>
      <c r="I520" s="62" t="n"/>
      <c r="J520" s="62" t="n"/>
      <c r="K520" s="62" t="n"/>
      <c r="L520" s="62" t="n"/>
      <c r="M520" s="62" t="n"/>
      <c r="N520" s="62" t="n"/>
      <c r="O520" s="62" t="n"/>
      <c r="P520" s="62" t="n"/>
      <c r="Q520" s="62" t="n"/>
      <c r="R520" s="62" t="n"/>
      <c r="S520" s="62" t="n"/>
      <c r="T520" s="62" t="n"/>
      <c r="U520" s="62" t="n"/>
      <c r="V520" s="62" t="n"/>
      <c r="W520" s="62" t="n"/>
      <c r="X520" s="62" t="n"/>
      <c r="Y520" s="62" t="n"/>
      <c r="Z520" s="62" t="n"/>
      <c r="AA520" s="62" t="n"/>
      <c r="AB520" s="62" t="n"/>
      <c r="AC520" s="62" t="n"/>
      <c r="AD520" s="62" t="n"/>
      <c r="AE520" s="62" t="n"/>
      <c r="AF520" s="61">
        <f>IF(COUNTIF($B$5:B520,B520)=1,1,0)</f>
        <v/>
      </c>
      <c r="AG520" s="62" t="n"/>
    </row>
    <row r="521">
      <c r="A521" s="62" t="n"/>
      <c r="B521" s="62" t="n"/>
      <c r="C521" s="62" t="n"/>
      <c r="D521" s="62" t="n"/>
      <c r="E521" s="62" t="n"/>
      <c r="F521" s="62" t="n"/>
      <c r="G521" s="62" t="n"/>
      <c r="H521" s="62" t="n"/>
      <c r="I521" s="62" t="n"/>
      <c r="J521" s="62" t="n"/>
      <c r="K521" s="62" t="n"/>
      <c r="L521" s="62" t="n"/>
      <c r="M521" s="62" t="n"/>
      <c r="N521" s="62" t="n"/>
      <c r="O521" s="62" t="n"/>
      <c r="P521" s="62" t="n"/>
      <c r="Q521" s="62" t="n"/>
      <c r="R521" s="62" t="n"/>
      <c r="S521" s="62" t="n"/>
      <c r="T521" s="62" t="n"/>
      <c r="U521" s="62" t="n"/>
      <c r="V521" s="62" t="n"/>
      <c r="W521" s="62" t="n"/>
      <c r="X521" s="62" t="n"/>
      <c r="Y521" s="62" t="n"/>
      <c r="Z521" s="62" t="n"/>
      <c r="AA521" s="62" t="n"/>
      <c r="AB521" s="62" t="n"/>
      <c r="AC521" s="62" t="n"/>
      <c r="AD521" s="62" t="n"/>
      <c r="AE521" s="62" t="n"/>
      <c r="AF521" s="61">
        <f>IF(COUNTIF($B$5:B521,B521)=1,1,0)</f>
        <v/>
      </c>
      <c r="AG521" s="62" t="n"/>
    </row>
    <row r="522">
      <c r="A522" s="62" t="n"/>
      <c r="B522" s="62" t="n"/>
      <c r="C522" s="62" t="n"/>
      <c r="D522" s="62" t="n"/>
      <c r="E522" s="62" t="n"/>
      <c r="F522" s="62" t="n"/>
      <c r="G522" s="62" t="n"/>
      <c r="H522" s="62" t="n"/>
      <c r="I522" s="62" t="n"/>
      <c r="J522" s="62" t="n"/>
      <c r="K522" s="62" t="n"/>
      <c r="L522" s="62" t="n"/>
      <c r="M522" s="62" t="n"/>
      <c r="N522" s="62" t="n"/>
      <c r="O522" s="62" t="n"/>
      <c r="P522" s="62" t="n"/>
      <c r="Q522" s="62" t="n"/>
      <c r="R522" s="62" t="n"/>
      <c r="S522" s="62" t="n"/>
      <c r="T522" s="62" t="n"/>
      <c r="U522" s="62" t="n"/>
      <c r="V522" s="62" t="n"/>
      <c r="W522" s="62" t="n"/>
      <c r="X522" s="62" t="n"/>
      <c r="Y522" s="62" t="n"/>
      <c r="Z522" s="62" t="n"/>
      <c r="AA522" s="62" t="n"/>
      <c r="AB522" s="62" t="n"/>
      <c r="AC522" s="62" t="n"/>
      <c r="AD522" s="62" t="n"/>
      <c r="AE522" s="62" t="n"/>
      <c r="AF522" s="61">
        <f>IF(COUNTIF($B$5:B522,B522)=1,1,0)</f>
        <v/>
      </c>
      <c r="AG522" s="62" t="n"/>
    </row>
    <row r="523">
      <c r="A523" s="62" t="n"/>
      <c r="B523" s="62" t="n"/>
      <c r="C523" s="62" t="n"/>
      <c r="D523" s="62" t="n"/>
      <c r="E523" s="62" t="n"/>
      <c r="F523" s="62" t="n"/>
      <c r="G523" s="62" t="n"/>
      <c r="H523" s="62" t="n"/>
      <c r="I523" s="62" t="n"/>
      <c r="J523" s="62" t="n"/>
      <c r="K523" s="62" t="n"/>
      <c r="L523" s="62" t="n"/>
      <c r="M523" s="62" t="n"/>
      <c r="N523" s="62" t="n"/>
      <c r="O523" s="62" t="n"/>
      <c r="P523" s="62" t="n"/>
      <c r="Q523" s="62" t="n"/>
      <c r="R523" s="62" t="n"/>
      <c r="S523" s="62" t="n"/>
      <c r="T523" s="62" t="n"/>
      <c r="U523" s="62" t="n"/>
      <c r="V523" s="62" t="n"/>
      <c r="W523" s="62" t="n"/>
      <c r="X523" s="62" t="n"/>
      <c r="Y523" s="62" t="n"/>
      <c r="Z523" s="62" t="n"/>
      <c r="AA523" s="62" t="n"/>
      <c r="AB523" s="62" t="n"/>
      <c r="AC523" s="62" t="n"/>
      <c r="AD523" s="62" t="n"/>
      <c r="AE523" s="62" t="n"/>
      <c r="AF523" s="61">
        <f>IF(COUNTIF($B$5:B523,B523)=1,1,0)</f>
        <v/>
      </c>
      <c r="AG523" s="62" t="n"/>
    </row>
    <row r="524">
      <c r="A524" s="62" t="n"/>
      <c r="B524" s="62" t="n"/>
      <c r="C524" s="62" t="n"/>
      <c r="D524" s="62" t="n"/>
      <c r="E524" s="62" t="n"/>
      <c r="F524" s="62" t="n"/>
      <c r="G524" s="62" t="n"/>
      <c r="H524" s="62" t="n"/>
      <c r="I524" s="62" t="n"/>
      <c r="J524" s="62" t="n"/>
      <c r="K524" s="62" t="n"/>
      <c r="L524" s="62" t="n"/>
      <c r="M524" s="62" t="n"/>
      <c r="N524" s="62" t="n"/>
      <c r="O524" s="62" t="n"/>
      <c r="P524" s="62" t="n"/>
      <c r="Q524" s="62" t="n"/>
      <c r="R524" s="62" t="n"/>
      <c r="S524" s="62" t="n"/>
      <c r="T524" s="62" t="n"/>
      <c r="U524" s="62" t="n"/>
      <c r="V524" s="62" t="n"/>
      <c r="W524" s="62" t="n"/>
      <c r="X524" s="62" t="n"/>
      <c r="Y524" s="62" t="n"/>
      <c r="Z524" s="62" t="n"/>
      <c r="AA524" s="62" t="n"/>
      <c r="AB524" s="62" t="n"/>
      <c r="AC524" s="62" t="n"/>
      <c r="AD524" s="62" t="n"/>
      <c r="AE524" s="62" t="n"/>
      <c r="AF524" s="61">
        <f>IF(COUNTIF($B$5:B524,B524)=1,1,0)</f>
        <v/>
      </c>
      <c r="AG524" s="62" t="n"/>
    </row>
    <row r="525">
      <c r="A525" s="62" t="n"/>
      <c r="B525" s="62" t="n"/>
      <c r="C525" s="62" t="n"/>
      <c r="D525" s="62" t="n"/>
      <c r="E525" s="62" t="n"/>
      <c r="F525" s="62" t="n"/>
      <c r="G525" s="62" t="n"/>
      <c r="H525" s="62" t="n"/>
      <c r="I525" s="62" t="n"/>
      <c r="J525" s="62" t="n"/>
      <c r="K525" s="62" t="n"/>
      <c r="L525" s="62" t="n"/>
      <c r="M525" s="62" t="n"/>
      <c r="N525" s="62" t="n"/>
      <c r="O525" s="62" t="n"/>
      <c r="P525" s="62" t="n"/>
      <c r="Q525" s="62" t="n"/>
      <c r="R525" s="62" t="n"/>
      <c r="S525" s="62" t="n"/>
      <c r="T525" s="62" t="n"/>
      <c r="U525" s="62" t="n"/>
      <c r="V525" s="62" t="n"/>
      <c r="W525" s="62" t="n"/>
      <c r="X525" s="62" t="n"/>
      <c r="Y525" s="62" t="n"/>
      <c r="Z525" s="62" t="n"/>
      <c r="AA525" s="62" t="n"/>
      <c r="AB525" s="62" t="n"/>
      <c r="AC525" s="62" t="n"/>
      <c r="AD525" s="62" t="n"/>
      <c r="AE525" s="62" t="n"/>
      <c r="AF525" s="61">
        <f>IF(COUNTIF($B$5:B525,B525)=1,1,0)</f>
        <v/>
      </c>
      <c r="AG525" s="62" t="n"/>
    </row>
    <row r="526">
      <c r="A526" s="62" t="n"/>
      <c r="B526" s="62" t="n"/>
      <c r="C526" s="62" t="n"/>
      <c r="D526" s="62" t="n"/>
      <c r="E526" s="62" t="n"/>
      <c r="F526" s="62" t="n"/>
      <c r="G526" s="62" t="n"/>
      <c r="H526" s="62" t="n"/>
      <c r="I526" s="62" t="n"/>
      <c r="J526" s="62" t="n"/>
      <c r="K526" s="62" t="n"/>
      <c r="L526" s="62" t="n"/>
      <c r="M526" s="62" t="n"/>
      <c r="N526" s="62" t="n"/>
      <c r="O526" s="62" t="n"/>
      <c r="P526" s="62" t="n"/>
      <c r="Q526" s="62" t="n"/>
      <c r="R526" s="62" t="n"/>
      <c r="S526" s="62" t="n"/>
      <c r="T526" s="62" t="n"/>
      <c r="U526" s="62" t="n"/>
      <c r="V526" s="62" t="n"/>
      <c r="W526" s="62" t="n"/>
      <c r="X526" s="62" t="n"/>
      <c r="Y526" s="62" t="n"/>
      <c r="Z526" s="62" t="n"/>
      <c r="AA526" s="62" t="n"/>
      <c r="AB526" s="62" t="n"/>
      <c r="AC526" s="62" t="n"/>
      <c r="AD526" s="62" t="n"/>
      <c r="AE526" s="62" t="n"/>
      <c r="AF526" s="61">
        <f>IF(COUNTIF($B$5:B526,B526)=1,1,0)</f>
        <v/>
      </c>
      <c r="AG526" s="62" t="n"/>
    </row>
    <row r="527">
      <c r="A527" s="62" t="n"/>
      <c r="B527" s="62" t="n"/>
      <c r="C527" s="62" t="n"/>
      <c r="D527" s="62" t="n"/>
      <c r="E527" s="62" t="n"/>
      <c r="F527" s="62" t="n"/>
      <c r="G527" s="62" t="n"/>
      <c r="H527" s="62" t="n"/>
      <c r="I527" s="62" t="n"/>
      <c r="J527" s="62" t="n"/>
      <c r="K527" s="62" t="n"/>
      <c r="L527" s="62" t="n"/>
      <c r="M527" s="62" t="n"/>
      <c r="N527" s="62" t="n"/>
      <c r="O527" s="62" t="n"/>
      <c r="P527" s="62" t="n"/>
      <c r="Q527" s="62" t="n"/>
      <c r="R527" s="62" t="n"/>
      <c r="S527" s="62" t="n"/>
      <c r="T527" s="62" t="n"/>
      <c r="U527" s="62" t="n"/>
      <c r="V527" s="62" t="n"/>
      <c r="W527" s="62" t="n"/>
      <c r="X527" s="62" t="n"/>
      <c r="Y527" s="62" t="n"/>
      <c r="Z527" s="62" t="n"/>
      <c r="AA527" s="62" t="n"/>
      <c r="AB527" s="62" t="n"/>
      <c r="AC527" s="62" t="n"/>
      <c r="AD527" s="62" t="n"/>
      <c r="AE527" s="62" t="n"/>
      <c r="AF527" s="61">
        <f>IF(COUNTIF($B$5:B527,B527)=1,1,0)</f>
        <v/>
      </c>
      <c r="AG527" s="62" t="n"/>
    </row>
    <row r="528">
      <c r="A528" s="62" t="n"/>
      <c r="B528" s="62" t="n"/>
      <c r="C528" s="62" t="n"/>
      <c r="D528" s="62" t="n"/>
      <c r="E528" s="62" t="n"/>
      <c r="F528" s="62" t="n"/>
      <c r="G528" s="62" t="n"/>
      <c r="H528" s="62" t="n"/>
      <c r="I528" s="62" t="n"/>
      <c r="J528" s="62" t="n"/>
      <c r="K528" s="62" t="n"/>
      <c r="L528" s="62" t="n"/>
      <c r="M528" s="62" t="n"/>
      <c r="N528" s="62" t="n"/>
      <c r="O528" s="62" t="n"/>
      <c r="P528" s="62" t="n"/>
      <c r="Q528" s="62" t="n"/>
      <c r="R528" s="62" t="n"/>
      <c r="S528" s="62" t="n"/>
      <c r="T528" s="62" t="n"/>
      <c r="U528" s="62" t="n"/>
      <c r="V528" s="62" t="n"/>
      <c r="W528" s="62" t="n"/>
      <c r="X528" s="62" t="n"/>
      <c r="Y528" s="62" t="n"/>
      <c r="Z528" s="62" t="n"/>
      <c r="AA528" s="62" t="n"/>
      <c r="AB528" s="62" t="n"/>
      <c r="AC528" s="62" t="n"/>
      <c r="AD528" s="62" t="n"/>
      <c r="AE528" s="62" t="n"/>
      <c r="AF528" s="61">
        <f>IF(COUNTIF($B$5:B528,B528)=1,1,0)</f>
        <v/>
      </c>
      <c r="AG528" s="62" t="n"/>
    </row>
    <row r="529">
      <c r="A529" s="62" t="n"/>
      <c r="B529" s="62" t="n"/>
      <c r="C529" s="62" t="n"/>
      <c r="D529" s="62" t="n"/>
      <c r="E529" s="62" t="n"/>
      <c r="F529" s="62" t="n"/>
      <c r="G529" s="62" t="n"/>
      <c r="H529" s="62" t="n"/>
      <c r="I529" s="62" t="n"/>
      <c r="J529" s="62" t="n"/>
      <c r="K529" s="62" t="n"/>
      <c r="L529" s="62" t="n"/>
      <c r="M529" s="62" t="n"/>
      <c r="N529" s="62" t="n"/>
      <c r="O529" s="62" t="n"/>
      <c r="P529" s="62" t="n"/>
      <c r="Q529" s="62" t="n"/>
      <c r="R529" s="62" t="n"/>
      <c r="S529" s="62" t="n"/>
      <c r="T529" s="62" t="n"/>
      <c r="U529" s="62" t="n"/>
      <c r="V529" s="62" t="n"/>
      <c r="W529" s="62" t="n"/>
      <c r="X529" s="62" t="n"/>
      <c r="Y529" s="62" t="n"/>
      <c r="Z529" s="62" t="n"/>
      <c r="AA529" s="62" t="n"/>
      <c r="AB529" s="62" t="n"/>
      <c r="AC529" s="62" t="n"/>
      <c r="AD529" s="62" t="n"/>
      <c r="AE529" s="62" t="n"/>
      <c r="AF529" s="61">
        <f>IF(COUNTIF($B$5:B529,B529)=1,1,0)</f>
        <v/>
      </c>
      <c r="AG529" s="62" t="n"/>
    </row>
    <row r="530">
      <c r="A530" s="62" t="n"/>
      <c r="B530" s="62" t="n"/>
      <c r="C530" s="62" t="n"/>
      <c r="D530" s="62" t="n"/>
      <c r="E530" s="62" t="n"/>
      <c r="F530" s="62" t="n"/>
      <c r="G530" s="62" t="n"/>
      <c r="H530" s="62" t="n"/>
      <c r="I530" s="62" t="n"/>
      <c r="J530" s="62" t="n"/>
      <c r="K530" s="62" t="n"/>
      <c r="L530" s="62" t="n"/>
      <c r="M530" s="62" t="n"/>
      <c r="N530" s="62" t="n"/>
      <c r="O530" s="62" t="n"/>
      <c r="P530" s="62" t="n"/>
      <c r="Q530" s="62" t="n"/>
      <c r="R530" s="62" t="n"/>
      <c r="S530" s="62" t="n"/>
      <c r="T530" s="62" t="n"/>
      <c r="U530" s="62" t="n"/>
      <c r="V530" s="62" t="n"/>
      <c r="W530" s="62" t="n"/>
      <c r="X530" s="62" t="n"/>
      <c r="Y530" s="62" t="n"/>
      <c r="Z530" s="62" t="n"/>
      <c r="AA530" s="62" t="n"/>
      <c r="AB530" s="62" t="n"/>
      <c r="AC530" s="62" t="n"/>
      <c r="AD530" s="62" t="n"/>
      <c r="AE530" s="62" t="n"/>
      <c r="AF530" s="61">
        <f>IF(COUNTIF($B$5:B530,B530)=1,1,0)</f>
        <v/>
      </c>
      <c r="AG530" s="62" t="n"/>
    </row>
    <row r="531">
      <c r="A531" s="62" t="n"/>
      <c r="B531" s="62" t="n"/>
      <c r="C531" s="62" t="n"/>
      <c r="D531" s="62" t="n"/>
      <c r="E531" s="62" t="n"/>
      <c r="F531" s="62" t="n"/>
      <c r="G531" s="62" t="n"/>
      <c r="H531" s="62" t="n"/>
      <c r="I531" s="62" t="n"/>
      <c r="J531" s="62" t="n"/>
      <c r="K531" s="62" t="n"/>
      <c r="L531" s="62" t="n"/>
      <c r="M531" s="62" t="n"/>
      <c r="N531" s="62" t="n"/>
      <c r="O531" s="62" t="n"/>
      <c r="P531" s="62" t="n"/>
      <c r="Q531" s="62" t="n"/>
      <c r="R531" s="62" t="n"/>
      <c r="S531" s="62" t="n"/>
      <c r="T531" s="62" t="n"/>
      <c r="U531" s="62" t="n"/>
      <c r="V531" s="62" t="n"/>
      <c r="W531" s="62" t="n"/>
      <c r="X531" s="62" t="n"/>
      <c r="Y531" s="62" t="n"/>
      <c r="Z531" s="62" t="n"/>
      <c r="AA531" s="62" t="n"/>
      <c r="AB531" s="62" t="n"/>
      <c r="AC531" s="62" t="n"/>
      <c r="AD531" s="62" t="n"/>
      <c r="AE531" s="62" t="n"/>
      <c r="AF531" s="61">
        <f>IF(COUNTIF($B$5:B531,B531)=1,1,0)</f>
        <v/>
      </c>
      <c r="AG531" s="62" t="n"/>
    </row>
    <row r="532">
      <c r="A532" s="62" t="n"/>
      <c r="B532" s="62" t="n"/>
      <c r="C532" s="62" t="n"/>
      <c r="D532" s="62" t="n"/>
      <c r="E532" s="62" t="n"/>
      <c r="F532" s="62" t="n"/>
      <c r="G532" s="62" t="n"/>
      <c r="H532" s="62" t="n"/>
      <c r="I532" s="62" t="n"/>
      <c r="J532" s="62" t="n"/>
      <c r="K532" s="62" t="n"/>
      <c r="L532" s="62" t="n"/>
      <c r="M532" s="62" t="n"/>
      <c r="N532" s="62" t="n"/>
      <c r="O532" s="62" t="n"/>
      <c r="P532" s="62" t="n"/>
      <c r="Q532" s="62" t="n"/>
      <c r="R532" s="62" t="n"/>
      <c r="S532" s="62" t="n"/>
      <c r="T532" s="62" t="n"/>
      <c r="U532" s="62" t="n"/>
      <c r="V532" s="62" t="n"/>
      <c r="W532" s="62" t="n"/>
      <c r="X532" s="62" t="n"/>
      <c r="Y532" s="62" t="n"/>
      <c r="Z532" s="62" t="n"/>
      <c r="AA532" s="62" t="n"/>
      <c r="AB532" s="62" t="n"/>
      <c r="AC532" s="62" t="n"/>
      <c r="AD532" s="62" t="n"/>
      <c r="AE532" s="62" t="n"/>
      <c r="AF532" s="61">
        <f>IF(COUNTIF($B$5:B532,B532)=1,1,0)</f>
        <v/>
      </c>
      <c r="AG532" s="62" t="n"/>
    </row>
    <row r="533">
      <c r="A533" s="62" t="n"/>
      <c r="B533" s="62" t="n"/>
      <c r="C533" s="62" t="n"/>
      <c r="D533" s="62" t="n"/>
      <c r="E533" s="62" t="n"/>
      <c r="F533" s="62" t="n"/>
      <c r="G533" s="62" t="n"/>
      <c r="H533" s="62" t="n"/>
      <c r="I533" s="62" t="n"/>
      <c r="J533" s="62" t="n"/>
      <c r="K533" s="62" t="n"/>
      <c r="L533" s="62" t="n"/>
      <c r="M533" s="62" t="n"/>
      <c r="N533" s="62" t="n"/>
      <c r="O533" s="62" t="n"/>
      <c r="P533" s="62" t="n"/>
      <c r="Q533" s="62" t="n"/>
      <c r="R533" s="62" t="n"/>
      <c r="S533" s="62" t="n"/>
      <c r="T533" s="62" t="n"/>
      <c r="U533" s="62" t="n"/>
      <c r="V533" s="62" t="n"/>
      <c r="W533" s="62" t="n"/>
      <c r="X533" s="62" t="n"/>
      <c r="Y533" s="62" t="n"/>
      <c r="Z533" s="62" t="n"/>
      <c r="AA533" s="62" t="n"/>
      <c r="AB533" s="62" t="n"/>
      <c r="AC533" s="62" t="n"/>
      <c r="AD533" s="62" t="n"/>
      <c r="AE533" s="62" t="n"/>
      <c r="AF533" s="61">
        <f>IF(COUNTIF($B$5:B533,B533)=1,1,0)</f>
        <v/>
      </c>
      <c r="AG533" s="62" t="n"/>
    </row>
    <row r="534">
      <c r="A534" s="62" t="n"/>
      <c r="B534" s="62" t="n"/>
      <c r="C534" s="62" t="n"/>
      <c r="D534" s="62" t="n"/>
      <c r="E534" s="62" t="n"/>
      <c r="F534" s="62" t="n"/>
      <c r="G534" s="62" t="n"/>
      <c r="H534" s="62" t="n"/>
      <c r="I534" s="62" t="n"/>
      <c r="J534" s="62" t="n"/>
      <c r="K534" s="62" t="n"/>
      <c r="L534" s="62" t="n"/>
      <c r="M534" s="62" t="n"/>
      <c r="N534" s="62" t="n"/>
      <c r="O534" s="62" t="n"/>
      <c r="P534" s="62" t="n"/>
      <c r="Q534" s="62" t="n"/>
      <c r="R534" s="62" t="n"/>
      <c r="S534" s="62" t="n"/>
      <c r="T534" s="62" t="n"/>
      <c r="U534" s="62" t="n"/>
      <c r="V534" s="62" t="n"/>
      <c r="W534" s="62" t="n"/>
      <c r="X534" s="62" t="n"/>
      <c r="Y534" s="62" t="n"/>
      <c r="Z534" s="62" t="n"/>
      <c r="AA534" s="62" t="n"/>
      <c r="AB534" s="62" t="n"/>
      <c r="AC534" s="62" t="n"/>
      <c r="AD534" s="62" t="n"/>
      <c r="AE534" s="62" t="n"/>
      <c r="AF534" s="61">
        <f>IF(COUNTIF($B$5:B534,B534)=1,1,0)</f>
        <v/>
      </c>
      <c r="AG534" s="62" t="n"/>
    </row>
    <row r="535">
      <c r="A535" s="62" t="n"/>
      <c r="B535" s="62" t="n"/>
      <c r="C535" s="62" t="n"/>
      <c r="D535" s="62" t="n"/>
      <c r="E535" s="62" t="n"/>
      <c r="F535" s="62" t="n"/>
      <c r="G535" s="62" t="n"/>
      <c r="H535" s="62" t="n"/>
      <c r="I535" s="62" t="n"/>
      <c r="J535" s="62" t="n"/>
      <c r="K535" s="62" t="n"/>
      <c r="L535" s="62" t="n"/>
      <c r="M535" s="62" t="n"/>
      <c r="N535" s="62" t="n"/>
      <c r="O535" s="62" t="n"/>
      <c r="P535" s="62" t="n"/>
      <c r="Q535" s="62" t="n"/>
      <c r="R535" s="62" t="n"/>
      <c r="S535" s="62" t="n"/>
      <c r="T535" s="62" t="n"/>
      <c r="U535" s="62" t="n"/>
      <c r="V535" s="62" t="n"/>
      <c r="W535" s="62" t="n"/>
      <c r="X535" s="62" t="n"/>
      <c r="Y535" s="62" t="n"/>
      <c r="Z535" s="62" t="n"/>
      <c r="AA535" s="62" t="n"/>
      <c r="AB535" s="62" t="n"/>
      <c r="AC535" s="62" t="n"/>
      <c r="AD535" s="62" t="n"/>
      <c r="AE535" s="62" t="n"/>
      <c r="AF535" s="61">
        <f>IF(COUNTIF($B$5:B535,B535)=1,1,0)</f>
        <v/>
      </c>
      <c r="AG535" s="62" t="n"/>
    </row>
    <row r="536">
      <c r="A536" s="62" t="n"/>
      <c r="B536" s="62" t="n"/>
      <c r="C536" s="62" t="n"/>
      <c r="D536" s="62" t="n"/>
      <c r="E536" s="62" t="n"/>
      <c r="F536" s="62" t="n"/>
      <c r="G536" s="62" t="n"/>
      <c r="H536" s="62" t="n"/>
      <c r="I536" s="62" t="n"/>
      <c r="J536" s="62" t="n"/>
      <c r="K536" s="62" t="n"/>
      <c r="L536" s="62" t="n"/>
      <c r="M536" s="62" t="n"/>
      <c r="N536" s="62" t="n"/>
      <c r="O536" s="62" t="n"/>
      <c r="P536" s="62" t="n"/>
      <c r="Q536" s="62" t="n"/>
      <c r="R536" s="62" t="n"/>
      <c r="S536" s="62" t="n"/>
      <c r="T536" s="62" t="n"/>
      <c r="U536" s="62" t="n"/>
      <c r="V536" s="62" t="n"/>
      <c r="W536" s="62" t="n"/>
      <c r="X536" s="62" t="n"/>
      <c r="Y536" s="62" t="n"/>
      <c r="Z536" s="62" t="n"/>
      <c r="AA536" s="62" t="n"/>
      <c r="AB536" s="62" t="n"/>
      <c r="AC536" s="62" t="n"/>
      <c r="AD536" s="62" t="n"/>
      <c r="AE536" s="62" t="n"/>
      <c r="AF536" s="61">
        <f>IF(COUNTIF($B$5:B536,B536)=1,1,0)</f>
        <v/>
      </c>
      <c r="AG536" s="62" t="n"/>
    </row>
    <row r="537">
      <c r="A537" s="62" t="n"/>
      <c r="B537" s="62" t="n"/>
      <c r="C537" s="62" t="n"/>
      <c r="D537" s="62" t="n"/>
      <c r="E537" s="62" t="n"/>
      <c r="F537" s="62" t="n"/>
      <c r="G537" s="62" t="n"/>
      <c r="H537" s="62" t="n"/>
      <c r="I537" s="62" t="n"/>
      <c r="J537" s="62" t="n"/>
      <c r="K537" s="62" t="n"/>
      <c r="L537" s="62" t="n"/>
      <c r="M537" s="62" t="n"/>
      <c r="N537" s="62" t="n"/>
      <c r="O537" s="62" t="n"/>
      <c r="P537" s="62" t="n"/>
      <c r="Q537" s="62" t="n"/>
      <c r="R537" s="62" t="n"/>
      <c r="S537" s="62" t="n"/>
      <c r="T537" s="62" t="n"/>
      <c r="U537" s="62" t="n"/>
      <c r="V537" s="62" t="n"/>
      <c r="W537" s="62" t="n"/>
      <c r="X537" s="62" t="n"/>
      <c r="Y537" s="62" t="n"/>
      <c r="Z537" s="62" t="n"/>
      <c r="AA537" s="62" t="n"/>
      <c r="AB537" s="62" t="n"/>
      <c r="AC537" s="62" t="n"/>
      <c r="AD537" s="62" t="n"/>
      <c r="AE537" s="62" t="n"/>
      <c r="AF537" s="61">
        <f>IF(COUNTIF($B$5:B537,B537)=1,1,0)</f>
        <v/>
      </c>
      <c r="AG537" s="62" t="n"/>
    </row>
    <row r="538">
      <c r="A538" s="62" t="n"/>
      <c r="B538" s="62" t="n"/>
      <c r="C538" s="62" t="n"/>
      <c r="D538" s="62" t="n"/>
      <c r="E538" s="62" t="n"/>
      <c r="F538" s="62" t="n"/>
      <c r="G538" s="62" t="n"/>
      <c r="H538" s="62" t="n"/>
      <c r="I538" s="62" t="n"/>
      <c r="J538" s="62" t="n"/>
      <c r="K538" s="62" t="n"/>
      <c r="L538" s="62" t="n"/>
      <c r="M538" s="62" t="n"/>
      <c r="N538" s="62" t="n"/>
      <c r="O538" s="62" t="n"/>
      <c r="P538" s="62" t="n"/>
      <c r="Q538" s="62" t="n"/>
      <c r="R538" s="62" t="n"/>
      <c r="S538" s="62" t="n"/>
      <c r="T538" s="62" t="n"/>
      <c r="U538" s="62" t="n"/>
      <c r="V538" s="62" t="n"/>
      <c r="W538" s="62" t="n"/>
      <c r="X538" s="62" t="n"/>
      <c r="Y538" s="62" t="n"/>
      <c r="Z538" s="62" t="n"/>
      <c r="AA538" s="62" t="n"/>
      <c r="AB538" s="62" t="n"/>
      <c r="AC538" s="62" t="n"/>
      <c r="AD538" s="62" t="n"/>
      <c r="AE538" s="62" t="n"/>
      <c r="AF538" s="61">
        <f>IF(COUNTIF($B$5:B538,B538)=1,1,0)</f>
        <v/>
      </c>
      <c r="AG538" s="62" t="n"/>
    </row>
    <row r="539">
      <c r="A539" s="62" t="n"/>
      <c r="B539" s="62" t="n"/>
      <c r="C539" s="62" t="n"/>
      <c r="D539" s="62" t="n"/>
      <c r="E539" s="62" t="n"/>
      <c r="F539" s="62" t="n"/>
      <c r="G539" s="62" t="n"/>
      <c r="H539" s="62" t="n"/>
      <c r="I539" s="62" t="n"/>
      <c r="J539" s="62" t="n"/>
      <c r="K539" s="62" t="n"/>
      <c r="L539" s="62" t="n"/>
      <c r="M539" s="62" t="n"/>
      <c r="N539" s="62" t="n"/>
      <c r="O539" s="62" t="n"/>
      <c r="P539" s="62" t="n"/>
      <c r="Q539" s="62" t="n"/>
      <c r="R539" s="62" t="n"/>
      <c r="S539" s="62" t="n"/>
      <c r="T539" s="62" t="n"/>
      <c r="U539" s="62" t="n"/>
      <c r="V539" s="62" t="n"/>
      <c r="W539" s="62" t="n"/>
      <c r="X539" s="62" t="n"/>
      <c r="Y539" s="62" t="n"/>
      <c r="Z539" s="62" t="n"/>
      <c r="AA539" s="62" t="n"/>
      <c r="AB539" s="62" t="n"/>
      <c r="AC539" s="62" t="n"/>
      <c r="AD539" s="62" t="n"/>
      <c r="AE539" s="62" t="n"/>
      <c r="AF539" s="61">
        <f>IF(COUNTIF($B$5:B539,B539)=1,1,0)</f>
        <v/>
      </c>
      <c r="AG539" s="62" t="n"/>
    </row>
    <row r="540">
      <c r="A540" s="62" t="n"/>
      <c r="B540" s="62" t="n"/>
      <c r="C540" s="62" t="n"/>
      <c r="D540" s="62" t="n"/>
      <c r="E540" s="62" t="n"/>
      <c r="F540" s="62" t="n"/>
      <c r="G540" s="62" t="n"/>
      <c r="H540" s="62" t="n"/>
      <c r="I540" s="62" t="n"/>
      <c r="J540" s="62" t="n"/>
      <c r="K540" s="62" t="n"/>
      <c r="L540" s="62" t="n"/>
      <c r="M540" s="62" t="n"/>
      <c r="N540" s="62" t="n"/>
      <c r="O540" s="62" t="n"/>
      <c r="P540" s="62" t="n"/>
      <c r="Q540" s="62" t="n"/>
      <c r="R540" s="62" t="n"/>
      <c r="S540" s="62" t="n"/>
      <c r="T540" s="62" t="n"/>
      <c r="U540" s="62" t="n"/>
      <c r="V540" s="62" t="n"/>
      <c r="W540" s="62" t="n"/>
      <c r="X540" s="62" t="n"/>
      <c r="Y540" s="62" t="n"/>
      <c r="Z540" s="62" t="n"/>
      <c r="AA540" s="62" t="n"/>
      <c r="AB540" s="62" t="n"/>
      <c r="AC540" s="62" t="n"/>
      <c r="AD540" s="62" t="n"/>
      <c r="AE540" s="62" t="n"/>
      <c r="AF540" s="61">
        <f>IF(COUNTIF($B$5:B540,B540)=1,1,0)</f>
        <v/>
      </c>
      <c r="AG540" s="62" t="n"/>
    </row>
    <row r="541">
      <c r="A541" s="62" t="n"/>
      <c r="B541" s="62" t="n"/>
      <c r="C541" s="62" t="n"/>
      <c r="D541" s="62" t="n"/>
      <c r="E541" s="62" t="n"/>
      <c r="F541" s="62" t="n"/>
      <c r="G541" s="62" t="n"/>
      <c r="H541" s="62" t="n"/>
      <c r="I541" s="62" t="n"/>
      <c r="J541" s="62" t="n"/>
      <c r="K541" s="62" t="n"/>
      <c r="L541" s="62" t="n"/>
      <c r="M541" s="62" t="n"/>
      <c r="N541" s="62" t="n"/>
      <c r="O541" s="62" t="n"/>
      <c r="P541" s="62" t="n"/>
      <c r="Q541" s="62" t="n"/>
      <c r="R541" s="62" t="n"/>
      <c r="S541" s="62" t="n"/>
      <c r="T541" s="62" t="n"/>
      <c r="U541" s="62" t="n"/>
      <c r="V541" s="62" t="n"/>
      <c r="W541" s="62" t="n"/>
      <c r="X541" s="62" t="n"/>
      <c r="Y541" s="62" t="n"/>
      <c r="Z541" s="62" t="n"/>
      <c r="AA541" s="62" t="n"/>
      <c r="AB541" s="62" t="n"/>
      <c r="AC541" s="62" t="n"/>
      <c r="AD541" s="62" t="n"/>
      <c r="AE541" s="62" t="n"/>
      <c r="AF541" s="61">
        <f>IF(COUNTIF($B$5:B541,B541)=1,1,0)</f>
        <v/>
      </c>
      <c r="AG541" s="62" t="n"/>
    </row>
    <row r="542">
      <c r="A542" s="62" t="n"/>
      <c r="B542" s="62" t="n"/>
      <c r="C542" s="62" t="n"/>
      <c r="D542" s="62" t="n"/>
      <c r="E542" s="62" t="n"/>
      <c r="F542" s="62" t="n"/>
      <c r="G542" s="62" t="n"/>
      <c r="H542" s="62" t="n"/>
      <c r="I542" s="62" t="n"/>
      <c r="J542" s="62" t="n"/>
      <c r="K542" s="62" t="n"/>
      <c r="L542" s="62" t="n"/>
      <c r="M542" s="62" t="n"/>
      <c r="N542" s="62" t="n"/>
      <c r="O542" s="62" t="n"/>
      <c r="P542" s="62" t="n"/>
      <c r="Q542" s="62" t="n"/>
      <c r="R542" s="62" t="n"/>
      <c r="S542" s="62" t="n"/>
      <c r="T542" s="62" t="n"/>
      <c r="U542" s="62" t="n"/>
      <c r="V542" s="62" t="n"/>
      <c r="W542" s="62" t="n"/>
      <c r="X542" s="62" t="n"/>
      <c r="Y542" s="62" t="n"/>
      <c r="Z542" s="62" t="n"/>
      <c r="AA542" s="62" t="n"/>
      <c r="AB542" s="62" t="n"/>
      <c r="AC542" s="62" t="n"/>
      <c r="AD542" s="62" t="n"/>
      <c r="AE542" s="62" t="n"/>
      <c r="AF542" s="61">
        <f>IF(COUNTIF($B$5:B542,B542)=1,1,0)</f>
        <v/>
      </c>
      <c r="AG542" s="62" t="n"/>
    </row>
    <row r="543">
      <c r="A543" s="62" t="n"/>
      <c r="B543" s="62" t="n"/>
      <c r="C543" s="62" t="n"/>
      <c r="D543" s="62" t="n"/>
      <c r="E543" s="62" t="n"/>
      <c r="F543" s="62" t="n"/>
      <c r="G543" s="62" t="n"/>
      <c r="H543" s="62" t="n"/>
      <c r="I543" s="62" t="n"/>
      <c r="J543" s="62" t="n"/>
      <c r="K543" s="62" t="n"/>
      <c r="L543" s="62" t="n"/>
      <c r="M543" s="62" t="n"/>
      <c r="N543" s="62" t="n"/>
      <c r="O543" s="62" t="n"/>
      <c r="P543" s="62" t="n"/>
      <c r="Q543" s="62" t="n"/>
      <c r="R543" s="62" t="n"/>
      <c r="S543" s="62" t="n"/>
      <c r="T543" s="62" t="n"/>
      <c r="U543" s="62" t="n"/>
      <c r="V543" s="62" t="n"/>
      <c r="W543" s="62" t="n"/>
      <c r="X543" s="62" t="n"/>
      <c r="Y543" s="62" t="n"/>
      <c r="Z543" s="62" t="n"/>
      <c r="AA543" s="62" t="n"/>
      <c r="AB543" s="62" t="n"/>
      <c r="AC543" s="62" t="n"/>
      <c r="AD543" s="62" t="n"/>
      <c r="AE543" s="62" t="n"/>
      <c r="AF543" s="61">
        <f>IF(COUNTIF($B$5:B543,B543)=1,1,0)</f>
        <v/>
      </c>
      <c r="AG543" s="62" t="n"/>
    </row>
    <row r="544">
      <c r="A544" s="62" t="n"/>
      <c r="B544" s="62" t="n"/>
      <c r="C544" s="62" t="n"/>
      <c r="D544" s="62" t="n"/>
      <c r="E544" s="62" t="n"/>
      <c r="F544" s="62" t="n"/>
      <c r="G544" s="62" t="n"/>
      <c r="H544" s="62" t="n"/>
      <c r="I544" s="62" t="n"/>
      <c r="J544" s="62" t="n"/>
      <c r="K544" s="62" t="n"/>
      <c r="L544" s="62" t="n"/>
      <c r="M544" s="62" t="n"/>
      <c r="N544" s="62" t="n"/>
      <c r="O544" s="62" t="n"/>
      <c r="P544" s="62" t="n"/>
      <c r="Q544" s="62" t="n"/>
      <c r="R544" s="62" t="n"/>
      <c r="S544" s="62" t="n"/>
      <c r="T544" s="62" t="n"/>
      <c r="U544" s="62" t="n"/>
      <c r="V544" s="62" t="n"/>
      <c r="W544" s="62" t="n"/>
      <c r="X544" s="62" t="n"/>
      <c r="Y544" s="62" t="n"/>
      <c r="Z544" s="62" t="n"/>
      <c r="AA544" s="62" t="n"/>
      <c r="AB544" s="62" t="n"/>
      <c r="AC544" s="62" t="n"/>
      <c r="AD544" s="62" t="n"/>
      <c r="AE544" s="62" t="n"/>
      <c r="AF544" s="61">
        <f>IF(COUNTIF($B$5:B544,B544)=1,1,0)</f>
        <v/>
      </c>
      <c r="AG544" s="62" t="n"/>
    </row>
    <row r="545">
      <c r="A545" s="62" t="n"/>
      <c r="B545" s="62" t="n"/>
      <c r="C545" s="62" t="n"/>
      <c r="D545" s="62" t="n"/>
      <c r="E545" s="62" t="n"/>
      <c r="F545" s="62" t="n"/>
      <c r="G545" s="62" t="n"/>
      <c r="H545" s="62" t="n"/>
      <c r="I545" s="62" t="n"/>
      <c r="J545" s="62" t="n"/>
      <c r="K545" s="62" t="n"/>
      <c r="L545" s="62" t="n"/>
      <c r="M545" s="62" t="n"/>
      <c r="N545" s="62" t="n"/>
      <c r="O545" s="62" t="n"/>
      <c r="P545" s="62" t="n"/>
      <c r="Q545" s="62" t="n"/>
      <c r="R545" s="62" t="n"/>
      <c r="S545" s="62" t="n"/>
      <c r="T545" s="62" t="n"/>
      <c r="U545" s="62" t="n"/>
      <c r="V545" s="62" t="n"/>
      <c r="W545" s="62" t="n"/>
      <c r="X545" s="62" t="n"/>
      <c r="Y545" s="62" t="n"/>
      <c r="Z545" s="62" t="n"/>
      <c r="AA545" s="62" t="n"/>
      <c r="AB545" s="62" t="n"/>
      <c r="AC545" s="62" t="n"/>
      <c r="AD545" s="62" t="n"/>
      <c r="AE545" s="62" t="n"/>
      <c r="AF545" s="61">
        <f>IF(COUNTIF($B$5:B545,B545)=1,1,0)</f>
        <v/>
      </c>
      <c r="AG545" s="62" t="n"/>
    </row>
    <row r="546">
      <c r="A546" s="62" t="n"/>
      <c r="B546" s="62" t="n"/>
      <c r="C546" s="62" t="n"/>
      <c r="D546" s="62" t="n"/>
      <c r="E546" s="62" t="n"/>
      <c r="F546" s="62" t="n"/>
      <c r="G546" s="62" t="n"/>
      <c r="H546" s="62" t="n"/>
      <c r="I546" s="62" t="n"/>
      <c r="J546" s="62" t="n"/>
      <c r="K546" s="62" t="n"/>
      <c r="L546" s="62" t="n"/>
      <c r="M546" s="62" t="n"/>
      <c r="N546" s="62" t="n"/>
      <c r="O546" s="62" t="n"/>
      <c r="P546" s="62" t="n"/>
      <c r="Q546" s="62" t="n"/>
      <c r="R546" s="62" t="n"/>
      <c r="S546" s="62" t="n"/>
      <c r="T546" s="62" t="n"/>
      <c r="U546" s="62" t="n"/>
      <c r="V546" s="62" t="n"/>
      <c r="W546" s="62" t="n"/>
      <c r="X546" s="62" t="n"/>
      <c r="Y546" s="62" t="n"/>
      <c r="Z546" s="62" t="n"/>
      <c r="AA546" s="62" t="n"/>
      <c r="AB546" s="62" t="n"/>
      <c r="AC546" s="62" t="n"/>
      <c r="AD546" s="62" t="n"/>
      <c r="AE546" s="62" t="n"/>
      <c r="AF546" s="61">
        <f>IF(COUNTIF($B$5:B546,B546)=1,1,0)</f>
        <v/>
      </c>
      <c r="AG546" s="62" t="n"/>
    </row>
    <row r="547">
      <c r="A547" s="62" t="n"/>
      <c r="B547" s="62" t="n"/>
      <c r="C547" s="62" t="n"/>
      <c r="D547" s="62" t="n"/>
      <c r="E547" s="62" t="n"/>
      <c r="F547" s="62" t="n"/>
      <c r="G547" s="62" t="n"/>
      <c r="H547" s="62" t="n"/>
      <c r="I547" s="62" t="n"/>
      <c r="J547" s="62" t="n"/>
      <c r="K547" s="62" t="n"/>
      <c r="L547" s="62" t="n"/>
      <c r="M547" s="62" t="n"/>
      <c r="N547" s="62" t="n"/>
      <c r="O547" s="62" t="n"/>
      <c r="P547" s="62" t="n"/>
      <c r="Q547" s="62" t="n"/>
      <c r="R547" s="62" t="n"/>
      <c r="S547" s="62" t="n"/>
      <c r="T547" s="62" t="n"/>
      <c r="U547" s="62" t="n"/>
      <c r="V547" s="62" t="n"/>
      <c r="W547" s="62" t="n"/>
      <c r="X547" s="62" t="n"/>
      <c r="Y547" s="62" t="n"/>
      <c r="Z547" s="62" t="n"/>
      <c r="AA547" s="62" t="n"/>
      <c r="AB547" s="62" t="n"/>
      <c r="AC547" s="62" t="n"/>
      <c r="AD547" s="62" t="n"/>
      <c r="AE547" s="62" t="n"/>
      <c r="AF547" s="61">
        <f>IF(COUNTIF($B$5:B547,B547)=1,1,0)</f>
        <v/>
      </c>
      <c r="AG547" s="62" t="n"/>
    </row>
    <row r="548">
      <c r="A548" s="62" t="n"/>
      <c r="B548" s="62" t="n"/>
      <c r="C548" s="62" t="n"/>
      <c r="D548" s="62" t="n"/>
      <c r="E548" s="62" t="n"/>
      <c r="F548" s="62" t="n"/>
      <c r="G548" s="62" t="n"/>
      <c r="H548" s="62" t="n"/>
      <c r="I548" s="62" t="n"/>
      <c r="J548" s="62" t="n"/>
      <c r="K548" s="62" t="n"/>
      <c r="L548" s="62" t="n"/>
      <c r="M548" s="62" t="n"/>
      <c r="N548" s="62" t="n"/>
      <c r="O548" s="62" t="n"/>
      <c r="P548" s="62" t="n"/>
      <c r="Q548" s="62" t="n"/>
      <c r="R548" s="62" t="n"/>
      <c r="S548" s="62" t="n"/>
      <c r="T548" s="62" t="n"/>
      <c r="U548" s="62" t="n"/>
      <c r="V548" s="62" t="n"/>
      <c r="W548" s="62" t="n"/>
      <c r="X548" s="62" t="n"/>
      <c r="Y548" s="62" t="n"/>
      <c r="Z548" s="62" t="n"/>
      <c r="AA548" s="62" t="n"/>
      <c r="AB548" s="62" t="n"/>
      <c r="AC548" s="62" t="n"/>
      <c r="AD548" s="62" t="n"/>
      <c r="AE548" s="62" t="n"/>
      <c r="AF548" s="61">
        <f>IF(COUNTIF($B$5:B548,B548)=1,1,0)</f>
        <v/>
      </c>
      <c r="AG548" s="62" t="n"/>
    </row>
    <row r="549">
      <c r="A549" s="62" t="n"/>
      <c r="B549" s="62" t="n"/>
      <c r="C549" s="62" t="n"/>
      <c r="D549" s="62" t="n"/>
      <c r="E549" s="62" t="n"/>
      <c r="F549" s="62" t="n"/>
      <c r="G549" s="62" t="n"/>
      <c r="H549" s="62" t="n"/>
      <c r="I549" s="62" t="n"/>
      <c r="J549" s="62" t="n"/>
      <c r="K549" s="62" t="n"/>
      <c r="L549" s="62" t="n"/>
      <c r="M549" s="62" t="n"/>
      <c r="N549" s="62" t="n"/>
      <c r="O549" s="62" t="n"/>
      <c r="P549" s="62" t="n"/>
      <c r="Q549" s="62" t="n"/>
      <c r="R549" s="62" t="n"/>
      <c r="S549" s="62" t="n"/>
      <c r="T549" s="62" t="n"/>
      <c r="U549" s="62" t="n"/>
      <c r="V549" s="62" t="n"/>
      <c r="W549" s="62" t="n"/>
      <c r="X549" s="62" t="n"/>
      <c r="Y549" s="62" t="n"/>
      <c r="Z549" s="62" t="n"/>
      <c r="AA549" s="62" t="n"/>
      <c r="AB549" s="62" t="n"/>
      <c r="AC549" s="62" t="n"/>
      <c r="AD549" s="62" t="n"/>
      <c r="AE549" s="62" t="n"/>
      <c r="AF549" s="61">
        <f>IF(COUNTIF($B$5:B549,B549)=1,1,0)</f>
        <v/>
      </c>
      <c r="AG549" s="62" t="n"/>
    </row>
    <row r="550">
      <c r="A550" s="62" t="n"/>
      <c r="B550" s="62" t="n"/>
      <c r="C550" s="62" t="n"/>
      <c r="D550" s="62" t="n"/>
      <c r="E550" s="62" t="n"/>
      <c r="F550" s="62" t="n"/>
      <c r="G550" s="62" t="n"/>
      <c r="H550" s="62" t="n"/>
      <c r="I550" s="62" t="n"/>
      <c r="J550" s="62" t="n"/>
      <c r="K550" s="62" t="n"/>
      <c r="L550" s="62" t="n"/>
      <c r="M550" s="62" t="n"/>
      <c r="N550" s="62" t="n"/>
      <c r="O550" s="62" t="n"/>
      <c r="P550" s="62" t="n"/>
      <c r="Q550" s="62" t="n"/>
      <c r="R550" s="62" t="n"/>
      <c r="S550" s="62" t="n"/>
      <c r="T550" s="62" t="n"/>
      <c r="U550" s="62" t="n"/>
      <c r="V550" s="62" t="n"/>
      <c r="W550" s="62" t="n"/>
      <c r="X550" s="62" t="n"/>
      <c r="Y550" s="62" t="n"/>
      <c r="Z550" s="62" t="n"/>
      <c r="AA550" s="62" t="n"/>
      <c r="AB550" s="62" t="n"/>
      <c r="AC550" s="62" t="n"/>
      <c r="AD550" s="62" t="n"/>
      <c r="AE550" s="62" t="n"/>
      <c r="AF550" s="61">
        <f>IF(COUNTIF($B$5:B550,B550)=1,1,0)</f>
        <v/>
      </c>
      <c r="AG550" s="62" t="n"/>
    </row>
    <row r="551">
      <c r="A551" s="62" t="n"/>
      <c r="B551" s="62" t="n"/>
      <c r="C551" s="62" t="n"/>
      <c r="D551" s="62" t="n"/>
      <c r="E551" s="62" t="n"/>
      <c r="F551" s="62" t="n"/>
      <c r="G551" s="62" t="n"/>
      <c r="H551" s="62" t="n"/>
      <c r="I551" s="62" t="n"/>
      <c r="J551" s="62" t="n"/>
      <c r="K551" s="62" t="n"/>
      <c r="L551" s="62" t="n"/>
      <c r="M551" s="62" t="n"/>
      <c r="N551" s="62" t="n"/>
      <c r="O551" s="62" t="n"/>
      <c r="P551" s="62" t="n"/>
      <c r="Q551" s="62" t="n"/>
      <c r="R551" s="62" t="n"/>
      <c r="S551" s="62" t="n"/>
      <c r="T551" s="62" t="n"/>
      <c r="U551" s="62" t="n"/>
      <c r="V551" s="62" t="n"/>
      <c r="W551" s="62" t="n"/>
      <c r="X551" s="62" t="n"/>
      <c r="Y551" s="62" t="n"/>
      <c r="Z551" s="62" t="n"/>
      <c r="AA551" s="62" t="n"/>
      <c r="AB551" s="62" t="n"/>
      <c r="AC551" s="62" t="n"/>
      <c r="AD551" s="62" t="n"/>
      <c r="AE551" s="62" t="n"/>
      <c r="AF551" s="61">
        <f>IF(COUNTIF($B$5:B551,B551)=1,1,0)</f>
        <v/>
      </c>
      <c r="AG551" s="62" t="n"/>
    </row>
    <row r="552">
      <c r="A552" s="62" t="n"/>
      <c r="B552" s="62" t="n"/>
      <c r="C552" s="62" t="n"/>
      <c r="D552" s="62" t="n"/>
      <c r="E552" s="62" t="n"/>
      <c r="F552" s="62" t="n"/>
      <c r="G552" s="62" t="n"/>
      <c r="H552" s="62" t="n"/>
      <c r="I552" s="62" t="n"/>
      <c r="J552" s="62" t="n"/>
      <c r="K552" s="62" t="n"/>
      <c r="L552" s="62" t="n"/>
      <c r="M552" s="62" t="n"/>
      <c r="N552" s="62" t="n"/>
      <c r="O552" s="62" t="n"/>
      <c r="P552" s="62" t="n"/>
      <c r="Q552" s="62" t="n"/>
      <c r="R552" s="62" t="n"/>
      <c r="S552" s="62" t="n"/>
      <c r="T552" s="62" t="n"/>
      <c r="U552" s="62" t="n"/>
      <c r="V552" s="62" t="n"/>
      <c r="W552" s="62" t="n"/>
      <c r="X552" s="62" t="n"/>
      <c r="Y552" s="62" t="n"/>
      <c r="Z552" s="62" t="n"/>
      <c r="AA552" s="62" t="n"/>
      <c r="AB552" s="62" t="n"/>
      <c r="AC552" s="62" t="n"/>
      <c r="AD552" s="62" t="n"/>
      <c r="AE552" s="62" t="n"/>
      <c r="AF552" s="61">
        <f>IF(COUNTIF($B$5:B552,B552)=1,1,0)</f>
        <v/>
      </c>
      <c r="AG552" s="62" t="n"/>
    </row>
    <row r="553">
      <c r="A553" s="62" t="n"/>
      <c r="B553" s="62" t="n"/>
      <c r="C553" s="62" t="n"/>
      <c r="D553" s="62" t="n"/>
      <c r="E553" s="62" t="n"/>
      <c r="F553" s="62" t="n"/>
      <c r="G553" s="62" t="n"/>
      <c r="H553" s="62" t="n"/>
      <c r="I553" s="62" t="n"/>
      <c r="J553" s="62" t="n"/>
      <c r="K553" s="62" t="n"/>
      <c r="L553" s="62" t="n"/>
      <c r="M553" s="62" t="n"/>
      <c r="N553" s="62" t="n"/>
      <c r="O553" s="62" t="n"/>
      <c r="P553" s="62" t="n"/>
      <c r="Q553" s="62" t="n"/>
      <c r="R553" s="62" t="n"/>
      <c r="S553" s="62" t="n"/>
      <c r="T553" s="62" t="n"/>
      <c r="U553" s="62" t="n"/>
      <c r="V553" s="62" t="n"/>
      <c r="W553" s="62" t="n"/>
      <c r="X553" s="62" t="n"/>
      <c r="Y553" s="62" t="n"/>
      <c r="Z553" s="62" t="n"/>
      <c r="AA553" s="62" t="n"/>
      <c r="AB553" s="62" t="n"/>
      <c r="AC553" s="62" t="n"/>
      <c r="AD553" s="62" t="n"/>
      <c r="AE553" s="62" t="n"/>
      <c r="AF553" s="61">
        <f>IF(COUNTIF($B$5:B553,B553)=1,1,0)</f>
        <v/>
      </c>
      <c r="AG553" s="62" t="n"/>
    </row>
    <row r="554">
      <c r="A554" s="62" t="n"/>
      <c r="B554" s="62" t="n"/>
      <c r="C554" s="62" t="n"/>
      <c r="D554" s="62" t="n"/>
      <c r="E554" s="62" t="n"/>
      <c r="F554" s="62" t="n"/>
      <c r="G554" s="62" t="n"/>
      <c r="H554" s="62" t="n"/>
      <c r="I554" s="62" t="n"/>
      <c r="J554" s="62" t="n"/>
      <c r="K554" s="62" t="n"/>
      <c r="L554" s="62" t="n"/>
      <c r="M554" s="62" t="n"/>
      <c r="N554" s="62" t="n"/>
      <c r="O554" s="62" t="n"/>
      <c r="P554" s="62" t="n"/>
      <c r="Q554" s="62" t="n"/>
      <c r="R554" s="62" t="n"/>
      <c r="S554" s="62" t="n"/>
      <c r="T554" s="62" t="n"/>
      <c r="U554" s="62" t="n"/>
      <c r="V554" s="62" t="n"/>
      <c r="W554" s="62" t="n"/>
      <c r="X554" s="62" t="n"/>
      <c r="Y554" s="62" t="n"/>
      <c r="Z554" s="62" t="n"/>
      <c r="AA554" s="62" t="n"/>
      <c r="AB554" s="62" t="n"/>
      <c r="AC554" s="62" t="n"/>
      <c r="AD554" s="62" t="n"/>
      <c r="AE554" s="62" t="n"/>
      <c r="AF554" s="61">
        <f>IF(COUNTIF($B$5:B554,B554)=1,1,0)</f>
        <v/>
      </c>
      <c r="AG554" s="62" t="n"/>
    </row>
    <row r="555">
      <c r="A555" s="62" t="n"/>
      <c r="B555" s="62" t="n"/>
      <c r="C555" s="62" t="n"/>
      <c r="D555" s="62" t="n"/>
      <c r="E555" s="62" t="n"/>
      <c r="F555" s="62" t="n"/>
      <c r="G555" s="62" t="n"/>
      <c r="H555" s="62" t="n"/>
      <c r="I555" s="62" t="n"/>
      <c r="J555" s="62" t="n"/>
      <c r="K555" s="62" t="n"/>
      <c r="L555" s="62" t="n"/>
      <c r="M555" s="62" t="n"/>
      <c r="N555" s="62" t="n"/>
      <c r="O555" s="62" t="n"/>
      <c r="P555" s="62" t="n"/>
      <c r="Q555" s="62" t="n"/>
      <c r="R555" s="62" t="n"/>
      <c r="S555" s="62" t="n"/>
      <c r="T555" s="62" t="n"/>
      <c r="U555" s="62" t="n"/>
      <c r="V555" s="62" t="n"/>
      <c r="W555" s="62" t="n"/>
      <c r="X555" s="62" t="n"/>
      <c r="Y555" s="62" t="n"/>
      <c r="Z555" s="62" t="n"/>
      <c r="AA555" s="62" t="n"/>
      <c r="AB555" s="62" t="n"/>
      <c r="AC555" s="62" t="n"/>
      <c r="AD555" s="62" t="n"/>
      <c r="AE555" s="62" t="n"/>
      <c r="AF555" s="61">
        <f>IF(COUNTIF($B$5:B555,B555)=1,1,0)</f>
        <v/>
      </c>
      <c r="AG555" s="62" t="n"/>
    </row>
    <row r="556">
      <c r="A556" s="62" t="n"/>
      <c r="B556" s="62" t="n"/>
      <c r="C556" s="62" t="n"/>
      <c r="D556" s="62" t="n"/>
      <c r="E556" s="62" t="n"/>
      <c r="F556" s="62" t="n"/>
      <c r="G556" s="62" t="n"/>
      <c r="H556" s="62" t="n"/>
      <c r="I556" s="62" t="n"/>
      <c r="J556" s="62" t="n"/>
      <c r="K556" s="62" t="n"/>
      <c r="L556" s="62" t="n"/>
      <c r="M556" s="62" t="n"/>
      <c r="N556" s="62" t="n"/>
      <c r="O556" s="62" t="n"/>
      <c r="P556" s="62" t="n"/>
      <c r="Q556" s="62" t="n"/>
      <c r="R556" s="62" t="n"/>
      <c r="S556" s="62" t="n"/>
      <c r="T556" s="62" t="n"/>
      <c r="U556" s="62" t="n"/>
      <c r="V556" s="62" t="n"/>
      <c r="W556" s="62" t="n"/>
      <c r="X556" s="62" t="n"/>
      <c r="Y556" s="62" t="n"/>
      <c r="Z556" s="62" t="n"/>
      <c r="AA556" s="62" t="n"/>
      <c r="AB556" s="62" t="n"/>
      <c r="AC556" s="62" t="n"/>
      <c r="AD556" s="62" t="n"/>
      <c r="AE556" s="62" t="n"/>
      <c r="AF556" s="61">
        <f>IF(COUNTIF($B$5:B556,B556)=1,1,0)</f>
        <v/>
      </c>
      <c r="AG556" s="62" t="n"/>
    </row>
    <row r="557">
      <c r="A557" s="62" t="n"/>
      <c r="B557" s="62" t="n"/>
      <c r="C557" s="62" t="n"/>
      <c r="D557" s="62" t="n"/>
      <c r="E557" s="62" t="n"/>
      <c r="F557" s="62" t="n"/>
      <c r="G557" s="62" t="n"/>
      <c r="H557" s="62" t="n"/>
      <c r="I557" s="62" t="n"/>
      <c r="J557" s="62" t="n"/>
      <c r="K557" s="62" t="n"/>
      <c r="L557" s="62" t="n"/>
      <c r="M557" s="62" t="n"/>
      <c r="N557" s="62" t="n"/>
      <c r="O557" s="62" t="n"/>
      <c r="P557" s="62" t="n"/>
      <c r="Q557" s="62" t="n"/>
      <c r="R557" s="62" t="n"/>
      <c r="S557" s="62" t="n"/>
      <c r="T557" s="62" t="n"/>
      <c r="U557" s="62" t="n"/>
      <c r="V557" s="62" t="n"/>
      <c r="W557" s="62" t="n"/>
      <c r="X557" s="62" t="n"/>
      <c r="Y557" s="62" t="n"/>
      <c r="Z557" s="62" t="n"/>
      <c r="AA557" s="62" t="n"/>
      <c r="AB557" s="62" t="n"/>
      <c r="AC557" s="62" t="n"/>
      <c r="AD557" s="62" t="n"/>
      <c r="AE557" s="62" t="n"/>
      <c r="AF557" s="61">
        <f>IF(COUNTIF($B$5:B557,B557)=1,1,0)</f>
        <v/>
      </c>
      <c r="AG557" s="62" t="n"/>
    </row>
  </sheetData>
  <mergeCells count="2">
    <mergeCell ref="A2:AG2"/>
    <mergeCell ref="A1:AG1"/>
  </mergeCells>
  <dataValidations count="6">
    <dataValidation sqref="C5:C557" showDropDown="0" showInputMessage="0" showErrorMessage="0" allowBlank="0" type="list">
      <formula1>"Infobae Colombia,El Tiempo,El Espectador,La Silla Vacía,Semana"</formula1>
    </dataValidation>
    <dataValidation sqref="D5:D557" showDropDown="0" showInputMessage="0" showErrorMessage="0" allowBlank="0" type="list">
      <formula1>"Política,Economía y negocios,Salud,Medio ambiente,Deportes"</formula1>
    </dataValidation>
    <dataValidation sqref="E5:E557" showDropDown="0" showInputMessage="0" showErrorMessage="0" allowBlank="0" type="list">
      <formula1>"Noticia dura,Opinión-análisis"</formula1>
    </dataValidation>
    <dataValidation sqref="J5:J557 L5:L557 N5:N557 P5:P557 R5:R557 T5:T557 V5:V557 X5:X557 Z5:Z557" showDropDown="0" showInputMessage="0" showErrorMessage="0" allowBlank="0" type="list">
      <formula1>"TRUE,FALSE"</formula1>
    </dataValidation>
    <dataValidation sqref="AB5:AB557" showDropDown="0" showInputMessage="0" showErrorMessage="0" allowBlank="0" type="list">
      <formula1>"favorece,perjudica,neutral"</formula1>
    </dataValidation>
    <dataValidation sqref="AD5:AD557 AE5:AE557" showDropDown="0" showInputMessage="0" showErrorMessage="0" allowBlank="0"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2026-09-04T05:19:50Z</dcterms:created>
  <dcterms:modified xmlns:dcterms="http://purl.org/dc/terms/" xmlns:xsi="http://www.w3.org/2001/XMLSchema-instance" xsi:type="dcterms:W3CDTF">2026-09-09T18:58:38Z</dcterms:modified>
  <cp:revision>0</cp:revision>
</cp:coreProperties>
</file>