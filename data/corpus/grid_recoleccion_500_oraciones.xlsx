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rid de recoleccion" sheetId="1" state="visible" r:id="rId1"/>
    <sheet xmlns:r="http://schemas.openxmlformats.org/officeDocument/2006/relationships" name="Resumen" sheetId="2" state="visible" r:id="rId2"/>
    <sheet xmlns:r="http://schemas.openxmlformats.org/officeDocument/2006/relationships" name="Leyenda" sheetId="3" state="visible" r:id="rId3"/>
    <sheet xmlns:r="http://schemas.openxmlformats.org/officeDocument/2006/relationships" name="Corpus - oracione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color rgb="FFFFFFFF"/>
      <sz val="10"/>
    </font>
    <font>
      <name val="Arial"/>
      <charset val="1"/>
      <family val="0"/>
      <sz val="10"/>
    </font>
    <font>
      <name val="Arial"/>
      <charset val="1"/>
      <family val="0"/>
      <color rgb="FF0000FF"/>
      <sz val="10"/>
    </font>
    <font>
      <name val="Arial"/>
      <charset val="1"/>
      <family val="0"/>
      <color rgb="FF000000"/>
      <sz val="10"/>
    </font>
    <font>
      <name val="Arial"/>
      <charset val="1"/>
      <family val="0"/>
      <b val="1"/>
      <sz val="10"/>
    </font>
    <font>
      <name val="Arial"/>
      <charset val="1"/>
      <family val="0"/>
      <b val="1"/>
      <color rgb="FFFFFFFF"/>
      <sz val="9"/>
    </font>
    <font>
      <name val="Arial"/>
      <charset val="1"/>
      <family val="0"/>
      <i val="1"/>
      <color rgb="FF595959"/>
      <sz val="9"/>
    </font>
    <font>
      <name val="Arial"/>
      <charset val="1"/>
      <family val="0"/>
      <color rgb="FF595959"/>
      <sz val="9"/>
    </font>
  </fonts>
  <fills count="6">
    <fill>
      <patternFill/>
    </fill>
    <fill>
      <patternFill patternType="gray125"/>
    </fill>
    <fill>
      <patternFill patternType="solid">
        <fgColor rgb="FF2F5496"/>
        <bgColor rgb="FF1F3864"/>
      </patternFill>
    </fill>
    <fill>
      <patternFill patternType="solid">
        <fgColor rgb="FFFFFF00"/>
        <bgColor rgb="FFFFFF00"/>
      </patternFill>
    </fill>
    <fill>
      <patternFill patternType="solid">
        <fgColor rgb="FFF2F2F2"/>
        <bgColor rgb="FFFFFFFF"/>
      </patternFill>
    </fill>
    <fill>
      <patternFill patternType="solid">
        <fgColor rgb="FFD9E1F2"/>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xf>
    <xf numFmtId="0" fontId="9" fillId="0" borderId="1" applyAlignment="1" pivotButton="0" quotePrefix="0" xfId="0">
      <alignment horizontal="center" vertical="center"/>
    </xf>
    <xf numFmtId="0" fontId="0" fillId="3" borderId="1" applyAlignment="1" pivotButton="0" quotePrefix="0" xfId="0">
      <alignment horizontal="center" vertical="center"/>
    </xf>
    <xf numFmtId="9" fontId="9"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7"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5" borderId="1" applyAlignment="1" pivotButton="0" quotePrefix="0" xfId="0">
      <alignment horizontal="general" vertical="bottom"/>
    </xf>
    <xf numFmtId="0" fontId="10" fillId="5" borderId="1" applyAlignment="1" pivotButton="0" quotePrefix="0" xfId="0">
      <alignment horizontal="general" vertical="bottom"/>
    </xf>
    <xf numFmtId="0" fontId="0" fillId="5" borderId="1" applyAlignment="1" pivotButton="0" quotePrefix="0" xfId="0">
      <alignment horizontal="general" vertical="bottom"/>
    </xf>
    <xf numFmtId="9" fontId="10" fillId="5" borderId="1"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center" vertical="bottom"/>
    </xf>
    <xf numFmtId="9" fontId="9" fillId="0" borderId="1" applyAlignment="1" pivotButton="0" quotePrefix="0" xfId="0">
      <alignment horizontal="center" vertical="bottom"/>
    </xf>
    <xf numFmtId="0" fontId="10" fillId="0" borderId="1" applyAlignment="1" pivotButton="0" quotePrefix="0" xfId="0">
      <alignment horizontal="general" vertical="bottom"/>
    </xf>
    <xf numFmtId="9" fontId="10" fillId="0" borderId="1" applyAlignment="1" pivotButton="0" quotePrefix="0" xfId="0">
      <alignment horizontal="general" vertical="bottom"/>
    </xf>
    <xf numFmtId="0" fontId="10" fillId="0" borderId="1" applyAlignment="1" pivotButton="0" quotePrefix="0" xfId="0">
      <alignment horizontal="left" vertical="center" wrapText="1"/>
    </xf>
    <xf numFmtId="0" fontId="5" fillId="0" borderId="0" applyAlignment="1" pivotButton="0" quotePrefix="0" xfId="0">
      <alignment horizontal="general" vertical="bottom"/>
    </xf>
    <xf numFmtId="0" fontId="5" fillId="0" borderId="0" applyAlignment="1" pivotButton="0" quotePrefix="0" xfId="0">
      <alignment horizontal="left" vertical="center"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13" fillId="0"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xf>
    <xf numFmtId="0" fontId="9" fillId="0" borderId="1" applyAlignment="1" pivotButton="0" quotePrefix="0" xfId="0">
      <alignment horizontal="center" vertical="center"/>
    </xf>
    <xf numFmtId="0" fontId="0" fillId="3" borderId="1" applyAlignment="1" pivotButton="0" quotePrefix="0" xfId="0">
      <alignment horizontal="center" vertical="center"/>
    </xf>
    <xf numFmtId="9" fontId="9" fillId="0" borderId="1" applyAlignment="1" pivotButton="0" quotePrefix="0" xfId="0">
      <alignment horizontal="center" vertical="center"/>
    </xf>
    <xf numFmtId="0" fontId="0" fillId="3" borderId="1" applyAlignment="1" pivotButton="0" quotePrefix="0" xfId="0">
      <alignment horizontal="left" vertical="center" wrapText="1"/>
    </xf>
    <xf numFmtId="0" fontId="7"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5" borderId="1" applyAlignment="1" pivotButton="0" quotePrefix="0" xfId="0">
      <alignment horizontal="general" vertical="bottom"/>
    </xf>
    <xf numFmtId="0" fontId="0" fillId="0" borderId="4" pivotButton="0" quotePrefix="0" xfId="0"/>
    <xf numFmtId="0" fontId="0" fillId="5" borderId="1" applyAlignment="1" pivotButton="0" quotePrefix="0" xfId="0">
      <alignment horizontal="general" vertical="bottom"/>
    </xf>
    <xf numFmtId="9" fontId="10" fillId="5" borderId="1"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center" vertical="bottom"/>
    </xf>
    <xf numFmtId="9" fontId="9" fillId="0" borderId="1" applyAlignment="1" pivotButton="0" quotePrefix="0" xfId="0">
      <alignment horizontal="center" vertical="bottom"/>
    </xf>
    <xf numFmtId="0" fontId="10" fillId="0" borderId="1" applyAlignment="1" pivotButton="0" quotePrefix="0" xfId="0">
      <alignment horizontal="general" vertical="bottom"/>
    </xf>
    <xf numFmtId="9" fontId="10" fillId="0" borderId="1" applyAlignment="1" pivotButton="0" quotePrefix="0" xfId="0">
      <alignment horizontal="general" vertical="bottom"/>
    </xf>
    <xf numFmtId="0" fontId="10" fillId="0" borderId="1"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13" fillId="0" borderId="1" applyAlignment="1" pivotButton="0" quotePrefix="0" xfId="0">
      <alignment horizontal="center" vertical="bottom"/>
    </xf>
    <xf numFmtId="0" fontId="0" fillId="3" borderId="1"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30"/>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0" min="1" max="1"/>
    <col width="30" customWidth="1" style="30" min="2" max="2"/>
    <col width="10" customWidth="1" style="30" min="3" max="3"/>
    <col width="12" customWidth="1" style="30" min="4" max="4"/>
    <col width="9" customWidth="1" style="30" min="5" max="5"/>
    <col width="11" customWidth="1" style="30" min="6" max="7"/>
    <col width="10" customWidth="1" style="30" min="8" max="8"/>
    <col width="9" customWidth="1" style="30" min="9" max="9"/>
    <col width="12" customWidth="1" style="30" min="10" max="10"/>
    <col width="22" customWidth="1" style="30" min="11" max="11"/>
  </cols>
  <sheetData>
    <row r="1" ht="17.35" customHeight="1" s="31">
      <c r="A1" s="55" t="inlineStr">
        <is>
          <t>Grid de recolección — 500 oraciones (5 medios x 5 temas)</t>
        </is>
      </c>
    </row>
    <row r="2" ht="27.75" customHeight="1" s="31">
      <c r="A2" s="56" t="inlineStr">
        <is>
          <t>Celdas en AMARILLO son las que se editan: objetivos ya propuestos (ajustables), artículos recolectados y estado. La columna 'Oraciones anotadas (real)' YA NO se llena a mano: se calcula sola contando lo que hay en la hoja 'Corpus - oraciones'.</t>
        </is>
      </c>
    </row>
    <row r="4" ht="46.25" customHeight="1" s="31">
      <c r="A4" s="34" t="inlineStr">
        <is>
          <t>Medio</t>
        </is>
      </c>
      <c r="B4" s="34" t="inlineStr">
        <is>
          <t>Tema</t>
        </is>
      </c>
      <c r="C4" s="34" t="inlineStr">
        <is>
          <t>Objetivo
oraciones
(dura)</t>
        </is>
      </c>
      <c r="D4" s="34" t="inlineStr">
        <is>
          <t>Objetivo
oraciones
(opinión/análisis)</t>
        </is>
      </c>
      <c r="E4" s="34" t="inlineStr">
        <is>
          <t>Objetivo
total</t>
        </is>
      </c>
      <c r="F4" s="34" t="inlineStr">
        <is>
          <t>Artículos
recolectados
(dura)</t>
        </is>
      </c>
      <c r="G4" s="34" t="inlineStr">
        <is>
          <t>Artículos
recolectados
(opinión)</t>
        </is>
      </c>
      <c r="H4" s="34" t="inlineStr">
        <is>
          <t>Oraciones
anotadas
(real)</t>
        </is>
      </c>
      <c r="I4" s="34" t="inlineStr">
        <is>
          <t>% avance</t>
        </is>
      </c>
      <c r="J4" s="34" t="inlineStr">
        <is>
          <t>Estado</t>
        </is>
      </c>
      <c r="K4" s="34" t="inlineStr">
        <is>
          <t>Notas</t>
        </is>
      </c>
    </row>
    <row r="5" ht="30" customHeight="1" s="31">
      <c r="A5" s="35" t="inlineStr">
        <is>
          <t>Infobae Colombia</t>
        </is>
      </c>
      <c r="B5" s="35" t="inlineStr">
        <is>
          <t>Transición de gobierno y relación con la oposición</t>
        </is>
      </c>
      <c r="C5" s="36" t="n">
        <v>20</v>
      </c>
      <c r="D5" s="36" t="n">
        <v>0</v>
      </c>
      <c r="E5" s="37">
        <f>C5+D5</f>
        <v/>
      </c>
      <c r="F5" s="38" t="n">
        <v>3</v>
      </c>
      <c r="G5" s="38" t="n">
        <v>0</v>
      </c>
      <c r="H5" s="37">
        <f>SUMIFS('Corpus - oraciones'!$AF$3:$AF$600,'Corpus - oraciones'!$C$3:$C$600,A5,'Corpus - oraciones'!$D$3:$D$600,B5)</f>
        <v/>
      </c>
      <c r="I5" s="39">
        <f>IFERROR(H5/E5,0)</f>
        <v/>
      </c>
      <c r="J5" s="38" t="inlineStr">
        <is>
          <t>Pendiente</t>
        </is>
      </c>
      <c r="K5" s="62" t="inlineStr">
        <is>
          <t>Redistribuido 2026-09-05: sin opinión propia de Colombia (ver aviso_legal en medios.yaml); objetivo movido íntegro a dura.</t>
        </is>
      </c>
    </row>
    <row r="6" ht="30" customHeight="1" s="31">
      <c r="A6" s="35" t="inlineStr">
        <is>
          <t>Infobae Colombia</t>
        </is>
      </c>
      <c r="B6" s="35" t="inlineStr">
        <is>
          <t>Respuesta a la emergencia del terremoto</t>
        </is>
      </c>
      <c r="C6" s="36" t="n">
        <v>20</v>
      </c>
      <c r="D6" s="36" t="n">
        <v>0</v>
      </c>
      <c r="E6" s="37">
        <f>C6+D6</f>
        <v/>
      </c>
      <c r="F6" s="38" t="n">
        <v>3</v>
      </c>
      <c r="G6" s="38" t="n">
        <v>0</v>
      </c>
      <c r="H6" s="37">
        <f>SUMIFS('Corpus - oraciones'!$AF$3:$AF$600,'Corpus - oraciones'!$C$3:$C$600,A6,'Corpus - oraciones'!$D$3:$D$600,B6)</f>
        <v/>
      </c>
      <c r="I6" s="39">
        <f>IFERROR(H6/E6,0)</f>
        <v/>
      </c>
      <c r="J6" s="38" t="inlineStr">
        <is>
          <t>Pendiente</t>
        </is>
      </c>
      <c r="K6" s="62" t="inlineStr">
        <is>
          <t>Redistribuido 2026-09-05: sin opinión propia de Colombia (ver aviso_legal en medios.yaml); objetivo movido íntegro a dura.</t>
        </is>
      </c>
    </row>
    <row r="7" ht="30" customHeight="1" s="31">
      <c r="A7" s="35" t="inlineStr">
        <is>
          <t>Infobae Colombia</t>
        </is>
      </c>
      <c r="B7" s="35" t="inlineStr">
        <is>
          <t>Relación con Estados Unidos</t>
        </is>
      </c>
      <c r="C7" s="36" t="n">
        <v>20</v>
      </c>
      <c r="D7" s="36" t="n">
        <v>0</v>
      </c>
      <c r="E7" s="37">
        <f>C7+D7</f>
        <v/>
      </c>
      <c r="F7" s="38" t="n">
        <v>4</v>
      </c>
      <c r="G7" s="38" t="n">
        <v>0</v>
      </c>
      <c r="H7" s="37">
        <f>SUMIFS('Corpus - oraciones'!$AF$3:$AF$600,'Corpus - oraciones'!$C$3:$C$600,A7,'Corpus - oraciones'!$D$3:$D$600,B7)</f>
        <v/>
      </c>
      <c r="I7" s="39">
        <f>IFERROR(H7/E7,0)</f>
        <v/>
      </c>
      <c r="J7" s="38" t="inlineStr">
        <is>
          <t>Pendiente</t>
        </is>
      </c>
      <c r="K7" s="62" t="inlineStr">
        <is>
          <t>Redistribuido 2026-09-05: sin opinión propia de Colombia (ver aviso_legal en medios.yaml); objetivo movido íntegro a dura.</t>
        </is>
      </c>
    </row>
    <row r="8" ht="30" customHeight="1" s="31">
      <c r="A8" s="35" t="inlineStr">
        <is>
          <t>Infobae Colombia</t>
        </is>
      </c>
      <c r="B8" s="35" t="inlineStr">
        <is>
          <t>Reformas sociales en disputa (pensional/tributaria)</t>
        </is>
      </c>
      <c r="C8" s="36" t="n">
        <v>20</v>
      </c>
      <c r="D8" s="36" t="n">
        <v>0</v>
      </c>
      <c r="E8" s="37">
        <f>C8+D8</f>
        <v/>
      </c>
      <c r="F8" s="38" t="n">
        <v>3</v>
      </c>
      <c r="G8" s="38" t="n">
        <v>0</v>
      </c>
      <c r="H8" s="37">
        <f>SUMIFS('Corpus - oraciones'!$AF$3:$AF$600,'Corpus - oraciones'!$C$3:$C$600,A8,'Corpus - oraciones'!$D$3:$D$600,B8)</f>
        <v/>
      </c>
      <c r="I8" s="39">
        <f>IFERROR(H8/E8,0)</f>
        <v/>
      </c>
      <c r="J8" s="38" t="inlineStr">
        <is>
          <t>Pendiente</t>
        </is>
      </c>
      <c r="K8" s="62" t="inlineStr">
        <is>
          <t>Redistribuido 2026-09-05: sin opinión propia de Colombia (ver aviso_legal en medios.yaml); objetivo movido íntegro a dura.</t>
        </is>
      </c>
    </row>
    <row r="9" ht="30" customHeight="1" s="31">
      <c r="A9" s="35" t="inlineStr">
        <is>
          <t>Infobae Colombia</t>
        </is>
      </c>
      <c r="B9" s="35" t="inlineStr">
        <is>
          <t>Seguridad y orden público</t>
        </is>
      </c>
      <c r="C9" s="36" t="n">
        <v>20</v>
      </c>
      <c r="D9" s="36" t="n">
        <v>0</v>
      </c>
      <c r="E9" s="37">
        <f>C9+D9</f>
        <v/>
      </c>
      <c r="F9" s="38" t="n">
        <v>3</v>
      </c>
      <c r="G9" s="38" t="n">
        <v>0</v>
      </c>
      <c r="H9" s="37">
        <f>SUMIFS('Corpus - oraciones'!$AF$3:$AF$600,'Corpus - oraciones'!$C$3:$C$600,A9,'Corpus - oraciones'!$D$3:$D$600,B9)</f>
        <v/>
      </c>
      <c r="I9" s="39">
        <f>IFERROR(H9/E9,0)</f>
        <v/>
      </c>
      <c r="J9" s="38" t="inlineStr">
        <is>
          <t>Pendiente</t>
        </is>
      </c>
      <c r="K9" s="62" t="inlineStr">
        <is>
          <t>Redistribuido 2026-09-05: sin opinión propia de Colombia (ver aviso_legal en medios.yaml); objetivo movido íntegro a dura.</t>
        </is>
      </c>
    </row>
    <row r="10" ht="30" customHeight="1" s="31">
      <c r="A10" s="41" t="inlineStr">
        <is>
          <t>El Tiempo</t>
        </is>
      </c>
      <c r="B10" s="41" t="inlineStr">
        <is>
          <t>Transición de gobierno y relación con la oposición</t>
        </is>
      </c>
      <c r="C10" s="36" t="n">
        <v>14</v>
      </c>
      <c r="D10" s="36" t="n">
        <v>6</v>
      </c>
      <c r="E10" s="42">
        <f>C10+D10</f>
        <v/>
      </c>
      <c r="F10" s="38" t="n">
        <v>2</v>
      </c>
      <c r="G10" s="38" t="n">
        <v>1</v>
      </c>
      <c r="H10" s="42">
        <f>SUMIFS('Corpus - oraciones'!$AF$3:$AF$600,'Corpus - oraciones'!$C$3:$C$600,A10,'Corpus - oraciones'!$D$3:$D$600,B10)</f>
        <v/>
      </c>
      <c r="I10" s="43">
        <f>IFERROR(H10/E10,0)</f>
        <v/>
      </c>
      <c r="J10" s="38" t="inlineStr">
        <is>
          <t>Pendiente</t>
        </is>
      </c>
      <c r="K10" s="62" t="n"/>
    </row>
    <row r="11" ht="30" customHeight="1" s="31">
      <c r="A11" s="41" t="inlineStr">
        <is>
          <t>El Tiempo</t>
        </is>
      </c>
      <c r="B11" s="41" t="inlineStr">
        <is>
          <t>Respuesta a la emergencia del terremoto</t>
        </is>
      </c>
      <c r="C11" s="36" t="n">
        <v>14</v>
      </c>
      <c r="D11" s="36" t="n">
        <v>6</v>
      </c>
      <c r="E11" s="42">
        <f>C11+D11</f>
        <v/>
      </c>
      <c r="F11" s="38" t="n">
        <v>3</v>
      </c>
      <c r="G11" s="38" t="n">
        <v>1</v>
      </c>
      <c r="H11" s="42">
        <f>SUMIFS('Corpus - oraciones'!$AF$3:$AF$600,'Corpus - oraciones'!$C$3:$C$600,A11,'Corpus - oraciones'!$D$3:$D$600,B11)</f>
        <v/>
      </c>
      <c r="I11" s="43">
        <f>IFERROR(H11/E11,0)</f>
        <v/>
      </c>
      <c r="J11" s="38" t="inlineStr">
        <is>
          <t>Pendiente</t>
        </is>
      </c>
      <c r="K11" s="62" t="n"/>
    </row>
    <row r="12" ht="30" customHeight="1" s="31">
      <c r="A12" s="41" t="inlineStr">
        <is>
          <t>El Tiempo</t>
        </is>
      </c>
      <c r="B12" s="41" t="inlineStr">
        <is>
          <t>Relación con Estados Unidos</t>
        </is>
      </c>
      <c r="C12" s="36" t="n">
        <v>20</v>
      </c>
      <c r="D12" s="36" t="n">
        <v>0</v>
      </c>
      <c r="E12" s="42">
        <f>C12+D12</f>
        <v/>
      </c>
      <c r="F12" s="38" t="n">
        <v>3</v>
      </c>
      <c r="G12" s="38" t="n">
        <v>0</v>
      </c>
      <c r="H12" s="42">
        <f>SUMIFS('Corpus - oraciones'!$AF$3:$AF$600,'Corpus - oraciones'!$C$3:$C$600,A12,'Corpus - oraciones'!$D$3:$D$600,B12)</f>
        <v/>
      </c>
      <c r="I12" s="43">
        <f>IFERROR(H12/E12,0)</f>
        <v/>
      </c>
      <c r="J12" s="38" t="inlineStr">
        <is>
          <t>Pendiente</t>
        </is>
      </c>
      <c r="K12" s="62" t="inlineStr">
        <is>
          <t>Redistribuido 2026-09-05: no se encontró columna de opinión propia sobre Estados Unidos en circulación actual (se probaron ~15 columnas de opinión de El Tiempo -- política exterior, editoriales -- ninguna calificó tras verificar con clasificar_tema()); objetivo movido íntegro a dura, igual que Infobae/El Espectador-Seguridad.</t>
        </is>
      </c>
    </row>
    <row r="13" ht="30" customHeight="1" s="31">
      <c r="A13" s="41" t="inlineStr">
        <is>
          <t>El Tiempo</t>
        </is>
      </c>
      <c r="B13" s="41" t="inlineStr">
        <is>
          <t>Reformas sociales en disputa (pensional/tributaria)</t>
        </is>
      </c>
      <c r="C13" s="36" t="n">
        <v>14</v>
      </c>
      <c r="D13" s="36" t="n">
        <v>6</v>
      </c>
      <c r="E13" s="42">
        <f>C13+D13</f>
        <v/>
      </c>
      <c r="F13" s="38" t="n">
        <v>2</v>
      </c>
      <c r="G13" s="38" t="n">
        <v>1</v>
      </c>
      <c r="H13" s="42">
        <f>SUMIFS('Corpus - oraciones'!$AF$3:$AF$600,'Corpus - oraciones'!$C$3:$C$600,A13,'Corpus - oraciones'!$D$3:$D$600,B13)</f>
        <v/>
      </c>
      <c r="I13" s="43">
        <f>IFERROR(H13/E13,0)</f>
        <v/>
      </c>
      <c r="J13" s="38" t="inlineStr">
        <is>
          <t>Pendiente</t>
        </is>
      </c>
      <c r="K13" s="62" t="n"/>
    </row>
    <row r="14" ht="30" customHeight="1" s="31">
      <c r="A14" s="41" t="inlineStr">
        <is>
          <t>El Tiempo</t>
        </is>
      </c>
      <c r="B14" s="41" t="inlineStr">
        <is>
          <t>Seguridad y orden público</t>
        </is>
      </c>
      <c r="C14" s="36" t="n">
        <v>14</v>
      </c>
      <c r="D14" s="36" t="n">
        <v>6</v>
      </c>
      <c r="E14" s="42">
        <f>C14+D14</f>
        <v/>
      </c>
      <c r="F14" s="38" t="n">
        <v>2</v>
      </c>
      <c r="G14" s="38" t="n">
        <v>1</v>
      </c>
      <c r="H14" s="42">
        <f>SUMIFS('Corpus - oraciones'!$AF$3:$AF$600,'Corpus - oraciones'!$C$3:$C$600,A14,'Corpus - oraciones'!$D$3:$D$600,B14)</f>
        <v/>
      </c>
      <c r="I14" s="43">
        <f>IFERROR(H14/E14,0)</f>
        <v/>
      </c>
      <c r="J14" s="38" t="inlineStr">
        <is>
          <t>Pendiente</t>
        </is>
      </c>
      <c r="K14" s="62" t="n"/>
    </row>
    <row r="15" ht="30" customHeight="1" s="31">
      <c r="A15" s="35" t="inlineStr">
        <is>
          <t>El Espectador</t>
        </is>
      </c>
      <c r="B15" s="35" t="inlineStr">
        <is>
          <t>Transición de gobierno y relación con la oposición</t>
        </is>
      </c>
      <c r="C15" s="36" t="n">
        <v>6</v>
      </c>
      <c r="D15" s="36" t="n">
        <v>14</v>
      </c>
      <c r="E15" s="37">
        <f>C15+D15</f>
        <v/>
      </c>
      <c r="F15" s="38" t="n">
        <v>1</v>
      </c>
      <c r="G15" s="38" t="n">
        <v>1</v>
      </c>
      <c r="H15" s="37">
        <f>SUMIFS('Corpus - oraciones'!$AF$3:$AF$600,'Corpus - oraciones'!$C$3:$C$600,A15,'Corpus - oraciones'!$D$3:$D$600,B15)</f>
        <v/>
      </c>
      <c r="I15" s="39">
        <f>IFERROR(H15/E15,0)</f>
        <v/>
      </c>
      <c r="J15" s="38" t="inlineStr">
        <is>
          <t>Pendiente</t>
        </is>
      </c>
      <c r="K15" s="62" t="n"/>
    </row>
    <row r="16" ht="30" customHeight="1" s="31">
      <c r="A16" s="35" t="inlineStr">
        <is>
          <t>El Espectador</t>
        </is>
      </c>
      <c r="B16" s="35" t="inlineStr">
        <is>
          <t>Respuesta a la emergencia del terremoto</t>
        </is>
      </c>
      <c r="C16" s="36" t="n">
        <v>6</v>
      </c>
      <c r="D16" s="36" t="n">
        <v>14</v>
      </c>
      <c r="E16" s="37">
        <f>C16+D16</f>
        <v/>
      </c>
      <c r="F16" s="38" t="n">
        <v>1</v>
      </c>
      <c r="G16" s="38" t="n">
        <v>1</v>
      </c>
      <c r="H16" s="37">
        <f>SUMIFS('Corpus - oraciones'!$AF$3:$AF$600,'Corpus - oraciones'!$C$3:$C$600,A16,'Corpus - oraciones'!$D$3:$D$600,B16)</f>
        <v/>
      </c>
      <c r="I16" s="39">
        <f>IFERROR(H16/E16,0)</f>
        <v/>
      </c>
      <c r="J16" s="38" t="inlineStr">
        <is>
          <t>Pendiente</t>
        </is>
      </c>
      <c r="K16" s="62" t="n"/>
    </row>
    <row r="17" ht="30" customHeight="1" s="31">
      <c r="A17" s="35" t="inlineStr">
        <is>
          <t>El Espectador</t>
        </is>
      </c>
      <c r="B17" s="35" t="inlineStr">
        <is>
          <t>Relación con Estados Unidos</t>
        </is>
      </c>
      <c r="C17" s="36" t="n">
        <v>6</v>
      </c>
      <c r="D17" s="36" t="n">
        <v>14</v>
      </c>
      <c r="E17" s="37">
        <f>C17+D17</f>
        <v/>
      </c>
      <c r="F17" s="38" t="n">
        <v>1</v>
      </c>
      <c r="G17" s="38" t="n">
        <v>1</v>
      </c>
      <c r="H17" s="37">
        <f>SUMIFS('Corpus - oraciones'!$AF$3:$AF$600,'Corpus - oraciones'!$C$3:$C$600,A17,'Corpus - oraciones'!$D$3:$D$600,B17)</f>
        <v/>
      </c>
      <c r="I17" s="39">
        <f>IFERROR(H17/E17,0)</f>
        <v/>
      </c>
      <c r="J17" s="38" t="inlineStr">
        <is>
          <t>Pendiente</t>
        </is>
      </c>
      <c r="K17" s="62" t="n"/>
    </row>
    <row r="18" ht="30" customHeight="1" s="31">
      <c r="A18" s="35" t="inlineStr">
        <is>
          <t>El Espectador</t>
        </is>
      </c>
      <c r="B18" s="35" t="inlineStr">
        <is>
          <t>Reformas sociales en disputa (pensional/tributaria)</t>
        </is>
      </c>
      <c r="C18" s="36" t="n">
        <v>6</v>
      </c>
      <c r="D18" s="36" t="n">
        <v>14</v>
      </c>
      <c r="E18" s="37">
        <f>C18+D18</f>
        <v/>
      </c>
      <c r="F18" s="38" t="n">
        <v>1</v>
      </c>
      <c r="G18" s="38" t="n">
        <v>1</v>
      </c>
      <c r="H18" s="37">
        <f>SUMIFS('Corpus - oraciones'!$AF$3:$AF$600,'Corpus - oraciones'!$C$3:$C$600,A18,'Corpus - oraciones'!$D$3:$D$600,B18)</f>
        <v/>
      </c>
      <c r="I18" s="39">
        <f>IFERROR(H18/E18,0)</f>
        <v/>
      </c>
      <c r="J18" s="38" t="inlineStr">
        <is>
          <t>Pendiente</t>
        </is>
      </c>
      <c r="K18" s="62" t="n"/>
    </row>
    <row r="19" ht="30" customHeight="1" s="31">
      <c r="A19" s="35" t="inlineStr">
        <is>
          <t>El Espectador</t>
        </is>
      </c>
      <c r="B19" s="35" t="inlineStr">
        <is>
          <t>Seguridad y orden público</t>
        </is>
      </c>
      <c r="C19" s="36" t="n">
        <v>20</v>
      </c>
      <c r="D19" s="36" t="n">
        <v>0</v>
      </c>
      <c r="E19" s="37">
        <f>C19+D19</f>
        <v/>
      </c>
      <c r="F19" s="38" t="n">
        <v>3</v>
      </c>
      <c r="G19" s="38" t="n">
        <v>0</v>
      </c>
      <c r="H19" s="37">
        <f>SUMIFS('Corpus - oraciones'!$AF$3:$AF$600,'Corpus - oraciones'!$C$3:$C$600,A19,'Corpus - oraciones'!$D$3:$D$600,B19)</f>
        <v/>
      </c>
      <c r="I19" s="39">
        <f>IFERROR(H19/E19,0)</f>
        <v/>
      </c>
      <c r="J19" s="38" t="inlineStr">
        <is>
          <t>Pendiente</t>
        </is>
      </c>
      <c r="K19" s="62" t="inlineStr">
        <is>
          <t>Redistribuido 2026-09-05: sin opinión sobre seguridad disponible tras 2 intentos; objetivo movido íntegro a dura.</t>
        </is>
      </c>
    </row>
    <row r="20" ht="30" customHeight="1" s="31">
      <c r="A20" s="41" t="inlineStr">
        <is>
          <t>La Silla Vacía</t>
        </is>
      </c>
      <c r="B20" s="41" t="inlineStr">
        <is>
          <t>Transición de gobierno y relación con la oposición</t>
        </is>
      </c>
      <c r="C20" s="36" t="n">
        <v>8</v>
      </c>
      <c r="D20" s="36" t="n">
        <v>12</v>
      </c>
      <c r="E20" s="42">
        <f>C20+D20</f>
        <v/>
      </c>
      <c r="F20" s="38" t="n">
        <v>1</v>
      </c>
      <c r="G20" s="38" t="n">
        <v>2</v>
      </c>
      <c r="H20" s="42">
        <f>SUMIFS('Corpus - oraciones'!$AF$3:$AF$600,'Corpus - oraciones'!$C$3:$C$600,A20,'Corpus - oraciones'!$D$3:$D$600,B20)</f>
        <v/>
      </c>
      <c r="I20" s="43">
        <f>IFERROR(H20/E20,0)</f>
        <v/>
      </c>
      <c r="J20" s="38" t="inlineStr">
        <is>
          <t>Pendiente</t>
        </is>
      </c>
      <c r="K20" s="62" t="n"/>
    </row>
    <row r="21" ht="30" customHeight="1" s="31">
      <c r="A21" s="41" t="inlineStr">
        <is>
          <t>La Silla Vacía</t>
        </is>
      </c>
      <c r="B21" s="41" t="inlineStr">
        <is>
          <t>Respuesta a la emergencia del terremoto</t>
        </is>
      </c>
      <c r="C21" s="36" t="n">
        <v>8</v>
      </c>
      <c r="D21" s="36" t="n">
        <v>12</v>
      </c>
      <c r="E21" s="42">
        <f>C21+D21</f>
        <v/>
      </c>
      <c r="F21" s="38" t="n">
        <v>1</v>
      </c>
      <c r="G21" s="38" t="n">
        <v>2</v>
      </c>
      <c r="H21" s="42">
        <f>SUMIFS('Corpus - oraciones'!$AF$3:$AF$600,'Corpus - oraciones'!$C$3:$C$600,A21,'Corpus - oraciones'!$D$3:$D$600,B21)</f>
        <v/>
      </c>
      <c r="I21" s="43">
        <f>IFERROR(H21/E21,0)</f>
        <v/>
      </c>
      <c r="J21" s="38" t="inlineStr">
        <is>
          <t>Pendiente</t>
        </is>
      </c>
      <c r="K21" s="62" t="n"/>
    </row>
    <row r="22" ht="30" customHeight="1" s="31">
      <c r="A22" s="41" t="inlineStr">
        <is>
          <t>La Silla Vacía</t>
        </is>
      </c>
      <c r="B22" s="41" t="inlineStr">
        <is>
          <t>Relación con Estados Unidos</t>
        </is>
      </c>
      <c r="C22" s="36" t="n">
        <v>8</v>
      </c>
      <c r="D22" s="36" t="n">
        <v>12</v>
      </c>
      <c r="E22" s="42">
        <f>C22+D22</f>
        <v/>
      </c>
      <c r="F22" s="38" t="n">
        <v>1</v>
      </c>
      <c r="G22" s="38" t="n">
        <v>3</v>
      </c>
      <c r="H22" s="42">
        <f>SUMIFS('Corpus - oraciones'!$AF$3:$AF$600,'Corpus - oraciones'!$C$3:$C$600,A22,'Corpus - oraciones'!$D$3:$D$600,B22)</f>
        <v/>
      </c>
      <c r="I22" s="43">
        <f>IFERROR(H22/E22,0)</f>
        <v/>
      </c>
      <c r="J22" s="38" t="inlineStr">
        <is>
          <t>Pendiente</t>
        </is>
      </c>
      <c r="K22" s="62" t="n"/>
    </row>
    <row r="23" ht="30" customHeight="1" s="31">
      <c r="A23" s="41" t="inlineStr">
        <is>
          <t>La Silla Vacía</t>
        </is>
      </c>
      <c r="B23" s="41" t="inlineStr">
        <is>
          <t>Reformas sociales en disputa (pensional/tributaria)</t>
        </is>
      </c>
      <c r="C23" s="36" t="n">
        <v>8</v>
      </c>
      <c r="D23" s="36" t="n">
        <v>12</v>
      </c>
      <c r="E23" s="42">
        <f>C23+D23</f>
        <v/>
      </c>
      <c r="F23" s="38" t="n">
        <v>1</v>
      </c>
      <c r="G23" s="38" t="n">
        <v>3</v>
      </c>
      <c r="H23" s="42">
        <f>SUMIFS('Corpus - oraciones'!$AF$3:$AF$600,'Corpus - oraciones'!$C$3:$C$600,A23,'Corpus - oraciones'!$D$3:$D$600,B23)</f>
        <v/>
      </c>
      <c r="I23" s="43">
        <f>IFERROR(H23/E23,0)</f>
        <v/>
      </c>
      <c r="J23" s="38" t="inlineStr">
        <is>
          <t>Pendiente</t>
        </is>
      </c>
      <c r="K23" s="62" t="n"/>
    </row>
    <row r="24" ht="30" customHeight="1" s="31">
      <c r="A24" s="41" t="inlineStr">
        <is>
          <t>La Silla Vacía</t>
        </is>
      </c>
      <c r="B24" s="41" t="inlineStr">
        <is>
          <t>Seguridad y orden público</t>
        </is>
      </c>
      <c r="C24" s="36" t="n">
        <v>8</v>
      </c>
      <c r="D24" s="36" t="n">
        <v>12</v>
      </c>
      <c r="E24" s="42">
        <f>C24+D24</f>
        <v/>
      </c>
      <c r="F24" s="38" t="n">
        <v>1</v>
      </c>
      <c r="G24" s="38" t="n">
        <v>3</v>
      </c>
      <c r="H24" s="42">
        <f>SUMIFS('Corpus - oraciones'!$AF$3:$AF$600,'Corpus - oraciones'!$C$3:$C$600,A24,'Corpus - oraciones'!$D$3:$D$600,B24)</f>
        <v/>
      </c>
      <c r="I24" s="43">
        <f>IFERROR(H24/E24,0)</f>
        <v/>
      </c>
      <c r="J24" s="38" t="inlineStr">
        <is>
          <t>Pendiente</t>
        </is>
      </c>
      <c r="K24" s="62" t="n"/>
    </row>
    <row r="25" ht="30" customHeight="1" s="31">
      <c r="A25" s="35" t="inlineStr">
        <is>
          <t>Semana</t>
        </is>
      </c>
      <c r="B25" s="35" t="inlineStr">
        <is>
          <t>Transición de gobierno y relación con la oposición</t>
        </is>
      </c>
      <c r="C25" s="36" t="n">
        <v>10</v>
      </c>
      <c r="D25" s="36" t="n">
        <v>10</v>
      </c>
      <c r="E25" s="37">
        <f>C25+D25</f>
        <v/>
      </c>
      <c r="F25" s="38" t="n">
        <v>1</v>
      </c>
      <c r="G25" s="38" t="n">
        <v>1</v>
      </c>
      <c r="H25" s="37">
        <f>SUMIFS('Corpus - oraciones'!$AF$3:$AF$600,'Corpus - oraciones'!$C$3:$C$600,A25,'Corpus - oraciones'!$D$3:$D$600,B25)</f>
        <v/>
      </c>
      <c r="I25" s="39">
        <f>IFERROR(H25/E25,0)</f>
        <v/>
      </c>
      <c r="J25" s="38" t="inlineStr">
        <is>
          <t>Pendiente</t>
        </is>
      </c>
      <c r="K25" s="62" t="n"/>
    </row>
    <row r="26" ht="30" customHeight="1" s="31">
      <c r="A26" s="35" t="inlineStr">
        <is>
          <t>Semana</t>
        </is>
      </c>
      <c r="B26" s="35" t="inlineStr">
        <is>
          <t>Respuesta a la emergencia del terremoto</t>
        </is>
      </c>
      <c r="C26" s="36" t="n">
        <v>10</v>
      </c>
      <c r="D26" s="36" t="n">
        <v>10</v>
      </c>
      <c r="E26" s="37">
        <f>C26+D26</f>
        <v/>
      </c>
      <c r="F26" s="38" t="n">
        <v>1</v>
      </c>
      <c r="G26" s="38" t="n">
        <v>1</v>
      </c>
      <c r="H26" s="37">
        <f>SUMIFS('Corpus - oraciones'!$AF$3:$AF$600,'Corpus - oraciones'!$C$3:$C$600,A26,'Corpus - oraciones'!$D$3:$D$600,B26)</f>
        <v/>
      </c>
      <c r="I26" s="39">
        <f>IFERROR(H26/E26,0)</f>
        <v/>
      </c>
      <c r="J26" s="38" t="inlineStr">
        <is>
          <t>Pendiente</t>
        </is>
      </c>
      <c r="K26" s="62" t="n"/>
    </row>
    <row r="27" ht="30" customHeight="1" s="31">
      <c r="A27" s="35" t="inlineStr">
        <is>
          <t>Semana</t>
        </is>
      </c>
      <c r="B27" s="35" t="inlineStr">
        <is>
          <t>Relación con Estados Unidos</t>
        </is>
      </c>
      <c r="C27" s="36" t="n">
        <v>10</v>
      </c>
      <c r="D27" s="36" t="n">
        <v>10</v>
      </c>
      <c r="E27" s="37">
        <f>C27+D27</f>
        <v/>
      </c>
      <c r="F27" s="38" t="n">
        <v>1</v>
      </c>
      <c r="G27" s="38" t="n">
        <v>1</v>
      </c>
      <c r="H27" s="37">
        <f>SUMIFS('Corpus - oraciones'!$AF$3:$AF$600,'Corpus - oraciones'!$C$3:$C$600,A27,'Corpus - oraciones'!$D$3:$D$600,B27)</f>
        <v/>
      </c>
      <c r="I27" s="39">
        <f>IFERROR(H27/E27,0)</f>
        <v/>
      </c>
      <c r="J27" s="38" t="inlineStr">
        <is>
          <t>Pendiente</t>
        </is>
      </c>
      <c r="K27" s="62" t="n"/>
    </row>
    <row r="28" ht="30" customHeight="1" s="31">
      <c r="A28" s="35" t="inlineStr">
        <is>
          <t>Semana</t>
        </is>
      </c>
      <c r="B28" s="35" t="inlineStr">
        <is>
          <t>Reformas sociales en disputa (pensional/tributaria)</t>
        </is>
      </c>
      <c r="C28" s="36" t="n">
        <v>10</v>
      </c>
      <c r="D28" s="36" t="n">
        <v>10</v>
      </c>
      <c r="E28" s="37">
        <f>C28+D28</f>
        <v/>
      </c>
      <c r="F28" s="38" t="n">
        <v>1</v>
      </c>
      <c r="G28" s="38" t="n">
        <v>1</v>
      </c>
      <c r="H28" s="37">
        <f>SUMIFS('Corpus - oraciones'!$AF$3:$AF$600,'Corpus - oraciones'!$C$3:$C$600,A28,'Corpus - oraciones'!$D$3:$D$600,B28)</f>
        <v/>
      </c>
      <c r="I28" s="39">
        <f>IFERROR(H28/E28,0)</f>
        <v/>
      </c>
      <c r="J28" s="38" t="inlineStr">
        <is>
          <t>Pendiente</t>
        </is>
      </c>
      <c r="K28" s="62" t="n"/>
    </row>
    <row r="29" ht="30" customHeight="1" s="31">
      <c r="A29" s="35" t="inlineStr">
        <is>
          <t>Semana</t>
        </is>
      </c>
      <c r="B29" s="35" t="inlineStr">
        <is>
          <t>Seguridad y orden público</t>
        </is>
      </c>
      <c r="C29" s="36" t="n">
        <v>10</v>
      </c>
      <c r="D29" s="36" t="n">
        <v>10</v>
      </c>
      <c r="E29" s="37">
        <f>C29+D29</f>
        <v/>
      </c>
      <c r="F29" s="38" t="n">
        <v>1</v>
      </c>
      <c r="G29" s="38" t="n">
        <v>1</v>
      </c>
      <c r="H29" s="37">
        <f>SUMIFS('Corpus - oraciones'!$AF$3:$AF$600,'Corpus - oraciones'!$C$3:$C$600,A29,'Corpus - oraciones'!$D$3:$D$600,B29)</f>
        <v/>
      </c>
      <c r="I29" s="39">
        <f>IFERROR(H29/E29,0)</f>
        <v/>
      </c>
      <c r="J29" s="38" t="inlineStr">
        <is>
          <t>Pendiente</t>
        </is>
      </c>
      <c r="K29" s="62" t="n"/>
    </row>
    <row r="30" ht="15" customHeight="1" s="31">
      <c r="A30" s="44" t="inlineStr">
        <is>
          <t>TOTAL</t>
        </is>
      </c>
      <c r="B30" s="45" t="n"/>
      <c r="C30" s="44">
        <f>SUM(C5:C29)</f>
        <v/>
      </c>
      <c r="D30" s="44">
        <f>SUM(D5:D29)</f>
        <v/>
      </c>
      <c r="E30" s="44">
        <f>SUM(E5:E29)</f>
        <v/>
      </c>
      <c r="F30" s="46" t="n"/>
      <c r="G30" s="46" t="n"/>
      <c r="H30" s="44">
        <f>SUM(H5:H29)</f>
        <v/>
      </c>
      <c r="I30" s="47">
        <f>IFERROR(H30/E30,0)</f>
        <v/>
      </c>
      <c r="J30" s="46" t="n"/>
      <c r="K30" s="46" t="n"/>
    </row>
  </sheetData>
  <mergeCells count="3">
    <mergeCell ref="A2:K2"/>
    <mergeCell ref="A1:K1"/>
    <mergeCell ref="A30:B30"/>
  </mergeCells>
  <conditionalFormatting sqref="I5:I29">
    <cfRule type="colorScale" priority="2">
      <colorScale>
        <cfvo type="num" val="0"/>
        <cfvo type="num" val="0.5"/>
        <cfvo type="num" val="1"/>
        <color rgb="FFF8696B"/>
        <color rgb="FFFFEB84"/>
        <color rgb="FF63BE7B"/>
      </colorScale>
    </cfRule>
  </conditionalFormatting>
  <dataValidations count="1">
    <dataValidation sqref="J5:J29" showDropDown="0" showInputMessage="0" showErrorMessage="0" allowBlank="1" type="list" errorStyle="stop" operator="between">
      <formula1>"Pendiente,En progreso,Completo"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0" min="1" max="1"/>
    <col width="15" customWidth="1" style="30" min="2" max="2"/>
    <col width="18" customWidth="1" style="30" min="3" max="3"/>
    <col width="12" customWidth="1" style="30" min="4" max="4"/>
  </cols>
  <sheetData>
    <row r="1" ht="17.35" customHeight="1" s="31">
      <c r="A1" s="55" t="inlineStr">
        <is>
          <t>Resumen por medio y por tema</t>
        </is>
      </c>
    </row>
    <row r="3" ht="15" customHeight="1" s="31">
      <c r="A3" s="48" t="inlineStr">
        <is>
          <t>Por medio</t>
        </is>
      </c>
    </row>
    <row r="4" ht="15" customHeight="1" s="31">
      <c r="A4" s="34" t="inlineStr">
        <is>
          <t>Medio</t>
        </is>
      </c>
      <c r="B4" s="34" t="inlineStr">
        <is>
          <t>Objetivo total</t>
        </is>
      </c>
      <c r="C4" s="34" t="inlineStr">
        <is>
          <t>Oraciones anotadas</t>
        </is>
      </c>
      <c r="D4" s="34" t="inlineStr">
        <is>
          <t>% avance</t>
        </is>
      </c>
    </row>
    <row r="5" ht="18" customHeight="1" s="31">
      <c r="A5" s="35" t="inlineStr">
        <is>
          <t>Infobae Colombia</t>
        </is>
      </c>
      <c r="B5" s="49">
        <f>SUMIF('Grid de recoleccion'!A:A,A5,'Grid de recoleccion'!E:E)</f>
        <v/>
      </c>
      <c r="C5" s="49">
        <f>SUMIF('Grid de recoleccion'!A:A,A5,'Grid de recoleccion'!H:H)</f>
        <v/>
      </c>
      <c r="D5" s="50">
        <f>IFERROR(C5/B5,0)</f>
        <v/>
      </c>
    </row>
    <row r="6" ht="18" customHeight="1" s="31">
      <c r="A6" s="35" t="inlineStr">
        <is>
          <t>El Tiempo</t>
        </is>
      </c>
      <c r="B6" s="49">
        <f>SUMIF('Grid de recoleccion'!A:A,A6,'Grid de recoleccion'!E:E)</f>
        <v/>
      </c>
      <c r="C6" s="49">
        <f>SUMIF('Grid de recoleccion'!A:A,A6,'Grid de recoleccion'!H:H)</f>
        <v/>
      </c>
      <c r="D6" s="50">
        <f>IFERROR(C6/B6,0)</f>
        <v/>
      </c>
    </row>
    <row r="7" ht="18" customHeight="1" s="31">
      <c r="A7" s="35" t="inlineStr">
        <is>
          <t>El Espectador</t>
        </is>
      </c>
      <c r="B7" s="49">
        <f>SUMIF('Grid de recoleccion'!A:A,A7,'Grid de recoleccion'!E:E)</f>
        <v/>
      </c>
      <c r="C7" s="49">
        <f>SUMIF('Grid de recoleccion'!A:A,A7,'Grid de recoleccion'!H:H)</f>
        <v/>
      </c>
      <c r="D7" s="50">
        <f>IFERROR(C7/B7,0)</f>
        <v/>
      </c>
    </row>
    <row r="8" ht="18" customHeight="1" s="31">
      <c r="A8" s="35" t="inlineStr">
        <is>
          <t>La Silla Vacía</t>
        </is>
      </c>
      <c r="B8" s="49">
        <f>SUMIF('Grid de recoleccion'!A:A,A8,'Grid de recoleccion'!E:E)</f>
        <v/>
      </c>
      <c r="C8" s="49">
        <f>SUMIF('Grid de recoleccion'!A:A,A8,'Grid de recoleccion'!H:H)</f>
        <v/>
      </c>
      <c r="D8" s="50">
        <f>IFERROR(C8/B8,0)</f>
        <v/>
      </c>
    </row>
    <row r="9" ht="18" customHeight="1" s="31">
      <c r="A9" s="35" t="inlineStr">
        <is>
          <t>Semana</t>
        </is>
      </c>
      <c r="B9" s="49">
        <f>SUMIF('Grid de recoleccion'!A:A,A9,'Grid de recoleccion'!E:E)</f>
        <v/>
      </c>
      <c r="C9" s="49">
        <f>SUMIF('Grid de recoleccion'!A:A,A9,'Grid de recoleccion'!H:H)</f>
        <v/>
      </c>
      <c r="D9" s="50">
        <f>IFERROR(C9/B9,0)</f>
        <v/>
      </c>
    </row>
    <row r="10" ht="15" customHeight="1" s="31">
      <c r="A10" s="51" t="inlineStr">
        <is>
          <t>TOTAL</t>
        </is>
      </c>
      <c r="B10" s="51">
        <f>SUM(B5:B9)</f>
        <v/>
      </c>
      <c r="C10" s="51">
        <f>SUM(C5:C9)</f>
        <v/>
      </c>
      <c r="D10" s="52">
        <f>IFERROR(C10/B10,0)</f>
        <v/>
      </c>
    </row>
    <row r="13" ht="15" customHeight="1" s="31">
      <c r="A13" s="48" t="inlineStr">
        <is>
          <t>Por tema</t>
        </is>
      </c>
    </row>
    <row r="14" ht="15" customHeight="1" s="31">
      <c r="A14" s="34" t="inlineStr">
        <is>
          <t>Tema</t>
        </is>
      </c>
      <c r="B14" s="34" t="inlineStr">
        <is>
          <t>Objetivo total</t>
        </is>
      </c>
      <c r="C14" s="34" t="inlineStr">
        <is>
          <t>Oraciones anotadas</t>
        </is>
      </c>
      <c r="D14" s="34" t="inlineStr">
        <is>
          <t>% avance</t>
        </is>
      </c>
    </row>
    <row r="15" ht="23.85" customHeight="1" s="31">
      <c r="A15" s="35" t="inlineStr">
        <is>
          <t>Transición de gobierno y relación con la oposición</t>
        </is>
      </c>
      <c r="B15" s="49">
        <f>SUMIF('Grid de recoleccion'!B:B,A15,'Grid de recoleccion'!E:E)</f>
        <v/>
      </c>
      <c r="C15" s="49">
        <f>SUMIF('Grid de recoleccion'!B:B,A15,'Grid de recoleccion'!H:H)</f>
        <v/>
      </c>
      <c r="D15" s="50">
        <f>IFERROR(C15/B15,0)</f>
        <v/>
      </c>
    </row>
    <row r="16" ht="23.85" customHeight="1" s="31">
      <c r="A16" s="35" t="inlineStr">
        <is>
          <t>Respuesta a la emergencia del terremoto</t>
        </is>
      </c>
      <c r="B16" s="49">
        <f>SUMIF('Grid de recoleccion'!B:B,A16,'Grid de recoleccion'!E:E)</f>
        <v/>
      </c>
      <c r="C16" s="49">
        <f>SUMIF('Grid de recoleccion'!B:B,A16,'Grid de recoleccion'!H:H)</f>
        <v/>
      </c>
      <c r="D16" s="50">
        <f>IFERROR(C16/B16,0)</f>
        <v/>
      </c>
    </row>
    <row r="17" ht="15" customHeight="1" s="31">
      <c r="A17" s="35" t="inlineStr">
        <is>
          <t>Relación con Estados Unidos</t>
        </is>
      </c>
      <c r="B17" s="49">
        <f>SUMIF('Grid de recoleccion'!B:B,A17,'Grid de recoleccion'!E:E)</f>
        <v/>
      </c>
      <c r="C17" s="49">
        <f>SUMIF('Grid de recoleccion'!B:B,A17,'Grid de recoleccion'!H:H)</f>
        <v/>
      </c>
      <c r="D17" s="50">
        <f>IFERROR(C17/B17,0)</f>
        <v/>
      </c>
    </row>
    <row r="18" ht="23.85" customHeight="1" s="31">
      <c r="A18" s="35" t="inlineStr">
        <is>
          <t>Reformas sociales en disputa (pensional/tributaria)</t>
        </is>
      </c>
      <c r="B18" s="49">
        <f>SUMIF('Grid de recoleccion'!B:B,A18,'Grid de recoleccion'!E:E)</f>
        <v/>
      </c>
      <c r="C18" s="49">
        <f>SUMIF('Grid de recoleccion'!B:B,A18,'Grid de recoleccion'!H:H)</f>
        <v/>
      </c>
      <c r="D18" s="50">
        <f>IFERROR(C18/B18,0)</f>
        <v/>
      </c>
    </row>
    <row r="19" ht="15" customHeight="1" s="31">
      <c r="A19" s="35" t="inlineStr">
        <is>
          <t>Seguridad y orden público</t>
        </is>
      </c>
      <c r="B19" s="49">
        <f>SUMIF('Grid de recoleccion'!B:B,A19,'Grid de recoleccion'!E:E)</f>
        <v/>
      </c>
      <c r="C19" s="49">
        <f>SUMIF('Grid de recoleccion'!B:B,A19,'Grid de recoleccion'!H:H)</f>
        <v/>
      </c>
      <c r="D19" s="50">
        <f>IFERROR(C19/B19,0)</f>
        <v/>
      </c>
    </row>
    <row r="20" ht="15" customHeight="1" s="31">
      <c r="A20" s="51" t="inlineStr">
        <is>
          <t>TOTAL</t>
        </is>
      </c>
      <c r="B20" s="51">
        <f>SUM(B15:B19)</f>
        <v/>
      </c>
      <c r="C20" s="51">
        <f>SUM(C15:C19)</f>
        <v/>
      </c>
      <c r="D20" s="52">
        <f>IFERROR(C20/B20,0)</f>
        <v/>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0" min="1" max="1"/>
    <col width="60" customWidth="1" style="30" min="2" max="2"/>
  </cols>
  <sheetData>
    <row r="1" ht="17.35" customHeight="1" s="31">
      <c r="A1" s="55" t="inlineStr">
        <is>
          <t>Cómo usar este archivo</t>
        </is>
      </c>
    </row>
    <row r="3" ht="39.75" customHeight="1" s="31">
      <c r="A3" s="53" t="inlineStr">
        <is>
          <t>Objetivo oraciones (dura) / (opinión)</t>
        </is>
      </c>
      <c r="B3" s="35" t="inlineStr">
        <is>
          <t>Editable (amarillo). Ya vienen propuestos según la fortaleza de cada medio — ajústalos si el avance real muestra que un medio/tema rinde distinto a lo esperado.</t>
        </is>
      </c>
    </row>
    <row r="4" ht="39.75" customHeight="1" s="31">
      <c r="A4" s="53" t="inlineStr">
        <is>
          <t>Objetivo total</t>
        </is>
      </c>
      <c r="B4" s="35" t="inlineStr">
        <is>
          <t>Se calcula solo (dura + opinión). No editar.</t>
        </is>
      </c>
    </row>
    <row r="5" ht="39.75" customHeight="1" s="31">
      <c r="A5" s="53" t="inlineStr">
        <is>
          <t>Artículos recolectados (dura/opinión)</t>
        </is>
      </c>
      <c r="B5" s="35" t="inlineStr">
        <is>
          <t>Editable. Cuenta cuántos artículos de cada género llevas recolectados para esa celda.</t>
        </is>
      </c>
    </row>
    <row r="6" ht="39.75" customHeight="1" s="31">
      <c r="A6" s="53" t="inlineStr">
        <is>
          <t>Oraciones anotadas (real)</t>
        </is>
      </c>
      <c r="B6" s="35" t="inlineStr">
        <is>
          <t>Editable. Actualízalo a medida que el profesional anota — es lo que alimenta el % de avance.</t>
        </is>
      </c>
    </row>
    <row r="7" ht="39.75" customHeight="1" s="31">
      <c r="A7" s="53" t="inlineStr">
        <is>
          <t>% avance</t>
        </is>
      </c>
      <c r="B7" s="35" t="inlineStr">
        <is>
          <t>Se calcula solo (oraciones anotadas / objetivo total). Rojo = arrancando, amarillo = a mitad, verde = completo.</t>
        </is>
      </c>
    </row>
    <row r="8" ht="39.75" customHeight="1" s="31">
      <c r="A8" s="53" t="inlineStr">
        <is>
          <t>Estado</t>
        </is>
      </c>
      <c r="B8" s="35" t="inlineStr">
        <is>
          <t>Editable, selecciona de la lista desplegable: Pendiente / En progreso / Completo.</t>
        </is>
      </c>
    </row>
    <row r="9" ht="39.75" customHeight="1" s="31">
      <c r="A9" s="53" t="inlineStr">
        <is>
          <t>Notas</t>
        </is>
      </c>
      <c r="B9" s="35" t="inlineStr">
        <is>
          <t>Editable, libre — por ejemplo "El Espectador: solo se consiguieron 4 de 6 artículos de opinión, faltan 2".</t>
        </is>
      </c>
    </row>
    <row r="10" ht="39.75" customHeight="1" s="31">
      <c r="A10" s="53" t="inlineStr">
        <is>
          <t>Hoja Resumen</t>
        </is>
      </c>
      <c r="B10" s="35" t="inlineStr">
        <is>
          <t>Se calcula sola a partir de la hoja principal — no editar directamente, solo lectura.</t>
        </is>
      </c>
    </row>
    <row r="12" ht="15" customHeight="1" s="31">
      <c r="A12" s="56" t="inlineStr">
        <is>
          <t>Ejemplo de fila ya en progreso (referencia, no editar aquí):</t>
        </is>
      </c>
    </row>
    <row r="13" ht="39.75" customHeight="1" s="31">
      <c r="A13" s="56" t="inlineStr">
        <is>
          <t>Infobae — Seguridad y orden público</t>
        </is>
      </c>
      <c r="B13" s="54" t="inlineStr">
        <is>
          <t>Objetivo 20 (14 dura + 6 opinión); llevan 3 artículos dura + 1 opinión recolectados, 17 oraciones ya anotadas → 85% avance, Estado: En progreso.</t>
        </is>
      </c>
    </row>
    <row r="15" ht="90" customHeight="1" s="31">
      <c r="A15" s="53" t="inlineStr">
        <is>
          <t>Hoja 'Corpus - oraciones'</t>
        </is>
      </c>
      <c r="B15" s="35" t="inlineStr">
        <is>
          <t>Aquí van las 500 oraciones reales con su texto y su anotación. Las 3 primeras filas (en gris, cursiva) son el ejemplo de referencia -- una fila por oración, no se editan ni se cuentan (fila 5 = ejemplo con hallazgo léxico Y discursivo a la vez, fila 6 = ejemplo con hallazgo solo discursivo, fila 7 = ejemplo neutral). IMPORTANTE: toda oración revisada recibe exactamente una fila, incluso si todas las categorías quedan en FALSE -- las oraciones neutras son tan necesarias como las sesgadas, no se omiten. Esquema completo (Tabla 1 de esquemas_anotacion.xlsx): 5 categorías léxicas J1 (verbo_factivo, verbo_asertivo, palabra_subjetiva, hedge, etiqueta_valorativa) + 4 discursivas J2 (sensacionalismo, mind_reading, falta_atribucion, opinion_como_hecho), cada una con su propia columna de span al lado (se llena solo si esa categoría quedó en TRUE). direccion/actor_objetivo aplican sobre cualquiera de los dos niveles (actor_objetivo es obligatorio si direccion != neutral). intensidad_lexica se llena solo si algún J1 quedó TRUE; camuflaje_epistemico solo si algún J2 quedó TRUE -- ambas en escala 1-5 (ver manual). medio/tema/género/direccion/las 9 categorías booleanas tienen lista desplegable. La columna 'aux' alimenta automáticamente el avance en la hoja principal -- no se toca.</t>
        </is>
      </c>
    </row>
  </sheetData>
  <mergeCells count="2">
    <mergeCell ref="A1:B1"/>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G55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14" customWidth="1" style="30" min="2" max="3"/>
    <col width="24" customWidth="1" style="30" min="4" max="4"/>
    <col width="12" customWidth="1" style="30" min="5" max="5"/>
    <col width="11" customWidth="1" style="30" min="6" max="6"/>
    <col width="42" customWidth="1" style="30" min="7" max="7"/>
    <col width="30" customWidth="1" style="30" min="8" max="9"/>
    <col width="11" customWidth="1" style="30" min="10" max="10"/>
    <col width="26" customWidth="1" style="30" min="11" max="11"/>
    <col width="11" customWidth="1" style="30" min="12" max="12"/>
    <col width="26" customWidth="1" style="30" min="13" max="13"/>
    <col width="11" customWidth="1" style="30" min="14" max="14"/>
    <col width="26" customWidth="1" style="30" min="15" max="15"/>
    <col width="11" customWidth="1" style="30" min="16" max="16"/>
    <col width="26" customWidth="1" style="31" min="17" max="17"/>
    <col width="11" customWidth="1" style="31" min="18" max="18"/>
    <col width="26" customWidth="1" style="31" min="19" max="19"/>
    <col width="11" customWidth="1" style="31" min="20" max="20"/>
    <col width="26" customWidth="1" style="31" min="21" max="21"/>
    <col width="11" customWidth="1" style="31" min="22" max="22"/>
    <col width="26" customWidth="1" style="31" min="23" max="23"/>
    <col width="11" customWidth="1" style="31" min="24" max="24"/>
    <col width="26" customWidth="1" style="31" min="25" max="25"/>
    <col width="11" customWidth="1" style="31" min="26" max="26"/>
    <col width="26" customWidth="1" style="31" min="27" max="27"/>
    <col width="12" customWidth="1" style="31" min="28" max="28"/>
    <col width="22" customWidth="1" style="31" min="29" max="29"/>
    <col width="12" customWidth="1" style="31" min="30" max="30"/>
    <col width="14" customWidth="1" style="31" min="31" max="31"/>
    <col width="12" customWidth="1" style="31" min="32" max="32"/>
    <col width="45" customWidth="1" style="31" min="33" max="33"/>
  </cols>
  <sheetData>
    <row r="1" ht="17.35" customHeight="1" s="31">
      <c r="A1" s="55" t="inlineStr">
        <is>
          <t>Corpus real — una fila por oración (esquema completo: 9 categorías léxico/discursivo)</t>
        </is>
      </c>
    </row>
    <row r="2" ht="27.75" customHeight="1" s="31">
      <c r="A2" s="56" t="inlineStr">
        <is>
          <t>Aquí van las 500 oraciones reales, su texto, y su anotación (esquema completo: J1 léxico + J2 discursivo, 9 categorías, cada una con su span). Celdas amarillas = editables. La columna AF es auxiliar, no se edita -- alimenta el conteo automático de la hoja 'Grid de recoleccion'.</t>
        </is>
      </c>
    </row>
    <row r="4" ht="33.75" customHeight="1" s="31">
      <c r="A4" s="58" t="inlineStr">
        <is>
          <t>articulo_id</t>
        </is>
      </c>
      <c r="B4" s="58" t="inlineStr">
        <is>
          <t>oracion_id</t>
        </is>
      </c>
      <c r="C4" s="58" t="inlineStr">
        <is>
          <t>medio</t>
        </is>
      </c>
      <c r="D4" s="58" t="inlineStr">
        <is>
          <t>tema</t>
        </is>
      </c>
      <c r="E4" s="58" t="inlineStr">
        <is>
          <t>género
(dura/opinión)</t>
        </is>
      </c>
      <c r="F4" s="58" t="inlineStr">
        <is>
          <t>fecha_
publicación</t>
        </is>
      </c>
      <c r="G4" s="58" t="inlineStr">
        <is>
          <t>oracion_texto</t>
        </is>
      </c>
      <c r="H4" s="58" t="inlineStr">
        <is>
          <t>oracion_anterior</t>
        </is>
      </c>
      <c r="I4" s="58" t="inlineStr">
        <is>
          <t>oracion_siguiente</t>
        </is>
      </c>
      <c r="J4" s="58" t="inlineStr">
        <is>
          <t>verbo_factivo
(J1)</t>
        </is>
      </c>
      <c r="K4" s="58" t="inlineStr">
        <is>
          <t>verbo_factivo_span</t>
        </is>
      </c>
      <c r="L4" s="58" t="inlineStr">
        <is>
          <t>verbo_asertivo
(J1)</t>
        </is>
      </c>
      <c r="M4" s="58" t="inlineStr">
        <is>
          <t>verbo_asertivo_span</t>
        </is>
      </c>
      <c r="N4" s="58" t="inlineStr">
        <is>
          <t>palabra_subjetiva
(J1)</t>
        </is>
      </c>
      <c r="O4" s="58" t="inlineStr">
        <is>
          <t>palabra_subjetiva_span</t>
        </is>
      </c>
      <c r="P4" s="58" t="inlineStr">
        <is>
          <t>hedge
(J1)</t>
        </is>
      </c>
      <c r="Q4" s="58" t="inlineStr">
        <is>
          <t>hedge_span</t>
        </is>
      </c>
      <c r="R4" s="58" t="inlineStr">
        <is>
          <t>etiqueta_valorativa
(J1)</t>
        </is>
      </c>
      <c r="S4" s="58" t="inlineStr">
        <is>
          <t>etiqueta_valorativa_span</t>
        </is>
      </c>
      <c r="T4" s="58" t="inlineStr">
        <is>
          <t>sensacionalismo
(J2)</t>
        </is>
      </c>
      <c r="U4" s="58" t="inlineStr">
        <is>
          <t>sensacionalismo_span</t>
        </is>
      </c>
      <c r="V4" s="58" t="inlineStr">
        <is>
          <t>mind_reading
(J2)</t>
        </is>
      </c>
      <c r="W4" s="58" t="inlineStr">
        <is>
          <t>mind_reading_span</t>
        </is>
      </c>
      <c r="X4" s="58" t="inlineStr">
        <is>
          <t>falta_atribucion
(J2)</t>
        </is>
      </c>
      <c r="Y4" s="58" t="inlineStr">
        <is>
          <t>falta_atribucion_span</t>
        </is>
      </c>
      <c r="Z4" s="58" t="inlineStr">
        <is>
          <t>opinion_como_hecho
(J2)</t>
        </is>
      </c>
      <c r="AA4" s="58" t="inlineStr">
        <is>
          <t>opinion_como_hecho_span</t>
        </is>
      </c>
      <c r="AB4" s="58" t="inlineStr">
        <is>
          <t>direccion</t>
        </is>
      </c>
      <c r="AC4" s="58" t="inlineStr">
        <is>
          <t>actor_objetivo</t>
        </is>
      </c>
      <c r="AD4" s="58" t="inlineStr">
        <is>
          <t>intensidad_lexica
(1-5, si J1)</t>
        </is>
      </c>
      <c r="AE4" s="58" t="inlineStr">
        <is>
          <t>camuflaje_epistemico
(1-5, si J2)</t>
        </is>
      </c>
      <c r="AF4" s="58" t="inlineStr">
        <is>
          <t>aux: primera
fila de la
oración (no editar)</t>
        </is>
      </c>
      <c r="AG4" s="58" t="inlineStr">
        <is>
          <t>url_fuente</t>
        </is>
      </c>
    </row>
    <row r="5" ht="32.8" customHeight="1" s="31">
      <c r="A5" s="59" t="inlineStr">
        <is>
          <t>ART_0231</t>
        </is>
      </c>
      <c r="B5" s="59" t="inlineStr">
        <is>
          <t>ART_0231_S07</t>
        </is>
      </c>
      <c r="C5" s="59" t="inlineStr">
        <is>
          <t>El Tiempo</t>
        </is>
      </c>
      <c r="D5" s="59" t="inlineStr">
        <is>
          <t>Transición de gobierno y relación con la oposición</t>
        </is>
      </c>
      <c r="E5" s="59" t="inlineStr">
        <is>
          <t>Noticia dura</t>
        </is>
      </c>
      <c r="F5" s="59" t="inlineStr">
        <is>
          <t>2026-08-20</t>
        </is>
      </c>
      <c r="G5" s="60" t="inlineStr">
        <is>
          <t>El Gobierno impuso la polémica reforma tributaria pese a las advertencias de los gremios, sabiendo que afectaría directamente a la clase media.</t>
        </is>
      </c>
      <c r="H5" s="60" t="inlineStr">
        <is>
          <t>El anuncio se dio durante la rueda de prensa de la tarde.</t>
        </is>
      </c>
      <c r="I5" s="60" t="inlineStr">
        <is>
          <t>El Ministerio de Hacienda no respondió a las solicitudes de entrevista.</t>
        </is>
      </c>
      <c r="J5" s="38" t="inlineStr">
        <is>
          <t>FALSE</t>
        </is>
      </c>
      <c r="K5" s="62" t="n"/>
      <c r="L5" s="38" t="inlineStr">
        <is>
          <t>FALSE</t>
        </is>
      </c>
      <c r="M5" s="62" t="n"/>
      <c r="N5" s="38" t="inlineStr">
        <is>
          <t>FALSE</t>
        </is>
      </c>
      <c r="O5" s="62" t="n"/>
      <c r="P5" s="38" t="inlineStr">
        <is>
          <t>FALSE</t>
        </is>
      </c>
      <c r="Q5" s="62" t="n"/>
      <c r="R5" s="38" t="inlineStr">
        <is>
          <t>TRUE</t>
        </is>
      </c>
      <c r="S5" s="62" t="inlineStr">
        <is>
          <t>polémica</t>
        </is>
      </c>
      <c r="T5" s="38" t="inlineStr">
        <is>
          <t>FALSE</t>
        </is>
      </c>
      <c r="U5" s="62" t="n"/>
      <c r="V5" s="38" t="inlineStr">
        <is>
          <t>TRUE</t>
        </is>
      </c>
      <c r="W5" s="62" t="inlineStr">
        <is>
          <t>sabiendo que afectaría directamente a la clase media</t>
        </is>
      </c>
      <c r="X5" s="38" t="inlineStr">
        <is>
          <t>FALSE</t>
        </is>
      </c>
      <c r="Y5" s="62" t="n"/>
      <c r="Z5" s="38" t="inlineStr">
        <is>
          <t>FALSE</t>
        </is>
      </c>
      <c r="AA5" s="62" t="n"/>
      <c r="AB5" s="38" t="inlineStr">
        <is>
          <t>perjudica</t>
        </is>
      </c>
      <c r="AC5" s="62" t="inlineStr">
        <is>
          <t>Gobierno nacional</t>
        </is>
      </c>
      <c r="AD5" s="38" t="n">
        <v>3</v>
      </c>
      <c r="AE5" s="38" t="n">
        <v>4</v>
      </c>
      <c r="AF5" s="61">
        <f>IF(COUNTIF($B$5:B5,B5)=1,1,0)</f>
        <v/>
      </c>
      <c r="AG5" s="62" t="n"/>
    </row>
    <row r="6" ht="32.8" customHeight="1" s="31">
      <c r="A6" s="59" t="inlineStr">
        <is>
          <t>ART_0198</t>
        </is>
      </c>
      <c r="B6" s="59" t="inlineStr">
        <is>
          <t>ART_0198_S02</t>
        </is>
      </c>
      <c r="C6" s="59" t="inlineStr">
        <is>
          <t>El Espectador</t>
        </is>
      </c>
      <c r="D6" s="59" t="inlineStr">
        <is>
          <t>Reformas sociales en disputa (pensional/tributaria)</t>
        </is>
      </c>
      <c r="E6" s="59" t="inlineStr">
        <is>
          <t>Opinión-análisis</t>
        </is>
      </c>
      <c r="F6" s="59" t="inlineStr">
        <is>
          <t>2026-07-10</t>
        </is>
      </c>
      <c r="G6" s="60" t="inlineStr">
        <is>
          <t>El plan pensional fracasará antes de que termine el año.</t>
        </is>
      </c>
      <c r="H6" s="60" t="inlineStr">
        <is>
          <t>El columnista abrió su texto recordando las promesas de campaña.</t>
        </is>
      </c>
      <c r="I6" s="60" t="inlineStr">
        <is>
          <t>Nadie en el Gobierno ha salido a desmentirlo.</t>
        </is>
      </c>
      <c r="J6" s="38" t="inlineStr">
        <is>
          <t>FALSE</t>
        </is>
      </c>
      <c r="K6" s="62" t="n"/>
      <c r="L6" s="38" t="inlineStr">
        <is>
          <t>FALSE</t>
        </is>
      </c>
      <c r="M6" s="62" t="n"/>
      <c r="N6" s="38" t="inlineStr">
        <is>
          <t>FALSE</t>
        </is>
      </c>
      <c r="O6" s="62" t="n"/>
      <c r="P6" s="38" t="inlineStr">
        <is>
          <t>FALSE</t>
        </is>
      </c>
      <c r="Q6" s="62" t="n"/>
      <c r="R6" s="38" t="inlineStr">
        <is>
          <t>FALSE</t>
        </is>
      </c>
      <c r="S6" s="62" t="n"/>
      <c r="T6" s="38" t="inlineStr">
        <is>
          <t>FALSE</t>
        </is>
      </c>
      <c r="U6" s="62" t="n"/>
      <c r="V6" s="38" t="inlineStr">
        <is>
          <t>FALSE</t>
        </is>
      </c>
      <c r="W6" s="62" t="n"/>
      <c r="X6" s="38" t="inlineStr">
        <is>
          <t>FALSE</t>
        </is>
      </c>
      <c r="Y6" s="62" t="n"/>
      <c r="Z6" s="38" t="inlineStr">
        <is>
          <t>TRUE</t>
        </is>
      </c>
      <c r="AA6" s="62" t="inlineStr">
        <is>
          <t>El plan pensional fracasará antes de que termine el año</t>
        </is>
      </c>
      <c r="AB6" s="38" t="inlineStr">
        <is>
          <t>perjudica</t>
        </is>
      </c>
      <c r="AC6" s="62" t="inlineStr">
        <is>
          <t>Gobierno nacional / reforma pensional</t>
        </is>
      </c>
      <c r="AD6" s="38" t="n"/>
      <c r="AE6" s="38" t="n">
        <v>3</v>
      </c>
      <c r="AF6" s="61">
        <f>IF(COUNTIF($B$5:B6,B6)=1,1,0)</f>
        <v/>
      </c>
      <c r="AG6" s="62" t="n"/>
    </row>
    <row r="7" ht="22.35" customHeight="1" s="31">
      <c r="A7" s="59" t="inlineStr">
        <is>
          <t>ART_0245</t>
        </is>
      </c>
      <c r="B7" s="59" t="inlineStr">
        <is>
          <t>ART_0245_S03</t>
        </is>
      </c>
      <c r="C7" s="59" t="inlineStr">
        <is>
          <t>El Tiempo</t>
        </is>
      </c>
      <c r="D7" s="59" t="inlineStr">
        <is>
          <t>Transición de gobierno y relación con la oposición</t>
        </is>
      </c>
      <c r="E7" s="59" t="inlineStr">
        <is>
          <t>Noticia dura</t>
        </is>
      </c>
      <c r="F7" s="59" t="inlineStr">
        <is>
          <t>2026-08-20</t>
        </is>
      </c>
      <c r="G7" s="60" t="inlineStr">
        <is>
          <t>El Banco de la República publicará el informe de inflación el próximo martes.</t>
        </is>
      </c>
      <c r="H7" s="60" t="inlineStr">
        <is>
          <t>La medida se conoció durante la sesión ordinaria.</t>
        </is>
      </c>
      <c r="I7" s="60" t="inlineStr">
        <is>
          <t>Analistas esperan el dato con atención.</t>
        </is>
      </c>
      <c r="J7" s="38" t="inlineStr">
        <is>
          <t>FALSE</t>
        </is>
      </c>
      <c r="K7" s="62" t="n"/>
      <c r="L7" s="38" t="inlineStr">
        <is>
          <t>FALSE</t>
        </is>
      </c>
      <c r="M7" s="62" t="n"/>
      <c r="N7" s="38" t="inlineStr">
        <is>
          <t>FALSE</t>
        </is>
      </c>
      <c r="O7" s="62" t="n"/>
      <c r="P7" s="38" t="inlineStr">
        <is>
          <t>FALSE</t>
        </is>
      </c>
      <c r="Q7" s="62" t="n"/>
      <c r="R7" s="38" t="inlineStr">
        <is>
          <t>FALSE</t>
        </is>
      </c>
      <c r="S7" s="62" t="n"/>
      <c r="T7" s="38" t="inlineStr">
        <is>
          <t>FALSE</t>
        </is>
      </c>
      <c r="U7" s="62" t="n"/>
      <c r="V7" s="38" t="inlineStr">
        <is>
          <t>FALSE</t>
        </is>
      </c>
      <c r="W7" s="62" t="n"/>
      <c r="X7" s="38" t="inlineStr">
        <is>
          <t>FALSE</t>
        </is>
      </c>
      <c r="Y7" s="62" t="n"/>
      <c r="Z7" s="38" t="inlineStr">
        <is>
          <t>FALSE</t>
        </is>
      </c>
      <c r="AA7" s="62" t="n"/>
      <c r="AB7" s="38" t="inlineStr">
        <is>
          <t>neutral</t>
        </is>
      </c>
      <c r="AC7" s="62" t="n"/>
      <c r="AD7" s="38" t="n"/>
      <c r="AE7" s="38" t="n"/>
      <c r="AF7" s="61">
        <f>IF(COUNTIF($B$5:B7,B7)=1,1,0)</f>
        <v/>
      </c>
      <c r="AG7" s="62" t="n"/>
    </row>
    <row r="8" ht="15" customHeight="1" s="31">
      <c r="A8" s="38" t="inlineStr">
        <is>
          <t>ART_001</t>
        </is>
      </c>
      <c r="B8" s="38" t="inlineStr">
        <is>
          <t>ART_001_S01</t>
        </is>
      </c>
      <c r="C8" s="38" t="inlineStr">
        <is>
          <t>Infobae Colombia</t>
        </is>
      </c>
      <c r="D8" s="38" t="inlineStr">
        <is>
          <t>Seguridad y orden público</t>
        </is>
      </c>
      <c r="E8" s="38" t="inlineStr">
        <is>
          <t>Noticia dura</t>
        </is>
      </c>
      <c r="F8" s="38" t="inlineStr">
        <is>
          <t>Fri, 04 Sep 2026 21:14:49 +0000</t>
        </is>
      </c>
      <c r="G8" s="62" t="inlineStr">
        <is>
          <t>El Instituto Nacional de Medicina Legal y Ciencias Forenses comunicó oficialmente que identificó a 20 de los 24 cuerpos que recibió tras las acciones militares que desarrollaron de manera conjunta las fuerzas del orden en la vereda Lagos del Dorado, en el municipio de Miraflores, Guaviare, a través de la Operación Azarías en contra de los grupos armados que tienen presencia en el arco amazónico.</t>
        </is>
      </c>
      <c r="H8" s="62" t="n"/>
      <c r="I8" s="62" t="inlineStr">
        <is>
          <t>La entidad aseguró que los cuerpos ingresaron el 1 de septiembre de 2026.</t>
        </is>
      </c>
      <c r="J8" s="38" t="n"/>
      <c r="K8" s="62" t="n"/>
      <c r="L8" s="38" t="n"/>
      <c r="M8" s="62" t="n"/>
      <c r="N8" s="38" t="n"/>
      <c r="O8" s="62" t="n"/>
      <c r="P8" s="38" t="n"/>
      <c r="Q8" s="62" t="n"/>
      <c r="R8" s="38" t="n"/>
      <c r="S8" s="62" t="n"/>
      <c r="T8" s="38" t="n"/>
      <c r="U8" s="62" t="n"/>
      <c r="V8" s="38" t="n"/>
      <c r="W8" s="62" t="n"/>
      <c r="X8" s="38" t="n"/>
      <c r="Y8" s="62" t="n"/>
      <c r="Z8" s="38" t="n"/>
      <c r="AA8" s="62" t="n"/>
      <c r="AB8" s="38" t="n"/>
      <c r="AC8" s="62" t="n"/>
      <c r="AD8" s="38" t="n"/>
      <c r="AE8" s="38" t="n"/>
      <c r="AF8" s="61">
        <f>IF(COUNTIF($B$5:B8,B8)=1,1,0)</f>
        <v/>
      </c>
      <c r="AG8" s="62" t="inlineStr">
        <is>
          <t>https://www.infobae.com/colombia/2026/09/04/medicina-legal-confirmo-los-resultados-de-la-operacion-azarias-en-guaviare-en-la-que-murieron-23-disidentes-dos-eran-menores-de-edad/</t>
        </is>
      </c>
    </row>
    <row r="9" ht="15" customHeight="1" s="31">
      <c r="A9" s="38" t="inlineStr">
        <is>
          <t>ART_001</t>
        </is>
      </c>
      <c r="B9" s="38" t="inlineStr">
        <is>
          <t>ART_001_S02</t>
        </is>
      </c>
      <c r="C9" s="38" t="inlineStr">
        <is>
          <t>Infobae Colombia</t>
        </is>
      </c>
      <c r="D9" s="38" t="inlineStr">
        <is>
          <t>Seguridad y orden público</t>
        </is>
      </c>
      <c r="E9" s="38" t="inlineStr">
        <is>
          <t>Noticia dura</t>
        </is>
      </c>
      <c r="F9" s="38" t="inlineStr">
        <is>
          <t>Fri, 04 Sep 2026 21:14:49 +0000</t>
        </is>
      </c>
      <c r="G9" s="62" t="inlineStr">
        <is>
          <t>La entidad aseguró que los cuerpos ingresaron el 1 de septiembre de 2026.</t>
        </is>
      </c>
      <c r="H9" s="62" t="inlineStr">
        <is>
          <t>El Instituto Nacional de Medicina Legal y Ciencias Forenses comunicó oficialmente que identificó a 20 de los 24 cuerpos que recibió tras las acciones militares que desarrollaron de manera conjunta las fuerzas del orden en la vereda Lagos del Dorado, en el municipio de Miraflores, Guaviare, a través de la Operación Azarías en contra de los grupos armados que tienen presencia en el arco amazónico.</t>
        </is>
      </c>
      <c r="I9" s="62" t="inlineStr">
        <is>
          <t>Del total de 24 cuerpos inertes recibidos, cuatro permanecen en abordaje forense debido a las condiciones en que fueron entregados.</t>
        </is>
      </c>
      <c r="J9" s="38" t="n"/>
      <c r="K9" s="62" t="n"/>
      <c r="L9" s="38" t="n"/>
      <c r="M9" s="62" t="n"/>
      <c r="N9" s="38" t="n"/>
      <c r="O9" s="62" t="n"/>
      <c r="P9" s="38" t="n"/>
      <c r="Q9" s="62" t="n"/>
      <c r="R9" s="38" t="n"/>
      <c r="S9" s="62" t="n"/>
      <c r="T9" s="38" t="n"/>
      <c r="U9" s="62" t="n"/>
      <c r="V9" s="38" t="n"/>
      <c r="W9" s="62" t="n"/>
      <c r="X9" s="38" t="n"/>
      <c r="Y9" s="62" t="n"/>
      <c r="Z9" s="38" t="n"/>
      <c r="AA9" s="62" t="n"/>
      <c r="AB9" s="38" t="n"/>
      <c r="AC9" s="62" t="n"/>
      <c r="AD9" s="38" t="n"/>
      <c r="AE9" s="38" t="n"/>
      <c r="AF9" s="61">
        <f>IF(COUNTIF($B$5:B9,B9)=1,1,0)</f>
        <v/>
      </c>
      <c r="AG9" s="62" t="inlineStr">
        <is>
          <t>https://www.infobae.com/colombia/2026/09/04/medicina-legal-confirmo-los-resultados-de-la-operacion-azarias-en-guaviare-en-la-que-murieron-23-disidentes-dos-eran-menores-de-edad/</t>
        </is>
      </c>
    </row>
    <row r="10" ht="15" customHeight="1" s="31">
      <c r="A10" s="38" t="inlineStr">
        <is>
          <t>ART_001</t>
        </is>
      </c>
      <c r="B10" s="38" t="inlineStr">
        <is>
          <t>ART_001_S03</t>
        </is>
      </c>
      <c r="C10" s="38" t="inlineStr">
        <is>
          <t>Infobae Colombia</t>
        </is>
      </c>
      <c r="D10" s="38" t="inlineStr">
        <is>
          <t>Seguridad y orden público</t>
        </is>
      </c>
      <c r="E10" s="38" t="inlineStr">
        <is>
          <t>Noticia dura</t>
        </is>
      </c>
      <c r="F10" s="38" t="inlineStr">
        <is>
          <t>Fri, 04 Sep 2026 21:14:49 +0000</t>
        </is>
      </c>
      <c r="G10" s="62" t="inlineStr">
        <is>
          <t>Del total de 24 cuerpos inertes recibidos, cuatro permanecen en abordaje forense debido a las condiciones en que fueron entregados.</t>
        </is>
      </c>
      <c r="H10" s="62" t="inlineStr">
        <is>
          <t>La entidad aseguró que los cuerpos ingresaron el 1 de septiembre de 2026.</t>
        </is>
      </c>
      <c r="I10" s="62" t="inlineStr">
        <is>
          <t>Medicina Legal ratificó que, además, entre las 20 personas identificadas hay ocho mujeres y 12 hombres, de acuerdo con el balance oficial que se divulgó este 4 de septiembre.</t>
        </is>
      </c>
      <c r="J10" s="38" t="n"/>
      <c r="K10" s="62" t="n"/>
      <c r="L10" s="38" t="n"/>
      <c r="M10" s="62" t="n"/>
      <c r="N10" s="38" t="n"/>
      <c r="O10" s="62" t="n"/>
      <c r="P10" s="38" t="n"/>
      <c r="Q10" s="62" t="n"/>
      <c r="R10" s="38" t="n"/>
      <c r="S10" s="62" t="n"/>
      <c r="T10" s="38" t="n"/>
      <c r="U10" s="62" t="n"/>
      <c r="V10" s="38" t="n"/>
      <c r="W10" s="62" t="n"/>
      <c r="X10" s="38" t="n"/>
      <c r="Y10" s="62" t="n"/>
      <c r="Z10" s="38" t="n"/>
      <c r="AA10" s="62" t="n"/>
      <c r="AB10" s="38" t="n"/>
      <c r="AC10" s="62" t="n"/>
      <c r="AD10" s="38" t="n"/>
      <c r="AE10" s="38" t="n"/>
      <c r="AF10" s="61">
        <f>IF(COUNTIF($B$5:B10,B10)=1,1,0)</f>
        <v/>
      </c>
      <c r="AG10" s="62" t="inlineStr">
        <is>
          <t>https://www.infobae.com/colombia/2026/09/04/medicina-legal-confirmo-los-resultados-de-la-operacion-azarias-en-guaviare-en-la-que-murieron-23-disidentes-dos-eran-menores-de-edad/</t>
        </is>
      </c>
    </row>
    <row r="11" ht="15" customHeight="1" s="31">
      <c r="A11" s="38" t="inlineStr">
        <is>
          <t>ART_001</t>
        </is>
      </c>
      <c r="B11" s="38" t="inlineStr">
        <is>
          <t>ART_001_S04</t>
        </is>
      </c>
      <c r="C11" s="38" t="inlineStr">
        <is>
          <t>Infobae Colombia</t>
        </is>
      </c>
      <c r="D11" s="38" t="inlineStr">
        <is>
          <t>Seguridad y orden público</t>
        </is>
      </c>
      <c r="E11" s="38" t="inlineStr">
        <is>
          <t>Noticia dura</t>
        </is>
      </c>
      <c r="F11" s="38" t="inlineStr">
        <is>
          <t>Fri, 04 Sep 2026 21:14:49 +0000</t>
        </is>
      </c>
      <c r="G11" s="62" t="inlineStr">
        <is>
          <t>Medicina Legal ratificó que, además, entre las 20 personas identificadas hay ocho mujeres y 12 hombres, de acuerdo con el balance oficial que se divulgó este 4 de septiembre.</t>
        </is>
      </c>
      <c r="H11" s="62" t="inlineStr">
        <is>
          <t>Del total de 24 cuerpos inertes recibidos, cuatro permanecen en abordaje forense debido a las condiciones en que fueron entregados.</t>
        </is>
      </c>
      <c r="I11" s="62" t="inlineStr">
        <is>
          <t>Frente a la polémica por la presunta presencia de menores en el área en la que se desarrolló la ofensiva, el Instituto precisó que dos de las personas abatidas ya identificadas son menores de edad.</t>
        </is>
      </c>
      <c r="J11" s="38" t="n"/>
      <c r="K11" s="62" t="n"/>
      <c r="L11" s="38" t="n"/>
      <c r="M11" s="62" t="n"/>
      <c r="N11" s="38" t="n"/>
      <c r="O11" s="62" t="n"/>
      <c r="P11" s="38" t="n"/>
      <c r="Q11" s="62" t="n"/>
      <c r="R11" s="38" t="n"/>
      <c r="S11" s="62" t="n"/>
      <c r="T11" s="38" t="n"/>
      <c r="U11" s="62" t="n"/>
      <c r="V11" s="38" t="n"/>
      <c r="W11" s="62" t="n"/>
      <c r="X11" s="38" t="n"/>
      <c r="Y11" s="62" t="n"/>
      <c r="Z11" s="38" t="n"/>
      <c r="AA11" s="62" t="n"/>
      <c r="AB11" s="38" t="n"/>
      <c r="AC11" s="62" t="n"/>
      <c r="AD11" s="38" t="n"/>
      <c r="AE11" s="38" t="n"/>
      <c r="AF11" s="61">
        <f>IF(COUNTIF($B$5:B11,B11)=1,1,0)</f>
        <v/>
      </c>
      <c r="AG11" s="62" t="inlineStr">
        <is>
          <t>https://www.infobae.com/colombia/2026/09/04/medicina-legal-confirmo-los-resultados-de-la-operacion-azarias-en-guaviare-en-la-que-murieron-23-disidentes-dos-eran-menores-de-edad/</t>
        </is>
      </c>
    </row>
    <row r="12" ht="15" customHeight="1" s="31">
      <c r="A12" s="38" t="inlineStr">
        <is>
          <t>ART_001</t>
        </is>
      </c>
      <c r="B12" s="38" t="inlineStr">
        <is>
          <t>ART_001_S05</t>
        </is>
      </c>
      <c r="C12" s="38" t="inlineStr">
        <is>
          <t>Infobae Colombia</t>
        </is>
      </c>
      <c r="D12" s="38" t="inlineStr">
        <is>
          <t>Seguridad y orden público</t>
        </is>
      </c>
      <c r="E12" s="38" t="inlineStr">
        <is>
          <t>Noticia dura</t>
        </is>
      </c>
      <c r="F12" s="38" t="inlineStr">
        <is>
          <t>Fri, 04 Sep 2026 21:14:49 +0000</t>
        </is>
      </c>
      <c r="G12" s="62" t="inlineStr">
        <is>
          <t>Frente a la polémica por la presunta presencia de menores en el área en la que se desarrolló la ofensiva, el Instituto precisó que dos de las personas abatidas ya identificadas son menores de edad.</t>
        </is>
      </c>
      <c r="H12" s="62" t="inlineStr">
        <is>
          <t>Medicina Legal ratificó que, además, entre las 20 personas identificadas hay ocho mujeres y 12 hombres, de acuerdo con el balance oficial que se divulgó este 4 de septiembre.</t>
        </is>
      </c>
      <c r="I12" s="62" t="inlineStr">
        <is>
          <t>El comunicado no detalló sus identidades, edades ni las circunstancias en las que murieron.</t>
        </is>
      </c>
      <c r="J12" s="38" t="n"/>
      <c r="K12" s="62" t="n"/>
      <c r="L12" s="38" t="n"/>
      <c r="M12" s="62" t="n"/>
      <c r="N12" s="38" t="n"/>
      <c r="O12" s="62" t="n"/>
      <c r="P12" s="38" t="n"/>
      <c r="Q12" s="62" t="n"/>
      <c r="R12" s="38" t="n"/>
      <c r="S12" s="62" t="n"/>
      <c r="T12" s="38" t="n"/>
      <c r="U12" s="62" t="n"/>
      <c r="V12" s="38" t="n"/>
      <c r="W12" s="62" t="n"/>
      <c r="X12" s="38" t="n"/>
      <c r="Y12" s="62" t="n"/>
      <c r="Z12" s="38" t="n"/>
      <c r="AA12" s="62" t="n"/>
      <c r="AB12" s="38" t="n"/>
      <c r="AC12" s="62" t="n"/>
      <c r="AD12" s="38" t="n"/>
      <c r="AE12" s="38" t="n"/>
      <c r="AF12" s="61">
        <f>IF(COUNTIF($B$5:B12,B12)=1,1,0)</f>
        <v/>
      </c>
      <c r="AG12" s="62" t="inlineStr">
        <is>
          <t>https://www.infobae.com/colombia/2026/09/04/medicina-legal-confirmo-los-resultados-de-la-operacion-azarias-en-guaviare-en-la-que-murieron-23-disidentes-dos-eran-menores-de-edad/</t>
        </is>
      </c>
    </row>
    <row r="13" ht="15" customHeight="1" s="31">
      <c r="A13" s="38" t="inlineStr">
        <is>
          <t>ART_001</t>
        </is>
      </c>
      <c r="B13" s="38" t="inlineStr">
        <is>
          <t>ART_001_S06</t>
        </is>
      </c>
      <c r="C13" s="38" t="inlineStr">
        <is>
          <t>Infobae Colombia</t>
        </is>
      </c>
      <c r="D13" s="38" t="inlineStr">
        <is>
          <t>Seguridad y orden público</t>
        </is>
      </c>
      <c r="E13" s="38" t="inlineStr">
        <is>
          <t>Noticia dura</t>
        </is>
      </c>
      <c r="F13" s="38" t="inlineStr">
        <is>
          <t>Fri, 04 Sep 2026 21:14:49 +0000</t>
        </is>
      </c>
      <c r="G13" s="62" t="inlineStr">
        <is>
          <t>El comunicado no detalló sus identidades, edades ni las circunstancias en las que murieron.</t>
        </is>
      </c>
      <c r="H13" s="62" t="inlineStr">
        <is>
          <t>Frente a la polémica por la presunta presencia de menores en el área en la que se desarrolló la ofensiva, el Instituto precisó que dos de las personas abatidas ya identificadas son menores de edad.</t>
        </is>
      </c>
      <c r="I13" s="62" t="inlineStr">
        <is>
          <t>En cuanto a los procedimientos sobre los cuatro cuerpos pendientes, las identificaciones continuarán pese a las dificultades que presentan los cadáveres.</t>
        </is>
      </c>
      <c r="J13" s="38" t="n"/>
      <c r="K13" s="62" t="n"/>
      <c r="L13" s="38" t="n"/>
      <c r="M13" s="62" t="n"/>
      <c r="N13" s="38" t="n"/>
      <c r="O13" s="62" t="n"/>
      <c r="P13" s="38" t="n"/>
      <c r="Q13" s="62" t="n"/>
      <c r="R13" s="38" t="n"/>
      <c r="S13" s="62" t="n"/>
      <c r="T13" s="38" t="n"/>
      <c r="U13" s="62" t="n"/>
      <c r="V13" s="38" t="n"/>
      <c r="W13" s="62" t="n"/>
      <c r="X13" s="38" t="n"/>
      <c r="Y13" s="62" t="n"/>
      <c r="Z13" s="38" t="n"/>
      <c r="AA13" s="62" t="n"/>
      <c r="AB13" s="38" t="n"/>
      <c r="AC13" s="62" t="n"/>
      <c r="AD13" s="38" t="n"/>
      <c r="AE13" s="38" t="n"/>
      <c r="AF13" s="61">
        <f>IF(COUNTIF($B$5:B13,B13)=1,1,0)</f>
        <v/>
      </c>
      <c r="AG13" s="62" t="inlineStr">
        <is>
          <t>https://www.infobae.com/colombia/2026/09/04/medicina-legal-confirmo-los-resultados-de-la-operacion-azarias-en-guaviare-en-la-que-murieron-23-disidentes-dos-eran-menores-de-edad/</t>
        </is>
      </c>
    </row>
    <row r="14" ht="15" customHeight="1" s="31">
      <c r="A14" s="38" t="inlineStr">
        <is>
          <t>ART_001</t>
        </is>
      </c>
      <c r="B14" s="38" t="inlineStr">
        <is>
          <t>ART_001_S07</t>
        </is>
      </c>
      <c r="C14" s="38" t="inlineStr">
        <is>
          <t>Infobae Colombia</t>
        </is>
      </c>
      <c r="D14" s="38" t="inlineStr">
        <is>
          <t>Seguridad y orden público</t>
        </is>
      </c>
      <c r="E14" s="38" t="inlineStr">
        <is>
          <t>Noticia dura</t>
        </is>
      </c>
      <c r="F14" s="38" t="inlineStr">
        <is>
          <t>Fri, 04 Sep 2026 21:14:49 +0000</t>
        </is>
      </c>
      <c r="G14" s="62" t="inlineStr">
        <is>
          <t>En cuanto a los procedimientos sobre los cuatro cuerpos pendientes, las identificaciones continuarán pese a las dificultades que presentan los cadáveres.</t>
        </is>
      </c>
      <c r="H14" s="62" t="inlineStr">
        <is>
          <t>El comunicado no detalló sus identidades, edades ni las circunstancias en las que murieron.</t>
        </is>
      </c>
      <c r="I14" s="62" t="inlineStr">
        <is>
          <t>Sin embargo, la institución no indicó un plazo para completar los registros.</t>
        </is>
      </c>
      <c r="J14" s="38" t="n"/>
      <c r="K14" s="62" t="n"/>
      <c r="L14" s="38" t="n"/>
      <c r="M14" s="62" t="n"/>
      <c r="N14" s="38" t="n"/>
      <c r="O14" s="62" t="n"/>
      <c r="P14" s="38" t="n"/>
      <c r="Q14" s="62" t="n"/>
      <c r="R14" s="38" t="n"/>
      <c r="S14" s="62" t="n"/>
      <c r="T14" s="38" t="n"/>
      <c r="U14" s="62" t="n"/>
      <c r="V14" s="38" t="n"/>
      <c r="W14" s="62" t="n"/>
      <c r="X14" s="38" t="n"/>
      <c r="Y14" s="62" t="n"/>
      <c r="Z14" s="38" t="n"/>
      <c r="AA14" s="62" t="n"/>
      <c r="AB14" s="38" t="n"/>
      <c r="AC14" s="62" t="n"/>
      <c r="AD14" s="38" t="n"/>
      <c r="AE14" s="38" t="n"/>
      <c r="AF14" s="61">
        <f>IF(COUNTIF($B$5:B14,B14)=1,1,0)</f>
        <v/>
      </c>
      <c r="AG14" s="62" t="inlineStr">
        <is>
          <t>https://www.infobae.com/colombia/2026/09/04/medicina-legal-confirmo-los-resultados-de-la-operacion-azarias-en-guaviare-en-la-que-murieron-23-disidentes-dos-eran-menores-de-edad/</t>
        </is>
      </c>
    </row>
    <row r="15" ht="15" customHeight="1" s="31">
      <c r="A15" s="38" t="inlineStr">
        <is>
          <t>ART_001</t>
        </is>
      </c>
      <c r="B15" s="38" t="inlineStr">
        <is>
          <t>ART_001_S08</t>
        </is>
      </c>
      <c r="C15" s="38" t="inlineStr">
        <is>
          <t>Infobae Colombia</t>
        </is>
      </c>
      <c r="D15" s="38" t="inlineStr">
        <is>
          <t>Seguridad y orden público</t>
        </is>
      </c>
      <c r="E15" s="38" t="inlineStr">
        <is>
          <t>Noticia dura</t>
        </is>
      </c>
      <c r="F15" s="38" t="inlineStr">
        <is>
          <t>Fri, 04 Sep 2026 21:14:49 +0000</t>
        </is>
      </c>
      <c r="G15" s="62" t="inlineStr">
        <is>
          <t>Sin embargo, la institución no indicó un plazo para completar los registros.</t>
        </is>
      </c>
      <c r="H15" s="62" t="inlineStr">
        <is>
          <t>En cuanto a los procedimientos sobre los cuatro cuerpos pendientes, las identificaciones continuarán pese a las dificultades que presentan los cadáveres.</t>
        </is>
      </c>
      <c r="I15" s="62" t="inlineStr">
        <is>
          <t>En su pronunciamiento, el organismo afirmó que mantendrá su compromiso con la independencia técnica y la transparencia en apoyo a la administración de justicia.</t>
        </is>
      </c>
      <c r="J15" s="38" t="n"/>
      <c r="K15" s="62" t="n"/>
      <c r="L15" s="38" t="n"/>
      <c r="M15" s="62" t="n"/>
      <c r="N15" s="38" t="n"/>
      <c r="O15" s="62" t="n"/>
      <c r="P15" s="38" t="n"/>
      <c r="Q15" s="62" t="n"/>
      <c r="R15" s="38" t="n"/>
      <c r="S15" s="62" t="n"/>
      <c r="T15" s="38" t="n"/>
      <c r="U15" s="62" t="n"/>
      <c r="V15" s="38" t="n"/>
      <c r="W15" s="62" t="n"/>
      <c r="X15" s="38" t="n"/>
      <c r="Y15" s="62" t="n"/>
      <c r="Z15" s="38" t="n"/>
      <c r="AA15" s="62" t="n"/>
      <c r="AB15" s="38" t="n"/>
      <c r="AC15" s="62" t="n"/>
      <c r="AD15" s="38" t="n"/>
      <c r="AE15" s="38" t="n"/>
      <c r="AF15" s="61">
        <f>IF(COUNTIF($B$5:B15,B15)=1,1,0)</f>
        <v/>
      </c>
      <c r="AG15" s="62" t="inlineStr">
        <is>
          <t>https://www.infobae.com/colombia/2026/09/04/medicina-legal-confirmo-los-resultados-de-la-operacion-azarias-en-guaviare-en-la-que-murieron-23-disidentes-dos-eran-menores-de-edad/</t>
        </is>
      </c>
    </row>
    <row r="16" ht="15" customHeight="1" s="31">
      <c r="A16" s="38" t="inlineStr">
        <is>
          <t>ART_001</t>
        </is>
      </c>
      <c r="B16" s="38" t="inlineStr">
        <is>
          <t>ART_001_S09</t>
        </is>
      </c>
      <c r="C16" s="38" t="inlineStr">
        <is>
          <t>Infobae Colombia</t>
        </is>
      </c>
      <c r="D16" s="38" t="inlineStr">
        <is>
          <t>Seguridad y orden público</t>
        </is>
      </c>
      <c r="E16" s="38" t="inlineStr">
        <is>
          <t>Noticia dura</t>
        </is>
      </c>
      <c r="F16" s="38" t="inlineStr">
        <is>
          <t>Fri, 04 Sep 2026 21:14:49 +0000</t>
        </is>
      </c>
      <c r="G16" s="62" t="inlineStr">
        <is>
          <t>En su pronunciamiento, el organismo afirmó que mantendrá su compromiso con la independencia técnica y la transparencia en apoyo a la administración de justicia.</t>
        </is>
      </c>
      <c r="H16" s="62" t="inlineStr">
        <is>
          <t>Sin embargo, la institución no indicó un plazo para completar los registros.</t>
        </is>
      </c>
      <c r="I16" s="62" t="inlineStr">
        <is>
          <t>El reporte de Medicina Legal se conoció cuatro días después de que el presidente Abelardo de la Espriella divulgara el resultado del operativo que incluyó bombardeos.</t>
        </is>
      </c>
      <c r="J16" s="38" t="n"/>
      <c r="K16" s="62" t="n"/>
      <c r="L16" s="38" t="n"/>
      <c r="M16" s="62" t="n"/>
      <c r="N16" s="38" t="n"/>
      <c r="O16" s="62" t="n"/>
      <c r="P16" s="38" t="n"/>
      <c r="Q16" s="62" t="n"/>
      <c r="R16" s="38" t="n"/>
      <c r="S16" s="62" t="n"/>
      <c r="T16" s="38" t="n"/>
      <c r="U16" s="62" t="n"/>
      <c r="V16" s="38" t="n"/>
      <c r="W16" s="62" t="n"/>
      <c r="X16" s="38" t="n"/>
      <c r="Y16" s="62" t="n"/>
      <c r="Z16" s="38" t="n"/>
      <c r="AA16" s="62" t="n"/>
      <c r="AB16" s="38" t="n"/>
      <c r="AC16" s="62" t="n"/>
      <c r="AD16" s="38" t="n"/>
      <c r="AE16" s="38" t="n"/>
      <c r="AF16" s="61">
        <f>IF(COUNTIF($B$5:B16,B16)=1,1,0)</f>
        <v/>
      </c>
      <c r="AG16" s="62" t="inlineStr">
        <is>
          <t>https://www.infobae.com/colombia/2026/09/04/medicina-legal-confirmo-los-resultados-de-la-operacion-azarias-en-guaviare-en-la-que-murieron-23-disidentes-dos-eran-menores-de-edad/</t>
        </is>
      </c>
    </row>
    <row r="17" ht="15" customHeight="1" s="31">
      <c r="A17" s="38" t="inlineStr">
        <is>
          <t>ART_001</t>
        </is>
      </c>
      <c r="B17" s="38" t="inlineStr">
        <is>
          <t>ART_001_S10</t>
        </is>
      </c>
      <c r="C17" s="38" t="inlineStr">
        <is>
          <t>Infobae Colombia</t>
        </is>
      </c>
      <c r="D17" s="38" t="inlineStr">
        <is>
          <t>Seguridad y orden público</t>
        </is>
      </c>
      <c r="E17" s="38" t="inlineStr">
        <is>
          <t>Noticia dura</t>
        </is>
      </c>
      <c r="F17" s="38" t="inlineStr">
        <is>
          <t>Fri, 04 Sep 2026 21:14:49 +0000</t>
        </is>
      </c>
      <c r="G17" s="62" t="inlineStr">
        <is>
          <t>El reporte de Medicina Legal se conoció cuatro días después de que el presidente Abelardo de la Espriella divulgara el resultado del operativo que incluyó bombardeos.</t>
        </is>
      </c>
      <c r="H17" s="62" t="inlineStr">
        <is>
          <t>En su pronunciamiento, el organismo afirmó que mantendrá su compromiso con la independencia técnica y la transparencia en apoyo a la administración de justicia.</t>
        </is>
      </c>
      <c r="I17" s="62" t="inlineStr">
        <is>
          <t>Según el mandatario, durante la incursión murió alias El Tigre, a quien identificó como jefe del frente Carolina Ramírez, de las disidencias de las Farc.</t>
        </is>
      </c>
      <c r="J17" s="38" t="n"/>
      <c r="K17" s="62" t="n"/>
      <c r="L17" s="38" t="n"/>
      <c r="M17" s="62" t="n"/>
      <c r="N17" s="38" t="n"/>
      <c r="O17" s="62" t="n"/>
      <c r="P17" s="38" t="n"/>
      <c r="Q17" s="62" t="n"/>
      <c r="R17" s="38" t="n"/>
      <c r="S17" s="62" t="n"/>
      <c r="T17" s="38" t="n"/>
      <c r="U17" s="62" t="n"/>
      <c r="V17" s="38" t="n"/>
      <c r="W17" s="62" t="n"/>
      <c r="X17" s="38" t="n"/>
      <c r="Y17" s="62" t="n"/>
      <c r="Z17" s="38" t="n"/>
      <c r="AA17" s="62" t="n"/>
      <c r="AB17" s="38" t="n"/>
      <c r="AC17" s="62" t="n"/>
      <c r="AD17" s="38" t="n"/>
      <c r="AE17" s="38" t="n"/>
      <c r="AF17" s="61">
        <f>IF(COUNTIF($B$5:B17,B17)=1,1,0)</f>
        <v/>
      </c>
      <c r="AG17" s="62" t="inlineStr">
        <is>
          <t>https://www.infobae.com/colombia/2026/09/04/medicina-legal-confirmo-los-resultados-de-la-operacion-azarias-en-guaviare-en-la-que-murieron-23-disidentes-dos-eran-menores-de-edad/</t>
        </is>
      </c>
    </row>
    <row r="18" ht="15" customHeight="1" s="31">
      <c r="A18" s="38" t="inlineStr">
        <is>
          <t>ART_001</t>
        </is>
      </c>
      <c r="B18" s="38" t="inlineStr">
        <is>
          <t>ART_001_S11</t>
        </is>
      </c>
      <c r="C18" s="38" t="inlineStr">
        <is>
          <t>Infobae Colombia</t>
        </is>
      </c>
      <c r="D18" s="38" t="inlineStr">
        <is>
          <t>Seguridad y orden público</t>
        </is>
      </c>
      <c r="E18" s="38" t="inlineStr">
        <is>
          <t>Noticia dura</t>
        </is>
      </c>
      <c r="F18" s="38" t="inlineStr">
        <is>
          <t>Fri, 04 Sep 2026 21:14:49 +0000</t>
        </is>
      </c>
      <c r="G18" s="62" t="inlineStr">
        <is>
          <t>Según el mandatario, durante la incursión murió alias El Tigre, a quien identificó como jefe del frente Carolina Ramírez, de las disidencias de las Farc.</t>
        </is>
      </c>
      <c r="H18" s="62" t="inlineStr">
        <is>
          <t>El reporte de Medicina Legal se conoció cuatro días después de que el presidente Abelardo de la Espriella divulgara el resultado del operativo que incluyó bombardeos.</t>
        </is>
      </c>
      <c r="I18" s="62" t="inlineStr">
        <is>
          <t>Esa estructura operaba bajo el mando de Néstor Gregorio Vera, alias Iván Mordisco, señalado por el Gobierno nacional como el hombre más buscado del país.</t>
        </is>
      </c>
      <c r="J18" s="38" t="n"/>
      <c r="K18" s="62" t="n"/>
      <c r="L18" s="38" t="n"/>
      <c r="M18" s="62" t="n"/>
      <c r="N18" s="38" t="n"/>
      <c r="O18" s="62" t="n"/>
      <c r="P18" s="38" t="n"/>
      <c r="Q18" s="62" t="n"/>
      <c r="R18" s="38" t="n"/>
      <c r="S18" s="62" t="n"/>
      <c r="T18" s="38" t="n"/>
      <c r="U18" s="62" t="n"/>
      <c r="V18" s="38" t="n"/>
      <c r="W18" s="62" t="n"/>
      <c r="X18" s="38" t="n"/>
      <c r="Y18" s="62" t="n"/>
      <c r="Z18" s="38" t="n"/>
      <c r="AA18" s="62" t="n"/>
      <c r="AB18" s="38" t="n"/>
      <c r="AC18" s="62" t="n"/>
      <c r="AD18" s="38" t="n"/>
      <c r="AE18" s="38" t="n"/>
      <c r="AF18" s="61">
        <f>IF(COUNTIF($B$5:B18,B18)=1,1,0)</f>
        <v/>
      </c>
      <c r="AG18" s="62" t="inlineStr">
        <is>
          <t>https://www.infobae.com/colombia/2026/09/04/medicina-legal-confirmo-los-resultados-de-la-operacion-azarias-en-guaviare-en-la-que-murieron-23-disidentes-dos-eran-menores-de-edad/</t>
        </is>
      </c>
    </row>
    <row r="19" ht="15" customHeight="1" s="31">
      <c r="A19" s="38" t="inlineStr">
        <is>
          <t>ART_001</t>
        </is>
      </c>
      <c r="B19" s="38" t="inlineStr">
        <is>
          <t>ART_001_S12</t>
        </is>
      </c>
      <c r="C19" s="38" t="inlineStr">
        <is>
          <t>Infobae Colombia</t>
        </is>
      </c>
      <c r="D19" s="38" t="inlineStr">
        <is>
          <t>Seguridad y orden público</t>
        </is>
      </c>
      <c r="E19" s="38" t="inlineStr">
        <is>
          <t>Noticia dura</t>
        </is>
      </c>
      <c r="F19" s="38" t="inlineStr">
        <is>
          <t>Fri, 04 Sep 2026 21:14:49 +0000</t>
        </is>
      </c>
      <c r="G19" s="62" t="inlineStr">
        <is>
          <t>Esa estructura operaba bajo el mando de Néstor Gregorio Vera, alias Iván Mordisco, señalado por el Gobierno nacional como el hombre más buscado del país.</t>
        </is>
      </c>
      <c r="H19" s="62" t="inlineStr">
        <is>
          <t>Según el mandatario, durante la incursión murió alias El Tigre, a quien identificó como jefe del frente Carolina Ramírez, de las disidencias de las Farc.</t>
        </is>
      </c>
      <c r="I19" s="62" t="n"/>
      <c r="J19" s="38" t="n"/>
      <c r="K19" s="62" t="n"/>
      <c r="L19" s="38" t="n"/>
      <c r="M19" s="62" t="n"/>
      <c r="N19" s="38" t="n"/>
      <c r="O19" s="62" t="n"/>
      <c r="P19" s="38" t="n"/>
      <c r="Q19" s="62" t="n"/>
      <c r="R19" s="38" t="n"/>
      <c r="S19" s="62" t="n"/>
      <c r="T19" s="38" t="n"/>
      <c r="U19" s="62" t="n"/>
      <c r="V19" s="38" t="n"/>
      <c r="W19" s="62" t="n"/>
      <c r="X19" s="38" t="n"/>
      <c r="Y19" s="62" t="n"/>
      <c r="Z19" s="38" t="n"/>
      <c r="AA19" s="62" t="n"/>
      <c r="AB19" s="38" t="n"/>
      <c r="AC19" s="62" t="n"/>
      <c r="AD19" s="38" t="n"/>
      <c r="AE19" s="38" t="n"/>
      <c r="AF19" s="61">
        <f>IF(COUNTIF($B$5:B19,B19)=1,1,0)</f>
        <v/>
      </c>
      <c r="AG19" s="62" t="inlineStr">
        <is>
          <t>https://www.infobae.com/colombia/2026/09/04/medicina-legal-confirmo-los-resultados-de-la-operacion-azarias-en-guaviare-en-la-que-murieron-23-disidentes-dos-eran-menores-de-edad/</t>
        </is>
      </c>
    </row>
    <row r="20" ht="15" customHeight="1" s="31">
      <c r="A20" s="38" t="inlineStr">
        <is>
          <t>ART_002</t>
        </is>
      </c>
      <c r="B20" s="38" t="inlineStr">
        <is>
          <t>ART_002_S01</t>
        </is>
      </c>
      <c r="C20" s="38" t="inlineStr">
        <is>
          <t>Infobae Colombia</t>
        </is>
      </c>
      <c r="D20" s="38" t="inlineStr">
        <is>
          <t>Transición de gobierno y relación con la oposición</t>
        </is>
      </c>
      <c r="E20" s="38" t="inlineStr">
        <is>
          <t>Noticia dura</t>
        </is>
      </c>
      <c r="F20" s="38" t="inlineStr">
        <is>
          <t>Fri, 04 Sep 2026 20:26:29 +0000</t>
        </is>
      </c>
      <c r="G20" s="62" t="inlineStr">
        <is>
          <t>En medio de rumores, se confirmó que Naín Pérez Toncel, alias Bendito Menor, cabecilla de las Autodefensas Conquistadoras de la Sierra Nevada (Acsn), fue abatido en una operación militar ejecutada en el barrio Los Olivos de Riohacha, en el departamento de La Guajira.</t>
        </is>
      </c>
      <c r="H20" s="62" t="n"/>
      <c r="I20" s="62" t="inlineStr">
        <is>
          <t>Desde el Batallón Cartagena de Riohacha, el presidente Abelardo de la Espriella se refirió a los hechos y aseguró que este resultado operacional responde a un trabajo conjunto de distintas instituciones de la fuerza pública.</t>
        </is>
      </c>
      <c r="J20" s="38" t="n"/>
      <c r="K20" s="62" t="n"/>
      <c r="L20" s="38" t="n"/>
      <c r="M20" s="62" t="n"/>
      <c r="N20" s="38" t="n"/>
      <c r="O20" s="62" t="n"/>
      <c r="P20" s="38" t="n"/>
      <c r="Q20" s="62" t="n"/>
      <c r="R20" s="38" t="n"/>
      <c r="S20" s="62" t="n"/>
      <c r="T20" s="38" t="n"/>
      <c r="U20" s="62" t="n"/>
      <c r="V20" s="38" t="n"/>
      <c r="W20" s="62" t="n"/>
      <c r="X20" s="38" t="n"/>
      <c r="Y20" s="62" t="n"/>
      <c r="Z20" s="38" t="n"/>
      <c r="AA20" s="62" t="n"/>
      <c r="AB20" s="38" t="n"/>
      <c r="AC20" s="62" t="n"/>
      <c r="AD20" s="38" t="n"/>
      <c r="AE20" s="38" t="n"/>
      <c r="AF20" s="61">
        <f>IF(COUNTIF($B$5:B20,B20)=1,1,0)</f>
        <v/>
      </c>
      <c r="AG20" s="62" t="inlineStr">
        <is>
          <t>https://www.infobae.com/colombia/2026/09/04/autodefensas-conquistadoras-se-pronunciaron-sobre-la-muerte-del-cabecilla-bendito-menor-y-su-novia-la-bebecita-aseguraron-que-no-habra-represalias/</t>
        </is>
      </c>
    </row>
    <row r="21" ht="15" customHeight="1" s="31">
      <c r="A21" s="38" t="inlineStr">
        <is>
          <t>ART_002</t>
        </is>
      </c>
      <c r="B21" s="38" t="inlineStr">
        <is>
          <t>ART_002_S02</t>
        </is>
      </c>
      <c r="C21" s="38" t="inlineStr">
        <is>
          <t>Infobae Colombia</t>
        </is>
      </c>
      <c r="D21" s="38" t="inlineStr">
        <is>
          <t>Transición de gobierno y relación con la oposición</t>
        </is>
      </c>
      <c r="E21" s="38" t="inlineStr">
        <is>
          <t>Noticia dura</t>
        </is>
      </c>
      <c r="F21" s="38" t="inlineStr">
        <is>
          <t>Fri, 04 Sep 2026 20:26:29 +0000</t>
        </is>
      </c>
      <c r="G21" s="62" t="inlineStr">
        <is>
          <t>Desde el Batallón Cartagena de Riohacha, el presidente Abelardo de la Espriella se refirió a los hechos y aseguró que este resultado operacional responde a un trabajo conjunto de distintas instituciones de la fuerza pública.</t>
        </is>
      </c>
      <c r="H21" s="62" t="inlineStr">
        <is>
          <t>En medio de rumores, se confirmó que Naín Pérez Toncel, alias Bendito Menor, cabecilla de las Autodefensas Conquistadoras de la Sierra Nevada (Acsn), fue abatido en una operación militar ejecutada en el barrio Los Olivos de Riohacha, en el departamento de La Guajira.</t>
        </is>
      </c>
      <c r="I21" s="62" t="inlineStr">
        <is>
          <t>“Gracias a una operación impecable realizada por nuestra Policía Nacional, por un comando especial de la Dijín, se dio de baja a uno de los más peligrosos delincuentes de nuestro país (...).</t>
        </is>
      </c>
      <c r="J21" s="38" t="n"/>
      <c r="K21" s="62" t="n"/>
      <c r="L21" s="38" t="n"/>
      <c r="M21" s="62" t="n"/>
      <c r="N21" s="38" t="n"/>
      <c r="O21" s="62" t="n"/>
      <c r="P21" s="38" t="n"/>
      <c r="Q21" s="62" t="n"/>
      <c r="R21" s="38" t="n"/>
      <c r="S21" s="62" t="n"/>
      <c r="T21" s="38" t="n"/>
      <c r="U21" s="62" t="n"/>
      <c r="V21" s="38" t="n"/>
      <c r="W21" s="62" t="n"/>
      <c r="X21" s="38" t="n"/>
      <c r="Y21" s="62" t="n"/>
      <c r="Z21" s="38" t="n"/>
      <c r="AA21" s="62" t="n"/>
      <c r="AB21" s="38" t="n"/>
      <c r="AC21" s="62" t="n"/>
      <c r="AD21" s="38" t="n"/>
      <c r="AE21" s="38" t="n"/>
      <c r="AF21" s="61">
        <f>IF(COUNTIF($B$5:B21,B21)=1,1,0)</f>
        <v/>
      </c>
      <c r="AG21" s="62" t="inlineStr">
        <is>
          <t>https://www.infobae.com/colombia/2026/09/04/autodefensas-conquistadoras-se-pronunciaron-sobre-la-muerte-del-cabecilla-bendito-menor-y-su-novia-la-bebecita-aseguraron-que-no-habra-represalias/</t>
        </is>
      </c>
    </row>
    <row r="22" ht="15" customHeight="1" s="31">
      <c r="A22" s="38" t="inlineStr">
        <is>
          <t>ART_002</t>
        </is>
      </c>
      <c r="B22" s="38" t="inlineStr">
        <is>
          <t>ART_002_S03</t>
        </is>
      </c>
      <c r="C22" s="38" t="inlineStr">
        <is>
          <t>Infobae Colombia</t>
        </is>
      </c>
      <c r="D22" s="38" t="inlineStr">
        <is>
          <t>Transición de gobierno y relación con la oposición</t>
        </is>
      </c>
      <c r="E22" s="38" t="inlineStr">
        <is>
          <t>Noticia dura</t>
        </is>
      </c>
      <c r="F22" s="38" t="inlineStr">
        <is>
          <t>Fri, 04 Sep 2026 20:26:29 +0000</t>
        </is>
      </c>
      <c r="G22" s="62" t="inlineStr">
        <is>
          <t>“Gracias a una operación impecable realizada por nuestra Policía Nacional, por un comando especial de la Dijín, se dio de baja a uno de los más peligrosos delincuentes de nuestro país (...).</t>
        </is>
      </c>
      <c r="H22" s="62" t="inlineStr">
        <is>
          <t>Desde el Batallón Cartagena de Riohacha, el presidente Abelardo de la Espriella se refirió a los hechos y aseguró que este resultado operacional responde a un trabajo conjunto de distintas instituciones de la fuerza pública.</t>
        </is>
      </c>
      <c r="I22" s="62" t="inlineStr">
        <is>
          <t>Hoy ha llegado el fin de las actividades criminales de este narcoterrorista que tenía azotada a La Guajira y al Caribe colombiano”, precisó el jefe de Estado en declaraciones públicas.</t>
        </is>
      </c>
      <c r="J22" s="38" t="n"/>
      <c r="K22" s="62" t="n"/>
      <c r="L22" s="38" t="n"/>
      <c r="M22" s="62" t="n"/>
      <c r="N22" s="38" t="n"/>
      <c r="O22" s="62" t="n"/>
      <c r="P22" s="38" t="n"/>
      <c r="Q22" s="62" t="n"/>
      <c r="R22" s="38" t="n"/>
      <c r="S22" s="62" t="n"/>
      <c r="T22" s="38" t="n"/>
      <c r="U22" s="62" t="n"/>
      <c r="V22" s="38" t="n"/>
      <c r="W22" s="62" t="n"/>
      <c r="X22" s="38" t="n"/>
      <c r="Y22" s="62" t="n"/>
      <c r="Z22" s="38" t="n"/>
      <c r="AA22" s="62" t="n"/>
      <c r="AB22" s="38" t="n"/>
      <c r="AC22" s="62" t="n"/>
      <c r="AD22" s="38" t="n"/>
      <c r="AE22" s="38" t="n"/>
      <c r="AF22" s="61">
        <f>IF(COUNTIF($B$5:B22,B22)=1,1,0)</f>
        <v/>
      </c>
      <c r="AG22" s="62" t="inlineStr">
        <is>
          <t>https://www.infobae.com/colombia/2026/09/04/autodefensas-conquistadoras-se-pronunciaron-sobre-la-muerte-del-cabecilla-bendito-menor-y-su-novia-la-bebecita-aseguraron-que-no-habra-represalias/</t>
        </is>
      </c>
    </row>
    <row r="23" ht="15" customHeight="1" s="31">
      <c r="A23" s="38" t="inlineStr">
        <is>
          <t>ART_002</t>
        </is>
      </c>
      <c r="B23" s="38" t="inlineStr">
        <is>
          <t>ART_002_S04</t>
        </is>
      </c>
      <c r="C23" s="38" t="inlineStr">
        <is>
          <t>Infobae Colombia</t>
        </is>
      </c>
      <c r="D23" s="38" t="inlineStr">
        <is>
          <t>Transición de gobierno y relación con la oposición</t>
        </is>
      </c>
      <c r="E23" s="38" t="inlineStr">
        <is>
          <t>Noticia dura</t>
        </is>
      </c>
      <c r="F23" s="38" t="inlineStr">
        <is>
          <t>Fri, 04 Sep 2026 20:26:29 +0000</t>
        </is>
      </c>
      <c r="G23" s="62" t="inlineStr">
        <is>
          <t>Hoy ha llegado el fin de las actividades criminales de este narcoterrorista que tenía azotada a La Guajira y al Caribe colombiano”, precisó el jefe de Estado en declaraciones públicas.</t>
        </is>
      </c>
      <c r="H23" s="62" t="inlineStr">
        <is>
          <t>“Gracias a una operación impecable realizada por nuestra Policía Nacional, por un comando especial de la Dijín, se dio de baja a uno de los más peligrosos delincuentes de nuestro país (...).</t>
        </is>
      </c>
      <c r="I23" s="62" t="inlineStr">
        <is>
          <t>Por medio de un comunicado, las Acsn también confirmaron la muerte del peligroso cabecilla.</t>
        </is>
      </c>
      <c r="J23" s="38" t="n"/>
      <c r="K23" s="62" t="n"/>
      <c r="L23" s="38" t="n"/>
      <c r="M23" s="62" t="n"/>
      <c r="N23" s="38" t="n"/>
      <c r="O23" s="62" t="n"/>
      <c r="P23" s="38" t="n"/>
      <c r="Q23" s="62" t="n"/>
      <c r="R23" s="38" t="n"/>
      <c r="S23" s="62" t="n"/>
      <c r="T23" s="38" t="n"/>
      <c r="U23" s="62" t="n"/>
      <c r="V23" s="38" t="n"/>
      <c r="W23" s="62" t="n"/>
      <c r="X23" s="38" t="n"/>
      <c r="Y23" s="62" t="n"/>
      <c r="Z23" s="38" t="n"/>
      <c r="AA23" s="62" t="n"/>
      <c r="AB23" s="38" t="n"/>
      <c r="AC23" s="62" t="n"/>
      <c r="AD23" s="38" t="n"/>
      <c r="AE23" s="38" t="n"/>
      <c r="AF23" s="61">
        <f>IF(COUNTIF($B$5:B23,B23)=1,1,0)</f>
        <v/>
      </c>
      <c r="AG23" s="62" t="inlineStr">
        <is>
          <t>https://www.infobae.com/colombia/2026/09/04/autodefensas-conquistadoras-se-pronunciaron-sobre-la-muerte-del-cabecilla-bendito-menor-y-su-novia-la-bebecita-aseguraron-que-no-habra-represalias/</t>
        </is>
      </c>
    </row>
    <row r="24" ht="15" customHeight="1" s="31">
      <c r="A24" s="38" t="inlineStr">
        <is>
          <t>ART_002</t>
        </is>
      </c>
      <c r="B24" s="38" t="inlineStr">
        <is>
          <t>ART_002_S05</t>
        </is>
      </c>
      <c r="C24" s="38" t="inlineStr">
        <is>
          <t>Infobae Colombia</t>
        </is>
      </c>
      <c r="D24" s="38" t="inlineStr">
        <is>
          <t>Transición de gobierno y relación con la oposición</t>
        </is>
      </c>
      <c r="E24" s="38" t="inlineStr">
        <is>
          <t>Noticia dura</t>
        </is>
      </c>
      <c r="F24" s="38" t="inlineStr">
        <is>
          <t>Fri, 04 Sep 2026 20:26:29 +0000</t>
        </is>
      </c>
      <c r="G24" s="62" t="inlineStr">
        <is>
          <t>Por medio de un comunicado, las Acsn también confirmaron la muerte del peligroso cabecilla.</t>
        </is>
      </c>
      <c r="H24" s="62" t="inlineStr">
        <is>
          <t>Hoy ha llegado el fin de las actividades criminales de este narcoterrorista que tenía azotada a La Guajira y al Caribe colombiano”, precisó el jefe de Estado en declaraciones públicas.</t>
        </is>
      </c>
      <c r="I24" s="62" t="inlineStr">
        <is>
          <t>“Lamentamos profundamente el fallecimiento de Naín Pérez Toncel, ocurrido en el marco de un operativo adelantado por la Fuerza Pública.</t>
        </is>
      </c>
      <c r="J24" s="38" t="n"/>
      <c r="K24" s="62" t="n"/>
      <c r="L24" s="38" t="n"/>
      <c r="M24" s="62" t="n"/>
      <c r="N24" s="38" t="n"/>
      <c r="O24" s="62" t="n"/>
      <c r="P24" s="38" t="n"/>
      <c r="Q24" s="62" t="n"/>
      <c r="R24" s="38" t="n"/>
      <c r="S24" s="62" t="n"/>
      <c r="T24" s="38" t="n"/>
      <c r="U24" s="62" t="n"/>
      <c r="V24" s="38" t="n"/>
      <c r="W24" s="62" t="n"/>
      <c r="X24" s="38" t="n"/>
      <c r="Y24" s="62" t="n"/>
      <c r="Z24" s="38" t="n"/>
      <c r="AA24" s="62" t="n"/>
      <c r="AB24" s="38" t="n"/>
      <c r="AC24" s="62" t="n"/>
      <c r="AD24" s="38" t="n"/>
      <c r="AE24" s="38" t="n"/>
      <c r="AF24" s="61">
        <f>IF(COUNTIF($B$5:B24,B24)=1,1,0)</f>
        <v/>
      </c>
      <c r="AG24" s="62" t="inlineStr">
        <is>
          <t>https://www.infobae.com/colombia/2026/09/04/autodefensas-conquistadoras-se-pronunciaron-sobre-la-muerte-del-cabecilla-bendito-menor-y-su-novia-la-bebecita-aseguraron-que-no-habra-represalias/</t>
        </is>
      </c>
    </row>
    <row r="25" ht="15" customHeight="1" s="31">
      <c r="A25" s="38" t="inlineStr">
        <is>
          <t>ART_002</t>
        </is>
      </c>
      <c r="B25" s="38" t="inlineStr">
        <is>
          <t>ART_002_S06</t>
        </is>
      </c>
      <c r="C25" s="38" t="inlineStr">
        <is>
          <t>Infobae Colombia</t>
        </is>
      </c>
      <c r="D25" s="38" t="inlineStr">
        <is>
          <t>Transición de gobierno y relación con la oposición</t>
        </is>
      </c>
      <c r="E25" s="38" t="inlineStr">
        <is>
          <t>Noticia dura</t>
        </is>
      </c>
      <c r="F25" s="38" t="inlineStr">
        <is>
          <t>Fri, 04 Sep 2026 20:26:29 +0000</t>
        </is>
      </c>
      <c r="G25" s="62" t="inlineStr">
        <is>
          <t>“Lamentamos profundamente el fallecimiento de Naín Pérez Toncel, ocurrido en el marco de un operativo adelantado por la Fuerza Pública.</t>
        </is>
      </c>
      <c r="H25" s="62" t="inlineStr">
        <is>
          <t>Por medio de un comunicado, las Acsn también confirmaron la muerte del peligroso cabecilla.</t>
        </is>
      </c>
      <c r="I25" s="62" t="inlineStr">
        <is>
          <t>Se reconoce el impacto que este hecho representa para sus familiares, allegados y para las comunidades que han conocido de los acontecimientos registrados durante las últimas horas”, precisó la organización criminal en la comunicación oficial.</t>
        </is>
      </c>
      <c r="J25" s="38" t="n"/>
      <c r="K25" s="62" t="n"/>
      <c r="L25" s="38" t="n"/>
      <c r="M25" s="62" t="n"/>
      <c r="N25" s="38" t="n"/>
      <c r="O25" s="62" t="n"/>
      <c r="P25" s="38" t="n"/>
      <c r="Q25" s="62" t="n"/>
      <c r="R25" s="38" t="n"/>
      <c r="S25" s="62" t="n"/>
      <c r="T25" s="38" t="n"/>
      <c r="U25" s="62" t="n"/>
      <c r="V25" s="38" t="n"/>
      <c r="W25" s="62" t="n"/>
      <c r="X25" s="38" t="n"/>
      <c r="Y25" s="62" t="n"/>
      <c r="Z25" s="38" t="n"/>
      <c r="AA25" s="62" t="n"/>
      <c r="AB25" s="38" t="n"/>
      <c r="AC25" s="62" t="n"/>
      <c r="AD25" s="38" t="n"/>
      <c r="AE25" s="38" t="n"/>
      <c r="AF25" s="61">
        <f>IF(COUNTIF($B$5:B25,B25)=1,1,0)</f>
        <v/>
      </c>
      <c r="AG25" s="62" t="inlineStr">
        <is>
          <t>https://www.infobae.com/colombia/2026/09/04/autodefensas-conquistadoras-se-pronunciaron-sobre-la-muerte-del-cabecilla-bendito-menor-y-su-novia-la-bebecita-aseguraron-que-no-habra-represalias/</t>
        </is>
      </c>
    </row>
    <row r="26" ht="15" customHeight="1" s="31">
      <c r="A26" s="38" t="inlineStr">
        <is>
          <t>ART_002</t>
        </is>
      </c>
      <c r="B26" s="38" t="inlineStr">
        <is>
          <t>ART_002_S07</t>
        </is>
      </c>
      <c r="C26" s="38" t="inlineStr">
        <is>
          <t>Infobae Colombia</t>
        </is>
      </c>
      <c r="D26" s="38" t="inlineStr">
        <is>
          <t>Transición de gobierno y relación con la oposición</t>
        </is>
      </c>
      <c r="E26" s="38" t="inlineStr">
        <is>
          <t>Noticia dura</t>
        </is>
      </c>
      <c r="F26" s="38" t="inlineStr">
        <is>
          <t>Fri, 04 Sep 2026 20:26:29 +0000</t>
        </is>
      </c>
      <c r="G26" s="62" t="inlineStr">
        <is>
          <t>Se reconoce el impacto que este hecho representa para sus familiares, allegados y para las comunidades que han conocido de los acontecimientos registrados durante las últimas horas”, precisó la organización criminal en la comunicación oficial.</t>
        </is>
      </c>
      <c r="H26" s="62" t="inlineStr">
        <is>
          <t>“Lamentamos profundamente el fallecimiento de Naín Pérez Toncel, ocurrido en el marco de un operativo adelantado por la Fuerza Pública.</t>
        </is>
      </c>
      <c r="I26" s="62" t="inlineStr">
        <is>
          <t>De igual manera, lamentó la muerte de Rosa Angélica Tarazona, alias La Bebecita, que era la pareja sentimental de alias Bendito Menor.</t>
        </is>
      </c>
      <c r="J26" s="38" t="n"/>
      <c r="K26" s="62" t="n"/>
      <c r="L26" s="38" t="n"/>
      <c r="M26" s="62" t="n"/>
      <c r="N26" s="38" t="n"/>
      <c r="O26" s="62" t="n"/>
      <c r="P26" s="38" t="n"/>
      <c r="Q26" s="62" t="n"/>
      <c r="R26" s="38" t="n"/>
      <c r="S26" s="62" t="n"/>
      <c r="T26" s="38" t="n"/>
      <c r="U26" s="62" t="n"/>
      <c r="V26" s="38" t="n"/>
      <c r="W26" s="62" t="n"/>
      <c r="X26" s="38" t="n"/>
      <c r="Y26" s="62" t="n"/>
      <c r="Z26" s="38" t="n"/>
      <c r="AA26" s="62" t="n"/>
      <c r="AB26" s="38" t="n"/>
      <c r="AC26" s="62" t="n"/>
      <c r="AD26" s="38" t="n"/>
      <c r="AE26" s="38" t="n"/>
      <c r="AF26" s="61">
        <f>IF(COUNTIF($B$5:B26,B26)=1,1,0)</f>
        <v/>
      </c>
      <c r="AG26" s="62" t="inlineStr">
        <is>
          <t>https://www.infobae.com/colombia/2026/09/04/autodefensas-conquistadoras-se-pronunciaron-sobre-la-muerte-del-cabecilla-bendito-menor-y-su-novia-la-bebecita-aseguraron-que-no-habra-represalias/</t>
        </is>
      </c>
    </row>
    <row r="27" ht="15" customHeight="1" s="31">
      <c r="A27" s="38" t="inlineStr">
        <is>
          <t>ART_002</t>
        </is>
      </c>
      <c r="B27" s="38" t="inlineStr">
        <is>
          <t>ART_002_S08</t>
        </is>
      </c>
      <c r="C27" s="38" t="inlineStr">
        <is>
          <t>Infobae Colombia</t>
        </is>
      </c>
      <c r="D27" s="38" t="inlineStr">
        <is>
          <t>Transición de gobierno y relación con la oposición</t>
        </is>
      </c>
      <c r="E27" s="38" t="inlineStr">
        <is>
          <t>Noticia dura</t>
        </is>
      </c>
      <c r="F27" s="38" t="inlineStr">
        <is>
          <t>Fri, 04 Sep 2026 20:26:29 +0000</t>
        </is>
      </c>
      <c r="G27" s="62" t="inlineStr">
        <is>
          <t>De igual manera, lamentó la muerte de Rosa Angélica Tarazona, alias La Bebecita, que era la pareja sentimental de alias Bendito Menor.</t>
        </is>
      </c>
      <c r="H27" s="62" t="inlineStr">
        <is>
          <t>Se reconoce el impacto que este hecho representa para sus familiares, allegados y para las comunidades que han conocido de los acontecimientos registrados durante las últimas horas”, precisó la organización criminal en la comunicación oficial.</t>
        </is>
      </c>
      <c r="I27" s="62" t="inlineStr">
        <is>
          <t>Recientemente, el señalado criminal se había comprometido en matrimonio con la mujer en un evento romántico en la playa.</t>
        </is>
      </c>
      <c r="J27" s="38" t="n"/>
      <c r="K27" s="62" t="n"/>
      <c r="L27" s="38" t="n"/>
      <c r="M27" s="62" t="n"/>
      <c r="N27" s="38" t="n"/>
      <c r="O27" s="62" t="n"/>
      <c r="P27" s="38" t="n"/>
      <c r="Q27" s="62" t="n"/>
      <c r="R27" s="38" t="n"/>
      <c r="S27" s="62" t="n"/>
      <c r="T27" s="38" t="n"/>
      <c r="U27" s="62" t="n"/>
      <c r="V27" s="38" t="n"/>
      <c r="W27" s="62" t="n"/>
      <c r="X27" s="38" t="n"/>
      <c r="Y27" s="62" t="n"/>
      <c r="Z27" s="38" t="n"/>
      <c r="AA27" s="62" t="n"/>
      <c r="AB27" s="38" t="n"/>
      <c r="AC27" s="62" t="n"/>
      <c r="AD27" s="38" t="n"/>
      <c r="AE27" s="38" t="n"/>
      <c r="AF27" s="61">
        <f>IF(COUNTIF($B$5:B27,B27)=1,1,0)</f>
        <v/>
      </c>
      <c r="AG27" s="62" t="inlineStr">
        <is>
          <t>https://www.infobae.com/colombia/2026/09/04/autodefensas-conquistadoras-se-pronunciaron-sobre-la-muerte-del-cabecilla-bendito-menor-y-su-novia-la-bebecita-aseguraron-que-no-habra-represalias/</t>
        </is>
      </c>
    </row>
    <row r="28" ht="15" customHeight="1" s="31">
      <c r="A28" s="38" t="inlineStr">
        <is>
          <t>ART_002</t>
        </is>
      </c>
      <c r="B28" s="38" t="inlineStr">
        <is>
          <t>ART_002_S09</t>
        </is>
      </c>
      <c r="C28" s="38" t="inlineStr">
        <is>
          <t>Infobae Colombia</t>
        </is>
      </c>
      <c r="D28" s="38" t="inlineStr">
        <is>
          <t>Transición de gobierno y relación con la oposición</t>
        </is>
      </c>
      <c r="E28" s="38" t="inlineStr">
        <is>
          <t>Noticia dura</t>
        </is>
      </c>
      <c r="F28" s="38" t="inlineStr">
        <is>
          <t>Fri, 04 Sep 2026 20:26:29 +0000</t>
        </is>
      </c>
      <c r="G28" s="62" t="inlineStr">
        <is>
          <t>Recientemente, el señalado criminal se había comprometido en matrimonio con la mujer en un evento romántico en la playa.</t>
        </is>
      </c>
      <c r="H28" s="62" t="inlineStr">
        <is>
          <t>De igual manera, lamentó la muerte de Rosa Angélica Tarazona, alias La Bebecita, que era la pareja sentimental de alias Bendito Menor.</t>
        </is>
      </c>
      <c r="I28" s="62" t="inlineStr">
        <is>
          <t>El grupo terrorista también informó que, aunque la operación militar ordenada por el Gobierno nacional supone una afectación para la organización al margen de la ley, no habrá retaliaciones de ningún tipo.</t>
        </is>
      </c>
      <c r="J28" s="38" t="n"/>
      <c r="K28" s="62" t="n"/>
      <c r="L28" s="38" t="n"/>
      <c r="M28" s="62" t="n"/>
      <c r="N28" s="38" t="n"/>
      <c r="O28" s="62" t="n"/>
      <c r="P28" s="38" t="n"/>
      <c r="Q28" s="62" t="n"/>
      <c r="R28" s="38" t="n"/>
      <c r="S28" s="62" t="n"/>
      <c r="T28" s="38" t="n"/>
      <c r="U28" s="62" t="n"/>
      <c r="V28" s="38" t="n"/>
      <c r="W28" s="62" t="n"/>
      <c r="X28" s="38" t="n"/>
      <c r="Y28" s="62" t="n"/>
      <c r="Z28" s="38" t="n"/>
      <c r="AA28" s="62" t="n"/>
      <c r="AB28" s="38" t="n"/>
      <c r="AC28" s="62" t="n"/>
      <c r="AD28" s="38" t="n"/>
      <c r="AE28" s="38" t="n"/>
      <c r="AF28" s="61">
        <f>IF(COUNTIF($B$5:B28,B28)=1,1,0)</f>
        <v/>
      </c>
      <c r="AG28" s="62" t="inlineStr">
        <is>
          <t>https://www.infobae.com/colombia/2026/09/04/autodefensas-conquistadoras-se-pronunciaron-sobre-la-muerte-del-cabecilla-bendito-menor-y-su-novia-la-bebecita-aseguraron-que-no-habra-represalias/</t>
        </is>
      </c>
    </row>
    <row r="29" ht="15" customHeight="1" s="31">
      <c r="A29" s="38" t="inlineStr">
        <is>
          <t>ART_002</t>
        </is>
      </c>
      <c r="B29" s="38" t="inlineStr">
        <is>
          <t>ART_002_S10</t>
        </is>
      </c>
      <c r="C29" s="38" t="inlineStr">
        <is>
          <t>Infobae Colombia</t>
        </is>
      </c>
      <c r="D29" s="38" t="inlineStr">
        <is>
          <t>Transición de gobierno y relación con la oposición</t>
        </is>
      </c>
      <c r="E29" s="38" t="inlineStr">
        <is>
          <t>Noticia dura</t>
        </is>
      </c>
      <c r="F29" s="38" t="inlineStr">
        <is>
          <t>Fri, 04 Sep 2026 20:26:29 +0000</t>
        </is>
      </c>
      <c r="G29" s="62" t="inlineStr">
        <is>
          <t>El grupo terrorista también informó que, aunque la operación militar ordenada por el Gobierno nacional supone una afectación para la organización al margen de la ley, no habrá retaliaciones de ningún tipo.</t>
        </is>
      </c>
      <c r="H29" s="62" t="inlineStr">
        <is>
          <t>Recientemente, el señalado criminal se había comprometido en matrimonio con la mujer en un evento romántico en la playa.</t>
        </is>
      </c>
      <c r="I29" s="62" t="inlineStr">
        <is>
          <t>“Hacemos un llamado a la población civil de la Sierra Nevada de Santa Marta y de los departamentos del Magdalena, La Guajira y Cesar a mantener la calma.</t>
        </is>
      </c>
      <c r="J29" s="38" t="n"/>
      <c r="K29" s="62" t="n"/>
      <c r="L29" s="38" t="n"/>
      <c r="M29" s="62" t="n"/>
      <c r="N29" s="38" t="n"/>
      <c r="O29" s="62" t="n"/>
      <c r="P29" s="38" t="n"/>
      <c r="Q29" s="62" t="n"/>
      <c r="R29" s="38" t="n"/>
      <c r="S29" s="62" t="n"/>
      <c r="T29" s="38" t="n"/>
      <c r="U29" s="62" t="n"/>
      <c r="V29" s="38" t="n"/>
      <c r="W29" s="62" t="n"/>
      <c r="X29" s="38" t="n"/>
      <c r="Y29" s="62" t="n"/>
      <c r="Z29" s="38" t="n"/>
      <c r="AA29" s="62" t="n"/>
      <c r="AB29" s="38" t="n"/>
      <c r="AC29" s="62" t="n"/>
      <c r="AD29" s="38" t="n"/>
      <c r="AE29" s="38" t="n"/>
      <c r="AF29" s="61">
        <f>IF(COUNTIF($B$5:B29,B29)=1,1,0)</f>
        <v/>
      </c>
      <c r="AG29" s="62" t="inlineStr">
        <is>
          <t>https://www.infobae.com/colombia/2026/09/04/autodefensas-conquistadoras-se-pronunciaron-sobre-la-muerte-del-cabecilla-bendito-menor-y-su-novia-la-bebecita-aseguraron-que-no-habra-represalias/</t>
        </is>
      </c>
    </row>
    <row r="30" ht="15" customHeight="1" s="31">
      <c r="A30" s="38" t="inlineStr">
        <is>
          <t>ART_002</t>
        </is>
      </c>
      <c r="B30" s="38" t="inlineStr">
        <is>
          <t>ART_002_S11</t>
        </is>
      </c>
      <c r="C30" s="38" t="inlineStr">
        <is>
          <t>Infobae Colombia</t>
        </is>
      </c>
      <c r="D30" s="38" t="inlineStr">
        <is>
          <t>Transición de gobierno y relación con la oposición</t>
        </is>
      </c>
      <c r="E30" s="38" t="inlineStr">
        <is>
          <t>Noticia dura</t>
        </is>
      </c>
      <c r="F30" s="38" t="inlineStr">
        <is>
          <t>Fri, 04 Sep 2026 20:26:29 +0000</t>
        </is>
      </c>
      <c r="G30" s="62" t="inlineStr">
        <is>
          <t>“Hacemos un llamado a la población civil de la Sierra Nevada de Santa Marta y de los departamentos del Magdalena, La Guajira y Cesar a mantener la calma.</t>
        </is>
      </c>
      <c r="H30" s="62" t="inlineStr">
        <is>
          <t>El grupo terrorista también informó que, aunque la operación militar ordenada por el Gobierno nacional supone una afectación para la organización al margen de la ley, no habrá retaliaciones de ningún tipo.</t>
        </is>
      </c>
      <c r="I30" s="62" t="inlineStr">
        <is>
          <t>Aunque es un golpe a nuestra organización, no habrá retaliaciones”, indicó el grupo armado.</t>
        </is>
      </c>
      <c r="J30" s="38" t="n"/>
      <c r="K30" s="62" t="n"/>
      <c r="L30" s="38" t="n"/>
      <c r="M30" s="62" t="n"/>
      <c r="N30" s="38" t="n"/>
      <c r="O30" s="62" t="n"/>
      <c r="P30" s="38" t="n"/>
      <c r="Q30" s="62" t="n"/>
      <c r="R30" s="38" t="n"/>
      <c r="S30" s="62" t="n"/>
      <c r="T30" s="38" t="n"/>
      <c r="U30" s="62" t="n"/>
      <c r="V30" s="38" t="n"/>
      <c r="W30" s="62" t="n"/>
      <c r="X30" s="38" t="n"/>
      <c r="Y30" s="62" t="n"/>
      <c r="Z30" s="38" t="n"/>
      <c r="AA30" s="62" t="n"/>
      <c r="AB30" s="38" t="n"/>
      <c r="AC30" s="62" t="n"/>
      <c r="AD30" s="38" t="n"/>
      <c r="AE30" s="38" t="n"/>
      <c r="AF30" s="61">
        <f>IF(COUNTIF($B$5:B30,B30)=1,1,0)</f>
        <v/>
      </c>
      <c r="AG30" s="62" t="inlineStr">
        <is>
          <t>https://www.infobae.com/colombia/2026/09/04/autodefensas-conquistadoras-se-pronunciaron-sobre-la-muerte-del-cabecilla-bendito-menor-y-su-novia-la-bebecita-aseguraron-que-no-habra-represalias/</t>
        </is>
      </c>
    </row>
    <row r="31" ht="15" customHeight="1" s="31">
      <c r="A31" s="38" t="inlineStr">
        <is>
          <t>ART_002</t>
        </is>
      </c>
      <c r="B31" s="38" t="inlineStr">
        <is>
          <t>ART_002_S12</t>
        </is>
      </c>
      <c r="C31" s="38" t="inlineStr">
        <is>
          <t>Infobae Colombia</t>
        </is>
      </c>
      <c r="D31" s="38" t="inlineStr">
        <is>
          <t>Transición de gobierno y relación con la oposición</t>
        </is>
      </c>
      <c r="E31" s="38" t="inlineStr">
        <is>
          <t>Noticia dura</t>
        </is>
      </c>
      <c r="F31" s="38" t="inlineStr">
        <is>
          <t>Fri, 04 Sep 2026 20:26:29 +0000</t>
        </is>
      </c>
      <c r="G31" s="62" t="inlineStr">
        <is>
          <t>Aunque es un golpe a nuestra organización, no habrá retaliaciones”, indicó el grupo armado.</t>
        </is>
      </c>
      <c r="H31" s="62" t="inlineStr">
        <is>
          <t>“Hacemos un llamado a la población civil de la Sierra Nevada de Santa Marta y de los departamentos del Magdalena, La Guajira y Cesar a mantener la calma.</t>
        </is>
      </c>
      <c r="I31" s="62" t="n"/>
      <c r="J31" s="38" t="n"/>
      <c r="K31" s="62" t="n"/>
      <c r="L31" s="38" t="n"/>
      <c r="M31" s="62" t="n"/>
      <c r="N31" s="38" t="n"/>
      <c r="O31" s="62" t="n"/>
      <c r="P31" s="38" t="n"/>
      <c r="Q31" s="62" t="n"/>
      <c r="R31" s="38" t="n"/>
      <c r="S31" s="62" t="n"/>
      <c r="T31" s="38" t="n"/>
      <c r="U31" s="62" t="n"/>
      <c r="V31" s="38" t="n"/>
      <c r="W31" s="62" t="n"/>
      <c r="X31" s="38" t="n"/>
      <c r="Y31" s="62" t="n"/>
      <c r="Z31" s="38" t="n"/>
      <c r="AA31" s="62" t="n"/>
      <c r="AB31" s="38" t="n"/>
      <c r="AC31" s="62" t="n"/>
      <c r="AD31" s="38" t="n"/>
      <c r="AE31" s="38" t="n"/>
      <c r="AF31" s="61">
        <f>IF(COUNTIF($B$5:B31,B31)=1,1,0)</f>
        <v/>
      </c>
      <c r="AG31" s="62" t="inlineStr">
        <is>
          <t>https://www.infobae.com/colombia/2026/09/04/autodefensas-conquistadoras-se-pronunciaron-sobre-la-muerte-del-cabecilla-bendito-menor-y-su-novia-la-bebecita-aseguraron-que-no-habra-represalias/</t>
        </is>
      </c>
    </row>
    <row r="32" ht="15" customHeight="1" s="31">
      <c r="A32" s="38" t="inlineStr">
        <is>
          <t>ART_003</t>
        </is>
      </c>
      <c r="B32" s="38" t="inlineStr">
        <is>
          <t>ART_003_S01</t>
        </is>
      </c>
      <c r="C32" s="38" t="inlineStr">
        <is>
          <t>Infobae Colombia</t>
        </is>
      </c>
      <c r="D32" s="38" t="inlineStr">
        <is>
          <t>Transición de gobierno y relación con la oposición</t>
        </is>
      </c>
      <c r="E32" s="38" t="inlineStr">
        <is>
          <t>Noticia dura</t>
        </is>
      </c>
      <c r="F32" s="38" t="inlineStr">
        <is>
          <t>Fri, 04 Sep 2026 18:20:11 +0000</t>
        </is>
      </c>
      <c r="G32" s="62" t="inlineStr">
        <is>
          <t>La Alianza Verde salió a responder a las expresiones del senador del Pacto Histórico David Racero contra la representante de su partido Catherine Juvinao durante la discusión del Presupuesto General de la Nación (PGN) 2027 en las comisiones económicas del Congreso de la República.</t>
        </is>
      </c>
      <c r="H32" s="62" t="n"/>
      <c r="I32" s="62" t="inlineStr">
        <is>
          <t>La colectividad “rechaza contundentemente la violencia política, verbal y simbólica” de la que, según afirma, ha sido víctima la congresista por parte del legislador del Pacto Histórico.</t>
        </is>
      </c>
      <c r="J32" s="38" t="n"/>
      <c r="K32" s="62" t="n"/>
      <c r="L32" s="38" t="n"/>
      <c r="M32" s="62" t="n"/>
      <c r="N32" s="38" t="n"/>
      <c r="O32" s="62" t="n"/>
      <c r="P32" s="38" t="n"/>
      <c r="Q32" s="62" t="n"/>
      <c r="R32" s="38" t="n"/>
      <c r="S32" s="62" t="n"/>
      <c r="T32" s="38" t="n"/>
      <c r="U32" s="62" t="n"/>
      <c r="V32" s="38" t="n"/>
      <c r="W32" s="62" t="n"/>
      <c r="X32" s="38" t="n"/>
      <c r="Y32" s="62" t="n"/>
      <c r="Z32" s="38" t="n"/>
      <c r="AA32" s="62" t="n"/>
      <c r="AB32" s="38" t="n"/>
      <c r="AC32" s="62" t="n"/>
      <c r="AD32" s="38" t="n"/>
      <c r="AE32" s="38" t="n"/>
      <c r="AF32" s="61">
        <f>IF(COUNTIF($B$5:B32,B32)=1,1,0)</f>
        <v/>
      </c>
      <c r="AG32" s="62" t="inlineStr">
        <is>
          <t>https://www.infobae.com/colombia/2026/09/04/alianza-verde-critico-a-david-racero-por-llamar-lavaperros-a-catherine-juvinao-durante-la-discusion-del-presupuesto-general-de-la-nacion-violencia-politica-verbal-y-simbolica/</t>
        </is>
      </c>
    </row>
    <row r="33" ht="15" customHeight="1" s="31">
      <c r="A33" s="38" t="inlineStr">
        <is>
          <t>ART_003</t>
        </is>
      </c>
      <c r="B33" s="38" t="inlineStr">
        <is>
          <t>ART_003_S02</t>
        </is>
      </c>
      <c r="C33" s="38" t="inlineStr">
        <is>
          <t>Infobae Colombia</t>
        </is>
      </c>
      <c r="D33" s="38" t="inlineStr">
        <is>
          <t>Transición de gobierno y relación con la oposición</t>
        </is>
      </c>
      <c r="E33" s="38" t="inlineStr">
        <is>
          <t>Noticia dura</t>
        </is>
      </c>
      <c r="F33" s="38" t="inlineStr">
        <is>
          <t>Fri, 04 Sep 2026 18:20:11 +0000</t>
        </is>
      </c>
      <c r="G33" s="62" t="inlineStr">
        <is>
          <t>La colectividad “rechaza contundentemente la violencia política, verbal y simbólica” de la que, según afirma, ha sido víctima la congresista por parte del legislador del Pacto Histórico.</t>
        </is>
      </c>
      <c r="H33" s="62" t="inlineStr">
        <is>
          <t>La Alianza Verde salió a responder a las expresiones del senador del Pacto Histórico David Racero contra la representante de su partido Catherine Juvinao durante la discusión del Presupuesto General de la Nación (PGN) 2027 en las comisiones económicas del Congreso de la República.</t>
        </is>
      </c>
      <c r="I33" s="62" t="n"/>
      <c r="J33" s="38" t="n"/>
      <c r="K33" s="62" t="n"/>
      <c r="L33" s="38" t="n"/>
      <c r="M33" s="62" t="n"/>
      <c r="N33" s="38" t="n"/>
      <c r="O33" s="62" t="n"/>
      <c r="P33" s="38" t="n"/>
      <c r="Q33" s="62" t="n"/>
      <c r="R33" s="38" t="n"/>
      <c r="S33" s="62" t="n"/>
      <c r="T33" s="38" t="n"/>
      <c r="U33" s="62" t="n"/>
      <c r="V33" s="38" t="n"/>
      <c r="W33" s="62" t="n"/>
      <c r="X33" s="38" t="n"/>
      <c r="Y33" s="62" t="n"/>
      <c r="Z33" s="38" t="n"/>
      <c r="AA33" s="62" t="n"/>
      <c r="AB33" s="38" t="n"/>
      <c r="AC33" s="62" t="n"/>
      <c r="AD33" s="38" t="n"/>
      <c r="AE33" s="38" t="n"/>
      <c r="AF33" s="61">
        <f>IF(COUNTIF($B$5:B33,B33)=1,1,0)</f>
        <v/>
      </c>
      <c r="AG33" s="62" t="inlineStr">
        <is>
          <t>https://www.infobae.com/colombia/2026/09/04/alianza-verde-critico-a-david-racero-por-llamar-lavaperros-a-catherine-juvinao-durante-la-discusion-del-presupuesto-general-de-la-nacion-violencia-politica-verbal-y-simbolica/</t>
        </is>
      </c>
    </row>
    <row r="34" ht="15" customHeight="1" s="31">
      <c r="A34" s="38" t="inlineStr">
        <is>
          <t>ART_004</t>
        </is>
      </c>
      <c r="B34" s="38" t="inlineStr">
        <is>
          <t>ART_004_S01</t>
        </is>
      </c>
      <c r="C34" s="38" t="inlineStr">
        <is>
          <t>Infobae Colombia</t>
        </is>
      </c>
      <c r="D34" s="38" t="inlineStr">
        <is>
          <t>Seguridad y orden público</t>
        </is>
      </c>
      <c r="E34" s="38" t="inlineStr">
        <is>
          <t>Noticia dura</t>
        </is>
      </c>
      <c r="F34" s="38" t="inlineStr">
        <is>
          <t>Fri, 04 Sep 2026 02:29:45 +0000</t>
        </is>
      </c>
      <c r="G34" s="62" t="inlineStr">
        <is>
          <t>Ni la Presidencia de la República, ejercida por Abelardo de la Espriella, ni el Ministerio de Defensa, ni la fuerza pública, están autorizadas para ejecutar operaciones aéreas ofensivas en zonas donde se sospeche que hay presencia de niños, niñas y adolescentes reclutados por organizaciones criminales.</t>
        </is>
      </c>
      <c r="H34" s="62" t="n"/>
      <c r="I34" s="62" t="inlineStr">
        <is>
          <t>Así lo determinó el Juzgado 34 de Familia de Bogotá en un fallo proferido el 2 de septiembre de 2026, por medio del cual decretó la medida provisional, en respuesta a una acción de tutela que está en estudio.</t>
        </is>
      </c>
      <c r="J34" s="38" t="n"/>
      <c r="K34" s="62" t="n"/>
      <c r="L34" s="38" t="n"/>
      <c r="M34" s="62" t="n"/>
      <c r="N34" s="38" t="n"/>
      <c r="O34" s="62" t="n"/>
      <c r="P34" s="38" t="n"/>
      <c r="Q34" s="62" t="n"/>
      <c r="R34" s="38" t="n"/>
      <c r="S34" s="62" t="n"/>
      <c r="T34" s="38" t="n"/>
      <c r="U34" s="62" t="n"/>
      <c r="V34" s="38" t="n"/>
      <c r="W34" s="62" t="n"/>
      <c r="X34" s="38" t="n"/>
      <c r="Y34" s="62" t="n"/>
      <c r="Z34" s="38" t="n"/>
      <c r="AA34" s="62" t="n"/>
      <c r="AB34" s="38" t="n"/>
      <c r="AC34" s="62" t="n"/>
      <c r="AD34" s="38" t="n"/>
      <c r="AE34" s="38" t="n"/>
      <c r="AF34" s="61">
        <f>IF(COUNTIF($B$5:B34,B34)=1,1,0)</f>
        <v/>
      </c>
      <c r="AG34" s="62" t="inlineStr">
        <is>
          <t>https://www.infobae.com/colombia/2026/09/04/accionante-que-logro-que-un-juzgado-frenara-bombardeos-por-presencia-de-menores-explico-el-alcance-de-su-tutela-se-deben-proteger/</t>
        </is>
      </c>
    </row>
    <row r="35" ht="15" customHeight="1" s="31">
      <c r="A35" s="38" t="inlineStr">
        <is>
          <t>ART_004</t>
        </is>
      </c>
      <c r="B35" s="38" t="inlineStr">
        <is>
          <t>ART_004_S02</t>
        </is>
      </c>
      <c r="C35" s="38" t="inlineStr">
        <is>
          <t>Infobae Colombia</t>
        </is>
      </c>
      <c r="D35" s="38" t="inlineStr">
        <is>
          <t>Seguridad y orden público</t>
        </is>
      </c>
      <c r="E35" s="38" t="inlineStr">
        <is>
          <t>Noticia dura</t>
        </is>
      </c>
      <c r="F35" s="38" t="inlineStr">
        <is>
          <t>Fri, 04 Sep 2026 02:29:45 +0000</t>
        </is>
      </c>
      <c r="G35" s="62" t="inlineStr">
        <is>
          <t>Así lo determinó el Juzgado 34 de Familia de Bogotá en un fallo proferido el 2 de septiembre de 2026, por medio del cual decretó la medida provisional, en respuesta a una acción de tutela que está en estudio.</t>
        </is>
      </c>
      <c r="H35" s="62" t="inlineStr">
        <is>
          <t>Ni la Presidencia de la República, ejercida por Abelardo de la Espriella, ni el Ministerio de Defensa, ni la fuerza pública, están autorizadas para ejecutar operaciones aéreas ofensivas en zonas donde se sospeche que hay presencia de niños, niñas y adolescentes reclutados por organizaciones criminales.</t>
        </is>
      </c>
      <c r="I35" s="62" t="n"/>
      <c r="J35" s="38" t="n"/>
      <c r="K35" s="62" t="n"/>
      <c r="L35" s="38" t="n"/>
      <c r="M35" s="62" t="n"/>
      <c r="N35" s="38" t="n"/>
      <c r="O35" s="62" t="n"/>
      <c r="P35" s="38" t="n"/>
      <c r="Q35" s="62" t="n"/>
      <c r="R35" s="38" t="n"/>
      <c r="S35" s="62" t="n"/>
      <c r="T35" s="38" t="n"/>
      <c r="U35" s="62" t="n"/>
      <c r="V35" s="38" t="n"/>
      <c r="W35" s="62" t="n"/>
      <c r="X35" s="38" t="n"/>
      <c r="Y35" s="62" t="n"/>
      <c r="Z35" s="38" t="n"/>
      <c r="AA35" s="62" t="n"/>
      <c r="AB35" s="38" t="n"/>
      <c r="AC35" s="62" t="n"/>
      <c r="AD35" s="38" t="n"/>
      <c r="AE35" s="38" t="n"/>
      <c r="AF35" s="61">
        <f>IF(COUNTIF($B$5:B35,B35)=1,1,0)</f>
        <v/>
      </c>
      <c r="AG35" s="62" t="inlineStr">
        <is>
          <t>https://www.infobae.com/colombia/2026/09/04/accionante-que-logro-que-un-juzgado-frenara-bombardeos-por-presencia-de-menores-explico-el-alcance-de-su-tutela-se-deben-proteger/</t>
        </is>
      </c>
    </row>
    <row r="36" ht="15" customHeight="1" s="31">
      <c r="A36" s="38" t="inlineStr">
        <is>
          <t>ART_005</t>
        </is>
      </c>
      <c r="B36" s="38" t="inlineStr">
        <is>
          <t>ART_005_S01</t>
        </is>
      </c>
      <c r="C36" s="38" t="inlineStr">
        <is>
          <t>El Tiempo</t>
        </is>
      </c>
      <c r="D36" s="38" t="inlineStr">
        <is>
          <t>Transición de gobierno y relación con la oposición</t>
        </is>
      </c>
      <c r="E36" s="38" t="inlineStr">
        <is>
          <t>Noticia dura</t>
        </is>
      </c>
      <c r="F36" s="38" t="inlineStr">
        <is>
          <t>2026-09-04T16:36:43-05:00</t>
        </is>
      </c>
      <c r="G36" s="62" t="inlineStr">
        <is>
          <t>La decisión de la Alianza Verde de declararse como partido independiente al gobierno de Abelardo De La Espriella ha generado polémica.</t>
        </is>
      </c>
      <c r="H36" s="62" t="n"/>
      <c r="I36" s="62" t="inlineStr">
        <is>
          <t>No sólo dejó al Pacto Histórico y En Marcha como únicas fuerzas de oposición, sino que se ha llamado la atención debido a que el partido de centro pasó de ser uno de los grandes aliados de Gustavo Petro a no acompañar a su bancada en su postura frente a la nueva administración.</t>
        </is>
      </c>
      <c r="J36" s="38" t="n"/>
      <c r="K36" s="62" t="n"/>
      <c r="L36" s="38" t="n"/>
      <c r="M36" s="62" t="n"/>
      <c r="N36" s="38" t="n"/>
      <c r="O36" s="62" t="n"/>
      <c r="P36" s="38" t="n"/>
      <c r="Q36" s="62" t="n"/>
      <c r="R36" s="38" t="n"/>
      <c r="S36" s="62" t="n"/>
      <c r="T36" s="38" t="n"/>
      <c r="U36" s="62" t="n"/>
      <c r="V36" s="38" t="n"/>
      <c r="W36" s="62" t="n"/>
      <c r="X36" s="38" t="n"/>
      <c r="Y36" s="62" t="n"/>
      <c r="Z36" s="38" t="n"/>
      <c r="AA36" s="62" t="n"/>
      <c r="AB36" s="38" t="n"/>
      <c r="AC36" s="62" t="n"/>
      <c r="AD36" s="38" t="n"/>
      <c r="AE36" s="38" t="n"/>
      <c r="AF36" s="61">
        <f>IF(COUNTIF($B$5:B36,B36)=1,1,0)</f>
        <v/>
      </c>
      <c r="AG36" s="62" t="inlineStr">
        <is>
          <t>https://www.eltiempo.com/politica/partidos-politicos/las-movidas-detras-de-la-declaratoria-de-la-alianza-verde-como-partido-independiente-al-gobierno-de-abelardo-de-la-espriella-3583710</t>
        </is>
      </c>
    </row>
    <row r="37" ht="15" customHeight="1" s="31">
      <c r="A37" s="38" t="inlineStr">
        <is>
          <t>ART_005</t>
        </is>
      </c>
      <c r="B37" s="38" t="inlineStr">
        <is>
          <t>ART_005_S02</t>
        </is>
      </c>
      <c r="C37" s="38" t="inlineStr">
        <is>
          <t>El Tiempo</t>
        </is>
      </c>
      <c r="D37" s="38" t="inlineStr">
        <is>
          <t>Transición de gobierno y relación con la oposición</t>
        </is>
      </c>
      <c r="E37" s="38" t="inlineStr">
        <is>
          <t>Noticia dura</t>
        </is>
      </c>
      <c r="F37" s="38" t="inlineStr">
        <is>
          <t>2026-09-04T16:36:43-05:00</t>
        </is>
      </c>
      <c r="G37" s="62" t="inlineStr">
        <is>
          <t>No sólo dejó al Pacto Histórico y En Marcha como únicas fuerzas de oposición, sino que se ha llamado la atención debido a que el partido de centro pasó de ser uno de los grandes aliados de Gustavo Petro a no acompañar a su bancada en su postura frente a la nueva administración.</t>
        </is>
      </c>
      <c r="H37" s="62" t="inlineStr">
        <is>
          <t>La decisión de la Alianza Verde de declararse como partido independiente al gobierno de Abelardo De La Espriella ha generado polémica.</t>
        </is>
      </c>
      <c r="I37" s="62" t="inlineStr">
        <is>
          <t>Las críticas no se han hecho esperar.</t>
        </is>
      </c>
      <c r="J37" s="38" t="n"/>
      <c r="K37" s="62" t="n"/>
      <c r="L37" s="38" t="n"/>
      <c r="M37" s="62" t="n"/>
      <c r="N37" s="38" t="n"/>
      <c r="O37" s="62" t="n"/>
      <c r="P37" s="38" t="n"/>
      <c r="Q37" s="62" t="n"/>
      <c r="R37" s="38" t="n"/>
      <c r="S37" s="62" t="n"/>
      <c r="T37" s="38" t="n"/>
      <c r="U37" s="62" t="n"/>
      <c r="V37" s="38" t="n"/>
      <c r="W37" s="62" t="n"/>
      <c r="X37" s="38" t="n"/>
      <c r="Y37" s="62" t="n"/>
      <c r="Z37" s="38" t="n"/>
      <c r="AA37" s="62" t="n"/>
      <c r="AB37" s="38" t="n"/>
      <c r="AC37" s="62" t="n"/>
      <c r="AD37" s="38" t="n"/>
      <c r="AE37" s="38" t="n"/>
      <c r="AF37" s="61">
        <f>IF(COUNTIF($B$5:B37,B37)=1,1,0)</f>
        <v/>
      </c>
      <c r="AG37" s="62" t="inlineStr">
        <is>
          <t>https://www.eltiempo.com/politica/partidos-politicos/las-movidas-detras-de-la-declaratoria-de-la-alianza-verde-como-partido-independiente-al-gobierno-de-abelardo-de-la-espriella-3583710</t>
        </is>
      </c>
    </row>
    <row r="38" ht="15" customHeight="1" s="31">
      <c r="A38" s="38" t="inlineStr">
        <is>
          <t>ART_005</t>
        </is>
      </c>
      <c r="B38" s="38" t="inlineStr">
        <is>
          <t>ART_005_S03</t>
        </is>
      </c>
      <c r="C38" s="38" t="inlineStr">
        <is>
          <t>El Tiempo</t>
        </is>
      </c>
      <c r="D38" s="38" t="inlineStr">
        <is>
          <t>Transición de gobierno y relación con la oposición</t>
        </is>
      </c>
      <c r="E38" s="38" t="inlineStr">
        <is>
          <t>Noticia dura</t>
        </is>
      </c>
      <c r="F38" s="38" t="inlineStr">
        <is>
          <t>2026-09-04T16:36:43-05:00</t>
        </is>
      </c>
      <c r="G38" s="62" t="inlineStr">
        <is>
          <t>Las críticas no se han hecho esperar.</t>
        </is>
      </c>
      <c r="H38" s="62" t="inlineStr">
        <is>
          <t>No sólo dejó al Pacto Histórico y En Marcha como únicas fuerzas de oposición, sino que se ha llamado la atención debido a que el partido de centro pasó de ser uno de los grandes aliados de Gustavo Petro a no acompañar a su bancada en su postura frente a la nueva administración.</t>
        </is>
      </c>
      <c r="I38" s="62" t="inlineStr">
        <is>
          <t>“Frente al fascismo no se puede ser independiente”, dijo el excandidato presidencial y senador, Iván Cepeda.</t>
        </is>
      </c>
      <c r="J38" s="38" t="n"/>
      <c r="K38" s="62" t="n"/>
      <c r="L38" s="38" t="n"/>
      <c r="M38" s="62" t="n"/>
      <c r="N38" s="38" t="n"/>
      <c r="O38" s="62" t="n"/>
      <c r="P38" s="38" t="n"/>
      <c r="Q38" s="62" t="n"/>
      <c r="R38" s="38" t="n"/>
      <c r="S38" s="62" t="n"/>
      <c r="T38" s="38" t="n"/>
      <c r="U38" s="62" t="n"/>
      <c r="V38" s="38" t="n"/>
      <c r="W38" s="62" t="n"/>
      <c r="X38" s="38" t="n"/>
      <c r="Y38" s="62" t="n"/>
      <c r="Z38" s="38" t="n"/>
      <c r="AA38" s="62" t="n"/>
      <c r="AB38" s="38" t="n"/>
      <c r="AC38" s="62" t="n"/>
      <c r="AD38" s="38" t="n"/>
      <c r="AE38" s="38" t="n"/>
      <c r="AF38" s="61">
        <f>IF(COUNTIF($B$5:B38,B38)=1,1,0)</f>
        <v/>
      </c>
      <c r="AG38" s="62" t="inlineStr">
        <is>
          <t>https://www.eltiempo.com/politica/partidos-politicos/las-movidas-detras-de-la-declaratoria-de-la-alianza-verde-como-partido-independiente-al-gobierno-de-abelardo-de-la-espriella-3583710</t>
        </is>
      </c>
    </row>
    <row r="39" ht="15" customHeight="1" s="31">
      <c r="A39" s="38" t="inlineStr">
        <is>
          <t>ART_005</t>
        </is>
      </c>
      <c r="B39" s="38" t="inlineStr">
        <is>
          <t>ART_005_S04</t>
        </is>
      </c>
      <c r="C39" s="38" t="inlineStr">
        <is>
          <t>El Tiempo</t>
        </is>
      </c>
      <c r="D39" s="38" t="inlineStr">
        <is>
          <t>Transición de gobierno y relación con la oposición</t>
        </is>
      </c>
      <c r="E39" s="38" t="inlineStr">
        <is>
          <t>Noticia dura</t>
        </is>
      </c>
      <c r="F39" s="38" t="inlineStr">
        <is>
          <t>2026-09-04T16:36:43-05:00</t>
        </is>
      </c>
      <c r="G39" s="62" t="inlineStr">
        <is>
          <t>“Frente al fascismo no se puede ser independiente”, dijo el excandidato presidencial y senador, Iván Cepeda.</t>
        </is>
      </c>
      <c r="H39" s="62" t="inlineStr">
        <is>
          <t>Las críticas no se han hecho esperar.</t>
        </is>
      </c>
      <c r="I39" s="62" t="inlineStr">
        <is>
          <t>Y es que algunos no entienden la decisión y qué hay detrás de ella.</t>
        </is>
      </c>
      <c r="J39" s="38" t="n"/>
      <c r="K39" s="62" t="n"/>
      <c r="L39" s="38" t="n"/>
      <c r="M39" s="62" t="n"/>
      <c r="N39" s="38" t="n"/>
      <c r="O39" s="62" t="n"/>
      <c r="P39" s="38" t="n"/>
      <c r="Q39" s="62" t="n"/>
      <c r="R39" s="38" t="n"/>
      <c r="S39" s="62" t="n"/>
      <c r="T39" s="38" t="n"/>
      <c r="U39" s="62" t="n"/>
      <c r="V39" s="38" t="n"/>
      <c r="W39" s="62" t="n"/>
      <c r="X39" s="38" t="n"/>
      <c r="Y39" s="62" t="n"/>
      <c r="Z39" s="38" t="n"/>
      <c r="AA39" s="62" t="n"/>
      <c r="AB39" s="38" t="n"/>
      <c r="AC39" s="62" t="n"/>
      <c r="AD39" s="38" t="n"/>
      <c r="AE39" s="38" t="n"/>
      <c r="AF39" s="61">
        <f>IF(COUNTIF($B$5:B39,B39)=1,1,0)</f>
        <v/>
      </c>
      <c r="AG39" s="62" t="inlineStr">
        <is>
          <t>https://www.eltiempo.com/politica/partidos-politicos/las-movidas-detras-de-la-declaratoria-de-la-alianza-verde-como-partido-independiente-al-gobierno-de-abelardo-de-la-espriella-3583710</t>
        </is>
      </c>
    </row>
    <row r="40" ht="15" customHeight="1" s="31">
      <c r="A40" s="38" t="inlineStr">
        <is>
          <t>ART_005</t>
        </is>
      </c>
      <c r="B40" s="38" t="inlineStr">
        <is>
          <t>ART_005_S05</t>
        </is>
      </c>
      <c r="C40" s="38" t="inlineStr">
        <is>
          <t>El Tiempo</t>
        </is>
      </c>
      <c r="D40" s="38" t="inlineStr">
        <is>
          <t>Transición de gobierno y relación con la oposición</t>
        </is>
      </c>
      <c r="E40" s="38" t="inlineStr">
        <is>
          <t>Noticia dura</t>
        </is>
      </c>
      <c r="F40" s="38" t="inlineStr">
        <is>
          <t>2026-09-04T16:36:43-05:00</t>
        </is>
      </c>
      <c r="G40" s="62" t="inlineStr">
        <is>
          <t>Y es que algunos no entienden la decisión y qué hay detrás de ella.</t>
        </is>
      </c>
      <c r="H40" s="62" t="inlineStr">
        <is>
          <t>“Frente al fascismo no se puede ser independiente”, dijo el excandidato presidencial y senador, Iván Cepeda.</t>
        </is>
      </c>
      <c r="I40" s="62" t="inlineStr">
        <is>
          <t>Lo ven como una falta de coherencia frente a lo que ha predicado el partido durante su existencia.</t>
        </is>
      </c>
      <c r="J40" s="38" t="n"/>
      <c r="K40" s="62" t="n"/>
      <c r="L40" s="38" t="n"/>
      <c r="M40" s="62" t="n"/>
      <c r="N40" s="38" t="n"/>
      <c r="O40" s="62" t="n"/>
      <c r="P40" s="38" t="n"/>
      <c r="Q40" s="62" t="n"/>
      <c r="R40" s="38" t="n"/>
      <c r="S40" s="62" t="n"/>
      <c r="T40" s="38" t="n"/>
      <c r="U40" s="62" t="n"/>
      <c r="V40" s="38" t="n"/>
      <c r="W40" s="62" t="n"/>
      <c r="X40" s="38" t="n"/>
      <c r="Y40" s="62" t="n"/>
      <c r="Z40" s="38" t="n"/>
      <c r="AA40" s="62" t="n"/>
      <c r="AB40" s="38" t="n"/>
      <c r="AC40" s="62" t="n"/>
      <c r="AD40" s="38" t="n"/>
      <c r="AE40" s="38" t="n"/>
      <c r="AF40" s="61">
        <f>IF(COUNTIF($B$5:B40,B40)=1,1,0)</f>
        <v/>
      </c>
      <c r="AG40" s="62" t="inlineStr">
        <is>
          <t>https://www.eltiempo.com/politica/partidos-politicos/las-movidas-detras-de-la-declaratoria-de-la-alianza-verde-como-partido-independiente-al-gobierno-de-abelardo-de-la-espriella-3583710</t>
        </is>
      </c>
    </row>
    <row r="41" ht="15" customHeight="1" s="31">
      <c r="A41" s="38" t="inlineStr">
        <is>
          <t>ART_005</t>
        </is>
      </c>
      <c r="B41" s="38" t="inlineStr">
        <is>
          <t>ART_005_S06</t>
        </is>
      </c>
      <c r="C41" s="38" t="inlineStr">
        <is>
          <t>El Tiempo</t>
        </is>
      </c>
      <c r="D41" s="38" t="inlineStr">
        <is>
          <t>Transición de gobierno y relación con la oposición</t>
        </is>
      </c>
      <c r="E41" s="38" t="inlineStr">
        <is>
          <t>Noticia dura</t>
        </is>
      </c>
      <c r="F41" s="38" t="inlineStr">
        <is>
          <t>2026-09-04T16:36:43-05:00</t>
        </is>
      </c>
      <c r="G41" s="62" t="inlineStr">
        <is>
          <t>Lo ven como una falta de coherencia frente a lo que ha predicado el partido durante su existencia.</t>
        </is>
      </c>
      <c r="H41" s="62" t="inlineStr">
        <is>
          <t>Y es que algunos no entienden la decisión y qué hay detrás de ella.</t>
        </is>
      </c>
      <c r="I41" s="62" t="inlineStr">
        <is>
          <t>Además, han cuestionado que hasta hace unos días venía ganando la postura de la oposición y al final se revirtió la tendencia.</t>
        </is>
      </c>
      <c r="J41" s="38" t="n"/>
      <c r="K41" s="62" t="n"/>
      <c r="L41" s="38" t="n"/>
      <c r="M41" s="62" t="n"/>
      <c r="N41" s="38" t="n"/>
      <c r="O41" s="62" t="n"/>
      <c r="P41" s="38" t="n"/>
      <c r="Q41" s="62" t="n"/>
      <c r="R41" s="38" t="n"/>
      <c r="S41" s="62" t="n"/>
      <c r="T41" s="38" t="n"/>
      <c r="U41" s="62" t="n"/>
      <c r="V41" s="38" t="n"/>
      <c r="W41" s="62" t="n"/>
      <c r="X41" s="38" t="n"/>
      <c r="Y41" s="62" t="n"/>
      <c r="Z41" s="38" t="n"/>
      <c r="AA41" s="62" t="n"/>
      <c r="AB41" s="38" t="n"/>
      <c r="AC41" s="62" t="n"/>
      <c r="AD41" s="38" t="n"/>
      <c r="AE41" s="38" t="n"/>
      <c r="AF41" s="61">
        <f>IF(COUNTIF($B$5:B41,B41)=1,1,0)</f>
        <v/>
      </c>
      <c r="AG41" s="62" t="inlineStr">
        <is>
          <t>https://www.eltiempo.com/politica/partidos-politicos/las-movidas-detras-de-la-declaratoria-de-la-alianza-verde-como-partido-independiente-al-gobierno-de-abelardo-de-la-espriella-3583710</t>
        </is>
      </c>
    </row>
    <row r="42" ht="15" customHeight="1" s="31">
      <c r="A42" s="38" t="inlineStr">
        <is>
          <t>ART_005</t>
        </is>
      </c>
      <c r="B42" s="38" t="inlineStr">
        <is>
          <t>ART_005_S07</t>
        </is>
      </c>
      <c r="C42" s="38" t="inlineStr">
        <is>
          <t>El Tiempo</t>
        </is>
      </c>
      <c r="D42" s="38" t="inlineStr">
        <is>
          <t>Transición de gobierno y relación con la oposición</t>
        </is>
      </c>
      <c r="E42" s="38" t="inlineStr">
        <is>
          <t>Noticia dura</t>
        </is>
      </c>
      <c r="F42" s="38" t="inlineStr">
        <is>
          <t>2026-09-04T16:36:43-05:00</t>
        </is>
      </c>
      <c r="G42" s="62" t="inlineStr">
        <is>
          <t>Además, han cuestionado que hasta hace unos días venía ganando la postura de la oposición y al final se revirtió la tendencia.</t>
        </is>
      </c>
      <c r="H42" s="62" t="inlineStr">
        <is>
          <t>Lo ven como una falta de coherencia frente a lo que ha predicado el partido durante su existencia.</t>
        </is>
      </c>
      <c r="I42" s="62" t="inlineStr">
        <is>
          <t>Hay distintas versiones sobre lo que motivó a la mayoría de los Verdes a votar por la independencia.</t>
        </is>
      </c>
      <c r="J42" s="38" t="n"/>
      <c r="K42" s="62" t="n"/>
      <c r="L42" s="38" t="n"/>
      <c r="M42" s="62" t="n"/>
      <c r="N42" s="38" t="n"/>
      <c r="O42" s="62" t="n"/>
      <c r="P42" s="38" t="n"/>
      <c r="Q42" s="62" t="n"/>
      <c r="R42" s="38" t="n"/>
      <c r="S42" s="62" t="n"/>
      <c r="T42" s="38" t="n"/>
      <c r="U42" s="62" t="n"/>
      <c r="V42" s="38" t="n"/>
      <c r="W42" s="62" t="n"/>
      <c r="X42" s="38" t="n"/>
      <c r="Y42" s="62" t="n"/>
      <c r="Z42" s="38" t="n"/>
      <c r="AA42" s="62" t="n"/>
      <c r="AB42" s="38" t="n"/>
      <c r="AC42" s="62" t="n"/>
      <c r="AD42" s="38" t="n"/>
      <c r="AE42" s="38" t="n"/>
      <c r="AF42" s="61">
        <f>IF(COUNTIF($B$5:B42,B42)=1,1,0)</f>
        <v/>
      </c>
      <c r="AG42" s="62" t="inlineStr">
        <is>
          <t>https://www.eltiempo.com/politica/partidos-politicos/las-movidas-detras-de-la-declaratoria-de-la-alianza-verde-como-partido-independiente-al-gobierno-de-abelardo-de-la-espriella-3583710</t>
        </is>
      </c>
    </row>
    <row r="43" ht="15" customHeight="1" s="31">
      <c r="A43" s="38" t="inlineStr">
        <is>
          <t>ART_005</t>
        </is>
      </c>
      <c r="B43" s="38" t="inlineStr">
        <is>
          <t>ART_005_S08</t>
        </is>
      </c>
      <c r="C43" s="38" t="inlineStr">
        <is>
          <t>El Tiempo</t>
        </is>
      </c>
      <c r="D43" s="38" t="inlineStr">
        <is>
          <t>Transición de gobierno y relación con la oposición</t>
        </is>
      </c>
      <c r="E43" s="38" t="inlineStr">
        <is>
          <t>Noticia dura</t>
        </is>
      </c>
      <c r="F43" s="38" t="inlineStr">
        <is>
          <t>2026-09-04T16:36:43-05:00</t>
        </is>
      </c>
      <c r="G43" s="62" t="inlineStr">
        <is>
          <t>Hay distintas versiones sobre lo que motivó a la mayoría de los Verdes a votar por la independencia.</t>
        </is>
      </c>
      <c r="H43" s="62" t="inlineStr">
        <is>
          <t>Además, han cuestionado que hasta hace unos días venía ganando la postura de la oposición y al final se revirtió la tendencia.</t>
        </is>
      </c>
      <c r="I43" s="62" t="inlineStr">
        <is>
          <t>Algunos de los consultados aseguran que se impuso la independencia debido a que se quieren desligar del Pacto Histórico.</t>
        </is>
      </c>
      <c r="J43" s="38" t="n"/>
      <c r="K43" s="62" t="n"/>
      <c r="L43" s="38" t="n"/>
      <c r="M43" s="62" t="n"/>
      <c r="N43" s="38" t="n"/>
      <c r="O43" s="62" t="n"/>
      <c r="P43" s="38" t="n"/>
      <c r="Q43" s="62" t="n"/>
      <c r="R43" s="38" t="n"/>
      <c r="S43" s="62" t="n"/>
      <c r="T43" s="38" t="n"/>
      <c r="U43" s="62" t="n"/>
      <c r="V43" s="38" t="n"/>
      <c r="W43" s="62" t="n"/>
      <c r="X43" s="38" t="n"/>
      <c r="Y43" s="62" t="n"/>
      <c r="Z43" s="38" t="n"/>
      <c r="AA43" s="62" t="n"/>
      <c r="AB43" s="38" t="n"/>
      <c r="AC43" s="62" t="n"/>
      <c r="AD43" s="38" t="n"/>
      <c r="AE43" s="38" t="n"/>
      <c r="AF43" s="61">
        <f>IF(COUNTIF($B$5:B43,B43)=1,1,0)</f>
        <v/>
      </c>
      <c r="AG43" s="62" t="inlineStr">
        <is>
          <t>https://www.eltiempo.com/politica/partidos-politicos/las-movidas-detras-de-la-declaratoria-de-la-alianza-verde-como-partido-independiente-al-gobierno-de-abelardo-de-la-espriella-3583710</t>
        </is>
      </c>
    </row>
    <row r="44" ht="15" customHeight="1" s="31">
      <c r="A44" s="38" t="inlineStr">
        <is>
          <t>ART_005</t>
        </is>
      </c>
      <c r="B44" s="38" t="inlineStr">
        <is>
          <t>ART_005_S09</t>
        </is>
      </c>
      <c r="C44" s="38" t="inlineStr">
        <is>
          <t>El Tiempo</t>
        </is>
      </c>
      <c r="D44" s="38" t="inlineStr">
        <is>
          <t>Transición de gobierno y relación con la oposición</t>
        </is>
      </c>
      <c r="E44" s="38" t="inlineStr">
        <is>
          <t>Noticia dura</t>
        </is>
      </c>
      <c r="F44" s="38" t="inlineStr">
        <is>
          <t>2026-09-04T16:36:43-05:00</t>
        </is>
      </c>
      <c r="G44" s="62" t="inlineStr">
        <is>
          <t>Algunos de los consultados aseguran que se impuso la independencia debido a que se quieren desligar del Pacto Histórico.</t>
        </is>
      </c>
      <c r="H44" s="62" t="inlineStr">
        <is>
          <t>Hay distintas versiones sobre lo que motivó a la mayoría de los Verdes a votar por la independencia.</t>
        </is>
      </c>
      <c r="I44" s="62" t="inlineStr">
        <is>
          <t>Señalan que la colectividad de izquierda los ha visto como un apéndice y necesitaban de alguna forma mostrar sus diferencias con ellos.</t>
        </is>
      </c>
      <c r="J44" s="38" t="n"/>
      <c r="K44" s="62" t="n"/>
      <c r="L44" s="38" t="n"/>
      <c r="M44" s="62" t="n"/>
      <c r="N44" s="38" t="n"/>
      <c r="O44" s="62" t="n"/>
      <c r="P44" s="38" t="n"/>
      <c r="Q44" s="62" t="n"/>
      <c r="R44" s="38" t="n"/>
      <c r="S44" s="62" t="n"/>
      <c r="T44" s="38" t="n"/>
      <c r="U44" s="62" t="n"/>
      <c r="V44" s="38" t="n"/>
      <c r="W44" s="62" t="n"/>
      <c r="X44" s="38" t="n"/>
      <c r="Y44" s="62" t="n"/>
      <c r="Z44" s="38" t="n"/>
      <c r="AA44" s="62" t="n"/>
      <c r="AB44" s="38" t="n"/>
      <c r="AC44" s="62" t="n"/>
      <c r="AD44" s="38" t="n"/>
      <c r="AE44" s="38" t="n"/>
      <c r="AF44" s="61">
        <f>IF(COUNTIF($B$5:B44,B44)=1,1,0)</f>
        <v/>
      </c>
      <c r="AG44" s="62" t="inlineStr">
        <is>
          <t>https://www.eltiempo.com/politica/partidos-politicos/las-movidas-detras-de-la-declaratoria-de-la-alianza-verde-como-partido-independiente-al-gobierno-de-abelardo-de-la-espriella-3583710</t>
        </is>
      </c>
    </row>
    <row r="45" ht="15" customHeight="1" s="31">
      <c r="A45" s="38" t="inlineStr">
        <is>
          <t>ART_005</t>
        </is>
      </c>
      <c r="B45" s="38" t="inlineStr">
        <is>
          <t>ART_005_S10</t>
        </is>
      </c>
      <c r="C45" s="38" t="inlineStr">
        <is>
          <t>El Tiempo</t>
        </is>
      </c>
      <c r="D45" s="38" t="inlineStr">
        <is>
          <t>Transición de gobierno y relación con la oposición</t>
        </is>
      </c>
      <c r="E45" s="38" t="inlineStr">
        <is>
          <t>Noticia dura</t>
        </is>
      </c>
      <c r="F45" s="38" t="inlineStr">
        <is>
          <t>2026-09-04T16:36:43-05:00</t>
        </is>
      </c>
      <c r="G45" s="62" t="inlineStr">
        <is>
          <t>Señalan que la colectividad de izquierda los ha visto como un apéndice y necesitaban de alguna forma mostrar sus diferencias con ellos.</t>
        </is>
      </c>
      <c r="H45" s="62" t="inlineStr">
        <is>
          <t>Algunos de los consultados aseguran que se impuso la independencia debido a que se quieren desligar del Pacto Histórico.</t>
        </is>
      </c>
      <c r="I45" s="62" t="inlineStr">
        <is>
          <t>Por eso, indican que evitaron irse a la oposición para intentar mostrarse como un partido distinto.</t>
        </is>
      </c>
      <c r="J45" s="38" t="n"/>
      <c r="K45" s="62" t="n"/>
      <c r="L45" s="38" t="n"/>
      <c r="M45" s="62" t="n"/>
      <c r="N45" s="38" t="n"/>
      <c r="O45" s="62" t="n"/>
      <c r="P45" s="38" t="n"/>
      <c r="Q45" s="62" t="n"/>
      <c r="R45" s="38" t="n"/>
      <c r="S45" s="62" t="n"/>
      <c r="T45" s="38" t="n"/>
      <c r="U45" s="62" t="n"/>
      <c r="V45" s="38" t="n"/>
      <c r="W45" s="62" t="n"/>
      <c r="X45" s="38" t="n"/>
      <c r="Y45" s="62" t="n"/>
      <c r="Z45" s="38" t="n"/>
      <c r="AA45" s="62" t="n"/>
      <c r="AB45" s="38" t="n"/>
      <c r="AC45" s="62" t="n"/>
      <c r="AD45" s="38" t="n"/>
      <c r="AE45" s="38" t="n"/>
      <c r="AF45" s="61">
        <f>IF(COUNTIF($B$5:B45,B45)=1,1,0)</f>
        <v/>
      </c>
      <c r="AG45" s="62" t="inlineStr">
        <is>
          <t>https://www.eltiempo.com/politica/partidos-politicos/las-movidas-detras-de-la-declaratoria-de-la-alianza-verde-como-partido-independiente-al-gobierno-de-abelardo-de-la-espriella-3583710</t>
        </is>
      </c>
    </row>
    <row r="46" ht="15" customHeight="1" s="31">
      <c r="A46" s="38" t="inlineStr">
        <is>
          <t>ART_005</t>
        </is>
      </c>
      <c r="B46" s="38" t="inlineStr">
        <is>
          <t>ART_005_S11</t>
        </is>
      </c>
      <c r="C46" s="38" t="inlineStr">
        <is>
          <t>El Tiempo</t>
        </is>
      </c>
      <c r="D46" s="38" t="inlineStr">
        <is>
          <t>Transición de gobierno y relación con la oposición</t>
        </is>
      </c>
      <c r="E46" s="38" t="inlineStr">
        <is>
          <t>Noticia dura</t>
        </is>
      </c>
      <c r="F46" s="38" t="inlineStr">
        <is>
          <t>2026-09-04T16:36:43-05:00</t>
        </is>
      </c>
      <c r="G46" s="62" t="inlineStr">
        <is>
          <t>Por eso, indican que evitaron irse a la oposición para intentar mostrarse como un partido distinto.</t>
        </is>
      </c>
      <c r="H46" s="62" t="inlineStr">
        <is>
          <t>Señalan que la colectividad de izquierda los ha visto como un apéndice y necesitaban de alguna forma mostrar sus diferencias con ellos.</t>
        </is>
      </c>
      <c r="I46" s="62" t="inlineStr">
        <is>
          <t>En ese sentido ilustran lo que está ocurriendo en el partido con  la situación que ocurrió en la elección del CNE, en la que no apoyaron a Guillermo Rivera debido a que supuestamente querían sentar una posición ante supuestos intentos del partido de izquierda de imponer sus criterios sin siquiera dar las debidas discusiones.</t>
        </is>
      </c>
      <c r="J46" s="38" t="n"/>
      <c r="K46" s="62" t="n"/>
      <c r="L46" s="38" t="n"/>
      <c r="M46" s="62" t="n"/>
      <c r="N46" s="38" t="n"/>
      <c r="O46" s="62" t="n"/>
      <c r="P46" s="38" t="n"/>
      <c r="Q46" s="62" t="n"/>
      <c r="R46" s="38" t="n"/>
      <c r="S46" s="62" t="n"/>
      <c r="T46" s="38" t="n"/>
      <c r="U46" s="62" t="n"/>
      <c r="V46" s="38" t="n"/>
      <c r="W46" s="62" t="n"/>
      <c r="X46" s="38" t="n"/>
      <c r="Y46" s="62" t="n"/>
      <c r="Z46" s="38" t="n"/>
      <c r="AA46" s="62" t="n"/>
      <c r="AB46" s="38" t="n"/>
      <c r="AC46" s="62" t="n"/>
      <c r="AD46" s="38" t="n"/>
      <c r="AE46" s="38" t="n"/>
      <c r="AF46" s="61">
        <f>IF(COUNTIF($B$5:B46,B46)=1,1,0)</f>
        <v/>
      </c>
      <c r="AG46" s="62" t="inlineStr">
        <is>
          <t>https://www.eltiempo.com/politica/partidos-politicos/las-movidas-detras-de-la-declaratoria-de-la-alianza-verde-como-partido-independiente-al-gobierno-de-abelardo-de-la-espriella-3583710</t>
        </is>
      </c>
    </row>
    <row r="47" ht="15" customHeight="1" s="31">
      <c r="A47" s="38" t="inlineStr">
        <is>
          <t>ART_005</t>
        </is>
      </c>
      <c r="B47" s="38" t="inlineStr">
        <is>
          <t>ART_005_S12</t>
        </is>
      </c>
      <c r="C47" s="38" t="inlineStr">
        <is>
          <t>El Tiempo</t>
        </is>
      </c>
      <c r="D47" s="38" t="inlineStr">
        <is>
          <t>Transición de gobierno y relación con la oposición</t>
        </is>
      </c>
      <c r="E47" s="38" t="inlineStr">
        <is>
          <t>Noticia dura</t>
        </is>
      </c>
      <c r="F47" s="38" t="inlineStr">
        <is>
          <t>2026-09-04T16:36:43-05:00</t>
        </is>
      </c>
      <c r="G47" s="62" t="inlineStr">
        <is>
          <t>En ese sentido ilustran lo que está ocurriendo en el partido con  la situación que ocurrió en la elección del CNE, en la que no apoyaron a Guillermo Rivera debido a que supuestamente querían sentar una posición ante supuestos intentos del partido de izquierda de imponer sus criterios sin siquiera dar las debidas discusiones.</t>
        </is>
      </c>
      <c r="H47" s="62" t="inlineStr">
        <is>
          <t>Por eso, indican que evitaron irse a la oposición para intentar mostrarse como un partido distinto.</t>
        </is>
      </c>
      <c r="I47" s="62" t="n"/>
      <c r="J47" s="38" t="n"/>
      <c r="K47" s="62" t="n"/>
      <c r="L47" s="38" t="n"/>
      <c r="M47" s="62" t="n"/>
      <c r="N47" s="38" t="n"/>
      <c r="O47" s="62" t="n"/>
      <c r="P47" s="38" t="n"/>
      <c r="Q47" s="62" t="n"/>
      <c r="R47" s="38" t="n"/>
      <c r="S47" s="62" t="n"/>
      <c r="T47" s="38" t="n"/>
      <c r="U47" s="62" t="n"/>
      <c r="V47" s="38" t="n"/>
      <c r="W47" s="62" t="n"/>
      <c r="X47" s="38" t="n"/>
      <c r="Y47" s="62" t="n"/>
      <c r="Z47" s="38" t="n"/>
      <c r="AA47" s="62" t="n"/>
      <c r="AB47" s="38" t="n"/>
      <c r="AC47" s="62" t="n"/>
      <c r="AD47" s="38" t="n"/>
      <c r="AE47" s="38" t="n"/>
      <c r="AF47" s="61">
        <f>IF(COUNTIF($B$5:B47,B47)=1,1,0)</f>
        <v/>
      </c>
      <c r="AG47" s="62" t="inlineStr">
        <is>
          <t>https://www.eltiempo.com/politica/partidos-politicos/las-movidas-detras-de-la-declaratoria-de-la-alianza-verde-como-partido-independiente-al-gobierno-de-abelardo-de-la-espriella-3583710</t>
        </is>
      </c>
    </row>
    <row r="48" ht="15" customHeight="1" s="31">
      <c r="A48" s="38" t="inlineStr">
        <is>
          <t>ART_006</t>
        </is>
      </c>
      <c r="B48" s="38" t="inlineStr">
        <is>
          <t>ART_006_S01</t>
        </is>
      </c>
      <c r="C48" s="38" t="inlineStr">
        <is>
          <t>El Tiempo</t>
        </is>
      </c>
      <c r="D48" s="38" t="inlineStr">
        <is>
          <t>Reformas sociales en disputa (pensional/tributaria)</t>
        </is>
      </c>
      <c r="E48" s="38" t="inlineStr">
        <is>
          <t>Noticia dura</t>
        </is>
      </c>
      <c r="F48" s="38" t="inlineStr">
        <is>
          <t>2026-09-04T15:12:57-05:00</t>
        </is>
      </c>
      <c r="G48" s="62" t="inlineStr">
        <is>
          <t>Cada semana se radican en la Cámara de Representantes y el Senado decenas de proyectos de ley que nunca verán la luz, frenados por obstáculos de trámite, de forma y de fondo.</t>
        </is>
      </c>
      <c r="H48" s="62" t="n"/>
      <c r="I48" s="62" t="inlineStr">
        <is>
          <t>Solo en el primer mes desde que se instaló el nuevo Congreso —del 20 de julio al 20 de agosto de 2026— se radicaron 228 proyectos en la Cámara y 206 en el Senado.</t>
        </is>
      </c>
      <c r="J48" s="38" t="n"/>
      <c r="K48" s="62" t="n"/>
      <c r="L48" s="38" t="n"/>
      <c r="M48" s="62" t="n"/>
      <c r="N48" s="38" t="n"/>
      <c r="O48" s="62" t="n"/>
      <c r="P48" s="38" t="n"/>
      <c r="Q48" s="62" t="n"/>
      <c r="R48" s="38" t="n"/>
      <c r="S48" s="62" t="n"/>
      <c r="T48" s="38" t="n"/>
      <c r="U48" s="62" t="n"/>
      <c r="V48" s="38" t="n"/>
      <c r="W48" s="62" t="n"/>
      <c r="X48" s="38" t="n"/>
      <c r="Y48" s="62" t="n"/>
      <c r="Z48" s="38" t="n"/>
      <c r="AA48" s="62" t="n"/>
      <c r="AB48" s="38" t="n"/>
      <c r="AC48" s="62" t="n"/>
      <c r="AD48" s="38" t="n"/>
      <c r="AE48" s="38" t="n"/>
      <c r="AF48" s="61">
        <f>IF(COUNTIF($B$5:B48,B48)=1,1,0)</f>
        <v/>
      </c>
      <c r="AG48" s="62" t="inlineStr">
        <is>
          <t>https://www.eltiempo.com/politica/congreso/en-los-ultimos-ocho-anos-solo-se-aprobo-uno-de-cada-siete-proyectos-de-ley-en-el-congreso-lo-que-revelan-las-cifras-3583664</t>
        </is>
      </c>
    </row>
    <row r="49" ht="15" customHeight="1" s="31">
      <c r="A49" s="38" t="inlineStr">
        <is>
          <t>ART_006</t>
        </is>
      </c>
      <c r="B49" s="38" t="inlineStr">
        <is>
          <t>ART_006_S02</t>
        </is>
      </c>
      <c r="C49" s="38" t="inlineStr">
        <is>
          <t>El Tiempo</t>
        </is>
      </c>
      <c r="D49" s="38" t="inlineStr">
        <is>
          <t>Reformas sociales en disputa (pensional/tributaria)</t>
        </is>
      </c>
      <c r="E49" s="38" t="inlineStr">
        <is>
          <t>Noticia dura</t>
        </is>
      </c>
      <c r="F49" s="38" t="inlineStr">
        <is>
          <t>2026-09-04T15:12:57-05:00</t>
        </is>
      </c>
      <c r="G49" s="62" t="inlineStr">
        <is>
          <t>Solo en el primer mes desde que se instaló el nuevo Congreso —del 20 de julio al 20 de agosto de 2026— se radicaron 228 proyectos en la Cámara y 206 en el Senado.</t>
        </is>
      </c>
      <c r="H49" s="62" t="inlineStr">
        <is>
          <t>Cada semana se radican en la Cámara de Representantes y el Senado decenas de proyectos de ley que nunca verán la luz, frenados por obstáculos de trámite, de forma y de fondo.</t>
        </is>
      </c>
      <c r="I49" s="62" t="inlineStr">
        <is>
          <t>Su destino más probable, si se repite el patrón de los últimos ocho años, no será un intenso debate en el Capitolio, ni un veto presidencial, ni una sentencia de la Corte Constitucional.</t>
        </is>
      </c>
      <c r="J49" s="38" t="n"/>
      <c r="K49" s="62" t="n"/>
      <c r="L49" s="38" t="n"/>
      <c r="M49" s="62" t="n"/>
      <c r="N49" s="38" t="n"/>
      <c r="O49" s="62" t="n"/>
      <c r="P49" s="38" t="n"/>
      <c r="Q49" s="62" t="n"/>
      <c r="R49" s="38" t="n"/>
      <c r="S49" s="62" t="n"/>
      <c r="T49" s="38" t="n"/>
      <c r="U49" s="62" t="n"/>
      <c r="V49" s="38" t="n"/>
      <c r="W49" s="62" t="n"/>
      <c r="X49" s="38" t="n"/>
      <c r="Y49" s="62" t="n"/>
      <c r="Z49" s="38" t="n"/>
      <c r="AA49" s="62" t="n"/>
      <c r="AB49" s="38" t="n"/>
      <c r="AC49" s="62" t="n"/>
      <c r="AD49" s="38" t="n"/>
      <c r="AE49" s="38" t="n"/>
      <c r="AF49" s="61">
        <f>IF(COUNTIF($B$5:B49,B49)=1,1,0)</f>
        <v/>
      </c>
      <c r="AG49" s="62" t="inlineStr">
        <is>
          <t>https://www.eltiempo.com/politica/congreso/en-los-ultimos-ocho-anos-solo-se-aprobo-uno-de-cada-siete-proyectos-de-ley-en-el-congreso-lo-que-revelan-las-cifras-3583664</t>
        </is>
      </c>
    </row>
    <row r="50" ht="15" customHeight="1" s="31">
      <c r="A50" s="38" t="inlineStr">
        <is>
          <t>ART_006</t>
        </is>
      </c>
      <c r="B50" s="38" t="inlineStr">
        <is>
          <t>ART_006_S03</t>
        </is>
      </c>
      <c r="C50" s="38" t="inlineStr">
        <is>
          <t>El Tiempo</t>
        </is>
      </c>
      <c r="D50" s="38" t="inlineStr">
        <is>
          <t>Reformas sociales en disputa (pensional/tributaria)</t>
        </is>
      </c>
      <c r="E50" s="38" t="inlineStr">
        <is>
          <t>Noticia dura</t>
        </is>
      </c>
      <c r="F50" s="38" t="inlineStr">
        <is>
          <t>2026-09-04T15:12:57-05:00</t>
        </is>
      </c>
      <c r="G50" s="62" t="inlineStr">
        <is>
          <t>Su destino más probable, si se repite el patrón de los últimos ocho años, no será un intenso debate en el Capitolio, ni un veto presidencial, ni una sentencia de la Corte Constitucional.</t>
        </is>
      </c>
      <c r="H50" s="62" t="inlineStr">
        <is>
          <t>Solo en el primer mes desde que se instaló el nuevo Congreso —del 20 de julio al 20 de agosto de 2026— se radicaron 228 proyectos en la Cámara y 206 en el Senado.</t>
        </is>
      </c>
      <c r="I50" s="62" t="inlineStr">
        <is>
          <t>Será morir en silencio, guardados en una comisión.</t>
        </is>
      </c>
      <c r="J50" s="38" t="n"/>
      <c r="K50" s="62" t="n"/>
      <c r="L50" s="38" t="n"/>
      <c r="M50" s="62" t="n"/>
      <c r="N50" s="38" t="n"/>
      <c r="O50" s="62" t="n"/>
      <c r="P50" s="38" t="n"/>
      <c r="Q50" s="62" t="n"/>
      <c r="R50" s="38" t="n"/>
      <c r="S50" s="62" t="n"/>
      <c r="T50" s="38" t="n"/>
      <c r="U50" s="62" t="n"/>
      <c r="V50" s="38" t="n"/>
      <c r="W50" s="62" t="n"/>
      <c r="X50" s="38" t="n"/>
      <c r="Y50" s="62" t="n"/>
      <c r="Z50" s="38" t="n"/>
      <c r="AA50" s="62" t="n"/>
      <c r="AB50" s="38" t="n"/>
      <c r="AC50" s="62" t="n"/>
      <c r="AD50" s="38" t="n"/>
      <c r="AE50" s="38" t="n"/>
      <c r="AF50" s="61">
        <f>IF(COUNTIF($B$5:B50,B50)=1,1,0)</f>
        <v/>
      </c>
      <c r="AG50" s="62" t="inlineStr">
        <is>
          <t>https://www.eltiempo.com/politica/congreso/en-los-ultimos-ocho-anos-solo-se-aprobo-uno-de-cada-siete-proyectos-de-ley-en-el-congreso-lo-que-revelan-las-cifras-3583664</t>
        </is>
      </c>
    </row>
    <row r="51" ht="15" customHeight="1" s="31">
      <c r="A51" s="38" t="inlineStr">
        <is>
          <t>ART_006</t>
        </is>
      </c>
      <c r="B51" s="38" t="inlineStr">
        <is>
          <t>ART_006_S04</t>
        </is>
      </c>
      <c r="C51" s="38" t="inlineStr">
        <is>
          <t>El Tiempo</t>
        </is>
      </c>
      <c r="D51" s="38" t="inlineStr">
        <is>
          <t>Reformas sociales en disputa (pensional/tributaria)</t>
        </is>
      </c>
      <c r="E51" s="38" t="inlineStr">
        <is>
          <t>Noticia dura</t>
        </is>
      </c>
      <c r="F51" s="38" t="inlineStr">
        <is>
          <t>2026-09-04T15:12:57-05:00</t>
        </is>
      </c>
      <c r="G51" s="62" t="inlineStr">
        <is>
          <t>Será morir en silencio, guardados en una comisión.</t>
        </is>
      </c>
      <c r="H51" s="62" t="inlineStr">
        <is>
          <t>Su destino más probable, si se repite el patrón de los últimos ocho años, no será un intenso debate en el Capitolio, ni un veto presidencial, ni una sentencia de la Corte Constitucional.</t>
        </is>
      </c>
      <c r="I51" s="62" t="inlineStr">
        <is>
          <t>Las cifras lo respaldan: de los 4.004 proyectos de ley radicados en el Congreso colombiano entre los cuatrienios completos de 2018-2022 y 2022-2026, apenas 1 de cada 7 (14,1 %) terminó convertido en ley con sanción presidencial.</t>
        </is>
      </c>
      <c r="J51" s="38" t="n"/>
      <c r="K51" s="62" t="n"/>
      <c r="L51" s="38" t="n"/>
      <c r="M51" s="62" t="n"/>
      <c r="N51" s="38" t="n"/>
      <c r="O51" s="62" t="n"/>
      <c r="P51" s="38" t="n"/>
      <c r="Q51" s="62" t="n"/>
      <c r="R51" s="38" t="n"/>
      <c r="S51" s="62" t="n"/>
      <c r="T51" s="38" t="n"/>
      <c r="U51" s="62" t="n"/>
      <c r="V51" s="38" t="n"/>
      <c r="W51" s="62" t="n"/>
      <c r="X51" s="38" t="n"/>
      <c r="Y51" s="62" t="n"/>
      <c r="Z51" s="38" t="n"/>
      <c r="AA51" s="62" t="n"/>
      <c r="AB51" s="38" t="n"/>
      <c r="AC51" s="62" t="n"/>
      <c r="AD51" s="38" t="n"/>
      <c r="AE51" s="38" t="n"/>
      <c r="AF51" s="61">
        <f>IF(COUNTIF($B$5:B51,B51)=1,1,0)</f>
        <v/>
      </c>
      <c r="AG51" s="62" t="inlineStr">
        <is>
          <t>https://www.eltiempo.com/politica/congreso/en-los-ultimos-ocho-anos-solo-se-aprobo-uno-de-cada-siete-proyectos-de-ley-en-el-congreso-lo-que-revelan-las-cifras-3583664</t>
        </is>
      </c>
    </row>
    <row r="52" ht="15" customHeight="1" s="31">
      <c r="A52" s="38" t="inlineStr">
        <is>
          <t>ART_006</t>
        </is>
      </c>
      <c r="B52" s="38" t="inlineStr">
        <is>
          <t>ART_006_S05</t>
        </is>
      </c>
      <c r="C52" s="38" t="inlineStr">
        <is>
          <t>El Tiempo</t>
        </is>
      </c>
      <c r="D52" s="38" t="inlineStr">
        <is>
          <t>Reformas sociales en disputa (pensional/tributaria)</t>
        </is>
      </c>
      <c r="E52" s="38" t="inlineStr">
        <is>
          <t>Noticia dura</t>
        </is>
      </c>
      <c r="F52" s="38" t="inlineStr">
        <is>
          <t>2026-09-04T15:12:57-05:00</t>
        </is>
      </c>
      <c r="G52" s="62" t="inlineStr">
        <is>
          <t>Las cifras lo respaldan: de los 4.004 proyectos de ley radicados en el Congreso colombiano entre los cuatrienios completos de 2018-2022 y 2022-2026, apenas 1 de cada 7 (14,1 %) terminó convertido en ley con sanción presidencial.</t>
        </is>
      </c>
      <c r="H52" s="62" t="inlineStr">
        <is>
          <t>Será morir en silencio, guardados en una comisión.</t>
        </is>
      </c>
      <c r="I52" s="62" t="inlineStr">
        <is>
          <t>El resto se repartió entre el archivo (2.435 proyectos, 61 %), el retiro por parte de sus propios autores (279) y un limbo de trámite sin resolver (724).</t>
        </is>
      </c>
      <c r="J52" s="38" t="n"/>
      <c r="K52" s="62" t="n"/>
      <c r="L52" s="38" t="n"/>
      <c r="M52" s="62" t="n"/>
      <c r="N52" s="38" t="n"/>
      <c r="O52" s="62" t="n"/>
      <c r="P52" s="38" t="n"/>
      <c r="Q52" s="62" t="n"/>
      <c r="R52" s="38" t="n"/>
      <c r="S52" s="62" t="n"/>
      <c r="T52" s="38" t="n"/>
      <c r="U52" s="62" t="n"/>
      <c r="V52" s="38" t="n"/>
      <c r="W52" s="62" t="n"/>
      <c r="X52" s="38" t="n"/>
      <c r="Y52" s="62" t="n"/>
      <c r="Z52" s="38" t="n"/>
      <c r="AA52" s="62" t="n"/>
      <c r="AB52" s="38" t="n"/>
      <c r="AC52" s="62" t="n"/>
      <c r="AD52" s="38" t="n"/>
      <c r="AE52" s="38" t="n"/>
      <c r="AF52" s="61">
        <f>IF(COUNTIF($B$5:B52,B52)=1,1,0)</f>
        <v/>
      </c>
      <c r="AG52" s="62" t="inlineStr">
        <is>
          <t>https://www.eltiempo.com/politica/congreso/en-los-ultimos-ocho-anos-solo-se-aprobo-uno-de-cada-siete-proyectos-de-ley-en-el-congreso-lo-que-revelan-las-cifras-3583664</t>
        </is>
      </c>
    </row>
    <row r="53" ht="15" customHeight="1" s="31">
      <c r="A53" s="38" t="inlineStr">
        <is>
          <t>ART_006</t>
        </is>
      </c>
      <c r="B53" s="38" t="inlineStr">
        <is>
          <t>ART_006_S06</t>
        </is>
      </c>
      <c r="C53" s="38" t="inlineStr">
        <is>
          <t>El Tiempo</t>
        </is>
      </c>
      <c r="D53" s="38" t="inlineStr">
        <is>
          <t>Reformas sociales en disputa (pensional/tributaria)</t>
        </is>
      </c>
      <c r="E53" s="38" t="inlineStr">
        <is>
          <t>Noticia dura</t>
        </is>
      </c>
      <c r="F53" s="38" t="inlineStr">
        <is>
          <t>2026-09-04T15:12:57-05:00</t>
        </is>
      </c>
      <c r="G53" s="62" t="inlineStr">
        <is>
          <t>El resto se repartió entre el archivo (2.435 proyectos, 61 %), el retiro por parte de sus propios autores (279) y un limbo de trámite sin resolver (724).</t>
        </is>
      </c>
      <c r="H53" s="62" t="inlineStr">
        <is>
          <t>Las cifras lo respaldan: de los 4.004 proyectos de ley radicados en el Congreso colombiano entre los cuatrienios completos de 2018-2022 y 2022-2026, apenas 1 de cada 7 (14,1 %) terminó convertido en ley con sanción presidencial.</t>
        </is>
      </c>
      <c r="I53" s="62" t="inlineStr">
        <is>
          <t>Ni siquiera las reformas de mayor peso político logran cerrar ese ciclo con rapidez.</t>
        </is>
      </c>
      <c r="J53" s="38" t="n"/>
      <c r="K53" s="62" t="n"/>
      <c r="L53" s="38" t="n"/>
      <c r="M53" s="62" t="n"/>
      <c r="N53" s="38" t="n"/>
      <c r="O53" s="62" t="n"/>
      <c r="P53" s="38" t="n"/>
      <c r="Q53" s="62" t="n"/>
      <c r="R53" s="38" t="n"/>
      <c r="S53" s="62" t="n"/>
      <c r="T53" s="38" t="n"/>
      <c r="U53" s="62" t="n"/>
      <c r="V53" s="38" t="n"/>
      <c r="W53" s="62" t="n"/>
      <c r="X53" s="38" t="n"/>
      <c r="Y53" s="62" t="n"/>
      <c r="Z53" s="38" t="n"/>
      <c r="AA53" s="62" t="n"/>
      <c r="AB53" s="38" t="n"/>
      <c r="AC53" s="62" t="n"/>
      <c r="AD53" s="38" t="n"/>
      <c r="AE53" s="38" t="n"/>
      <c r="AF53" s="61">
        <f>IF(COUNTIF($B$5:B53,B53)=1,1,0)</f>
        <v/>
      </c>
      <c r="AG53" s="62" t="inlineStr">
        <is>
          <t>https://www.eltiempo.com/politica/congreso/en-los-ultimos-ocho-anos-solo-se-aprobo-uno-de-cada-siete-proyectos-de-ley-en-el-congreso-lo-que-revelan-las-cifras-3583664</t>
        </is>
      </c>
    </row>
    <row r="54" ht="15" customHeight="1" s="31">
      <c r="A54" s="38" t="inlineStr">
        <is>
          <t>ART_006</t>
        </is>
      </c>
      <c r="B54" s="38" t="inlineStr">
        <is>
          <t>ART_006_S07</t>
        </is>
      </c>
      <c r="C54" s="38" t="inlineStr">
        <is>
          <t>El Tiempo</t>
        </is>
      </c>
      <c r="D54" s="38" t="inlineStr">
        <is>
          <t>Reformas sociales en disputa (pensional/tributaria)</t>
        </is>
      </c>
      <c r="E54" s="38" t="inlineStr">
        <is>
          <t>Noticia dura</t>
        </is>
      </c>
      <c r="F54" s="38" t="inlineStr">
        <is>
          <t>2026-09-04T15:12:57-05:00</t>
        </is>
      </c>
      <c r="G54" s="62" t="inlineStr">
        <is>
          <t>Ni siquiera las reformas de mayor peso político logran cerrar ese ciclo con rapidez.</t>
        </is>
      </c>
      <c r="H54" s="62" t="inlineStr">
        <is>
          <t>El resto se repartió entre el archivo (2.435 proyectos, 61 %), el retiro por parte de sus propios autores (279) y un limbo de trámite sin resolver (724).</t>
        </is>
      </c>
      <c r="I54" s="62" t="inlineStr">
        <is>
          <t>La reforma pensional del gobierno Petro, radicada hace tres años, todavía no tiene la última palabra: la Corte Constitucional devolvió nueve de sus artículos a la Cámara de Representantes para que se subsanen vicios de procedimiento.</t>
        </is>
      </c>
      <c r="J54" s="38" t="n"/>
      <c r="K54" s="62" t="n"/>
      <c r="L54" s="38" t="n"/>
      <c r="M54" s="62" t="n"/>
      <c r="N54" s="38" t="n"/>
      <c r="O54" s="62" t="n"/>
      <c r="P54" s="38" t="n"/>
      <c r="Q54" s="62" t="n"/>
      <c r="R54" s="38" t="n"/>
      <c r="S54" s="62" t="n"/>
      <c r="T54" s="38" t="n"/>
      <c r="U54" s="62" t="n"/>
      <c r="V54" s="38" t="n"/>
      <c r="W54" s="62" t="n"/>
      <c r="X54" s="38" t="n"/>
      <c r="Y54" s="62" t="n"/>
      <c r="Z54" s="38" t="n"/>
      <c r="AA54" s="62" t="n"/>
      <c r="AB54" s="38" t="n"/>
      <c r="AC54" s="62" t="n"/>
      <c r="AD54" s="38" t="n"/>
      <c r="AE54" s="38" t="n"/>
      <c r="AF54" s="61">
        <f>IF(COUNTIF($B$5:B54,B54)=1,1,0)</f>
        <v/>
      </c>
      <c r="AG54" s="62" t="inlineStr">
        <is>
          <t>https://www.eltiempo.com/politica/congreso/en-los-ultimos-ocho-anos-solo-se-aprobo-uno-de-cada-siete-proyectos-de-ley-en-el-congreso-lo-que-revelan-las-cifras-3583664</t>
        </is>
      </c>
    </row>
    <row r="55" ht="15" customHeight="1" s="31">
      <c r="A55" s="38" t="inlineStr">
        <is>
          <t>ART_006</t>
        </is>
      </c>
      <c r="B55" s="38" t="inlineStr">
        <is>
          <t>ART_006_S08</t>
        </is>
      </c>
      <c r="C55" s="38" t="inlineStr">
        <is>
          <t>El Tiempo</t>
        </is>
      </c>
      <c r="D55" s="38" t="inlineStr">
        <is>
          <t>Reformas sociales en disputa (pensional/tributaria)</t>
        </is>
      </c>
      <c r="E55" s="38" t="inlineStr">
        <is>
          <t>Noticia dura</t>
        </is>
      </c>
      <c r="F55" s="38" t="inlineStr">
        <is>
          <t>2026-09-04T15:12:57-05:00</t>
        </is>
      </c>
      <c r="G55" s="62" t="inlineStr">
        <is>
          <t>La reforma pensional del gobierno Petro, radicada hace tres años, todavía no tiene la última palabra: la Corte Constitucional devolvió nueve de sus artículos a la Cámara de Representantes para que se subsanen vicios de procedimiento.</t>
        </is>
      </c>
      <c r="H55" s="62" t="inlineStr">
        <is>
          <t>Ni siquiera las reformas de mayor peso político logran cerrar ese ciclo con rapidez.</t>
        </is>
      </c>
      <c r="I55" s="62" t="inlineStr">
        <is>
          <t>Ni aprobada del todo ni hundida, sigue en una zona gris que resulta más habitual de lo que parece.</t>
        </is>
      </c>
      <c r="J55" s="38" t="n"/>
      <c r="K55" s="62" t="n"/>
      <c r="L55" s="38" t="n"/>
      <c r="M55" s="62" t="n"/>
      <c r="N55" s="38" t="n"/>
      <c r="O55" s="62" t="n"/>
      <c r="P55" s="38" t="n"/>
      <c r="Q55" s="62" t="n"/>
      <c r="R55" s="38" t="n"/>
      <c r="S55" s="62" t="n"/>
      <c r="T55" s="38" t="n"/>
      <c r="U55" s="62" t="n"/>
      <c r="V55" s="38" t="n"/>
      <c r="W55" s="62" t="n"/>
      <c r="X55" s="38" t="n"/>
      <c r="Y55" s="62" t="n"/>
      <c r="Z55" s="38" t="n"/>
      <c r="AA55" s="62" t="n"/>
      <c r="AB55" s="38" t="n"/>
      <c r="AC55" s="62" t="n"/>
      <c r="AD55" s="38" t="n"/>
      <c r="AE55" s="38" t="n"/>
      <c r="AF55" s="61">
        <f>IF(COUNTIF($B$5:B55,B55)=1,1,0)</f>
        <v/>
      </c>
      <c r="AG55" s="62" t="inlineStr">
        <is>
          <t>https://www.eltiempo.com/politica/congreso/en-los-ultimos-ocho-anos-solo-se-aprobo-uno-de-cada-siete-proyectos-de-ley-en-el-congreso-lo-que-revelan-las-cifras-3583664</t>
        </is>
      </c>
    </row>
    <row r="56" ht="15" customHeight="1" s="31">
      <c r="A56" s="38" t="inlineStr">
        <is>
          <t>ART_006</t>
        </is>
      </c>
      <c r="B56" s="38" t="inlineStr">
        <is>
          <t>ART_006_S09</t>
        </is>
      </c>
      <c r="C56" s="38" t="inlineStr">
        <is>
          <t>El Tiempo</t>
        </is>
      </c>
      <c r="D56" s="38" t="inlineStr">
        <is>
          <t>Reformas sociales en disputa (pensional/tributaria)</t>
        </is>
      </c>
      <c r="E56" s="38" t="inlineStr">
        <is>
          <t>Noticia dura</t>
        </is>
      </c>
      <c r="F56" s="38" t="inlineStr">
        <is>
          <t>2026-09-04T15:12:57-05:00</t>
        </is>
      </c>
      <c r="G56" s="62" t="inlineStr">
        <is>
          <t>Ni aprobada del todo ni hundida, sigue en una zona gris que resulta más habitual de lo que parece.</t>
        </is>
      </c>
      <c r="H56" s="62" t="inlineStr">
        <is>
          <t>La reforma pensional del gobierno Petro, radicada hace tres años, todavía no tiene la última palabra: la Corte Constitucional devolvió nueve de sus artículos a la Cámara de Representantes para que se subsanen vicios de procedimiento.</t>
        </is>
      </c>
      <c r="I56" s="62" t="inlineStr">
        <is>
          <t>El Congreso 2018-2022, con una mayoría de centroderecha, cerró con una tasa de aprobación acumulada de 15,9 % (302 leyes de 1.900 proyectos).</t>
        </is>
      </c>
      <c r="J56" s="38" t="n"/>
      <c r="K56" s="62" t="n"/>
      <c r="L56" s="38" t="n"/>
      <c r="M56" s="62" t="n"/>
      <c r="N56" s="38" t="n"/>
      <c r="O56" s="62" t="n"/>
      <c r="P56" s="38" t="n"/>
      <c r="Q56" s="62" t="n"/>
      <c r="R56" s="38" t="n"/>
      <c r="S56" s="62" t="n"/>
      <c r="T56" s="38" t="n"/>
      <c r="U56" s="62" t="n"/>
      <c r="V56" s="38" t="n"/>
      <c r="W56" s="62" t="n"/>
      <c r="X56" s="38" t="n"/>
      <c r="Y56" s="62" t="n"/>
      <c r="Z56" s="38" t="n"/>
      <c r="AA56" s="62" t="n"/>
      <c r="AB56" s="38" t="n"/>
      <c r="AC56" s="62" t="n"/>
      <c r="AD56" s="38" t="n"/>
      <c r="AE56" s="38" t="n"/>
      <c r="AF56" s="61">
        <f>IF(COUNTIF($B$5:B56,B56)=1,1,0)</f>
        <v/>
      </c>
      <c r="AG56" s="62" t="inlineStr">
        <is>
          <t>https://www.eltiempo.com/politica/congreso/en-los-ultimos-ocho-anos-solo-se-aprobo-uno-de-cada-siete-proyectos-de-ley-en-el-congreso-lo-que-revelan-las-cifras-3583664</t>
        </is>
      </c>
    </row>
    <row r="57" ht="15" customHeight="1" s="31">
      <c r="A57" s="38" t="inlineStr">
        <is>
          <t>ART_006</t>
        </is>
      </c>
      <c r="B57" s="38" t="inlineStr">
        <is>
          <t>ART_006_S10</t>
        </is>
      </c>
      <c r="C57" s="38" t="inlineStr">
        <is>
          <t>El Tiempo</t>
        </is>
      </c>
      <c r="D57" s="38" t="inlineStr">
        <is>
          <t>Reformas sociales en disputa (pensional/tributaria)</t>
        </is>
      </c>
      <c r="E57" s="38" t="inlineStr">
        <is>
          <t>Noticia dura</t>
        </is>
      </c>
      <c r="F57" s="38" t="inlineStr">
        <is>
          <t>2026-09-04T15:12:57-05:00</t>
        </is>
      </c>
      <c r="G57" s="62" t="inlineStr">
        <is>
          <t>El Congreso 2018-2022, con una mayoría de centroderecha, cerró con una tasa de aprobación acumulada de 15,9 % (302 leyes de 1.900 proyectos).</t>
        </is>
      </c>
      <c r="H57" s="62" t="inlineStr">
        <is>
          <t>Ni aprobada del todo ni hundida, sigue en una zona gris que resulta más habitual de lo que parece.</t>
        </is>
      </c>
      <c r="I57" s="62" t="inlineStr">
        <is>
          <t>El Congreso 2022-2026, donde las fuerzas de izquierda tomaron mayor protagonismo, cerró en 12,5 % (264 de 2.104).</t>
        </is>
      </c>
      <c r="J57" s="38" t="n"/>
      <c r="K57" s="62" t="n"/>
      <c r="L57" s="38" t="n"/>
      <c r="M57" s="62" t="n"/>
      <c r="N57" s="38" t="n"/>
      <c r="O57" s="62" t="n"/>
      <c r="P57" s="38" t="n"/>
      <c r="Q57" s="62" t="n"/>
      <c r="R57" s="38" t="n"/>
      <c r="S57" s="62" t="n"/>
      <c r="T57" s="38" t="n"/>
      <c r="U57" s="62" t="n"/>
      <c r="V57" s="38" t="n"/>
      <c r="W57" s="62" t="n"/>
      <c r="X57" s="38" t="n"/>
      <c r="Y57" s="62" t="n"/>
      <c r="Z57" s="38" t="n"/>
      <c r="AA57" s="62" t="n"/>
      <c r="AB57" s="38" t="n"/>
      <c r="AC57" s="62" t="n"/>
      <c r="AD57" s="38" t="n"/>
      <c r="AE57" s="38" t="n"/>
      <c r="AF57" s="61">
        <f>IF(COUNTIF($B$5:B57,B57)=1,1,0)</f>
        <v/>
      </c>
      <c r="AG57" s="62" t="inlineStr">
        <is>
          <t>https://www.eltiempo.com/politica/congreso/en-los-ultimos-ocho-anos-solo-se-aprobo-uno-de-cada-siete-proyectos-de-ley-en-el-congreso-lo-que-revelan-las-cifras-3583664</t>
        </is>
      </c>
    </row>
    <row r="58" ht="15" customHeight="1" s="31">
      <c r="A58" s="38" t="inlineStr">
        <is>
          <t>ART_006</t>
        </is>
      </c>
      <c r="B58" s="38" t="inlineStr">
        <is>
          <t>ART_006_S11</t>
        </is>
      </c>
      <c r="C58" s="38" t="inlineStr">
        <is>
          <t>El Tiempo</t>
        </is>
      </c>
      <c r="D58" s="38" t="inlineStr">
        <is>
          <t>Reformas sociales en disputa (pensional/tributaria)</t>
        </is>
      </c>
      <c r="E58" s="38" t="inlineStr">
        <is>
          <t>Noticia dura</t>
        </is>
      </c>
      <c r="F58" s="38" t="inlineStr">
        <is>
          <t>2026-09-04T15:12:57-05:00</t>
        </is>
      </c>
      <c r="G58" s="62" t="inlineStr">
        <is>
          <t>El Congreso 2022-2026, donde las fuerzas de izquierda tomaron mayor protagonismo, cerró en 12,5 % (264 de 2.104).</t>
        </is>
      </c>
      <c r="H58" s="62" t="inlineStr">
        <is>
          <t>El Congreso 2018-2022, con una mayoría de centroderecha, cerró con una tasa de aprobación acumulada de 15,9 % (302 leyes de 1.900 proyectos).</t>
        </is>
      </c>
      <c r="I58" s="62" t="inlineStr">
        <is>
          <t>Pero el promedio esconde una trayectoria más interesante: entre 2018 y 2022 la tasa sube casi sin pausa, de 12,4 % en 2018-2019 a 18,5 % en 2020-2021, y cierra en 16,3 %.</t>
        </is>
      </c>
      <c r="J58" s="38" t="n"/>
      <c r="K58" s="62" t="n"/>
      <c r="L58" s="38" t="n"/>
      <c r="M58" s="62" t="n"/>
      <c r="N58" s="38" t="n"/>
      <c r="O58" s="62" t="n"/>
      <c r="P58" s="38" t="n"/>
      <c r="Q58" s="62" t="n"/>
      <c r="R58" s="38" t="n"/>
      <c r="S58" s="62" t="n"/>
      <c r="T58" s="38" t="n"/>
      <c r="U58" s="62" t="n"/>
      <c r="V58" s="38" t="n"/>
      <c r="W58" s="62" t="n"/>
      <c r="X58" s="38" t="n"/>
      <c r="Y58" s="62" t="n"/>
      <c r="Z58" s="38" t="n"/>
      <c r="AA58" s="62" t="n"/>
      <c r="AB58" s="38" t="n"/>
      <c r="AC58" s="62" t="n"/>
      <c r="AD58" s="38" t="n"/>
      <c r="AE58" s="38" t="n"/>
      <c r="AF58" s="61">
        <f>IF(COUNTIF($B$5:B58,B58)=1,1,0)</f>
        <v/>
      </c>
      <c r="AG58" s="62" t="inlineStr">
        <is>
          <t>https://www.eltiempo.com/politica/congreso/en-los-ultimos-ocho-anos-solo-se-aprobo-uno-de-cada-siete-proyectos-de-ley-en-el-congreso-lo-que-revelan-las-cifras-3583664</t>
        </is>
      </c>
    </row>
    <row r="59" ht="15" customHeight="1" s="31">
      <c r="A59" s="38" t="inlineStr">
        <is>
          <t>ART_006</t>
        </is>
      </c>
      <c r="B59" s="38" t="inlineStr">
        <is>
          <t>ART_006_S12</t>
        </is>
      </c>
      <c r="C59" s="38" t="inlineStr">
        <is>
          <t>El Tiempo</t>
        </is>
      </c>
      <c r="D59" s="38" t="inlineStr">
        <is>
          <t>Reformas sociales en disputa (pensional/tributaria)</t>
        </is>
      </c>
      <c r="E59" s="38" t="inlineStr">
        <is>
          <t>Noticia dura</t>
        </is>
      </c>
      <c r="F59" s="38" t="inlineStr">
        <is>
          <t>2026-09-04T15:12:57-05:00</t>
        </is>
      </c>
      <c r="G59" s="62" t="inlineStr">
        <is>
          <t>Pero el promedio esconde una trayectoria más interesante: entre 2018 y 2022 la tasa sube casi sin pausa, de 12,4 % en 2018-2019 a 18,5 % en 2020-2021, y cierra en 16,3 %.</t>
        </is>
      </c>
      <c r="H59" s="62" t="inlineStr">
        <is>
          <t>El Congreso 2022-2026, donde las fuerzas de izquierda tomaron mayor protagonismo, cerró en 12,5 % (264 de 2.104).</t>
        </is>
      </c>
      <c r="I59" s="62" t="n"/>
      <c r="J59" s="38" t="n"/>
      <c r="K59" s="62" t="n"/>
      <c r="L59" s="38" t="n"/>
      <c r="M59" s="62" t="n"/>
      <c r="N59" s="38" t="n"/>
      <c r="O59" s="62" t="n"/>
      <c r="P59" s="38" t="n"/>
      <c r="Q59" s="62" t="n"/>
      <c r="R59" s="38" t="n"/>
      <c r="S59" s="62" t="n"/>
      <c r="T59" s="38" t="n"/>
      <c r="U59" s="62" t="n"/>
      <c r="V59" s="38" t="n"/>
      <c r="W59" s="62" t="n"/>
      <c r="X59" s="38" t="n"/>
      <c r="Y59" s="62" t="n"/>
      <c r="Z59" s="38" t="n"/>
      <c r="AA59" s="62" t="n"/>
      <c r="AB59" s="38" t="n"/>
      <c r="AC59" s="62" t="n"/>
      <c r="AD59" s="38" t="n"/>
      <c r="AE59" s="38" t="n"/>
      <c r="AF59" s="61">
        <f>IF(COUNTIF($B$5:B59,B59)=1,1,0)</f>
        <v/>
      </c>
      <c r="AG59" s="62" t="inlineStr">
        <is>
          <t>https://www.eltiempo.com/politica/congreso/en-los-ultimos-ocho-anos-solo-se-aprobo-uno-de-cada-siete-proyectos-de-ley-en-el-congreso-lo-que-revelan-las-cifras-3583664</t>
        </is>
      </c>
    </row>
    <row r="60" ht="15" customHeight="1" s="31">
      <c r="A60" s="38" t="inlineStr">
        <is>
          <t>ART_007</t>
        </is>
      </c>
      <c r="B60" s="38" t="inlineStr">
        <is>
          <t>ART_007_S01</t>
        </is>
      </c>
      <c r="C60" s="38" t="inlineStr">
        <is>
          <t>El Tiempo</t>
        </is>
      </c>
      <c r="D60" s="38" t="inlineStr">
        <is>
          <t>Transición de gobierno y relación con la oposición</t>
        </is>
      </c>
      <c r="E60" s="38" t="inlineStr">
        <is>
          <t>Noticia dura</t>
        </is>
      </c>
      <c r="F60" s="38" t="inlineStr">
        <is>
          <t>2026-09-04T10:51:14-05:00</t>
        </is>
      </c>
      <c r="G60" s="62" t="inlineStr">
        <is>
          <t>El presidente Abelardo De La Espriella y su cúpula militar confirmaron en Riohacha la muerte de Naín Andrés Pérez Toncel, alias 'Bendito menor', señalado cabecilla de las Autodefensas Conquistadoras de la Sierra Nevada, durante un operativo de la Policía denominado 'Centinela de la patria'.</t>
        </is>
      </c>
      <c r="H60" s="62" t="n"/>
      <c r="I60" s="62" t="inlineStr">
        <is>
          <t>Según detalló el mandatario, junto al cabecilla de las Acsn también murieron su pareja, Rosa Angélica Tarazona, alias ‘La Bebecita’, y dos escoltas.</t>
        </is>
      </c>
      <c r="J60" s="38" t="n"/>
      <c r="K60" s="62" t="n"/>
      <c r="L60" s="38" t="n"/>
      <c r="M60" s="62" t="n"/>
      <c r="N60" s="38" t="n"/>
      <c r="O60" s="62" t="n"/>
      <c r="P60" s="38" t="n"/>
      <c r="Q60" s="62" t="n"/>
      <c r="R60" s="38" t="n"/>
      <c r="S60" s="62" t="n"/>
      <c r="T60" s="38" t="n"/>
      <c r="U60" s="62" t="n"/>
      <c r="V60" s="38" t="n"/>
      <c r="W60" s="62" t="n"/>
      <c r="X60" s="38" t="n"/>
      <c r="Y60" s="62" t="n"/>
      <c r="Z60" s="38" t="n"/>
      <c r="AA60" s="62" t="n"/>
      <c r="AB60" s="38" t="n"/>
      <c r="AC60" s="62" t="n"/>
      <c r="AD60" s="38" t="n"/>
      <c r="AE60" s="38" t="n"/>
      <c r="AF60" s="61">
        <f>IF(COUNTIF($B$5:B60,B60)=1,1,0)</f>
        <v/>
      </c>
      <c r="AG60" s="62" t="inlineStr">
        <is>
          <t>https://www.eltiempo.com/politica/abelardo-de-la-espriella/presidente-abelardo-de-la-espriella-y-su-contundente-frase-tras-la-muerte-de-bendito-menor-este-miserable-ahora-esta-a-buen-recaudo-del-infierno-3583557</t>
        </is>
      </c>
    </row>
    <row r="61" ht="15" customHeight="1" s="31">
      <c r="A61" s="38" t="inlineStr">
        <is>
          <t>ART_007</t>
        </is>
      </c>
      <c r="B61" s="38" t="inlineStr">
        <is>
          <t>ART_007_S02</t>
        </is>
      </c>
      <c r="C61" s="38" t="inlineStr">
        <is>
          <t>El Tiempo</t>
        </is>
      </c>
      <c r="D61" s="38" t="inlineStr">
        <is>
          <t>Transición de gobierno y relación con la oposición</t>
        </is>
      </c>
      <c r="E61" s="38" t="inlineStr">
        <is>
          <t>Noticia dura</t>
        </is>
      </c>
      <c r="F61" s="38" t="inlineStr">
        <is>
          <t>2026-09-04T10:51:14-05:00</t>
        </is>
      </c>
      <c r="G61" s="62" t="inlineStr">
        <is>
          <t>Según detalló el mandatario, junto al cabecilla de las Acsn también murieron su pareja, Rosa Angélica Tarazona, alias ‘La Bebecita’, y dos escoltas.</t>
        </is>
      </c>
      <c r="H61" s="62" t="inlineStr">
        <is>
          <t>El presidente Abelardo De La Espriella y su cúpula militar confirmaron en Riohacha la muerte de Naín Andrés Pérez Toncel, alias 'Bendito menor', señalado cabecilla de las Autodefensas Conquistadoras de la Sierra Nevada, durante un operativo de la Policía denominado 'Centinela de la patria'.</t>
        </is>
      </c>
      <c r="I61" s="62" t="n"/>
      <c r="J61" s="38" t="n"/>
      <c r="K61" s="62" t="n"/>
      <c r="L61" s="38" t="n"/>
      <c r="M61" s="62" t="n"/>
      <c r="N61" s="38" t="n"/>
      <c r="O61" s="62" t="n"/>
      <c r="P61" s="38" t="n"/>
      <c r="Q61" s="62" t="n"/>
      <c r="R61" s="38" t="n"/>
      <c r="S61" s="62" t="n"/>
      <c r="T61" s="38" t="n"/>
      <c r="U61" s="62" t="n"/>
      <c r="V61" s="38" t="n"/>
      <c r="W61" s="62" t="n"/>
      <c r="X61" s="38" t="n"/>
      <c r="Y61" s="62" t="n"/>
      <c r="Z61" s="38" t="n"/>
      <c r="AA61" s="62" t="n"/>
      <c r="AB61" s="38" t="n"/>
      <c r="AC61" s="62" t="n"/>
      <c r="AD61" s="38" t="n"/>
      <c r="AE61" s="38" t="n"/>
      <c r="AF61" s="61">
        <f>IF(COUNTIF($B$5:B61,B61)=1,1,0)</f>
        <v/>
      </c>
      <c r="AG61" s="62" t="inlineStr">
        <is>
          <t>https://www.eltiempo.com/politica/abelardo-de-la-espriella/presidente-abelardo-de-la-espriella-y-su-contundente-frase-tras-la-muerte-de-bendito-menor-este-miserable-ahora-esta-a-buen-recaudo-del-infierno-3583557</t>
        </is>
      </c>
    </row>
    <row r="62" ht="15" customHeight="1" s="31">
      <c r="A62" s="38" t="inlineStr">
        <is>
          <t>ART_008</t>
        </is>
      </c>
      <c r="B62" s="38" t="inlineStr">
        <is>
          <t>ART_008_S01</t>
        </is>
      </c>
      <c r="C62" s="38" t="inlineStr">
        <is>
          <t>El Tiempo</t>
        </is>
      </c>
      <c r="D62" s="38" t="inlineStr">
        <is>
          <t>Seguridad y orden público</t>
        </is>
      </c>
      <c r="E62" s="38" t="inlineStr">
        <is>
          <t>Noticia dura</t>
        </is>
      </c>
      <c r="F62" s="38" t="inlineStr">
        <is>
          <t>2026-09-04T07:42:18-05:00</t>
        </is>
      </c>
      <c r="G62" s="62" t="inlineStr">
        <is>
          <t>Camilo González Posso presenció por dentro y por fuera los tropiezos de la 'paz total'.</t>
        </is>
      </c>
      <c r="H62" s="62" t="n"/>
      <c r="I62" s="62" t="inlineStr">
        <is>
          <t>A mediados de 2023, el entonces gobierno de Gustavo Petro lo nombró negociador ante las disidencias de las Farc que se encontraban agrupadas bajo el nombre del Estado Mayor Central y, posteriormente, cuando esta estructura se dividió, continuó al frente de las conversaciones con el Estado Mayor de Bloques y Frentes, bajo el mando de ‘Calarcá’, hasta que renunció en junio de 2025.</t>
        </is>
      </c>
      <c r="J62" s="38" t="n"/>
      <c r="K62" s="62" t="n"/>
      <c r="L62" s="38" t="n"/>
      <c r="M62" s="62" t="n"/>
      <c r="N62" s="38" t="n"/>
      <c r="O62" s="62" t="n"/>
      <c r="P62" s="38" t="n"/>
      <c r="Q62" s="62" t="n"/>
      <c r="R62" s="38" t="n"/>
      <c r="S62" s="62" t="n"/>
      <c r="T62" s="38" t="n"/>
      <c r="U62" s="62" t="n"/>
      <c r="V62" s="38" t="n"/>
      <c r="W62" s="62" t="n"/>
      <c r="X62" s="38" t="n"/>
      <c r="Y62" s="62" t="n"/>
      <c r="Z62" s="38" t="n"/>
      <c r="AA62" s="62" t="n"/>
      <c r="AB62" s="38" t="n"/>
      <c r="AC62" s="62" t="n"/>
      <c r="AD62" s="38" t="n"/>
      <c r="AE62" s="38" t="n"/>
      <c r="AF62" s="61">
        <f>IF(COUNTIF($B$5:B62,B62)=1,1,0)</f>
        <v/>
      </c>
      <c r="AG62" s="62" t="inlineStr">
        <is>
          <t>https://www.eltiempo.com/politica/proceso-de-paz/calarca-priorizo-la-guerra-con-mordisco-a-cualquier-posibilidad-de-paz-tropezamos-con-nuestras-propias-ilusiones-camilo-gonzalez-posso-3583506</t>
        </is>
      </c>
    </row>
    <row r="63" ht="15" customHeight="1" s="31">
      <c r="A63" s="38" t="inlineStr">
        <is>
          <t>ART_008</t>
        </is>
      </c>
      <c r="B63" s="38" t="inlineStr">
        <is>
          <t>ART_008_S02</t>
        </is>
      </c>
      <c r="C63" s="38" t="inlineStr">
        <is>
          <t>El Tiempo</t>
        </is>
      </c>
      <c r="D63" s="38" t="inlineStr">
        <is>
          <t>Seguridad y orden público</t>
        </is>
      </c>
      <c r="E63" s="38" t="inlineStr">
        <is>
          <t>Noticia dura</t>
        </is>
      </c>
      <c r="F63" s="38" t="inlineStr">
        <is>
          <t>2026-09-04T07:42:18-05:00</t>
        </is>
      </c>
      <c r="G63" s="62" t="inlineStr">
        <is>
          <t>A mediados de 2023, el entonces gobierno de Gustavo Petro lo nombró negociador ante las disidencias de las Farc que se encontraban agrupadas bajo el nombre del Estado Mayor Central y, posteriormente, cuando esta estructura se dividió, continuó al frente de las conversaciones con el Estado Mayor de Bloques y Frentes, bajo el mando de ‘Calarcá’, hasta que renunció en junio de 2025.</t>
        </is>
      </c>
      <c r="H63" s="62" t="inlineStr">
        <is>
          <t>Camilo González Posso presenció por dentro y por fuera los tropiezos de la 'paz total'.</t>
        </is>
      </c>
      <c r="I63" s="62" t="inlineStr">
        <is>
          <t>Bajo su coordinación se lograron acuerdos como el cese bilateral del fuego -que se extendió por 18 meses-, la instalación formal de la mesa y una agenda enfocada en las transformaciones territoriales.</t>
        </is>
      </c>
      <c r="J63" s="38" t="n"/>
      <c r="K63" s="62" t="n"/>
      <c r="L63" s="38" t="n"/>
      <c r="M63" s="62" t="n"/>
      <c r="N63" s="38" t="n"/>
      <c r="O63" s="62" t="n"/>
      <c r="P63" s="38" t="n"/>
      <c r="Q63" s="62" t="n"/>
      <c r="R63" s="38" t="n"/>
      <c r="S63" s="62" t="n"/>
      <c r="T63" s="38" t="n"/>
      <c r="U63" s="62" t="n"/>
      <c r="V63" s="38" t="n"/>
      <c r="W63" s="62" t="n"/>
      <c r="X63" s="38" t="n"/>
      <c r="Y63" s="62" t="n"/>
      <c r="Z63" s="38" t="n"/>
      <c r="AA63" s="62" t="n"/>
      <c r="AB63" s="38" t="n"/>
      <c r="AC63" s="62" t="n"/>
      <c r="AD63" s="38" t="n"/>
      <c r="AE63" s="38" t="n"/>
      <c r="AF63" s="61">
        <f>IF(COUNTIF($B$5:B63,B63)=1,1,0)</f>
        <v/>
      </c>
      <c r="AG63" s="62" t="inlineStr">
        <is>
          <t>https://www.eltiempo.com/politica/proceso-de-paz/calarca-priorizo-la-guerra-con-mordisco-a-cualquier-posibilidad-de-paz-tropezamos-con-nuestras-propias-ilusiones-camilo-gonzalez-posso-3583506</t>
        </is>
      </c>
    </row>
    <row r="64" ht="15" customHeight="1" s="31">
      <c r="A64" s="38" t="inlineStr">
        <is>
          <t>ART_008</t>
        </is>
      </c>
      <c r="B64" s="38" t="inlineStr">
        <is>
          <t>ART_008_S03</t>
        </is>
      </c>
      <c r="C64" s="38" t="inlineStr">
        <is>
          <t>El Tiempo</t>
        </is>
      </c>
      <c r="D64" s="38" t="inlineStr">
        <is>
          <t>Seguridad y orden público</t>
        </is>
      </c>
      <c r="E64" s="38" t="inlineStr">
        <is>
          <t>Noticia dura</t>
        </is>
      </c>
      <c r="F64" s="38" t="inlineStr">
        <is>
          <t>2026-09-04T07:42:18-05:00</t>
        </is>
      </c>
      <c r="G64" s="62" t="inlineStr">
        <is>
          <t>Bajo su coordinación se lograron acuerdos como el cese bilateral del fuego -que se extendió por 18 meses-, la instalación formal de la mesa y una agenda enfocada en las transformaciones territoriales.</t>
        </is>
      </c>
      <c r="H64" s="62" t="inlineStr">
        <is>
          <t>A mediados de 2023, el entonces gobierno de Gustavo Petro lo nombró negociador ante las disidencias de las Farc que se encontraban agrupadas bajo el nombre del Estado Mayor Central y, posteriormente, cuando esta estructura se dividió, continuó al frente de las conversaciones con el Estado Mayor de Bloques y Frentes, bajo el mando de ‘Calarcá’, hasta que renunció en junio de 2025.</t>
        </is>
      </c>
      <c r="I64" s="62" t="inlineStr">
        <is>
          <t>También fue testigo de la fragmentación interna de las disidencias, ocurrida después de la ofensiva armada en la que fue asesinada la lideresa indígena Carmelita Yule Paví.</t>
        </is>
      </c>
      <c r="J64" s="38" t="n"/>
      <c r="K64" s="62" t="n"/>
      <c r="L64" s="38" t="n"/>
      <c r="M64" s="62" t="n"/>
      <c r="N64" s="38" t="n"/>
      <c r="O64" s="62" t="n"/>
      <c r="P64" s="38" t="n"/>
      <c r="Q64" s="62" t="n"/>
      <c r="R64" s="38" t="n"/>
      <c r="S64" s="62" t="n"/>
      <c r="T64" s="38" t="n"/>
      <c r="U64" s="62" t="n"/>
      <c r="V64" s="38" t="n"/>
      <c r="W64" s="62" t="n"/>
      <c r="X64" s="38" t="n"/>
      <c r="Y64" s="62" t="n"/>
      <c r="Z64" s="38" t="n"/>
      <c r="AA64" s="62" t="n"/>
      <c r="AB64" s="38" t="n"/>
      <c r="AC64" s="62" t="n"/>
      <c r="AD64" s="38" t="n"/>
      <c r="AE64" s="38" t="n"/>
      <c r="AF64" s="61">
        <f>IF(COUNTIF($B$5:B64,B64)=1,1,0)</f>
        <v/>
      </c>
      <c r="AG64" s="62" t="inlineStr">
        <is>
          <t>https://www.eltiempo.com/politica/proceso-de-paz/calarca-priorizo-la-guerra-con-mordisco-a-cualquier-posibilidad-de-paz-tropezamos-con-nuestras-propias-ilusiones-camilo-gonzalez-posso-3583506</t>
        </is>
      </c>
    </row>
    <row r="65" ht="15" customHeight="1" s="31">
      <c r="A65" s="38" t="inlineStr">
        <is>
          <t>ART_008</t>
        </is>
      </c>
      <c r="B65" s="38" t="inlineStr">
        <is>
          <t>ART_008_S04</t>
        </is>
      </c>
      <c r="C65" s="38" t="inlineStr">
        <is>
          <t>El Tiempo</t>
        </is>
      </c>
      <c r="D65" s="38" t="inlineStr">
        <is>
          <t>Seguridad y orden público</t>
        </is>
      </c>
      <c r="E65" s="38" t="inlineStr">
        <is>
          <t>Noticia dura</t>
        </is>
      </c>
      <c r="F65" s="38" t="inlineStr">
        <is>
          <t>2026-09-04T07:42:18-05:00</t>
        </is>
      </c>
      <c r="G65" s="62" t="inlineStr">
        <is>
          <t>También fue testigo de la fragmentación interna de las disidencias, ocurrida después de la ofensiva armada en la que fue asesinada la lideresa indígena Carmelita Yule Paví.</t>
        </is>
      </c>
      <c r="H65" s="62" t="inlineStr">
        <is>
          <t>Bajo su coordinación se lograron acuerdos como el cese bilateral del fuego -que se extendió por 18 meses-, la instalación formal de la mesa y una agenda enfocada en las transformaciones territoriales.</t>
        </is>
      </c>
      <c r="I65" s="62" t="inlineStr">
        <is>
          <t>Luego de renunciar, tras señalar que su salida obedeció a un cambio en las condiciones de la negociación, regresó a la dirección del Instituto de Estudios para el Desarrollo y la Paz (Indepaz).</t>
        </is>
      </c>
      <c r="J65" s="38" t="n"/>
      <c r="K65" s="62" t="n"/>
      <c r="L65" s="38" t="n"/>
      <c r="M65" s="62" t="n"/>
      <c r="N65" s="38" t="n"/>
      <c r="O65" s="62" t="n"/>
      <c r="P65" s="38" t="n"/>
      <c r="Q65" s="62" t="n"/>
      <c r="R65" s="38" t="n"/>
      <c r="S65" s="62" t="n"/>
      <c r="T65" s="38" t="n"/>
      <c r="U65" s="62" t="n"/>
      <c r="V65" s="38" t="n"/>
      <c r="W65" s="62" t="n"/>
      <c r="X65" s="38" t="n"/>
      <c r="Y65" s="62" t="n"/>
      <c r="Z65" s="38" t="n"/>
      <c r="AA65" s="62" t="n"/>
      <c r="AB65" s="38" t="n"/>
      <c r="AC65" s="62" t="n"/>
      <c r="AD65" s="38" t="n"/>
      <c r="AE65" s="38" t="n"/>
      <c r="AF65" s="61">
        <f>IF(COUNTIF($B$5:B65,B65)=1,1,0)</f>
        <v/>
      </c>
      <c r="AG65" s="62" t="inlineStr">
        <is>
          <t>https://www.eltiempo.com/politica/proceso-de-paz/calarca-priorizo-la-guerra-con-mordisco-a-cualquier-posibilidad-de-paz-tropezamos-con-nuestras-propias-ilusiones-camilo-gonzalez-posso-3583506</t>
        </is>
      </c>
    </row>
    <row r="66" ht="15" customHeight="1" s="31">
      <c r="A66" s="38" t="inlineStr">
        <is>
          <t>ART_008</t>
        </is>
      </c>
      <c r="B66" s="38" t="inlineStr">
        <is>
          <t>ART_008_S05</t>
        </is>
      </c>
      <c r="C66" s="38" t="inlineStr">
        <is>
          <t>El Tiempo</t>
        </is>
      </c>
      <c r="D66" s="38" t="inlineStr">
        <is>
          <t>Seguridad y orden público</t>
        </is>
      </c>
      <c r="E66" s="38" t="inlineStr">
        <is>
          <t>Noticia dura</t>
        </is>
      </c>
      <c r="F66" s="38" t="inlineStr">
        <is>
          <t>2026-09-04T07:42:18-05:00</t>
        </is>
      </c>
      <c r="G66" s="62" t="inlineStr">
        <is>
          <t>Luego de renunciar, tras señalar que su salida obedeció a un cambio en las condiciones de la negociación, regresó a la dirección del Instituto de Estudios para el Desarrollo y la Paz (Indepaz).</t>
        </is>
      </c>
      <c r="H66" s="62" t="inlineStr">
        <is>
          <t>También fue testigo de la fragmentación interna de las disidencias, ocurrida después de la ofensiva armada en la que fue asesinada la lideresa indígena Carmelita Yule Paví.</t>
        </is>
      </c>
      <c r="I66" s="62" t="inlineStr">
        <is>
          <t>En diálogo con EL TIEMPO, el exnegociador del Gobierno analizó los fallos de la política de paz de la anterior administración y el desmonte que de esta adelanta hoy el presidente Abelardo De La Espriella.</t>
        </is>
      </c>
      <c r="J66" s="38" t="n"/>
      <c r="K66" s="62" t="n"/>
      <c r="L66" s="38" t="n"/>
      <c r="M66" s="62" t="n"/>
      <c r="N66" s="38" t="n"/>
      <c r="O66" s="62" t="n"/>
      <c r="P66" s="38" t="n"/>
      <c r="Q66" s="62" t="n"/>
      <c r="R66" s="38" t="n"/>
      <c r="S66" s="62" t="n"/>
      <c r="T66" s="38" t="n"/>
      <c r="U66" s="62" t="n"/>
      <c r="V66" s="38" t="n"/>
      <c r="W66" s="62" t="n"/>
      <c r="X66" s="38" t="n"/>
      <c r="Y66" s="62" t="n"/>
      <c r="Z66" s="38" t="n"/>
      <c r="AA66" s="62" t="n"/>
      <c r="AB66" s="38" t="n"/>
      <c r="AC66" s="62" t="n"/>
      <c r="AD66" s="38" t="n"/>
      <c r="AE66" s="38" t="n"/>
      <c r="AF66" s="61">
        <f>IF(COUNTIF($B$5:B66,B66)=1,1,0)</f>
        <v/>
      </c>
      <c r="AG66" s="62" t="inlineStr">
        <is>
          <t>https://www.eltiempo.com/politica/proceso-de-paz/calarca-priorizo-la-guerra-con-mordisco-a-cualquier-posibilidad-de-paz-tropezamos-con-nuestras-propias-ilusiones-camilo-gonzalez-posso-3583506</t>
        </is>
      </c>
    </row>
    <row r="67" ht="15" customHeight="1" s="31">
      <c r="A67" s="38" t="inlineStr">
        <is>
          <t>ART_008</t>
        </is>
      </c>
      <c r="B67" s="38" t="inlineStr">
        <is>
          <t>ART_008_S06</t>
        </is>
      </c>
      <c r="C67" s="38" t="inlineStr">
        <is>
          <t>El Tiempo</t>
        </is>
      </c>
      <c r="D67" s="38" t="inlineStr">
        <is>
          <t>Seguridad y orden público</t>
        </is>
      </c>
      <c r="E67" s="38" t="inlineStr">
        <is>
          <t>Noticia dura</t>
        </is>
      </c>
      <c r="F67" s="38" t="inlineStr">
        <is>
          <t>2026-09-04T07:42:18-05:00</t>
        </is>
      </c>
      <c r="G67" s="62" t="inlineStr">
        <is>
          <t>En diálogo con EL TIEMPO, el exnegociador del Gobierno analizó los fallos de la política de paz de la anterior administración y el desmonte que de esta adelanta hoy el presidente Abelardo De La Espriella.</t>
        </is>
      </c>
      <c r="H67" s="62" t="inlineStr">
        <is>
          <t>Luego de renunciar, tras señalar que su salida obedeció a un cambio en las condiciones de la negociación, regresó a la dirección del Instituto de Estudios para el Desarrollo y la Paz (Indepaz).</t>
        </is>
      </c>
      <c r="I67" s="62" t="inlineStr">
        <is>
          <t>Hay logros y hay otras situaciones.</t>
        </is>
      </c>
      <c r="J67" s="38" t="n"/>
      <c r="K67" s="62" t="n"/>
      <c r="L67" s="38" t="n"/>
      <c r="M67" s="62" t="n"/>
      <c r="N67" s="38" t="n"/>
      <c r="O67" s="62" t="n"/>
      <c r="P67" s="38" t="n"/>
      <c r="Q67" s="62" t="n"/>
      <c r="R67" s="38" t="n"/>
      <c r="S67" s="62" t="n"/>
      <c r="T67" s="38" t="n"/>
      <c r="U67" s="62" t="n"/>
      <c r="V67" s="38" t="n"/>
      <c r="W67" s="62" t="n"/>
      <c r="X67" s="38" t="n"/>
      <c r="Y67" s="62" t="n"/>
      <c r="Z67" s="38" t="n"/>
      <c r="AA67" s="62" t="n"/>
      <c r="AB67" s="38" t="n"/>
      <c r="AC67" s="62" t="n"/>
      <c r="AD67" s="38" t="n"/>
      <c r="AE67" s="38" t="n"/>
      <c r="AF67" s="61">
        <f>IF(COUNTIF($B$5:B67,B67)=1,1,0)</f>
        <v/>
      </c>
      <c r="AG67" s="62" t="inlineStr">
        <is>
          <t>https://www.eltiempo.com/politica/proceso-de-paz/calarca-priorizo-la-guerra-con-mordisco-a-cualquier-posibilidad-de-paz-tropezamos-con-nuestras-propias-ilusiones-camilo-gonzalez-posso-3583506</t>
        </is>
      </c>
    </row>
    <row r="68" ht="15" customHeight="1" s="31">
      <c r="A68" s="38" t="inlineStr">
        <is>
          <t>ART_008</t>
        </is>
      </c>
      <c r="B68" s="38" t="inlineStr">
        <is>
          <t>ART_008_S07</t>
        </is>
      </c>
      <c r="C68" s="38" t="inlineStr">
        <is>
          <t>El Tiempo</t>
        </is>
      </c>
      <c r="D68" s="38" t="inlineStr">
        <is>
          <t>Seguridad y orden público</t>
        </is>
      </c>
      <c r="E68" s="38" t="inlineStr">
        <is>
          <t>Noticia dura</t>
        </is>
      </c>
      <c r="F68" s="38" t="inlineStr">
        <is>
          <t>2026-09-04T07:42:18-05:00</t>
        </is>
      </c>
      <c r="G68" s="62" t="inlineStr">
        <is>
          <t>Hay logros y hay otras situaciones.</t>
        </is>
      </c>
      <c r="H68" s="62" t="inlineStr">
        <is>
          <t>En diálogo con EL TIEMPO, el exnegociador del Gobierno analizó los fallos de la política de paz de la anterior administración y el desmonte que de esta adelanta hoy el presidente Abelardo De La Espriella.</t>
        </is>
      </c>
      <c r="I68" s="62" t="inlineStr">
        <is>
          <t>La mayor frustración es que no se logró culminar ningún proceso para la terminación de estos grupos armados, que era una meta visible.</t>
        </is>
      </c>
      <c r="J68" s="38" t="n"/>
      <c r="K68" s="62" t="n"/>
      <c r="L68" s="38" t="n"/>
      <c r="M68" s="62" t="n"/>
      <c r="N68" s="38" t="n"/>
      <c r="O68" s="62" t="n"/>
      <c r="P68" s="38" t="n"/>
      <c r="Q68" s="62" t="n"/>
      <c r="R68" s="38" t="n"/>
      <c r="S68" s="62" t="n"/>
      <c r="T68" s="38" t="n"/>
      <c r="U68" s="62" t="n"/>
      <c r="V68" s="38" t="n"/>
      <c r="W68" s="62" t="n"/>
      <c r="X68" s="38" t="n"/>
      <c r="Y68" s="62" t="n"/>
      <c r="Z68" s="38" t="n"/>
      <c r="AA68" s="62" t="n"/>
      <c r="AB68" s="38" t="n"/>
      <c r="AC68" s="62" t="n"/>
      <c r="AD68" s="38" t="n"/>
      <c r="AE68" s="38" t="n"/>
      <c r="AF68" s="61">
        <f>IF(COUNTIF($B$5:B68,B68)=1,1,0)</f>
        <v/>
      </c>
      <c r="AG68" s="62" t="inlineStr">
        <is>
          <t>https://www.eltiempo.com/politica/proceso-de-paz/calarca-priorizo-la-guerra-con-mordisco-a-cualquier-posibilidad-de-paz-tropezamos-con-nuestras-propias-ilusiones-camilo-gonzalez-posso-3583506</t>
        </is>
      </c>
    </row>
    <row r="69" ht="15" customHeight="1" s="31">
      <c r="A69" s="38" t="inlineStr">
        <is>
          <t>ART_008</t>
        </is>
      </c>
      <c r="B69" s="38" t="inlineStr">
        <is>
          <t>ART_008_S08</t>
        </is>
      </c>
      <c r="C69" s="38" t="inlineStr">
        <is>
          <t>El Tiempo</t>
        </is>
      </c>
      <c r="D69" s="38" t="inlineStr">
        <is>
          <t>Seguridad y orden público</t>
        </is>
      </c>
      <c r="E69" s="38" t="inlineStr">
        <is>
          <t>Noticia dura</t>
        </is>
      </c>
      <c r="F69" s="38" t="inlineStr">
        <is>
          <t>2026-09-04T07:42:18-05:00</t>
        </is>
      </c>
      <c r="G69" s="62" t="inlineStr">
        <is>
          <t>La mayor frustración es que no se logró culminar ningún proceso para la terminación de estos grupos armados, que era una meta visible.</t>
        </is>
      </c>
      <c r="H69" s="62" t="inlineStr">
        <is>
          <t>Hay logros y hay otras situaciones.</t>
        </is>
      </c>
      <c r="I69" s="62" t="inlineStr">
        <is>
          <t>Es el símbolo de que las cosas tuvieron un trayecto accidentado.</t>
        </is>
      </c>
      <c r="J69" s="38" t="n"/>
      <c r="K69" s="62" t="n"/>
      <c r="L69" s="38" t="n"/>
      <c r="M69" s="62" t="n"/>
      <c r="N69" s="38" t="n"/>
      <c r="O69" s="62" t="n"/>
      <c r="P69" s="38" t="n"/>
      <c r="Q69" s="62" t="n"/>
      <c r="R69" s="38" t="n"/>
      <c r="S69" s="62" t="n"/>
      <c r="T69" s="38" t="n"/>
      <c r="U69" s="62" t="n"/>
      <c r="V69" s="38" t="n"/>
      <c r="W69" s="62" t="n"/>
      <c r="X69" s="38" t="n"/>
      <c r="Y69" s="62" t="n"/>
      <c r="Z69" s="38" t="n"/>
      <c r="AA69" s="62" t="n"/>
      <c r="AB69" s="38" t="n"/>
      <c r="AC69" s="62" t="n"/>
      <c r="AD69" s="38" t="n"/>
      <c r="AE69" s="38" t="n"/>
      <c r="AF69" s="61">
        <f>IF(COUNTIF($B$5:B69,B69)=1,1,0)</f>
        <v/>
      </c>
      <c r="AG69" s="62" t="inlineStr">
        <is>
          <t>https://www.eltiempo.com/politica/proceso-de-paz/calarca-priorizo-la-guerra-con-mordisco-a-cualquier-posibilidad-de-paz-tropezamos-con-nuestras-propias-ilusiones-camilo-gonzalez-posso-3583506</t>
        </is>
      </c>
    </row>
    <row r="70" ht="15" customHeight="1" s="31">
      <c r="A70" s="38" t="inlineStr">
        <is>
          <t>ART_008</t>
        </is>
      </c>
      <c r="B70" s="38" t="inlineStr">
        <is>
          <t>ART_008_S09</t>
        </is>
      </c>
      <c r="C70" s="38" t="inlineStr">
        <is>
          <t>El Tiempo</t>
        </is>
      </c>
      <c r="D70" s="38" t="inlineStr">
        <is>
          <t>Seguridad y orden público</t>
        </is>
      </c>
      <c r="E70" s="38" t="inlineStr">
        <is>
          <t>Noticia dura</t>
        </is>
      </c>
      <c r="F70" s="38" t="inlineStr">
        <is>
          <t>2026-09-04T07:42:18-05:00</t>
        </is>
      </c>
      <c r="G70" s="62" t="inlineStr">
        <is>
          <t>Es el símbolo de que las cosas tuvieron un trayecto accidentado.</t>
        </is>
      </c>
      <c r="H70" s="62" t="inlineStr">
        <is>
          <t>La mayor frustración es que no se logró culminar ningún proceso para la terminación de estos grupos armados, que era una meta visible.</t>
        </is>
      </c>
      <c r="I70" s="62" t="inlineStr">
        <is>
          <t>Ahora, yo creo que el logro más importante tiene que ver con la relación entre la institucionalidad y las comunidades.</t>
        </is>
      </c>
      <c r="J70" s="38" t="n"/>
      <c r="K70" s="62" t="n"/>
      <c r="L70" s="38" t="n"/>
      <c r="M70" s="62" t="n"/>
      <c r="N70" s="38" t="n"/>
      <c r="O70" s="62" t="n"/>
      <c r="P70" s="38" t="n"/>
      <c r="Q70" s="62" t="n"/>
      <c r="R70" s="38" t="n"/>
      <c r="S70" s="62" t="n"/>
      <c r="T70" s="38" t="n"/>
      <c r="U70" s="62" t="n"/>
      <c r="V70" s="38" t="n"/>
      <c r="W70" s="62" t="n"/>
      <c r="X70" s="38" t="n"/>
      <c r="Y70" s="62" t="n"/>
      <c r="Z70" s="38" t="n"/>
      <c r="AA70" s="62" t="n"/>
      <c r="AB70" s="38" t="n"/>
      <c r="AC70" s="62" t="n"/>
      <c r="AD70" s="38" t="n"/>
      <c r="AE70" s="38" t="n"/>
      <c r="AF70" s="61">
        <f>IF(COUNTIF($B$5:B70,B70)=1,1,0)</f>
        <v/>
      </c>
      <c r="AG70" s="62" t="inlineStr">
        <is>
          <t>https://www.eltiempo.com/politica/proceso-de-paz/calarca-priorizo-la-guerra-con-mordisco-a-cualquier-posibilidad-de-paz-tropezamos-con-nuestras-propias-ilusiones-camilo-gonzalez-posso-3583506</t>
        </is>
      </c>
    </row>
    <row r="71" ht="15" customHeight="1" s="31">
      <c r="A71" s="38" t="inlineStr">
        <is>
          <t>ART_008</t>
        </is>
      </c>
      <c r="B71" s="38" t="inlineStr">
        <is>
          <t>ART_008_S10</t>
        </is>
      </c>
      <c r="C71" s="38" t="inlineStr">
        <is>
          <t>El Tiempo</t>
        </is>
      </c>
      <c r="D71" s="38" t="inlineStr">
        <is>
          <t>Seguridad y orden público</t>
        </is>
      </c>
      <c r="E71" s="38" t="inlineStr">
        <is>
          <t>Noticia dura</t>
        </is>
      </c>
      <c r="F71" s="38" t="inlineStr">
        <is>
          <t>2026-09-04T07:42:18-05:00</t>
        </is>
      </c>
      <c r="G71" s="62" t="inlineStr">
        <is>
          <t>Ahora, yo creo que el logro más importante tiene que ver con la relación entre la institucionalidad y las comunidades.</t>
        </is>
      </c>
      <c r="H71" s="62" t="inlineStr">
        <is>
          <t>Es el símbolo de que las cosas tuvieron un trayecto accidentado.</t>
        </is>
      </c>
      <c r="I71" s="62" t="inlineStr">
        <is>
          <t>Es decir, la relación entre el estado y la sociedad en esas zonas de conflictos tan crónicos.</t>
        </is>
      </c>
      <c r="J71" s="38" t="n"/>
      <c r="K71" s="62" t="n"/>
      <c r="L71" s="38" t="n"/>
      <c r="M71" s="62" t="n"/>
      <c r="N71" s="38" t="n"/>
      <c r="O71" s="62" t="n"/>
      <c r="P71" s="38" t="n"/>
      <c r="Q71" s="62" t="n"/>
      <c r="R71" s="38" t="n"/>
      <c r="S71" s="62" t="n"/>
      <c r="T71" s="38" t="n"/>
      <c r="U71" s="62" t="n"/>
      <c r="V71" s="38" t="n"/>
      <c r="W71" s="62" t="n"/>
      <c r="X71" s="38" t="n"/>
      <c r="Y71" s="62" t="n"/>
      <c r="Z71" s="38" t="n"/>
      <c r="AA71" s="62" t="n"/>
      <c r="AB71" s="38" t="n"/>
      <c r="AC71" s="62" t="n"/>
      <c r="AD71" s="38" t="n"/>
      <c r="AE71" s="38" t="n"/>
      <c r="AF71" s="61">
        <f>IF(COUNTIF($B$5:B71,B71)=1,1,0)</f>
        <v/>
      </c>
      <c r="AG71" s="62" t="inlineStr">
        <is>
          <t>https://www.eltiempo.com/politica/proceso-de-paz/calarca-priorizo-la-guerra-con-mordisco-a-cualquier-posibilidad-de-paz-tropezamos-con-nuestras-propias-ilusiones-camilo-gonzalez-posso-3583506</t>
        </is>
      </c>
    </row>
    <row r="72" ht="15" customHeight="1" s="31">
      <c r="A72" s="38" t="inlineStr">
        <is>
          <t>ART_008</t>
        </is>
      </c>
      <c r="B72" s="38" t="inlineStr">
        <is>
          <t>ART_008_S11</t>
        </is>
      </c>
      <c r="C72" s="38" t="inlineStr">
        <is>
          <t>El Tiempo</t>
        </is>
      </c>
      <c r="D72" s="38" t="inlineStr">
        <is>
          <t>Seguridad y orden público</t>
        </is>
      </c>
      <c r="E72" s="38" t="inlineStr">
        <is>
          <t>Noticia dura</t>
        </is>
      </c>
      <c r="F72" s="38" t="inlineStr">
        <is>
          <t>2026-09-04T07:42:18-05:00</t>
        </is>
      </c>
      <c r="G72" s="62" t="inlineStr">
        <is>
          <t>Es decir, la relación entre el estado y la sociedad en esas zonas de conflictos tan crónicos.</t>
        </is>
      </c>
      <c r="H72" s="62" t="inlineStr">
        <is>
          <t>Ahora, yo creo que el logro más importante tiene que ver con la relación entre la institucionalidad y las comunidades.</t>
        </is>
      </c>
      <c r="I72" s="62" t="inlineStr">
        <is>
          <t>Ahí lo que se mostró fue un avance extraordinario en la manifestación de las comunidades en rechazar la violencia e ir a hacia una superación de la presencia de violencias armadas.</t>
        </is>
      </c>
      <c r="J72" s="38" t="n"/>
      <c r="K72" s="62" t="n"/>
      <c r="L72" s="38" t="n"/>
      <c r="M72" s="62" t="n"/>
      <c r="N72" s="38" t="n"/>
      <c r="O72" s="62" t="n"/>
      <c r="P72" s="38" t="n"/>
      <c r="Q72" s="62" t="n"/>
      <c r="R72" s="38" t="n"/>
      <c r="S72" s="62" t="n"/>
      <c r="T72" s="38" t="n"/>
      <c r="U72" s="62" t="n"/>
      <c r="V72" s="38" t="n"/>
      <c r="W72" s="62" t="n"/>
      <c r="X72" s="38" t="n"/>
      <c r="Y72" s="62" t="n"/>
      <c r="Z72" s="38" t="n"/>
      <c r="AA72" s="62" t="n"/>
      <c r="AB72" s="38" t="n"/>
      <c r="AC72" s="62" t="n"/>
      <c r="AD72" s="38" t="n"/>
      <c r="AE72" s="38" t="n"/>
      <c r="AF72" s="61">
        <f>IF(COUNTIF($B$5:B72,B72)=1,1,0)</f>
        <v/>
      </c>
      <c r="AG72" s="62" t="inlineStr">
        <is>
          <t>https://www.eltiempo.com/politica/proceso-de-paz/calarca-priorizo-la-guerra-con-mordisco-a-cualquier-posibilidad-de-paz-tropezamos-con-nuestras-propias-ilusiones-camilo-gonzalez-posso-3583506</t>
        </is>
      </c>
    </row>
    <row r="73" ht="15" customHeight="1" s="31">
      <c r="A73" s="38" t="inlineStr">
        <is>
          <t>ART_008</t>
        </is>
      </c>
      <c r="B73" s="38" t="inlineStr">
        <is>
          <t>ART_008_S12</t>
        </is>
      </c>
      <c r="C73" s="38" t="inlineStr">
        <is>
          <t>El Tiempo</t>
        </is>
      </c>
      <c r="D73" s="38" t="inlineStr">
        <is>
          <t>Seguridad y orden público</t>
        </is>
      </c>
      <c r="E73" s="38" t="inlineStr">
        <is>
          <t>Noticia dura</t>
        </is>
      </c>
      <c r="F73" s="38" t="inlineStr">
        <is>
          <t>2026-09-04T07:42:18-05:00</t>
        </is>
      </c>
      <c r="G73" s="62" t="inlineStr">
        <is>
          <t>Ahí lo que se mostró fue un avance extraordinario en la manifestación de las comunidades en rechazar la violencia e ir a hacia una superación de la presencia de violencias armadas.</t>
        </is>
      </c>
      <c r="H73" s="62" t="inlineStr">
        <is>
          <t>Es decir, la relación entre el estado y la sociedad en esas zonas de conflictos tan crónicos.</t>
        </is>
      </c>
      <c r="I73" s="62" t="n"/>
      <c r="J73" s="38" t="n"/>
      <c r="K73" s="62" t="n"/>
      <c r="L73" s="38" t="n"/>
      <c r="M73" s="62" t="n"/>
      <c r="N73" s="38" t="n"/>
      <c r="O73" s="62" t="n"/>
      <c r="P73" s="38" t="n"/>
      <c r="Q73" s="62" t="n"/>
      <c r="R73" s="38" t="n"/>
      <c r="S73" s="62" t="n"/>
      <c r="T73" s="38" t="n"/>
      <c r="U73" s="62" t="n"/>
      <c r="V73" s="38" t="n"/>
      <c r="W73" s="62" t="n"/>
      <c r="X73" s="38" t="n"/>
      <c r="Y73" s="62" t="n"/>
      <c r="Z73" s="38" t="n"/>
      <c r="AA73" s="62" t="n"/>
      <c r="AB73" s="38" t="n"/>
      <c r="AC73" s="62" t="n"/>
      <c r="AD73" s="38" t="n"/>
      <c r="AE73" s="38" t="n"/>
      <c r="AF73" s="61">
        <f>IF(COUNTIF($B$5:B73,B73)=1,1,0)</f>
        <v/>
      </c>
      <c r="AG73" s="62" t="inlineStr">
        <is>
          <t>https://www.eltiempo.com/politica/proceso-de-paz/calarca-priorizo-la-guerra-con-mordisco-a-cualquier-posibilidad-de-paz-tropezamos-con-nuestras-propias-ilusiones-camilo-gonzalez-posso-3583506</t>
        </is>
      </c>
    </row>
    <row r="74" ht="15" customHeight="1" s="31">
      <c r="A74" s="38" t="inlineStr">
        <is>
          <t>ART_009</t>
        </is>
      </c>
      <c r="B74" s="38" t="inlineStr">
        <is>
          <t>ART_009_S01</t>
        </is>
      </c>
      <c r="C74" s="38" t="inlineStr">
        <is>
          <t>El Tiempo</t>
        </is>
      </c>
      <c r="D74" s="38" t="inlineStr">
        <is>
          <t>Relación con Estados Unidos</t>
        </is>
      </c>
      <c r="E74" s="38" t="inlineStr">
        <is>
          <t>Noticia dura</t>
        </is>
      </c>
      <c r="F74" s="38" t="inlineStr">
        <is>
          <t>2026-09-04T07:46:26-05:00</t>
        </is>
      </c>
      <c r="G74" s="62" t="inlineStr">
        <is>
          <t>Washington y Nueva York serán los dos escenarios que marcarán el ritmo de la política exterior del gobierno de Abelardo De La Espriella.</t>
        </is>
      </c>
      <c r="H74" s="62" t="n"/>
      <c r="I74" s="62" t="inlineStr">
        <is>
          <t>Por eso, los embajadores designados ante Estados Unidos y Naciones Unidas, María Consuelo Araújo y el jurista Mauricio Gaona, sostuvieron reuniones clave en el Palacio de San Carlos y la Casa de Nariño para afinar la hoja de ruta que seguirán al frente de sus misiones diplomáticas.</t>
        </is>
      </c>
      <c r="J74" s="38" t="n"/>
      <c r="K74" s="62" t="n"/>
      <c r="L74" s="38" t="n"/>
      <c r="M74" s="62" t="n"/>
      <c r="N74" s="38" t="n"/>
      <c r="O74" s="62" t="n"/>
      <c r="P74" s="38" t="n"/>
      <c r="Q74" s="62" t="n"/>
      <c r="R74" s="38" t="n"/>
      <c r="S74" s="62" t="n"/>
      <c r="T74" s="38" t="n"/>
      <c r="U74" s="62" t="n"/>
      <c r="V74" s="38" t="n"/>
      <c r="W74" s="62" t="n"/>
      <c r="X74" s="38" t="n"/>
      <c r="Y74" s="62" t="n"/>
      <c r="Z74" s="38" t="n"/>
      <c r="AA74" s="62" t="n"/>
      <c r="AB74" s="38" t="n"/>
      <c r="AC74" s="62" t="n"/>
      <c r="AD74" s="38" t="n"/>
      <c r="AE74" s="38" t="n"/>
      <c r="AF74" s="61">
        <f>IF(COUNTIF($B$5:B74,B74)=1,1,0)</f>
        <v/>
      </c>
      <c r="AG74" s="62" t="inlineStr">
        <is>
          <t>https://www.eltiempo.com/politica/gobierno/embajadores-ante-ee-uu-y-naciones-unidas-se-preparan-para-asumir-los-destinos-clave-para-la-diplomacia-del-presidente-abelardo-de-la-espriella-3583494</t>
        </is>
      </c>
    </row>
    <row r="75" ht="15" customHeight="1" s="31">
      <c r="A75" s="38" t="inlineStr">
        <is>
          <t>ART_009</t>
        </is>
      </c>
      <c r="B75" s="38" t="inlineStr">
        <is>
          <t>ART_009_S02</t>
        </is>
      </c>
      <c r="C75" s="38" t="inlineStr">
        <is>
          <t>El Tiempo</t>
        </is>
      </c>
      <c r="D75" s="38" t="inlineStr">
        <is>
          <t>Relación con Estados Unidos</t>
        </is>
      </c>
      <c r="E75" s="38" t="inlineStr">
        <is>
          <t>Noticia dura</t>
        </is>
      </c>
      <c r="F75" s="38" t="inlineStr">
        <is>
          <t>2026-09-04T07:46:26-05:00</t>
        </is>
      </c>
      <c r="G75" s="62" t="inlineStr">
        <is>
          <t>Por eso, los embajadores designados ante Estados Unidos y Naciones Unidas, María Consuelo Araújo y el jurista Mauricio Gaona, sostuvieron reuniones clave en el Palacio de San Carlos y la Casa de Nariño para afinar la hoja de ruta que seguirán al frente de sus misiones diplomáticas.</t>
        </is>
      </c>
      <c r="H75" s="62" t="inlineStr">
        <is>
          <t>Washington y Nueva York serán los dos escenarios que marcarán el ritmo de la política exterior del gobierno de Abelardo De La Espriella.</t>
        </is>
      </c>
      <c r="I75" s="62" t="inlineStr">
        <is>
          <t>Sobre la mesa están, además, dos eventos que marcarán el inicio de su gestión: la visita del secretario de Estado de Estados Unidos, Marco Rubio, y la Asamblea General de Naciones Unidas, prevista para finales de septiembre.</t>
        </is>
      </c>
      <c r="J75" s="38" t="n"/>
      <c r="K75" s="62" t="n"/>
      <c r="L75" s="38" t="n"/>
      <c r="M75" s="62" t="n"/>
      <c r="N75" s="38" t="n"/>
      <c r="O75" s="62" t="n"/>
      <c r="P75" s="38" t="n"/>
      <c r="Q75" s="62" t="n"/>
      <c r="R75" s="38" t="n"/>
      <c r="S75" s="62" t="n"/>
      <c r="T75" s="38" t="n"/>
      <c r="U75" s="62" t="n"/>
      <c r="V75" s="38" t="n"/>
      <c r="W75" s="62" t="n"/>
      <c r="X75" s="38" t="n"/>
      <c r="Y75" s="62" t="n"/>
      <c r="Z75" s="38" t="n"/>
      <c r="AA75" s="62" t="n"/>
      <c r="AB75" s="38" t="n"/>
      <c r="AC75" s="62" t="n"/>
      <c r="AD75" s="38" t="n"/>
      <c r="AE75" s="38" t="n"/>
      <c r="AF75" s="61">
        <f>IF(COUNTIF($B$5:B75,B75)=1,1,0)</f>
        <v/>
      </c>
      <c r="AG75" s="62" t="inlineStr">
        <is>
          <t>https://www.eltiempo.com/politica/gobierno/embajadores-ante-ee-uu-y-naciones-unidas-se-preparan-para-asumir-los-destinos-clave-para-la-diplomacia-del-presidente-abelardo-de-la-espriella-3583494</t>
        </is>
      </c>
    </row>
    <row r="76" ht="15" customHeight="1" s="31">
      <c r="A76" s="38" t="inlineStr">
        <is>
          <t>ART_009</t>
        </is>
      </c>
      <c r="B76" s="38" t="inlineStr">
        <is>
          <t>ART_009_S03</t>
        </is>
      </c>
      <c r="C76" s="38" t="inlineStr">
        <is>
          <t>El Tiempo</t>
        </is>
      </c>
      <c r="D76" s="38" t="inlineStr">
        <is>
          <t>Relación con Estados Unidos</t>
        </is>
      </c>
      <c r="E76" s="38" t="inlineStr">
        <is>
          <t>Noticia dura</t>
        </is>
      </c>
      <c r="F76" s="38" t="inlineStr">
        <is>
          <t>2026-09-04T07:46:26-05:00</t>
        </is>
      </c>
      <c r="G76" s="62" t="inlineStr">
        <is>
          <t>Sobre la mesa están, además, dos eventos que marcarán el inicio de su gestión: la visita del secretario de Estado de Estados Unidos, Marco Rubio, y la Asamblea General de Naciones Unidas, prevista para finales de septiembre.</t>
        </is>
      </c>
      <c r="H76" s="62" t="inlineStr">
        <is>
          <t>Por eso, los embajadores designados ante Estados Unidos y Naciones Unidas, María Consuelo Araújo y el jurista Mauricio Gaona, sostuvieron reuniones clave en el Palacio de San Carlos y la Casa de Nariño para afinar la hoja de ruta que seguirán al frente de sus misiones diplomáticas.</t>
        </is>
      </c>
      <c r="I76" s="62" t="inlineStr">
        <is>
          <t>El miércoles se llevó a cabo un cónclave en la sede de la Cancillería, al que asistieron los embajadores designados, el canciller Omar Bula Escobar y el vicepresidente José Manuel Restrepo.</t>
        </is>
      </c>
      <c r="J76" s="38" t="n"/>
      <c r="K76" s="62" t="n"/>
      <c r="L76" s="38" t="n"/>
      <c r="M76" s="62" t="n"/>
      <c r="N76" s="38" t="n"/>
      <c r="O76" s="62" t="n"/>
      <c r="P76" s="38" t="n"/>
      <c r="Q76" s="62" t="n"/>
      <c r="R76" s="38" t="n"/>
      <c r="S76" s="62" t="n"/>
      <c r="T76" s="38" t="n"/>
      <c r="U76" s="62" t="n"/>
      <c r="V76" s="38" t="n"/>
      <c r="W76" s="62" t="n"/>
      <c r="X76" s="38" t="n"/>
      <c r="Y76" s="62" t="n"/>
      <c r="Z76" s="38" t="n"/>
      <c r="AA76" s="62" t="n"/>
      <c r="AB76" s="38" t="n"/>
      <c r="AC76" s="62" t="n"/>
      <c r="AD76" s="38" t="n"/>
      <c r="AE76" s="38" t="n"/>
      <c r="AF76" s="61">
        <f>IF(COUNTIF($B$5:B76,B76)=1,1,0)</f>
        <v/>
      </c>
      <c r="AG76" s="62" t="inlineStr">
        <is>
          <t>https://www.eltiempo.com/politica/gobierno/embajadores-ante-ee-uu-y-naciones-unidas-se-preparan-para-asumir-los-destinos-clave-para-la-diplomacia-del-presidente-abelardo-de-la-espriella-3583494</t>
        </is>
      </c>
    </row>
    <row r="77" ht="15" customHeight="1" s="31">
      <c r="A77" s="38" t="inlineStr">
        <is>
          <t>ART_009</t>
        </is>
      </c>
      <c r="B77" s="38" t="inlineStr">
        <is>
          <t>ART_009_S04</t>
        </is>
      </c>
      <c r="C77" s="38" t="inlineStr">
        <is>
          <t>El Tiempo</t>
        </is>
      </c>
      <c r="D77" s="38" t="inlineStr">
        <is>
          <t>Relación con Estados Unidos</t>
        </is>
      </c>
      <c r="E77" s="38" t="inlineStr">
        <is>
          <t>Noticia dura</t>
        </is>
      </c>
      <c r="F77" s="38" t="inlineStr">
        <is>
          <t>2026-09-04T07:46:26-05:00</t>
        </is>
      </c>
      <c r="G77" s="62" t="inlineStr">
        <is>
          <t>El miércoles se llevó a cabo un cónclave en la sede de la Cancillería, al que asistieron los embajadores designados, el canciller Omar Bula Escobar y el vicepresidente José Manuel Restrepo.</t>
        </is>
      </c>
      <c r="H77" s="62" t="inlineStr">
        <is>
          <t>Sobre la mesa están, además, dos eventos que marcarán el inicio de su gestión: la visita del secretario de Estado de Estados Unidos, Marco Rubio, y la Asamblea General de Naciones Unidas, prevista para finales de septiembre.</t>
        </is>
      </c>
      <c r="I77" s="62" t="inlineStr">
        <is>
          <t>Este último tendrá un papel protagónico en los asuntos internacionales, pues una de las apuestas del Ejecutivo es que el presidente De La Espriella priorice la agenda nacional y regional, mientras Restrepo asume la representación del Gobierno en varios eventos en el exterior.</t>
        </is>
      </c>
      <c r="J77" s="38" t="n"/>
      <c r="K77" s="62" t="n"/>
      <c r="L77" s="38" t="n"/>
      <c r="M77" s="62" t="n"/>
      <c r="N77" s="38" t="n"/>
      <c r="O77" s="62" t="n"/>
      <c r="P77" s="38" t="n"/>
      <c r="Q77" s="62" t="n"/>
      <c r="R77" s="38" t="n"/>
      <c r="S77" s="62" t="n"/>
      <c r="T77" s="38" t="n"/>
      <c r="U77" s="62" t="n"/>
      <c r="V77" s="38" t="n"/>
      <c r="W77" s="62" t="n"/>
      <c r="X77" s="38" t="n"/>
      <c r="Y77" s="62" t="n"/>
      <c r="Z77" s="38" t="n"/>
      <c r="AA77" s="62" t="n"/>
      <c r="AB77" s="38" t="n"/>
      <c r="AC77" s="62" t="n"/>
      <c r="AD77" s="38" t="n"/>
      <c r="AE77" s="38" t="n"/>
      <c r="AF77" s="61">
        <f>IF(COUNTIF($B$5:B77,B77)=1,1,0)</f>
        <v/>
      </c>
      <c r="AG77" s="62" t="inlineStr">
        <is>
          <t>https://www.eltiempo.com/politica/gobierno/embajadores-ante-ee-uu-y-naciones-unidas-se-preparan-para-asumir-los-destinos-clave-para-la-diplomacia-del-presidente-abelardo-de-la-espriella-3583494</t>
        </is>
      </c>
    </row>
    <row r="78" ht="15" customHeight="1" s="31">
      <c r="A78" s="38" t="inlineStr">
        <is>
          <t>ART_009</t>
        </is>
      </c>
      <c r="B78" s="38" t="inlineStr">
        <is>
          <t>ART_009_S05</t>
        </is>
      </c>
      <c r="C78" s="38" t="inlineStr">
        <is>
          <t>El Tiempo</t>
        </is>
      </c>
      <c r="D78" s="38" t="inlineStr">
        <is>
          <t>Relación con Estados Unidos</t>
        </is>
      </c>
      <c r="E78" s="38" t="inlineStr">
        <is>
          <t>Noticia dura</t>
        </is>
      </c>
      <c r="F78" s="38" t="inlineStr">
        <is>
          <t>2026-09-04T07:46:26-05:00</t>
        </is>
      </c>
      <c r="G78" s="62" t="inlineStr">
        <is>
          <t>Este último tendrá un papel protagónico en los asuntos internacionales, pues una de las apuestas del Ejecutivo es que el presidente De La Espriella priorice la agenda nacional y regional, mientras Restrepo asume la representación del Gobierno en varios eventos en el exterior.</t>
        </is>
      </c>
      <c r="H78" s="62" t="inlineStr">
        <is>
          <t>El miércoles se llevó a cabo un cónclave en la sede de la Cancillería, al que asistieron los embajadores designados, el canciller Omar Bula Escobar y el vicepresidente José Manuel Restrepo.</t>
        </is>
      </c>
      <c r="I78" s="62" t="inlineStr">
        <is>
          <t>El objetivo de la cita fue afinar la visión internacional que esta administración busca proyectar frente a los grandes debates de la agenda global.</t>
        </is>
      </c>
      <c r="J78" s="38" t="n"/>
      <c r="K78" s="62" t="n"/>
      <c r="L78" s="38" t="n"/>
      <c r="M78" s="62" t="n"/>
      <c r="N78" s="38" t="n"/>
      <c r="O78" s="62" t="n"/>
      <c r="P78" s="38" t="n"/>
      <c r="Q78" s="62" t="n"/>
      <c r="R78" s="38" t="n"/>
      <c r="S78" s="62" t="n"/>
      <c r="T78" s="38" t="n"/>
      <c r="U78" s="62" t="n"/>
      <c r="V78" s="38" t="n"/>
      <c r="W78" s="62" t="n"/>
      <c r="X78" s="38" t="n"/>
      <c r="Y78" s="62" t="n"/>
      <c r="Z78" s="38" t="n"/>
      <c r="AA78" s="62" t="n"/>
      <c r="AB78" s="38" t="n"/>
      <c r="AC78" s="62" t="n"/>
      <c r="AD78" s="38" t="n"/>
      <c r="AE78" s="38" t="n"/>
      <c r="AF78" s="61">
        <f>IF(COUNTIF($B$5:B78,B78)=1,1,0)</f>
        <v/>
      </c>
      <c r="AG78" s="62" t="inlineStr">
        <is>
          <t>https://www.eltiempo.com/politica/gobierno/embajadores-ante-ee-uu-y-naciones-unidas-se-preparan-para-asumir-los-destinos-clave-para-la-diplomacia-del-presidente-abelardo-de-la-espriella-3583494</t>
        </is>
      </c>
    </row>
    <row r="79" ht="15" customHeight="1" s="31">
      <c r="A79" s="38" t="inlineStr">
        <is>
          <t>ART_009</t>
        </is>
      </c>
      <c r="B79" s="38" t="inlineStr">
        <is>
          <t>ART_009_S06</t>
        </is>
      </c>
      <c r="C79" s="38" t="inlineStr">
        <is>
          <t>El Tiempo</t>
        </is>
      </c>
      <c r="D79" s="38" t="inlineStr">
        <is>
          <t>Relación con Estados Unidos</t>
        </is>
      </c>
      <c r="E79" s="38" t="inlineStr">
        <is>
          <t>Noticia dura</t>
        </is>
      </c>
      <c r="F79" s="38" t="inlineStr">
        <is>
          <t>2026-09-04T07:46:26-05:00</t>
        </is>
      </c>
      <c r="G79" s="62" t="inlineStr">
        <is>
          <t>El objetivo de la cita fue afinar la visión internacional que esta administración busca proyectar frente a los grandes debates de la agenda global.</t>
        </is>
      </c>
      <c r="H79" s="62" t="inlineStr">
        <is>
          <t>Este último tendrá un papel protagónico en los asuntos internacionales, pues una de las apuestas del Ejecutivo es que el presidente De La Espriella priorice la agenda nacional y regional, mientras Restrepo asume la representación del Gobierno en varios eventos en el exterior.</t>
        </is>
      </c>
      <c r="I79" s="62" t="inlineStr">
        <is>
          <t>“Preparamos la participación del país en uno de los escenarios más importantes de la diplomacia internacional”, dijo Restrepo.</t>
        </is>
      </c>
      <c r="J79" s="38" t="n"/>
      <c r="K79" s="62" t="n"/>
      <c r="L79" s="38" t="n"/>
      <c r="M79" s="62" t="n"/>
      <c r="N79" s="38" t="n"/>
      <c r="O79" s="62" t="n"/>
      <c r="P79" s="38" t="n"/>
      <c r="Q79" s="62" t="n"/>
      <c r="R79" s="38" t="n"/>
      <c r="S79" s="62" t="n"/>
      <c r="T79" s="38" t="n"/>
      <c r="U79" s="62" t="n"/>
      <c r="V79" s="38" t="n"/>
      <c r="W79" s="62" t="n"/>
      <c r="X79" s="38" t="n"/>
      <c r="Y79" s="62" t="n"/>
      <c r="Z79" s="38" t="n"/>
      <c r="AA79" s="62" t="n"/>
      <c r="AB79" s="38" t="n"/>
      <c r="AC79" s="62" t="n"/>
      <c r="AD79" s="38" t="n"/>
      <c r="AE79" s="38" t="n"/>
      <c r="AF79" s="61">
        <f>IF(COUNTIF($B$5:B79,B79)=1,1,0)</f>
        <v/>
      </c>
      <c r="AG79" s="62" t="inlineStr">
        <is>
          <t>https://www.eltiempo.com/politica/gobierno/embajadores-ante-ee-uu-y-naciones-unidas-se-preparan-para-asumir-los-destinos-clave-para-la-diplomacia-del-presidente-abelardo-de-la-espriella-3583494</t>
        </is>
      </c>
    </row>
    <row r="80" ht="15" customHeight="1" s="31">
      <c r="A80" s="38" t="inlineStr">
        <is>
          <t>ART_009</t>
        </is>
      </c>
      <c r="B80" s="38" t="inlineStr">
        <is>
          <t>ART_009_S07</t>
        </is>
      </c>
      <c r="C80" s="38" t="inlineStr">
        <is>
          <t>El Tiempo</t>
        </is>
      </c>
      <c r="D80" s="38" t="inlineStr">
        <is>
          <t>Relación con Estados Unidos</t>
        </is>
      </c>
      <c r="E80" s="38" t="inlineStr">
        <is>
          <t>Noticia dura</t>
        </is>
      </c>
      <c r="F80" s="38" t="inlineStr">
        <is>
          <t>2026-09-04T07:46:26-05:00</t>
        </is>
      </c>
      <c r="G80" s="62" t="inlineStr">
        <is>
          <t>“Preparamos la participación del país en uno de los escenarios más importantes de la diplomacia internacional”, dijo Restrepo.</t>
        </is>
      </c>
      <c r="H80" s="62" t="inlineStr">
        <is>
          <t>El objetivo de la cita fue afinar la visión internacional que esta administración busca proyectar frente a los grandes debates de la agenda global.</t>
        </is>
      </c>
      <c r="I80" s="62" t="inlineStr">
        <is>
          <t>Gaona representará a Colombia ante el Consejo de Seguridad de Naciones Unidas, donde al país le queda un año como miembro no permanente.</t>
        </is>
      </c>
      <c r="J80" s="38" t="n"/>
      <c r="K80" s="62" t="n"/>
      <c r="L80" s="38" t="n"/>
      <c r="M80" s="62" t="n"/>
      <c r="N80" s="38" t="n"/>
      <c r="O80" s="62" t="n"/>
      <c r="P80" s="38" t="n"/>
      <c r="Q80" s="62" t="n"/>
      <c r="R80" s="38" t="n"/>
      <c r="S80" s="62" t="n"/>
      <c r="T80" s="38" t="n"/>
      <c r="U80" s="62" t="n"/>
      <c r="V80" s="38" t="n"/>
      <c r="W80" s="62" t="n"/>
      <c r="X80" s="38" t="n"/>
      <c r="Y80" s="62" t="n"/>
      <c r="Z80" s="38" t="n"/>
      <c r="AA80" s="62" t="n"/>
      <c r="AB80" s="38" t="n"/>
      <c r="AC80" s="62" t="n"/>
      <c r="AD80" s="38" t="n"/>
      <c r="AE80" s="38" t="n"/>
      <c r="AF80" s="61">
        <f>IF(COUNTIF($B$5:B80,B80)=1,1,0)</f>
        <v/>
      </c>
      <c r="AG80" s="62" t="inlineStr">
        <is>
          <t>https://www.eltiempo.com/politica/gobierno/embajadores-ante-ee-uu-y-naciones-unidas-se-preparan-para-asumir-los-destinos-clave-para-la-diplomacia-del-presidente-abelardo-de-la-espriella-3583494</t>
        </is>
      </c>
    </row>
    <row r="81" ht="15" customHeight="1" s="31">
      <c r="A81" s="38" t="inlineStr">
        <is>
          <t>ART_009</t>
        </is>
      </c>
      <c r="B81" s="38" t="inlineStr">
        <is>
          <t>ART_009_S08</t>
        </is>
      </c>
      <c r="C81" s="38" t="inlineStr">
        <is>
          <t>El Tiempo</t>
        </is>
      </c>
      <c r="D81" s="38" t="inlineStr">
        <is>
          <t>Relación con Estados Unidos</t>
        </is>
      </c>
      <c r="E81" s="38" t="inlineStr">
        <is>
          <t>Noticia dura</t>
        </is>
      </c>
      <c r="F81" s="38" t="inlineStr">
        <is>
          <t>2026-09-04T07:46:26-05:00</t>
        </is>
      </c>
      <c r="G81" s="62" t="inlineStr">
        <is>
          <t>Gaona representará a Colombia ante el Consejo de Seguridad de Naciones Unidas, donde al país le queda un año como miembro no permanente.</t>
        </is>
      </c>
      <c r="H81" s="62" t="inlineStr">
        <is>
          <t>“Preparamos la participación del país en uno de los escenarios más importantes de la diplomacia internacional”, dijo Restrepo.</t>
        </is>
      </c>
      <c r="I81" s="62" t="inlineStr">
        <is>
          <t>A esto se suma el 81.º período de sesiones de la Asamblea General de Naciones Unidas, que reunirá nuevamente a líderes mundiales entre el 18 y el 28 de septiembre.</t>
        </is>
      </c>
      <c r="J81" s="38" t="n"/>
      <c r="K81" s="62" t="n"/>
      <c r="L81" s="38" t="n"/>
      <c r="M81" s="62" t="n"/>
      <c r="N81" s="38" t="n"/>
      <c r="O81" s="62" t="n"/>
      <c r="P81" s="38" t="n"/>
      <c r="Q81" s="62" t="n"/>
      <c r="R81" s="38" t="n"/>
      <c r="S81" s="62" t="n"/>
      <c r="T81" s="38" t="n"/>
      <c r="U81" s="62" t="n"/>
      <c r="V81" s="38" t="n"/>
      <c r="W81" s="62" t="n"/>
      <c r="X81" s="38" t="n"/>
      <c r="Y81" s="62" t="n"/>
      <c r="Z81" s="38" t="n"/>
      <c r="AA81" s="62" t="n"/>
      <c r="AB81" s="38" t="n"/>
      <c r="AC81" s="62" t="n"/>
      <c r="AD81" s="38" t="n"/>
      <c r="AE81" s="38" t="n"/>
      <c r="AF81" s="61">
        <f>IF(COUNTIF($B$5:B81,B81)=1,1,0)</f>
        <v/>
      </c>
      <c r="AG81" s="62" t="inlineStr">
        <is>
          <t>https://www.eltiempo.com/politica/gobierno/embajadores-ante-ee-uu-y-naciones-unidas-se-preparan-para-asumir-los-destinos-clave-para-la-diplomacia-del-presidente-abelardo-de-la-espriella-3583494</t>
        </is>
      </c>
    </row>
    <row r="82" ht="15" customHeight="1" s="31">
      <c r="A82" s="38" t="inlineStr">
        <is>
          <t>ART_009</t>
        </is>
      </c>
      <c r="B82" s="38" t="inlineStr">
        <is>
          <t>ART_009_S09</t>
        </is>
      </c>
      <c r="C82" s="38" t="inlineStr">
        <is>
          <t>El Tiempo</t>
        </is>
      </c>
      <c r="D82" s="38" t="inlineStr">
        <is>
          <t>Relación con Estados Unidos</t>
        </is>
      </c>
      <c r="E82" s="38" t="inlineStr">
        <is>
          <t>Noticia dura</t>
        </is>
      </c>
      <c r="F82" s="38" t="inlineStr">
        <is>
          <t>2026-09-04T07:46:26-05:00</t>
        </is>
      </c>
      <c r="G82" s="62" t="inlineStr">
        <is>
          <t>A esto se suma el 81.º período de sesiones de la Asamblea General de Naciones Unidas, que reunirá nuevamente a líderes mundiales entre el 18 y el 28 de septiembre.</t>
        </is>
      </c>
      <c r="H82" s="62" t="inlineStr">
        <is>
          <t>Gaona representará a Colombia ante el Consejo de Seguridad de Naciones Unidas, donde al país le queda un año como miembro no permanente.</t>
        </is>
      </c>
      <c r="I82" s="62" t="inlineStr">
        <is>
          <t>Ambos escenarios serán relevantes para conocer el papel que el nuevo Gobierno busca darle al multilateralismo, particularmente después de que durante la campaña el presidente De La Espriella planteara un eventual distanciamiento de Colombia.</t>
        </is>
      </c>
      <c r="J82" s="38" t="n"/>
      <c r="K82" s="62" t="n"/>
      <c r="L82" s="38" t="n"/>
      <c r="M82" s="62" t="n"/>
      <c r="N82" s="38" t="n"/>
      <c r="O82" s="62" t="n"/>
      <c r="P82" s="38" t="n"/>
      <c r="Q82" s="62" t="n"/>
      <c r="R82" s="38" t="n"/>
      <c r="S82" s="62" t="n"/>
      <c r="T82" s="38" t="n"/>
      <c r="U82" s="62" t="n"/>
      <c r="V82" s="38" t="n"/>
      <c r="W82" s="62" t="n"/>
      <c r="X82" s="38" t="n"/>
      <c r="Y82" s="62" t="n"/>
      <c r="Z82" s="38" t="n"/>
      <c r="AA82" s="62" t="n"/>
      <c r="AB82" s="38" t="n"/>
      <c r="AC82" s="62" t="n"/>
      <c r="AD82" s="38" t="n"/>
      <c r="AE82" s="38" t="n"/>
      <c r="AF82" s="61">
        <f>IF(COUNTIF($B$5:B82,B82)=1,1,0)</f>
        <v/>
      </c>
      <c r="AG82" s="62" t="inlineStr">
        <is>
          <t>https://www.eltiempo.com/politica/gobierno/embajadores-ante-ee-uu-y-naciones-unidas-se-preparan-para-asumir-los-destinos-clave-para-la-diplomacia-del-presidente-abelardo-de-la-espriella-3583494</t>
        </is>
      </c>
    </row>
    <row r="83" ht="15" customHeight="1" s="31">
      <c r="A83" s="38" t="inlineStr">
        <is>
          <t>ART_009</t>
        </is>
      </c>
      <c r="B83" s="38" t="inlineStr">
        <is>
          <t>ART_009_S10</t>
        </is>
      </c>
      <c r="C83" s="38" t="inlineStr">
        <is>
          <t>El Tiempo</t>
        </is>
      </c>
      <c r="D83" s="38" t="inlineStr">
        <is>
          <t>Relación con Estados Unidos</t>
        </is>
      </c>
      <c r="E83" s="38" t="inlineStr">
        <is>
          <t>Noticia dura</t>
        </is>
      </c>
      <c r="F83" s="38" t="inlineStr">
        <is>
          <t>2026-09-04T07:46:26-05:00</t>
        </is>
      </c>
      <c r="G83" s="62" t="inlineStr">
        <is>
          <t>Ambos escenarios serán relevantes para conocer el papel que el nuevo Gobierno busca darle al multilateralismo, particularmente después de que durante la campaña el presidente De La Espriella planteara un eventual distanciamiento de Colombia.</t>
        </is>
      </c>
      <c r="H83" s="62" t="inlineStr">
        <is>
          <t>A esto se suma el 81.º período de sesiones de la Asamblea General de Naciones Unidas, que reunirá nuevamente a líderes mundiales entre el 18 y el 28 de septiembre.</t>
        </is>
      </c>
      <c r="I83" s="62" t="inlineStr">
        <is>
          <t>"Va a ser una agenda muy movida, muy dinámica.</t>
        </is>
      </c>
      <c r="J83" s="38" t="n"/>
      <c r="K83" s="62" t="n"/>
      <c r="L83" s="38" t="n"/>
      <c r="M83" s="62" t="n"/>
      <c r="N83" s="38" t="n"/>
      <c r="O83" s="62" t="n"/>
      <c r="P83" s="38" t="n"/>
      <c r="Q83" s="62" t="n"/>
      <c r="R83" s="38" t="n"/>
      <c r="S83" s="62" t="n"/>
      <c r="T83" s="38" t="n"/>
      <c r="U83" s="62" t="n"/>
      <c r="V83" s="38" t="n"/>
      <c r="W83" s="62" t="n"/>
      <c r="X83" s="38" t="n"/>
      <c r="Y83" s="62" t="n"/>
      <c r="Z83" s="38" t="n"/>
      <c r="AA83" s="62" t="n"/>
      <c r="AB83" s="38" t="n"/>
      <c r="AC83" s="62" t="n"/>
      <c r="AD83" s="38" t="n"/>
      <c r="AE83" s="38" t="n"/>
      <c r="AF83" s="61">
        <f>IF(COUNTIF($B$5:B83,B83)=1,1,0)</f>
        <v/>
      </c>
      <c r="AG83" s="62" t="inlineStr">
        <is>
          <t>https://www.eltiempo.com/politica/gobierno/embajadores-ante-ee-uu-y-naciones-unidas-se-preparan-para-asumir-los-destinos-clave-para-la-diplomacia-del-presidente-abelardo-de-la-espriella-3583494</t>
        </is>
      </c>
    </row>
    <row r="84" ht="15" customHeight="1" s="31">
      <c r="A84" s="38" t="inlineStr">
        <is>
          <t>ART_009</t>
        </is>
      </c>
      <c r="B84" s="38" t="inlineStr">
        <is>
          <t>ART_009_S11</t>
        </is>
      </c>
      <c r="C84" s="38" t="inlineStr">
        <is>
          <t>El Tiempo</t>
        </is>
      </c>
      <c r="D84" s="38" t="inlineStr">
        <is>
          <t>Relación con Estados Unidos</t>
        </is>
      </c>
      <c r="E84" s="38" t="inlineStr">
        <is>
          <t>Noticia dura</t>
        </is>
      </c>
      <c r="F84" s="38" t="inlineStr">
        <is>
          <t>2026-09-04T07:46:26-05:00</t>
        </is>
      </c>
      <c r="G84" s="62" t="inlineStr">
        <is>
          <t>"Va a ser una agenda muy movida, muy dinámica.</t>
        </is>
      </c>
      <c r="H84" s="62" t="inlineStr">
        <is>
          <t>Ambos escenarios serán relevantes para conocer el papel que el nuevo Gobierno busca darle al multilateralismo, particularmente después de que durante la campaña el presidente De La Espriella planteara un eventual distanciamiento de Colombia.</t>
        </is>
      </c>
      <c r="I84" s="62" t="inlineStr">
        <is>
          <t>Esperamos contar con la participación naturalmente del gobierno y del vicepresidente", expresó el embajador Gaona, quien fue posesionado ese mismo día.</t>
        </is>
      </c>
      <c r="J84" s="38" t="n"/>
      <c r="K84" s="62" t="n"/>
      <c r="L84" s="38" t="n"/>
      <c r="M84" s="62" t="n"/>
      <c r="N84" s="38" t="n"/>
      <c r="O84" s="62" t="n"/>
      <c r="P84" s="38" t="n"/>
      <c r="Q84" s="62" t="n"/>
      <c r="R84" s="38" t="n"/>
      <c r="S84" s="62" t="n"/>
      <c r="T84" s="38" t="n"/>
      <c r="U84" s="62" t="n"/>
      <c r="V84" s="38" t="n"/>
      <c r="W84" s="62" t="n"/>
      <c r="X84" s="38" t="n"/>
      <c r="Y84" s="62" t="n"/>
      <c r="Z84" s="38" t="n"/>
      <c r="AA84" s="62" t="n"/>
      <c r="AB84" s="38" t="n"/>
      <c r="AC84" s="62" t="n"/>
      <c r="AD84" s="38" t="n"/>
      <c r="AE84" s="38" t="n"/>
      <c r="AF84" s="61">
        <f>IF(COUNTIF($B$5:B84,B84)=1,1,0)</f>
        <v/>
      </c>
      <c r="AG84" s="62" t="inlineStr">
        <is>
          <t>https://www.eltiempo.com/politica/gobierno/embajadores-ante-ee-uu-y-naciones-unidas-se-preparan-para-asumir-los-destinos-clave-para-la-diplomacia-del-presidente-abelardo-de-la-espriella-3583494</t>
        </is>
      </c>
    </row>
    <row r="85" ht="15" customHeight="1" s="31">
      <c r="A85" s="38" t="inlineStr">
        <is>
          <t>ART_009</t>
        </is>
      </c>
      <c r="B85" s="38" t="inlineStr">
        <is>
          <t>ART_009_S12</t>
        </is>
      </c>
      <c r="C85" s="38" t="inlineStr">
        <is>
          <t>El Tiempo</t>
        </is>
      </c>
      <c r="D85" s="38" t="inlineStr">
        <is>
          <t>Relación con Estados Unidos</t>
        </is>
      </c>
      <c r="E85" s="38" t="inlineStr">
        <is>
          <t>Noticia dura</t>
        </is>
      </c>
      <c r="F85" s="38" t="inlineStr">
        <is>
          <t>2026-09-04T07:46:26-05:00</t>
        </is>
      </c>
      <c r="G85" s="62" t="inlineStr">
        <is>
          <t>Esperamos contar con la participación naturalmente del gobierno y del vicepresidente", expresó el embajador Gaona, quien fue posesionado ese mismo día.</t>
        </is>
      </c>
      <c r="H85" s="62" t="inlineStr">
        <is>
          <t>"Va a ser una agenda muy movida, muy dinámica.</t>
        </is>
      </c>
      <c r="I85" s="62" t="n"/>
      <c r="J85" s="38" t="n"/>
      <c r="K85" s="62" t="n"/>
      <c r="L85" s="38" t="n"/>
      <c r="M85" s="62" t="n"/>
      <c r="N85" s="38" t="n"/>
      <c r="O85" s="62" t="n"/>
      <c r="P85" s="38" t="n"/>
      <c r="Q85" s="62" t="n"/>
      <c r="R85" s="38" t="n"/>
      <c r="S85" s="62" t="n"/>
      <c r="T85" s="38" t="n"/>
      <c r="U85" s="62" t="n"/>
      <c r="V85" s="38" t="n"/>
      <c r="W85" s="62" t="n"/>
      <c r="X85" s="38" t="n"/>
      <c r="Y85" s="62" t="n"/>
      <c r="Z85" s="38" t="n"/>
      <c r="AA85" s="62" t="n"/>
      <c r="AB85" s="38" t="n"/>
      <c r="AC85" s="62" t="n"/>
      <c r="AD85" s="38" t="n"/>
      <c r="AE85" s="38" t="n"/>
      <c r="AF85" s="61">
        <f>IF(COUNTIF($B$5:B85,B85)=1,1,0)</f>
        <v/>
      </c>
      <c r="AG85" s="62" t="inlineStr">
        <is>
          <t>https://www.eltiempo.com/politica/gobierno/embajadores-ante-ee-uu-y-naciones-unidas-se-preparan-para-asumir-los-destinos-clave-para-la-diplomacia-del-presidente-abelardo-de-la-espriella-3583494</t>
        </is>
      </c>
    </row>
    <row r="86" ht="15" customHeight="1" s="31">
      <c r="A86" s="38" t="inlineStr">
        <is>
          <t>ART_010</t>
        </is>
      </c>
      <c r="B86" s="38" t="inlineStr">
        <is>
          <t>ART_010_S01</t>
        </is>
      </c>
      <c r="C86" s="38" t="inlineStr">
        <is>
          <t>El Espectador</t>
        </is>
      </c>
      <c r="D86" s="38" t="inlineStr">
        <is>
          <t>Respuesta a la emergencia del terremoto</t>
        </is>
      </c>
      <c r="E86" s="38" t="inlineStr">
        <is>
          <t>Opinión-análisis</t>
        </is>
      </c>
      <c r="F86" s="38" t="inlineStr">
        <is>
          <t>Fri, 04 Sep 2026 14:39:29 +0000</t>
        </is>
      </c>
      <c r="G86" s="62" t="inlineStr">
        <is>
          <t>En la madrugada del 27 de agosto, la oficina del primer ministro de Nepal, Balendra Shah, confirmó que el número de fallecidos ya superaba el centenar.</t>
        </is>
      </c>
      <c r="H86" s="62" t="n"/>
      <c r="I86" s="62" t="inlineStr">
        <is>
          <t>Hoy llegan a más de mil.</t>
        </is>
      </c>
      <c r="J86" s="38" t="n"/>
      <c r="K86" s="62" t="n"/>
      <c r="L86" s="38" t="n"/>
      <c r="M86" s="62" t="n"/>
      <c r="N86" s="38" t="n"/>
      <c r="O86" s="62" t="n"/>
      <c r="P86" s="38" t="n"/>
      <c r="Q86" s="62" t="n"/>
      <c r="R86" s="38" t="n"/>
      <c r="S86" s="62" t="n"/>
      <c r="T86" s="38" t="n"/>
      <c r="U86" s="62" t="n"/>
      <c r="V86" s="38" t="n"/>
      <c r="W86" s="62" t="n"/>
      <c r="X86" s="38" t="n"/>
      <c r="Y86" s="62" t="n"/>
      <c r="Z86" s="38" t="n"/>
      <c r="AA86" s="62" t="n"/>
      <c r="AB86" s="38" t="n"/>
      <c r="AC86" s="62" t="n"/>
      <c r="AD86" s="38" t="n"/>
      <c r="AE86" s="38" t="n"/>
      <c r="AF86" s="61">
        <f>IF(COUNTIF($B$5:B86,B86)=1,1,0)</f>
        <v/>
      </c>
      <c r="AG86" s="62" t="inlineStr">
        <is>
          <t>https://www.elespectador.com/opinion/columnistas/columnista-invitado/la-tierra-no-clama-venganza-juan-diego-soler/</t>
        </is>
      </c>
    </row>
    <row r="87" ht="15" customHeight="1" s="31">
      <c r="A87" s="38" t="inlineStr">
        <is>
          <t>ART_010</t>
        </is>
      </c>
      <c r="B87" s="38" t="inlineStr">
        <is>
          <t>ART_010_S02</t>
        </is>
      </c>
      <c r="C87" s="38" t="inlineStr">
        <is>
          <t>El Espectador</t>
        </is>
      </c>
      <c r="D87" s="38" t="inlineStr">
        <is>
          <t>Respuesta a la emergencia del terremoto</t>
        </is>
      </c>
      <c r="E87" s="38" t="inlineStr">
        <is>
          <t>Opinión-análisis</t>
        </is>
      </c>
      <c r="F87" s="38" t="inlineStr">
        <is>
          <t>Fri, 04 Sep 2026 14:39:29 +0000</t>
        </is>
      </c>
      <c r="G87" s="62" t="inlineStr">
        <is>
          <t>Hoy llegan a más de mil.</t>
        </is>
      </c>
      <c r="H87" s="62" t="inlineStr">
        <is>
          <t>En la madrugada del 27 de agosto, la oficina del primer ministro de Nepal, Balendra Shah, confirmó que el número de fallecidos ya superaba el centenar.</t>
        </is>
      </c>
      <c r="I87" s="62" t="inlineStr">
        <is>
          <t>Son terroríficas las escenas de inundaciones repentinas y deslizamientos de tierra en los distritos nepalíes de Rasuwa y Nuwakot, así como en el condado chino de Gyirong.</t>
        </is>
      </c>
      <c r="J87" s="38" t="n"/>
      <c r="K87" s="62" t="n"/>
      <c r="L87" s="38" t="n"/>
      <c r="M87" s="62" t="n"/>
      <c r="N87" s="38" t="n"/>
      <c r="O87" s="62" t="n"/>
      <c r="P87" s="38" t="n"/>
      <c r="Q87" s="62" t="n"/>
      <c r="R87" s="38" t="n"/>
      <c r="S87" s="62" t="n"/>
      <c r="T87" s="38" t="n"/>
      <c r="U87" s="62" t="n"/>
      <c r="V87" s="38" t="n"/>
      <c r="W87" s="62" t="n"/>
      <c r="X87" s="38" t="n"/>
      <c r="Y87" s="62" t="n"/>
      <c r="Z87" s="38" t="n"/>
      <c r="AA87" s="62" t="n"/>
      <c r="AB87" s="38" t="n"/>
      <c r="AC87" s="62" t="n"/>
      <c r="AD87" s="38" t="n"/>
      <c r="AE87" s="38" t="n"/>
      <c r="AF87" s="61">
        <f>IF(COUNTIF($B$5:B87,B87)=1,1,0)</f>
        <v/>
      </c>
      <c r="AG87" s="62" t="inlineStr">
        <is>
          <t>https://www.elespectador.com/opinion/columnistas/columnista-invitado/la-tierra-no-clama-venganza-juan-diego-soler/</t>
        </is>
      </c>
    </row>
    <row r="88" ht="15" customHeight="1" s="31">
      <c r="A88" s="38" t="inlineStr">
        <is>
          <t>ART_010</t>
        </is>
      </c>
      <c r="B88" s="38" t="inlineStr">
        <is>
          <t>ART_010_S03</t>
        </is>
      </c>
      <c r="C88" s="38" t="inlineStr">
        <is>
          <t>El Espectador</t>
        </is>
      </c>
      <c r="D88" s="38" t="inlineStr">
        <is>
          <t>Respuesta a la emergencia del terremoto</t>
        </is>
      </c>
      <c r="E88" s="38" t="inlineStr">
        <is>
          <t>Opinión-análisis</t>
        </is>
      </c>
      <c r="F88" s="38" t="inlineStr">
        <is>
          <t>Fri, 04 Sep 2026 14:39:29 +0000</t>
        </is>
      </c>
      <c r="G88" s="62" t="inlineStr">
        <is>
          <t>Son terroríficas las escenas de inundaciones repentinas y deslizamientos de tierra en los distritos nepalíes de Rasuwa y Nuwakot, así como en el condado chino de Gyirong.</t>
        </is>
      </c>
      <c r="H88" s="62" t="inlineStr">
        <is>
          <t>Hoy llegan a más de mil.</t>
        </is>
      </c>
      <c r="I88" s="62" t="inlineStr">
        <is>
          <t>Impresionado por una secuencia del muro de agua que arrasa todo a su paso en medio de un valle tranquilo y bajo un cielo despejado, la reproduje en la red social que antes se llamaba Twitter, junto al mensaje: “La Tierra no está gritando, simplemente es indiferente a nuestra existencia”, la última línea de mi más reciente columna.</t>
        </is>
      </c>
      <c r="J88" s="38" t="n"/>
      <c r="K88" s="62" t="n"/>
      <c r="L88" s="38" t="n"/>
      <c r="M88" s="62" t="n"/>
      <c r="N88" s="38" t="n"/>
      <c r="O88" s="62" t="n"/>
      <c r="P88" s="38" t="n"/>
      <c r="Q88" s="62" t="n"/>
      <c r="R88" s="38" t="n"/>
      <c r="S88" s="62" t="n"/>
      <c r="T88" s="38" t="n"/>
      <c r="U88" s="62" t="n"/>
      <c r="V88" s="38" t="n"/>
      <c r="W88" s="62" t="n"/>
      <c r="X88" s="38" t="n"/>
      <c r="Y88" s="62" t="n"/>
      <c r="Z88" s="38" t="n"/>
      <c r="AA88" s="62" t="n"/>
      <c r="AB88" s="38" t="n"/>
      <c r="AC88" s="62" t="n"/>
      <c r="AD88" s="38" t="n"/>
      <c r="AE88" s="38" t="n"/>
      <c r="AF88" s="61">
        <f>IF(COUNTIF($B$5:B88,B88)=1,1,0)</f>
        <v/>
      </c>
      <c r="AG88" s="62" t="inlineStr">
        <is>
          <t>https://www.elespectador.com/opinion/columnistas/columnista-invitado/la-tierra-no-clama-venganza-juan-diego-soler/</t>
        </is>
      </c>
    </row>
    <row r="89" ht="15" customHeight="1" s="31">
      <c r="A89" s="38" t="inlineStr">
        <is>
          <t>ART_010</t>
        </is>
      </c>
      <c r="B89" s="38" t="inlineStr">
        <is>
          <t>ART_010_S04</t>
        </is>
      </c>
      <c r="C89" s="38" t="inlineStr">
        <is>
          <t>El Espectador</t>
        </is>
      </c>
      <c r="D89" s="38" t="inlineStr">
        <is>
          <t>Respuesta a la emergencia del terremoto</t>
        </is>
      </c>
      <c r="E89" s="38" t="inlineStr">
        <is>
          <t>Opinión-análisis</t>
        </is>
      </c>
      <c r="F89" s="38" t="inlineStr">
        <is>
          <t>Fri, 04 Sep 2026 14:39:29 +0000</t>
        </is>
      </c>
      <c r="G89" s="62" t="inlineStr">
        <is>
          <t>Impresionado por una secuencia del muro de agua que arrasa todo a su paso en medio de un valle tranquilo y bajo un cielo despejado, la reproduje en la red social que antes se llamaba Twitter, junto al mensaje: “La Tierra no está gritando, simplemente es indiferente a nuestra existencia”, la última línea de mi más reciente columna.</t>
        </is>
      </c>
      <c r="H89" s="62" t="inlineStr">
        <is>
          <t>Son terroríficas las escenas de inundaciones repentinas y deslizamientos de tierra en los distritos nepalíes de Rasuwa y Nuwakot, así como en el condado chino de Gyirong.</t>
        </is>
      </c>
      <c r="I89" s="62" t="inlineStr">
        <is>
          <t>Con ella desaté la tormenta en mi vaso de agua.</t>
        </is>
      </c>
      <c r="J89" s="38" t="n"/>
      <c r="K89" s="62" t="n"/>
      <c r="L89" s="38" t="n"/>
      <c r="M89" s="62" t="n"/>
      <c r="N89" s="38" t="n"/>
      <c r="O89" s="62" t="n"/>
      <c r="P89" s="38" t="n"/>
      <c r="Q89" s="62" t="n"/>
      <c r="R89" s="38" t="n"/>
      <c r="S89" s="62" t="n"/>
      <c r="T89" s="38" t="n"/>
      <c r="U89" s="62" t="n"/>
      <c r="V89" s="38" t="n"/>
      <c r="W89" s="62" t="n"/>
      <c r="X89" s="38" t="n"/>
      <c r="Y89" s="62" t="n"/>
      <c r="Z89" s="38" t="n"/>
      <c r="AA89" s="62" t="n"/>
      <c r="AB89" s="38" t="n"/>
      <c r="AC89" s="62" t="n"/>
      <c r="AD89" s="38" t="n"/>
      <c r="AE89" s="38" t="n"/>
      <c r="AF89" s="61">
        <f>IF(COUNTIF($B$5:B89,B89)=1,1,0)</f>
        <v/>
      </c>
      <c r="AG89" s="62" t="inlineStr">
        <is>
          <t>https://www.elespectador.com/opinion/columnistas/columnista-invitado/la-tierra-no-clama-venganza-juan-diego-soler/</t>
        </is>
      </c>
    </row>
    <row r="90" ht="15" customHeight="1" s="31">
      <c r="A90" s="38" t="inlineStr">
        <is>
          <t>ART_010</t>
        </is>
      </c>
      <c r="B90" s="38" t="inlineStr">
        <is>
          <t>ART_010_S05</t>
        </is>
      </c>
      <c r="C90" s="38" t="inlineStr">
        <is>
          <t>El Espectador</t>
        </is>
      </c>
      <c r="D90" s="38" t="inlineStr">
        <is>
          <t>Respuesta a la emergencia del terremoto</t>
        </is>
      </c>
      <c r="E90" s="38" t="inlineStr">
        <is>
          <t>Opinión-análisis</t>
        </is>
      </c>
      <c r="F90" s="38" t="inlineStr">
        <is>
          <t>Fri, 04 Sep 2026 14:39:29 +0000</t>
        </is>
      </c>
      <c r="G90" s="62" t="inlineStr">
        <is>
          <t>Con ella desaté la tormenta en mi vaso de agua.</t>
        </is>
      </c>
      <c r="H90" s="62" t="inlineStr">
        <is>
          <t>Impresionado por una secuencia del muro de agua que arrasa todo a su paso en medio de un valle tranquilo y bajo un cielo despejado, la reproduje en la red social que antes se llamaba Twitter, junto al mensaje: “La Tierra no está gritando, simplemente es indiferente a nuestra existencia”, la última línea de mi más reciente columna.</t>
        </is>
      </c>
      <c r="I90" s="62" t="inlineStr">
        <is>
          <t>Era claramente una provocación.</t>
        </is>
      </c>
      <c r="J90" s="38" t="n"/>
      <c r="K90" s="62" t="n"/>
      <c r="L90" s="38" t="n"/>
      <c r="M90" s="62" t="n"/>
      <c r="N90" s="38" t="n"/>
      <c r="O90" s="62" t="n"/>
      <c r="P90" s="38" t="n"/>
      <c r="Q90" s="62" t="n"/>
      <c r="R90" s="38" t="n"/>
      <c r="S90" s="62" t="n"/>
      <c r="T90" s="38" t="n"/>
      <c r="U90" s="62" t="n"/>
      <c r="V90" s="38" t="n"/>
      <c r="W90" s="62" t="n"/>
      <c r="X90" s="38" t="n"/>
      <c r="Y90" s="62" t="n"/>
      <c r="Z90" s="38" t="n"/>
      <c r="AA90" s="62" t="n"/>
      <c r="AB90" s="38" t="n"/>
      <c r="AC90" s="62" t="n"/>
      <c r="AD90" s="38" t="n"/>
      <c r="AE90" s="38" t="n"/>
      <c r="AF90" s="61">
        <f>IF(COUNTIF($B$5:B90,B90)=1,1,0)</f>
        <v/>
      </c>
      <c r="AG90" s="62" t="inlineStr">
        <is>
          <t>https://www.elespectador.com/opinion/columnistas/columnista-invitado/la-tierra-no-clama-venganza-juan-diego-soler/</t>
        </is>
      </c>
    </row>
    <row r="91" ht="15" customHeight="1" s="31">
      <c r="A91" s="38" t="inlineStr">
        <is>
          <t>ART_010</t>
        </is>
      </c>
      <c r="B91" s="38" t="inlineStr">
        <is>
          <t>ART_010_S06</t>
        </is>
      </c>
      <c r="C91" s="38" t="inlineStr">
        <is>
          <t>El Espectador</t>
        </is>
      </c>
      <c r="D91" s="38" t="inlineStr">
        <is>
          <t>Respuesta a la emergencia del terremoto</t>
        </is>
      </c>
      <c r="E91" s="38" t="inlineStr">
        <is>
          <t>Opinión-análisis</t>
        </is>
      </c>
      <c r="F91" s="38" t="inlineStr">
        <is>
          <t>Fri, 04 Sep 2026 14:39:29 +0000</t>
        </is>
      </c>
      <c r="G91" s="62" t="inlineStr">
        <is>
          <t>Era claramente una provocación.</t>
        </is>
      </c>
      <c r="H91" s="62" t="inlineStr">
        <is>
          <t>Con ella desaté la tormenta en mi vaso de agua.</t>
        </is>
      </c>
      <c r="I91" s="62" t="inlineStr">
        <is>
          <t>Usaba la frase con la que Gustavo Petro había reaccionado al sismo que el pasado 10 de agosto azotó el territorio de nuestro país, dejando 331 personas muertas, más de 4500 heridas y extensos daños materiales en los departamentos de Chocó, Risaralda, Quindío, Caldas y Valle del Cauca.</t>
        </is>
      </c>
      <c r="J91" s="38" t="n"/>
      <c r="K91" s="62" t="n"/>
      <c r="L91" s="38" t="n"/>
      <c r="M91" s="62" t="n"/>
      <c r="N91" s="38" t="n"/>
      <c r="O91" s="62" t="n"/>
      <c r="P91" s="38" t="n"/>
      <c r="Q91" s="62" t="n"/>
      <c r="R91" s="38" t="n"/>
      <c r="S91" s="62" t="n"/>
      <c r="T91" s="38" t="n"/>
      <c r="U91" s="62" t="n"/>
      <c r="V91" s="38" t="n"/>
      <c r="W91" s="62" t="n"/>
      <c r="X91" s="38" t="n"/>
      <c r="Y91" s="62" t="n"/>
      <c r="Z91" s="38" t="n"/>
      <c r="AA91" s="62" t="n"/>
      <c r="AB91" s="38" t="n"/>
      <c r="AC91" s="62" t="n"/>
      <c r="AD91" s="38" t="n"/>
      <c r="AE91" s="38" t="n"/>
      <c r="AF91" s="61">
        <f>IF(COUNTIF($B$5:B91,B91)=1,1,0)</f>
        <v/>
      </c>
      <c r="AG91" s="62" t="inlineStr">
        <is>
          <t>https://www.elespectador.com/opinion/columnistas/columnista-invitado/la-tierra-no-clama-venganza-juan-diego-soler/</t>
        </is>
      </c>
    </row>
    <row r="92" ht="15" customHeight="1" s="31">
      <c r="A92" s="38" t="inlineStr">
        <is>
          <t>ART_010</t>
        </is>
      </c>
      <c r="B92" s="38" t="inlineStr">
        <is>
          <t>ART_010_S07</t>
        </is>
      </c>
      <c r="C92" s="38" t="inlineStr">
        <is>
          <t>El Espectador</t>
        </is>
      </c>
      <c r="D92" s="38" t="inlineStr">
        <is>
          <t>Respuesta a la emergencia del terremoto</t>
        </is>
      </c>
      <c r="E92" s="38" t="inlineStr">
        <is>
          <t>Opinión-análisis</t>
        </is>
      </c>
      <c r="F92" s="38" t="inlineStr">
        <is>
          <t>Fri, 04 Sep 2026 14:39:29 +0000</t>
        </is>
      </c>
      <c r="G92" s="62" t="inlineStr">
        <is>
          <t>Usaba la frase con la que Gustavo Petro había reaccionado al sismo que el pasado 10 de agosto azotó el territorio de nuestro país, dejando 331 personas muertas, más de 4500 heridas y extensos daños materiales en los departamentos de Chocó, Risaralda, Quindío, Caldas y Valle del Cauca.</t>
        </is>
      </c>
      <c r="H92" s="62" t="inlineStr">
        <is>
          <t>Era claramente una provocación.</t>
        </is>
      </c>
      <c r="I92" s="62" t="inlineStr">
        <is>
          <t>Sus airados defensores (y detractores) no tardaron en aparecer, arrastrando consigo cualquier mensaje coherente o posibilidad de conversación.</t>
        </is>
      </c>
      <c r="J92" s="38" t="n"/>
      <c r="K92" s="62" t="n"/>
      <c r="L92" s="38" t="n"/>
      <c r="M92" s="62" t="n"/>
      <c r="N92" s="38" t="n"/>
      <c r="O92" s="62" t="n"/>
      <c r="P92" s="38" t="n"/>
      <c r="Q92" s="62" t="n"/>
      <c r="R92" s="38" t="n"/>
      <c r="S92" s="62" t="n"/>
      <c r="T92" s="38" t="n"/>
      <c r="U92" s="62" t="n"/>
      <c r="V92" s="38" t="n"/>
      <c r="W92" s="62" t="n"/>
      <c r="X92" s="38" t="n"/>
      <c r="Y92" s="62" t="n"/>
      <c r="Z92" s="38" t="n"/>
      <c r="AA92" s="62" t="n"/>
      <c r="AB92" s="38" t="n"/>
      <c r="AC92" s="62" t="n"/>
      <c r="AD92" s="38" t="n"/>
      <c r="AE92" s="38" t="n"/>
      <c r="AF92" s="61">
        <f>IF(COUNTIF($B$5:B92,B92)=1,1,0)</f>
        <v/>
      </c>
      <c r="AG92" s="62" t="inlineStr">
        <is>
          <t>https://www.elespectador.com/opinion/columnistas/columnista-invitado/la-tierra-no-clama-venganza-juan-diego-soler/</t>
        </is>
      </c>
    </row>
    <row r="93" ht="15" customHeight="1" s="31">
      <c r="A93" s="38" t="inlineStr">
        <is>
          <t>ART_010</t>
        </is>
      </c>
      <c r="B93" s="38" t="inlineStr">
        <is>
          <t>ART_010_S08</t>
        </is>
      </c>
      <c r="C93" s="38" t="inlineStr">
        <is>
          <t>El Espectador</t>
        </is>
      </c>
      <c r="D93" s="38" t="inlineStr">
        <is>
          <t>Respuesta a la emergencia del terremoto</t>
        </is>
      </c>
      <c r="E93" s="38" t="inlineStr">
        <is>
          <t>Opinión-análisis</t>
        </is>
      </c>
      <c r="F93" s="38" t="inlineStr">
        <is>
          <t>Fri, 04 Sep 2026 14:39:29 +0000</t>
        </is>
      </c>
      <c r="G93" s="62" t="inlineStr">
        <is>
          <t>Sus airados defensores (y detractores) no tardaron en aparecer, arrastrando consigo cualquier mensaje coherente o posibilidad de conversación.</t>
        </is>
      </c>
      <c r="H93" s="62" t="inlineStr">
        <is>
          <t>Usaba la frase con la que Gustavo Petro había reaccionado al sismo que el pasado 10 de agosto azotó el territorio de nuestro país, dejando 331 personas muertas, más de 4500 heridas y extensos daños materiales en los departamentos de Chocó, Risaralda, Quindío, Caldas y Valle del Cauca.</t>
        </is>
      </c>
      <c r="I93" s="62" t="inlineStr">
        <is>
          <t>Es difícil aclarar en 280 caracteres que esa Tierra justiciera y vengativa no existe y que no aceptar una personificación moral del sistema planetario no implica desconocer los efectos del cambio climático ni su posible papel en esta tragedia.</t>
        </is>
      </c>
      <c r="J93" s="38" t="n"/>
      <c r="K93" s="62" t="n"/>
      <c r="L93" s="38" t="n"/>
      <c r="M93" s="62" t="n"/>
      <c r="N93" s="38" t="n"/>
      <c r="O93" s="62" t="n"/>
      <c r="P93" s="38" t="n"/>
      <c r="Q93" s="62" t="n"/>
      <c r="R93" s="38" t="n"/>
      <c r="S93" s="62" t="n"/>
      <c r="T93" s="38" t="n"/>
      <c r="U93" s="62" t="n"/>
      <c r="V93" s="38" t="n"/>
      <c r="W93" s="62" t="n"/>
      <c r="X93" s="38" t="n"/>
      <c r="Y93" s="62" t="n"/>
      <c r="Z93" s="38" t="n"/>
      <c r="AA93" s="62" t="n"/>
      <c r="AB93" s="38" t="n"/>
      <c r="AC93" s="62" t="n"/>
      <c r="AD93" s="38" t="n"/>
      <c r="AE93" s="38" t="n"/>
      <c r="AF93" s="61">
        <f>IF(COUNTIF($B$5:B93,B93)=1,1,0)</f>
        <v/>
      </c>
      <c r="AG93" s="62" t="inlineStr">
        <is>
          <t>https://www.elespectador.com/opinion/columnistas/columnista-invitado/la-tierra-no-clama-venganza-juan-diego-soler/</t>
        </is>
      </c>
    </row>
    <row r="94" ht="15" customHeight="1" s="31">
      <c r="A94" s="38" t="inlineStr">
        <is>
          <t>ART_010</t>
        </is>
      </c>
      <c r="B94" s="38" t="inlineStr">
        <is>
          <t>ART_010_S09</t>
        </is>
      </c>
      <c r="C94" s="38" t="inlineStr">
        <is>
          <t>El Espectador</t>
        </is>
      </c>
      <c r="D94" s="38" t="inlineStr">
        <is>
          <t>Respuesta a la emergencia del terremoto</t>
        </is>
      </c>
      <c r="E94" s="38" t="inlineStr">
        <is>
          <t>Opinión-análisis</t>
        </is>
      </c>
      <c r="F94" s="38" t="inlineStr">
        <is>
          <t>Fri, 04 Sep 2026 14:39:29 +0000</t>
        </is>
      </c>
      <c r="G94" s="62" t="inlineStr">
        <is>
          <t>Es difícil aclarar en 280 caracteres que esa Tierra justiciera y vengativa no existe y que no aceptar una personificación moral del sistema planetario no implica desconocer los efectos del cambio climático ni su posible papel en esta tragedia.</t>
        </is>
      </c>
      <c r="H94" s="62" t="inlineStr">
        <is>
          <t>Sus airados defensores (y detractores) no tardaron en aparecer, arrastrando consigo cualquier mensaje coherente o posibilidad de conversación.</t>
        </is>
      </c>
      <c r="I94" s="62" t="inlineStr">
        <is>
          <t>Aunque se entienda como una metáfora, presentar la catástrofe como una represalia del planeta oscurece más de lo que explica.</t>
        </is>
      </c>
      <c r="J94" s="38" t="n"/>
      <c r="K94" s="62" t="n"/>
      <c r="L94" s="38" t="n"/>
      <c r="M94" s="62" t="n"/>
      <c r="N94" s="38" t="n"/>
      <c r="O94" s="62" t="n"/>
      <c r="P94" s="38" t="n"/>
      <c r="Q94" s="62" t="n"/>
      <c r="R94" s="38" t="n"/>
      <c r="S94" s="62" t="n"/>
      <c r="T94" s="38" t="n"/>
      <c r="U94" s="62" t="n"/>
      <c r="V94" s="38" t="n"/>
      <c r="W94" s="62" t="n"/>
      <c r="X94" s="38" t="n"/>
      <c r="Y94" s="62" t="n"/>
      <c r="Z94" s="38" t="n"/>
      <c r="AA94" s="62" t="n"/>
      <c r="AB94" s="38" t="n"/>
      <c r="AC94" s="62" t="n"/>
      <c r="AD94" s="38" t="n"/>
      <c r="AE94" s="38" t="n"/>
      <c r="AF94" s="61">
        <f>IF(COUNTIF($B$5:B94,B94)=1,1,0)</f>
        <v/>
      </c>
      <c r="AG94" s="62" t="inlineStr">
        <is>
          <t>https://www.elespectador.com/opinion/columnistas/columnista-invitado/la-tierra-no-clama-venganza-juan-diego-soler/</t>
        </is>
      </c>
    </row>
    <row r="95" ht="15" customHeight="1" s="31">
      <c r="A95" s="38" t="inlineStr">
        <is>
          <t>ART_010</t>
        </is>
      </c>
      <c r="B95" s="38" t="inlineStr">
        <is>
          <t>ART_010_S10</t>
        </is>
      </c>
      <c r="C95" s="38" t="inlineStr">
        <is>
          <t>El Espectador</t>
        </is>
      </c>
      <c r="D95" s="38" t="inlineStr">
        <is>
          <t>Respuesta a la emergencia del terremoto</t>
        </is>
      </c>
      <c r="E95" s="38" t="inlineStr">
        <is>
          <t>Opinión-análisis</t>
        </is>
      </c>
      <c r="F95" s="38" t="inlineStr">
        <is>
          <t>Fri, 04 Sep 2026 14:39:29 +0000</t>
        </is>
      </c>
      <c r="G95" s="62" t="inlineStr">
        <is>
          <t>Aunque se entienda como una metáfora, presentar la catástrofe como una represalia del planeta oscurece más de lo que explica.</t>
        </is>
      </c>
      <c r="H95" s="62" t="inlineStr">
        <is>
          <t>Es difícil aclarar en 280 caracteres que esa Tierra justiciera y vengativa no existe y que no aceptar una personificación moral del sistema planetario no implica desconocer los efectos del cambio climático ni su posible papel en esta tragedia.</t>
        </is>
      </c>
      <c r="I95" s="62" t="inlineStr">
        <is>
          <t>La emisión de gases de efecto invernadero por el uso de combustibles fósiles no es el sacrificio de un ciervo sagrado.</t>
        </is>
      </c>
      <c r="J95" s="38" t="n"/>
      <c r="K95" s="62" t="n"/>
      <c r="L95" s="38" t="n"/>
      <c r="M95" s="62" t="n"/>
      <c r="N95" s="38" t="n"/>
      <c r="O95" s="62" t="n"/>
      <c r="P95" s="38" t="n"/>
      <c r="Q95" s="62" t="n"/>
      <c r="R95" s="38" t="n"/>
      <c r="S95" s="62" t="n"/>
      <c r="T95" s="38" t="n"/>
      <c r="U95" s="62" t="n"/>
      <c r="V95" s="38" t="n"/>
      <c r="W95" s="62" t="n"/>
      <c r="X95" s="38" t="n"/>
      <c r="Y95" s="62" t="n"/>
      <c r="Z95" s="38" t="n"/>
      <c r="AA95" s="62" t="n"/>
      <c r="AB95" s="38" t="n"/>
      <c r="AC95" s="62" t="n"/>
      <c r="AD95" s="38" t="n"/>
      <c r="AE95" s="38" t="n"/>
      <c r="AF95" s="61">
        <f>IF(COUNTIF($B$5:B95,B95)=1,1,0)</f>
        <v/>
      </c>
      <c r="AG95" s="62" t="inlineStr">
        <is>
          <t>https://www.elespectador.com/opinion/columnistas/columnista-invitado/la-tierra-no-clama-venganza-juan-diego-soler/</t>
        </is>
      </c>
    </row>
    <row r="96" ht="15" customHeight="1" s="31">
      <c r="A96" s="38" t="inlineStr">
        <is>
          <t>ART_010</t>
        </is>
      </c>
      <c r="B96" s="38" t="inlineStr">
        <is>
          <t>ART_010_S11</t>
        </is>
      </c>
      <c r="C96" s="38" t="inlineStr">
        <is>
          <t>El Espectador</t>
        </is>
      </c>
      <c r="D96" s="38" t="inlineStr">
        <is>
          <t>Respuesta a la emergencia del terremoto</t>
        </is>
      </c>
      <c r="E96" s="38" t="inlineStr">
        <is>
          <t>Opinión-análisis</t>
        </is>
      </c>
      <c r="F96" s="38" t="inlineStr">
        <is>
          <t>Fri, 04 Sep 2026 14:39:29 +0000</t>
        </is>
      </c>
      <c r="G96" s="62" t="inlineStr">
        <is>
          <t>La emisión de gases de efecto invernadero por el uso de combustibles fósiles no es el sacrificio de un ciervo sagrado.</t>
        </is>
      </c>
      <c r="H96" s="62" t="inlineStr">
        <is>
          <t>Aunque se entienda como una metáfora, presentar la catástrofe como una represalia del planeta oscurece más de lo que explica.</t>
        </is>
      </c>
      <c r="I96" s="62" t="inlineStr">
        <is>
          <t>Para bien o para mal, no existe una implacable justicia divina que persiga a los responsables directos.</t>
        </is>
      </c>
      <c r="J96" s="38" t="n"/>
      <c r="K96" s="62" t="n"/>
      <c r="L96" s="38" t="n"/>
      <c r="M96" s="62" t="n"/>
      <c r="N96" s="38" t="n"/>
      <c r="O96" s="62" t="n"/>
      <c r="P96" s="38" t="n"/>
      <c r="Q96" s="62" t="n"/>
      <c r="R96" s="38" t="n"/>
      <c r="S96" s="62" t="n"/>
      <c r="T96" s="38" t="n"/>
      <c r="U96" s="62" t="n"/>
      <c r="V96" s="38" t="n"/>
      <c r="W96" s="62" t="n"/>
      <c r="X96" s="38" t="n"/>
      <c r="Y96" s="62" t="n"/>
      <c r="Z96" s="38" t="n"/>
      <c r="AA96" s="62" t="n"/>
      <c r="AB96" s="38" t="n"/>
      <c r="AC96" s="62" t="n"/>
      <c r="AD96" s="38" t="n"/>
      <c r="AE96" s="38" t="n"/>
      <c r="AF96" s="61">
        <f>IF(COUNTIF($B$5:B96,B96)=1,1,0)</f>
        <v/>
      </c>
      <c r="AG96" s="62" t="inlineStr">
        <is>
          <t>https://www.elespectador.com/opinion/columnistas/columnista-invitado/la-tierra-no-clama-venganza-juan-diego-soler/</t>
        </is>
      </c>
    </row>
    <row r="97" ht="15" customHeight="1" s="31">
      <c r="A97" s="38" t="inlineStr">
        <is>
          <t>ART_010</t>
        </is>
      </c>
      <c r="B97" s="38" t="inlineStr">
        <is>
          <t>ART_010_S12</t>
        </is>
      </c>
      <c r="C97" s="38" t="inlineStr">
        <is>
          <t>El Espectador</t>
        </is>
      </c>
      <c r="D97" s="38" t="inlineStr">
        <is>
          <t>Respuesta a la emergencia del terremoto</t>
        </is>
      </c>
      <c r="E97" s="38" t="inlineStr">
        <is>
          <t>Opinión-análisis</t>
        </is>
      </c>
      <c r="F97" s="38" t="inlineStr">
        <is>
          <t>Fri, 04 Sep 2026 14:39:29 +0000</t>
        </is>
      </c>
      <c r="G97" s="62" t="inlineStr">
        <is>
          <t>Para bien o para mal, no existe una implacable justicia divina que persiga a los responsables directos.</t>
        </is>
      </c>
      <c r="H97" s="62" t="inlineStr">
        <is>
          <t>La emisión de gases de efecto invernadero por el uso de combustibles fósiles no es el sacrificio de un ciervo sagrado.</t>
        </is>
      </c>
      <c r="I97" s="62" t="inlineStr">
        <is>
          <t>¿Qué culpa tiene una familia campesina en las zonas afectadas de Nepal, uno de los países más pobres de Asia, donde tantos viven de la agricultura a pequeña escala o del dinero que les envían sus familiares que trabajan en otros países?</t>
        </is>
      </c>
      <c r="J97" s="38" t="n"/>
      <c r="K97" s="62" t="n"/>
      <c r="L97" s="38" t="n"/>
      <c r="M97" s="62" t="n"/>
      <c r="N97" s="38" t="n"/>
      <c r="O97" s="62" t="n"/>
      <c r="P97" s="38" t="n"/>
      <c r="Q97" s="62" t="n"/>
      <c r="R97" s="38" t="n"/>
      <c r="S97" s="62" t="n"/>
      <c r="T97" s="38" t="n"/>
      <c r="U97" s="62" t="n"/>
      <c r="V97" s="38" t="n"/>
      <c r="W97" s="62" t="n"/>
      <c r="X97" s="38" t="n"/>
      <c r="Y97" s="62" t="n"/>
      <c r="Z97" s="38" t="n"/>
      <c r="AA97" s="62" t="n"/>
      <c r="AB97" s="38" t="n"/>
      <c r="AC97" s="62" t="n"/>
      <c r="AD97" s="38" t="n"/>
      <c r="AE97" s="38" t="n"/>
      <c r="AF97" s="61">
        <f>IF(COUNTIF($B$5:B97,B97)=1,1,0)</f>
        <v/>
      </c>
      <c r="AG97" s="62" t="inlineStr">
        <is>
          <t>https://www.elespectador.com/opinion/columnistas/columnista-invitado/la-tierra-no-clama-venganza-juan-diego-soler/</t>
        </is>
      </c>
    </row>
    <row r="98" ht="15" customHeight="1" s="31">
      <c r="A98" s="38" t="inlineStr">
        <is>
          <t>ART_010</t>
        </is>
      </c>
      <c r="B98" s="38" t="inlineStr">
        <is>
          <t>ART_010_S13</t>
        </is>
      </c>
      <c r="C98" s="38" t="inlineStr">
        <is>
          <t>El Espectador</t>
        </is>
      </c>
      <c r="D98" s="38" t="inlineStr">
        <is>
          <t>Respuesta a la emergencia del terremoto</t>
        </is>
      </c>
      <c r="E98" s="38" t="inlineStr">
        <is>
          <t>Opinión-análisis</t>
        </is>
      </c>
      <c r="F98" s="38" t="inlineStr">
        <is>
          <t>Fri, 04 Sep 2026 14:39:29 +0000</t>
        </is>
      </c>
      <c r="G98" s="62" t="inlineStr">
        <is>
          <t>¿Qué culpa tiene una familia campesina en las zonas afectadas de Nepal, uno de los países más pobres de Asia, donde tantos viven de la agricultura a pequeña escala o del dinero que les envían sus familiares que trabajan en otros países?</t>
        </is>
      </c>
      <c r="H98" s="62" t="inlineStr">
        <is>
          <t>Para bien o para mal, no existe una implacable justicia divina que persiga a los responsables directos.</t>
        </is>
      </c>
      <c r="I98" s="62" t="inlineStr">
        <is>
          <t>¿Acaso estamos pagando por un pecado cometido desde hace décadas, cuando la mayoría de nosotros no habíamos llegado al mundo?</t>
        </is>
      </c>
      <c r="J98" s="38" t="n"/>
      <c r="K98" s="62" t="n"/>
      <c r="L98" s="38" t="n"/>
      <c r="M98" s="62" t="n"/>
      <c r="N98" s="38" t="n"/>
      <c r="O98" s="62" t="n"/>
      <c r="P98" s="38" t="n"/>
      <c r="Q98" s="62" t="n"/>
      <c r="R98" s="38" t="n"/>
      <c r="S98" s="62" t="n"/>
      <c r="T98" s="38" t="n"/>
      <c r="U98" s="62" t="n"/>
      <c r="V98" s="38" t="n"/>
      <c r="W98" s="62" t="n"/>
      <c r="X98" s="38" t="n"/>
      <c r="Y98" s="62" t="n"/>
      <c r="Z98" s="38" t="n"/>
      <c r="AA98" s="62" t="n"/>
      <c r="AB98" s="38" t="n"/>
      <c r="AC98" s="62" t="n"/>
      <c r="AD98" s="38" t="n"/>
      <c r="AE98" s="38" t="n"/>
      <c r="AF98" s="61">
        <f>IF(COUNTIF($B$5:B98,B98)=1,1,0)</f>
        <v/>
      </c>
      <c r="AG98" s="62" t="inlineStr">
        <is>
          <t>https://www.elespectador.com/opinion/columnistas/columnista-invitado/la-tierra-no-clama-venganza-juan-diego-soler/</t>
        </is>
      </c>
    </row>
    <row r="99" ht="15" customHeight="1" s="31">
      <c r="A99" s="38" t="inlineStr">
        <is>
          <t>ART_010</t>
        </is>
      </c>
      <c r="B99" s="38" t="inlineStr">
        <is>
          <t>ART_010_S14</t>
        </is>
      </c>
      <c r="C99" s="38" t="inlineStr">
        <is>
          <t>El Espectador</t>
        </is>
      </c>
      <c r="D99" s="38" t="inlineStr">
        <is>
          <t>Respuesta a la emergencia del terremoto</t>
        </is>
      </c>
      <c r="E99" s="38" t="inlineStr">
        <is>
          <t>Opinión-análisis</t>
        </is>
      </c>
      <c r="F99" s="38" t="inlineStr">
        <is>
          <t>Fri, 04 Sep 2026 14:39:29 +0000</t>
        </is>
      </c>
      <c r="G99" s="62" t="inlineStr">
        <is>
          <t>¿Acaso estamos pagando por un pecado cometido desde hace décadas, cuando la mayoría de nosotros no habíamos llegado al mundo?</t>
        </is>
      </c>
      <c r="H99" s="62" t="inlineStr">
        <is>
          <t>¿Qué culpa tiene una familia campesina en las zonas afectadas de Nepal, uno de los países más pobres de Asia, donde tantos viven de la agricultura a pequeña escala o del dinero que les envían sus familiares que trabajan en otros países?</t>
        </is>
      </c>
      <c r="I99" s="62" t="n"/>
      <c r="J99" s="38" t="n"/>
      <c r="K99" s="62" t="n"/>
      <c r="L99" s="38" t="n"/>
      <c r="M99" s="62" t="n"/>
      <c r="N99" s="38" t="n"/>
      <c r="O99" s="62" t="n"/>
      <c r="P99" s="38" t="n"/>
      <c r="Q99" s="62" t="n"/>
      <c r="R99" s="38" t="n"/>
      <c r="S99" s="62" t="n"/>
      <c r="T99" s="38" t="n"/>
      <c r="U99" s="62" t="n"/>
      <c r="V99" s="38" t="n"/>
      <c r="W99" s="62" t="n"/>
      <c r="X99" s="38" t="n"/>
      <c r="Y99" s="62" t="n"/>
      <c r="Z99" s="38" t="n"/>
      <c r="AA99" s="62" t="n"/>
      <c r="AB99" s="38" t="n"/>
      <c r="AC99" s="62" t="n"/>
      <c r="AD99" s="38" t="n"/>
      <c r="AE99" s="38" t="n"/>
      <c r="AF99" s="61">
        <f>IF(COUNTIF($B$5:B99,B99)=1,1,0)</f>
        <v/>
      </c>
      <c r="AG99" s="62" t="inlineStr">
        <is>
          <t>https://www.elespectador.com/opinion/columnistas/columnista-invitado/la-tierra-no-clama-venganza-juan-diego-soler/</t>
        </is>
      </c>
    </row>
    <row r="100" ht="15" customHeight="1" s="31">
      <c r="A100" s="38" t="inlineStr">
        <is>
          <t>ART_011</t>
        </is>
      </c>
      <c r="B100" s="38" t="inlineStr">
        <is>
          <t>ART_011_S01</t>
        </is>
      </c>
      <c r="C100" s="38" t="inlineStr">
        <is>
          <t>El Espectador</t>
        </is>
      </c>
      <c r="D100" s="38" t="inlineStr">
        <is>
          <t>Relación con Estados Unidos</t>
        </is>
      </c>
      <c r="E100" s="38" t="inlineStr">
        <is>
          <t>Opinión-análisis</t>
        </is>
      </c>
      <c r="F100" s="38" t="inlineStr">
        <is>
          <t>Fri, 04 Sep 2026 14:46:43 +0000</t>
        </is>
      </c>
      <c r="G100" s="62" t="inlineStr">
        <is>
          <t>Nada como la tragedia venezolana, que se desarrolla ante nuestros ojos, para recordarnos que el mundo cambió de maneras fundamentales, algo que buena parte de nuestros actores, en todos los lugares del espectro político, aún no ha podido asimilar.</t>
        </is>
      </c>
      <c r="H100" s="62" t="n"/>
      <c r="I100" s="62" t="inlineStr">
        <is>
          <t>Hace no más de un par de años, las cosas con respecto al hermano país parecían absolutamente claras.</t>
        </is>
      </c>
      <c r="J100" s="38" t="n"/>
      <c r="K100" s="62" t="n"/>
      <c r="L100" s="38" t="n"/>
      <c r="M100" s="62" t="n"/>
      <c r="N100" s="38" t="n"/>
      <c r="O100" s="62" t="n"/>
      <c r="P100" s="38" t="n"/>
      <c r="Q100" s="62" t="n"/>
      <c r="R100" s="38" t="n"/>
      <c r="S100" s="62" t="n"/>
      <c r="T100" s="38" t="n"/>
      <c r="U100" s="62" t="n"/>
      <c r="V100" s="38" t="n"/>
      <c r="W100" s="62" t="n"/>
      <c r="X100" s="38" t="n"/>
      <c r="Y100" s="62" t="n"/>
      <c r="Z100" s="38" t="n"/>
      <c r="AA100" s="62" t="n"/>
      <c r="AB100" s="38" t="n"/>
      <c r="AC100" s="62" t="n"/>
      <c r="AD100" s="38" t="n"/>
      <c r="AE100" s="38" t="n"/>
      <c r="AF100" s="61">
        <f>IF(COUNTIF($B$5:B100,B100)=1,1,0)</f>
        <v/>
      </c>
      <c r="AG100" s="62" t="inlineStr">
        <is>
          <t>https://www.elespectador.com/opinion/columnistas/francisco-gutierrez-sanin/la-metamorfosis/</t>
        </is>
      </c>
    </row>
    <row r="101" ht="15" customHeight="1" s="31">
      <c r="A101" s="38" t="inlineStr">
        <is>
          <t>ART_011</t>
        </is>
      </c>
      <c r="B101" s="38" t="inlineStr">
        <is>
          <t>ART_011_S02</t>
        </is>
      </c>
      <c r="C101" s="38" t="inlineStr">
        <is>
          <t>El Espectador</t>
        </is>
      </c>
      <c r="D101" s="38" t="inlineStr">
        <is>
          <t>Relación con Estados Unidos</t>
        </is>
      </c>
      <c r="E101" s="38" t="inlineStr">
        <is>
          <t>Opinión-análisis</t>
        </is>
      </c>
      <c r="F101" s="38" t="inlineStr">
        <is>
          <t>Fri, 04 Sep 2026 14:46:43 +0000</t>
        </is>
      </c>
      <c r="G101" s="62" t="inlineStr">
        <is>
          <t>Hace no más de un par de años, las cosas con respecto al hermano país parecían absolutamente claras.</t>
        </is>
      </c>
      <c r="H101" s="62" t="inlineStr">
        <is>
          <t>Nada como la tragedia venezolana, que se desarrolla ante nuestros ojos, para recordarnos que el mundo cambió de maneras fundamentales, algo que buena parte de nuestros actores, en todos los lugares del espectro político, aún no ha podido asimilar.</t>
        </is>
      </c>
      <c r="I101" s="62" t="inlineStr">
        <is>
          <t>Para unos, se trataba del gran proyecto transformador latinoamericano.</t>
        </is>
      </c>
      <c r="J101" s="38" t="n"/>
      <c r="K101" s="62" t="n"/>
      <c r="L101" s="38" t="n"/>
      <c r="M101" s="62" t="n"/>
      <c r="N101" s="38" t="n"/>
      <c r="O101" s="62" t="n"/>
      <c r="P101" s="38" t="n"/>
      <c r="Q101" s="62" t="n"/>
      <c r="R101" s="38" t="n"/>
      <c r="S101" s="62" t="n"/>
      <c r="T101" s="38" t="n"/>
      <c r="U101" s="62" t="n"/>
      <c r="V101" s="38" t="n"/>
      <c r="W101" s="62" t="n"/>
      <c r="X101" s="38" t="n"/>
      <c r="Y101" s="62" t="n"/>
      <c r="Z101" s="38" t="n"/>
      <c r="AA101" s="62" t="n"/>
      <c r="AB101" s="38" t="n"/>
      <c r="AC101" s="62" t="n"/>
      <c r="AD101" s="38" t="n"/>
      <c r="AE101" s="38" t="n"/>
      <c r="AF101" s="61">
        <f>IF(COUNTIF($B$5:B101,B101)=1,1,0)</f>
        <v/>
      </c>
      <c r="AG101" s="62" t="inlineStr">
        <is>
          <t>https://www.elespectador.com/opinion/columnistas/francisco-gutierrez-sanin/la-metamorfosis/</t>
        </is>
      </c>
    </row>
    <row r="102" ht="15" customHeight="1" s="31">
      <c r="A102" s="38" t="inlineStr">
        <is>
          <t>ART_011</t>
        </is>
      </c>
      <c r="B102" s="38" t="inlineStr">
        <is>
          <t>ART_011_S03</t>
        </is>
      </c>
      <c r="C102" s="38" t="inlineStr">
        <is>
          <t>El Espectador</t>
        </is>
      </c>
      <c r="D102" s="38" t="inlineStr">
        <is>
          <t>Relación con Estados Unidos</t>
        </is>
      </c>
      <c r="E102" s="38" t="inlineStr">
        <is>
          <t>Opinión-análisis</t>
        </is>
      </c>
      <c r="F102" s="38" t="inlineStr">
        <is>
          <t>Fri, 04 Sep 2026 14:46:43 +0000</t>
        </is>
      </c>
      <c r="G102" s="62" t="inlineStr">
        <is>
          <t>Para unos, se trataba del gran proyecto transformador latinoamericano.</t>
        </is>
      </c>
      <c r="H102" s="62" t="inlineStr">
        <is>
          <t>Hace no más de un par de años, las cosas con respecto al hermano país parecían absolutamente claras.</t>
        </is>
      </c>
      <c r="I102" s="62" t="inlineStr">
        <is>
          <t>Para otros, que constituían en Colombia la corriente principal, era una dictadura monstruosa e inédita a la que necesitábamos echar por tierra.</t>
        </is>
      </c>
      <c r="J102" s="38" t="n"/>
      <c r="K102" s="62" t="n"/>
      <c r="L102" s="38" t="n"/>
      <c r="M102" s="62" t="n"/>
      <c r="N102" s="38" t="n"/>
      <c r="O102" s="62" t="n"/>
      <c r="P102" s="38" t="n"/>
      <c r="Q102" s="62" t="n"/>
      <c r="R102" s="38" t="n"/>
      <c r="S102" s="62" t="n"/>
      <c r="T102" s="38" t="n"/>
      <c r="U102" s="62" t="n"/>
      <c r="V102" s="38" t="n"/>
      <c r="W102" s="62" t="n"/>
      <c r="X102" s="38" t="n"/>
      <c r="Y102" s="62" t="n"/>
      <c r="Z102" s="38" t="n"/>
      <c r="AA102" s="62" t="n"/>
      <c r="AB102" s="38" t="n"/>
      <c r="AC102" s="62" t="n"/>
      <c r="AD102" s="38" t="n"/>
      <c r="AE102" s="38" t="n"/>
      <c r="AF102" s="61">
        <f>IF(COUNTIF($B$5:B102,B102)=1,1,0)</f>
        <v/>
      </c>
      <c r="AG102" s="62" t="inlineStr">
        <is>
          <t>https://www.elespectador.com/opinion/columnistas/francisco-gutierrez-sanin/la-metamorfosis/</t>
        </is>
      </c>
    </row>
    <row r="103" ht="15" customHeight="1" s="31">
      <c r="A103" s="38" t="inlineStr">
        <is>
          <t>ART_011</t>
        </is>
      </c>
      <c r="B103" s="38" t="inlineStr">
        <is>
          <t>ART_011_S04</t>
        </is>
      </c>
      <c r="C103" s="38" t="inlineStr">
        <is>
          <t>El Espectador</t>
        </is>
      </c>
      <c r="D103" s="38" t="inlineStr">
        <is>
          <t>Relación con Estados Unidos</t>
        </is>
      </c>
      <c r="E103" s="38" t="inlineStr">
        <is>
          <t>Opinión-análisis</t>
        </is>
      </c>
      <c r="F103" s="38" t="inlineStr">
        <is>
          <t>Fri, 04 Sep 2026 14:46:43 +0000</t>
        </is>
      </c>
      <c r="G103" s="62" t="inlineStr">
        <is>
          <t>Para otros, que constituían en Colombia la corriente principal, era una dictadura monstruosa e inédita a la que necesitábamos echar por tierra.</t>
        </is>
      </c>
      <c r="H103" s="62" t="inlineStr">
        <is>
          <t>Para unos, se trataba del gran proyecto transformador latinoamericano.</t>
        </is>
      </c>
      <c r="I103" s="62" t="inlineStr">
        <is>
          <t>Iván Duque, de hecho, intentó hacerlo con conciertos de música para planchar en nuestra larga frontera (una de las poquísimas cosas de su gobierno que recuerdo con regocijo).</t>
        </is>
      </c>
      <c r="J103" s="38" t="n"/>
      <c r="K103" s="62" t="n"/>
      <c r="L103" s="38" t="n"/>
      <c r="M103" s="62" t="n"/>
      <c r="N103" s="38" t="n"/>
      <c r="O103" s="62" t="n"/>
      <c r="P103" s="38" t="n"/>
      <c r="Q103" s="62" t="n"/>
      <c r="R103" s="38" t="n"/>
      <c r="S103" s="62" t="n"/>
      <c r="T103" s="38" t="n"/>
      <c r="U103" s="62" t="n"/>
      <c r="V103" s="38" t="n"/>
      <c r="W103" s="62" t="n"/>
      <c r="X103" s="38" t="n"/>
      <c r="Y103" s="62" t="n"/>
      <c r="Z103" s="38" t="n"/>
      <c r="AA103" s="62" t="n"/>
      <c r="AB103" s="38" t="n"/>
      <c r="AC103" s="62" t="n"/>
      <c r="AD103" s="38" t="n"/>
      <c r="AE103" s="38" t="n"/>
      <c r="AF103" s="61">
        <f>IF(COUNTIF($B$5:B103,B103)=1,1,0)</f>
        <v/>
      </c>
      <c r="AG103" s="62" t="inlineStr">
        <is>
          <t>https://www.elespectador.com/opinion/columnistas/francisco-gutierrez-sanin/la-metamorfosis/</t>
        </is>
      </c>
    </row>
    <row r="104" ht="15" customHeight="1" s="31">
      <c r="A104" s="38" t="inlineStr">
        <is>
          <t>ART_011</t>
        </is>
      </c>
      <c r="B104" s="38" t="inlineStr">
        <is>
          <t>ART_011_S05</t>
        </is>
      </c>
      <c r="C104" s="38" t="inlineStr">
        <is>
          <t>El Espectador</t>
        </is>
      </c>
      <c r="D104" s="38" t="inlineStr">
        <is>
          <t>Relación con Estados Unidos</t>
        </is>
      </c>
      <c r="E104" s="38" t="inlineStr">
        <is>
          <t>Opinión-análisis</t>
        </is>
      </c>
      <c r="F104" s="38" t="inlineStr">
        <is>
          <t>Fri, 04 Sep 2026 14:46:43 +0000</t>
        </is>
      </c>
      <c r="G104" s="62" t="inlineStr">
        <is>
          <t>Iván Duque, de hecho, intentó hacerlo con conciertos de música para planchar en nuestra larga frontera (una de las poquísimas cosas de su gobierno que recuerdo con regocijo).</t>
        </is>
      </c>
      <c r="H104" s="62" t="inlineStr">
        <is>
          <t>Para otros, que constituían en Colombia la corriente principal, era una dictadura monstruosa e inédita a la que necesitábamos echar por tierra.</t>
        </is>
      </c>
      <c r="I104" s="62" t="inlineStr">
        <is>
          <t>Y, mientras eso sucedía, al menos, afirmaban importantes voceros de opinión de distintas tendencias, tocaba romper relaciones diplomáticas con ella.</t>
        </is>
      </c>
      <c r="J104" s="38" t="n"/>
      <c r="K104" s="62" t="n"/>
      <c r="L104" s="38" t="n"/>
      <c r="M104" s="62" t="n"/>
      <c r="N104" s="38" t="n"/>
      <c r="O104" s="62" t="n"/>
      <c r="P104" s="38" t="n"/>
      <c r="Q104" s="62" t="n"/>
      <c r="R104" s="38" t="n"/>
      <c r="S104" s="62" t="n"/>
      <c r="T104" s="38" t="n"/>
      <c r="U104" s="62" t="n"/>
      <c r="V104" s="38" t="n"/>
      <c r="W104" s="62" t="n"/>
      <c r="X104" s="38" t="n"/>
      <c r="Y104" s="62" t="n"/>
      <c r="Z104" s="38" t="n"/>
      <c r="AA104" s="62" t="n"/>
      <c r="AB104" s="38" t="n"/>
      <c r="AC104" s="62" t="n"/>
      <c r="AD104" s="38" t="n"/>
      <c r="AE104" s="38" t="n"/>
      <c r="AF104" s="61">
        <f>IF(COUNTIF($B$5:B104,B104)=1,1,0)</f>
        <v/>
      </c>
      <c r="AG104" s="62" t="inlineStr">
        <is>
          <t>https://www.elespectador.com/opinion/columnistas/francisco-gutierrez-sanin/la-metamorfosis/</t>
        </is>
      </c>
    </row>
    <row r="105" ht="15" customHeight="1" s="31">
      <c r="A105" s="38" t="inlineStr">
        <is>
          <t>ART_011</t>
        </is>
      </c>
      <c r="B105" s="38" t="inlineStr">
        <is>
          <t>ART_011_S06</t>
        </is>
      </c>
      <c r="C105" s="38" t="inlineStr">
        <is>
          <t>El Espectador</t>
        </is>
      </c>
      <c r="D105" s="38" t="inlineStr">
        <is>
          <t>Relación con Estados Unidos</t>
        </is>
      </c>
      <c r="E105" s="38" t="inlineStr">
        <is>
          <t>Opinión-análisis</t>
        </is>
      </c>
      <c r="F105" s="38" t="inlineStr">
        <is>
          <t>Fri, 04 Sep 2026 14:46:43 +0000</t>
        </is>
      </c>
      <c r="G105" s="62" t="inlineStr">
        <is>
          <t>Y, mientras eso sucedía, al menos, afirmaban importantes voceros de opinión de distintas tendencias, tocaba romper relaciones diplomáticas con ella.</t>
        </is>
      </c>
      <c r="H105" s="62" t="inlineStr">
        <is>
          <t>Iván Duque, de hecho, intentó hacerlo con conciertos de música para planchar en nuestra larga frontera (una de las poquísimas cosas de su gobierno que recuerdo con regocijo).</t>
        </is>
      </c>
      <c r="I105" s="62" t="inlineStr">
        <is>
          <t>Hoy, mientras el dueto Trump-Rubio acaba de firmar con la delfín del “castrochavismo”, Delcy Rodríguez, un acuerdo neocolonial para succionar el petróleo venezolano, el silencio analítico sobre lo que está pasando es abrumador.</t>
        </is>
      </c>
      <c r="J105" s="38" t="n"/>
      <c r="K105" s="62" t="n"/>
      <c r="L105" s="38" t="n"/>
      <c r="M105" s="62" t="n"/>
      <c r="N105" s="38" t="n"/>
      <c r="O105" s="62" t="n"/>
      <c r="P105" s="38" t="n"/>
      <c r="Q105" s="62" t="n"/>
      <c r="R105" s="38" t="n"/>
      <c r="S105" s="62" t="n"/>
      <c r="T105" s="38" t="n"/>
      <c r="U105" s="62" t="n"/>
      <c r="V105" s="38" t="n"/>
      <c r="W105" s="62" t="n"/>
      <c r="X105" s="38" t="n"/>
      <c r="Y105" s="62" t="n"/>
      <c r="Z105" s="38" t="n"/>
      <c r="AA105" s="62" t="n"/>
      <c r="AB105" s="38" t="n"/>
      <c r="AC105" s="62" t="n"/>
      <c r="AD105" s="38" t="n"/>
      <c r="AE105" s="38" t="n"/>
      <c r="AF105" s="61">
        <f>IF(COUNTIF($B$5:B105,B105)=1,1,0)</f>
        <v/>
      </c>
      <c r="AG105" s="62" t="inlineStr">
        <is>
          <t>https://www.elespectador.com/opinion/columnistas/francisco-gutierrez-sanin/la-metamorfosis/</t>
        </is>
      </c>
    </row>
    <row r="106" ht="15" customHeight="1" s="31">
      <c r="A106" s="38" t="inlineStr">
        <is>
          <t>ART_011</t>
        </is>
      </c>
      <c r="B106" s="38" t="inlineStr">
        <is>
          <t>ART_011_S07</t>
        </is>
      </c>
      <c r="C106" s="38" t="inlineStr">
        <is>
          <t>El Espectador</t>
        </is>
      </c>
      <c r="D106" s="38" t="inlineStr">
        <is>
          <t>Relación con Estados Unidos</t>
        </is>
      </c>
      <c r="E106" s="38" t="inlineStr">
        <is>
          <t>Opinión-análisis</t>
        </is>
      </c>
      <c r="F106" s="38" t="inlineStr">
        <is>
          <t>Fri, 04 Sep 2026 14:46:43 +0000</t>
        </is>
      </c>
      <c r="G106" s="62" t="inlineStr">
        <is>
          <t>Hoy, mientras el dueto Trump-Rubio acaba de firmar con la delfín del “castrochavismo”, Delcy Rodríguez, un acuerdo neocolonial para succionar el petróleo venezolano, el silencio analítico sobre lo que está pasando es abrumador.</t>
        </is>
      </c>
      <c r="H106" s="62" t="inlineStr">
        <is>
          <t>Y, mientras eso sucedía, al menos, afirmaban importantes voceros de opinión de distintas tendencias, tocaba romper relaciones diplomáticas con ella.</t>
        </is>
      </c>
      <c r="I106" s="62" t="inlineStr">
        <is>
          <t>Podría deleitarme con el sinfín de preguntas sin contestar y de contabilidades por partida doble que ha generado entre nosotros el episodio.</t>
        </is>
      </c>
      <c r="J106" s="38" t="n"/>
      <c r="K106" s="62" t="n"/>
      <c r="L106" s="38" t="n"/>
      <c r="M106" s="62" t="n"/>
      <c r="N106" s="38" t="n"/>
      <c r="O106" s="62" t="n"/>
      <c r="P106" s="38" t="n"/>
      <c r="Q106" s="62" t="n"/>
      <c r="R106" s="38" t="n"/>
      <c r="S106" s="62" t="n"/>
      <c r="T106" s="38" t="n"/>
      <c r="U106" s="62" t="n"/>
      <c r="V106" s="38" t="n"/>
      <c r="W106" s="62" t="n"/>
      <c r="X106" s="38" t="n"/>
      <c r="Y106" s="62" t="n"/>
      <c r="Z106" s="38" t="n"/>
      <c r="AA106" s="62" t="n"/>
      <c r="AB106" s="38" t="n"/>
      <c r="AC106" s="62" t="n"/>
      <c r="AD106" s="38" t="n"/>
      <c r="AE106" s="38" t="n"/>
      <c r="AF106" s="61">
        <f>IF(COUNTIF($B$5:B106,B106)=1,1,0)</f>
        <v/>
      </c>
      <c r="AG106" s="62" t="inlineStr">
        <is>
          <t>https://www.elespectador.com/opinion/columnistas/francisco-gutierrez-sanin/la-metamorfosis/</t>
        </is>
      </c>
    </row>
    <row r="107" ht="15" customHeight="1" s="31">
      <c r="A107" s="38" t="inlineStr">
        <is>
          <t>ART_011</t>
        </is>
      </c>
      <c r="B107" s="38" t="inlineStr">
        <is>
          <t>ART_011_S08</t>
        </is>
      </c>
      <c r="C107" s="38" t="inlineStr">
        <is>
          <t>El Espectador</t>
        </is>
      </c>
      <c r="D107" s="38" t="inlineStr">
        <is>
          <t>Relación con Estados Unidos</t>
        </is>
      </c>
      <c r="E107" s="38" t="inlineStr">
        <is>
          <t>Opinión-análisis</t>
        </is>
      </c>
      <c r="F107" s="38" t="inlineStr">
        <is>
          <t>Fri, 04 Sep 2026 14:46:43 +0000</t>
        </is>
      </c>
      <c r="G107" s="62" t="inlineStr">
        <is>
          <t>Podría deleitarme con el sinfín de preguntas sin contestar y de contabilidades por partida doble que ha generado entre nosotros el episodio.</t>
        </is>
      </c>
      <c r="H107" s="62" t="inlineStr">
        <is>
          <t>Hoy, mientras el dueto Trump-Rubio acaba de firmar con la delfín del “castrochavismo”, Delcy Rodríguez, un acuerdo neocolonial para succionar el petróleo venezolano, el silencio analítico sobre lo que está pasando es abrumador.</t>
        </is>
      </c>
      <c r="I107" s="62" t="inlineStr">
        <is>
          <t>¿Cómo explicar que el gran proyecto terminó como administrador del control neocolonial estadounidense?</t>
        </is>
      </c>
      <c r="J107" s="38" t="n"/>
      <c r="K107" s="62" t="n"/>
      <c r="L107" s="38" t="n"/>
      <c r="M107" s="62" t="n"/>
      <c r="N107" s="38" t="n"/>
      <c r="O107" s="62" t="n"/>
      <c r="P107" s="38" t="n"/>
      <c r="Q107" s="62" t="n"/>
      <c r="R107" s="38" t="n"/>
      <c r="S107" s="62" t="n"/>
      <c r="T107" s="38" t="n"/>
      <c r="U107" s="62" t="n"/>
      <c r="V107" s="38" t="n"/>
      <c r="W107" s="62" t="n"/>
      <c r="X107" s="38" t="n"/>
      <c r="Y107" s="62" t="n"/>
      <c r="Z107" s="38" t="n"/>
      <c r="AA107" s="62" t="n"/>
      <c r="AB107" s="38" t="n"/>
      <c r="AC107" s="62" t="n"/>
      <c r="AD107" s="38" t="n"/>
      <c r="AE107" s="38" t="n"/>
      <c r="AF107" s="61">
        <f>IF(COUNTIF($B$5:B107,B107)=1,1,0)</f>
        <v/>
      </c>
      <c r="AG107" s="62" t="inlineStr">
        <is>
          <t>https://www.elespectador.com/opinion/columnistas/francisco-gutierrez-sanin/la-metamorfosis/</t>
        </is>
      </c>
    </row>
    <row r="108" ht="15" customHeight="1" s="31">
      <c r="A108" s="38" t="inlineStr">
        <is>
          <t>ART_011</t>
        </is>
      </c>
      <c r="B108" s="38" t="inlineStr">
        <is>
          <t>ART_011_S09</t>
        </is>
      </c>
      <c r="C108" s="38" t="inlineStr">
        <is>
          <t>El Espectador</t>
        </is>
      </c>
      <c r="D108" s="38" t="inlineStr">
        <is>
          <t>Relación con Estados Unidos</t>
        </is>
      </c>
      <c r="E108" s="38" t="inlineStr">
        <is>
          <t>Opinión-análisis</t>
        </is>
      </c>
      <c r="F108" s="38" t="inlineStr">
        <is>
          <t>Fri, 04 Sep 2026 14:46:43 +0000</t>
        </is>
      </c>
      <c r="G108" s="62" t="inlineStr">
        <is>
          <t>¿Cómo explicar que el gran proyecto terminó como administrador del control neocolonial estadounidense?</t>
        </is>
      </c>
      <c r="H108" s="62" t="inlineStr">
        <is>
          <t>Podría deleitarme con el sinfín de preguntas sin contestar y de contabilidades por partida doble que ha generado entre nosotros el episodio.</t>
        </is>
      </c>
      <c r="I108" s="62" t="inlineStr">
        <is>
          <t>¿Por qué la lucha por la democracia y los llamados patéticos a romper con la intolerable dictadura llegaron repentinamente a su fin una vez que ella se volvió aliada de la potencia del norte?</t>
        </is>
      </c>
      <c r="J108" s="38" t="n"/>
      <c r="K108" s="62" t="n"/>
      <c r="L108" s="38" t="n"/>
      <c r="M108" s="62" t="n"/>
      <c r="N108" s="38" t="n"/>
      <c r="O108" s="62" t="n"/>
      <c r="P108" s="38" t="n"/>
      <c r="Q108" s="62" t="n"/>
      <c r="R108" s="38" t="n"/>
      <c r="S108" s="62" t="n"/>
      <c r="T108" s="38" t="n"/>
      <c r="U108" s="62" t="n"/>
      <c r="V108" s="38" t="n"/>
      <c r="W108" s="62" t="n"/>
      <c r="X108" s="38" t="n"/>
      <c r="Y108" s="62" t="n"/>
      <c r="Z108" s="38" t="n"/>
      <c r="AA108" s="62" t="n"/>
      <c r="AB108" s="38" t="n"/>
      <c r="AC108" s="62" t="n"/>
      <c r="AD108" s="38" t="n"/>
      <c r="AE108" s="38" t="n"/>
      <c r="AF108" s="61">
        <f>IF(COUNTIF($B$5:B108,B108)=1,1,0)</f>
        <v/>
      </c>
      <c r="AG108" s="62" t="inlineStr">
        <is>
          <t>https://www.elespectador.com/opinion/columnistas/francisco-gutierrez-sanin/la-metamorfosis/</t>
        </is>
      </c>
    </row>
    <row r="109" ht="15" customHeight="1" s="31">
      <c r="A109" s="38" t="inlineStr">
        <is>
          <t>ART_011</t>
        </is>
      </c>
      <c r="B109" s="38" t="inlineStr">
        <is>
          <t>ART_011_S10</t>
        </is>
      </c>
      <c r="C109" s="38" t="inlineStr">
        <is>
          <t>El Espectador</t>
        </is>
      </c>
      <c r="D109" s="38" t="inlineStr">
        <is>
          <t>Relación con Estados Unidos</t>
        </is>
      </c>
      <c r="E109" s="38" t="inlineStr">
        <is>
          <t>Opinión-análisis</t>
        </is>
      </c>
      <c r="F109" s="38" t="inlineStr">
        <is>
          <t>Fri, 04 Sep 2026 14:46:43 +0000</t>
        </is>
      </c>
      <c r="G109" s="62" t="inlineStr">
        <is>
          <t>¿Por qué la lucha por la democracia y los llamados patéticos a romper con la intolerable dictadura llegaron repentinamente a su fin una vez que ella se volvió aliada de la potencia del norte?</t>
        </is>
      </c>
      <c r="H109" s="62" t="inlineStr">
        <is>
          <t>¿Cómo explicar que el gran proyecto terminó como administrador del control neocolonial estadounidense?</t>
        </is>
      </c>
      <c r="I109" s="62" t="inlineStr">
        <is>
          <t>¿Dónde quedaron las exigencias urgentes de ruptura diplomática?</t>
        </is>
      </c>
      <c r="J109" s="38" t="n"/>
      <c r="K109" s="62" t="n"/>
      <c r="L109" s="38" t="n"/>
      <c r="M109" s="62" t="n"/>
      <c r="N109" s="38" t="n"/>
      <c r="O109" s="62" t="n"/>
      <c r="P109" s="38" t="n"/>
      <c r="Q109" s="62" t="n"/>
      <c r="R109" s="38" t="n"/>
      <c r="S109" s="62" t="n"/>
      <c r="T109" s="38" t="n"/>
      <c r="U109" s="62" t="n"/>
      <c r="V109" s="38" t="n"/>
      <c r="W109" s="62" t="n"/>
      <c r="X109" s="38" t="n"/>
      <c r="Y109" s="62" t="n"/>
      <c r="Z109" s="38" t="n"/>
      <c r="AA109" s="62" t="n"/>
      <c r="AB109" s="38" t="n"/>
      <c r="AC109" s="62" t="n"/>
      <c r="AD109" s="38" t="n"/>
      <c r="AE109" s="38" t="n"/>
      <c r="AF109" s="61">
        <f>IF(COUNTIF($B$5:B109,B109)=1,1,0)</f>
        <v/>
      </c>
      <c r="AG109" s="62" t="inlineStr">
        <is>
          <t>https://www.elespectador.com/opinion/columnistas/francisco-gutierrez-sanin/la-metamorfosis/</t>
        </is>
      </c>
    </row>
    <row r="110" ht="15" customHeight="1" s="31">
      <c r="A110" s="38" t="inlineStr">
        <is>
          <t>ART_011</t>
        </is>
      </c>
      <c r="B110" s="38" t="inlineStr">
        <is>
          <t>ART_011_S11</t>
        </is>
      </c>
      <c r="C110" s="38" t="inlineStr">
        <is>
          <t>El Espectador</t>
        </is>
      </c>
      <c r="D110" s="38" t="inlineStr">
        <is>
          <t>Relación con Estados Unidos</t>
        </is>
      </c>
      <c r="E110" s="38" t="inlineStr">
        <is>
          <t>Opinión-análisis</t>
        </is>
      </c>
      <c r="F110" s="38" t="inlineStr">
        <is>
          <t>Fri, 04 Sep 2026 14:46:43 +0000</t>
        </is>
      </c>
      <c r="G110" s="62" t="inlineStr">
        <is>
          <t>¿Dónde quedaron las exigencias urgentes de ruptura diplomática?</t>
        </is>
      </c>
      <c r="H110" s="62" t="inlineStr">
        <is>
          <t>¿Por qué la lucha por la democracia y los llamados patéticos a romper con la intolerable dictadura llegaron repentinamente a su fin una vez que ella se volvió aliada de la potencia del norte?</t>
        </is>
      </c>
      <c r="I110" s="62" t="inlineStr">
        <is>
          <t>Pero la situación es demasiado seria –y demasiado interesante– como para darle mucho tiempo y gusto a la tentación de trollear (uno de los buenos neologismos de nuestro tiempo).</t>
        </is>
      </c>
      <c r="J110" s="38" t="n"/>
      <c r="K110" s="62" t="n"/>
      <c r="L110" s="38" t="n"/>
      <c r="M110" s="62" t="n"/>
      <c r="N110" s="38" t="n"/>
      <c r="O110" s="62" t="n"/>
      <c r="P110" s="38" t="n"/>
      <c r="Q110" s="62" t="n"/>
      <c r="R110" s="38" t="n"/>
      <c r="S110" s="62" t="n"/>
      <c r="T110" s="38" t="n"/>
      <c r="U110" s="62" t="n"/>
      <c r="V110" s="38" t="n"/>
      <c r="W110" s="62" t="n"/>
      <c r="X110" s="38" t="n"/>
      <c r="Y110" s="62" t="n"/>
      <c r="Z110" s="38" t="n"/>
      <c r="AA110" s="62" t="n"/>
      <c r="AB110" s="38" t="n"/>
      <c r="AC110" s="62" t="n"/>
      <c r="AD110" s="38" t="n"/>
      <c r="AE110" s="38" t="n"/>
      <c r="AF110" s="61">
        <f>IF(COUNTIF($B$5:B110,B110)=1,1,0)</f>
        <v/>
      </c>
      <c r="AG110" s="62" t="inlineStr">
        <is>
          <t>https://www.elespectador.com/opinion/columnistas/francisco-gutierrez-sanin/la-metamorfosis/</t>
        </is>
      </c>
    </row>
    <row r="111" ht="15" customHeight="1" s="31">
      <c r="A111" s="38" t="inlineStr">
        <is>
          <t>ART_011</t>
        </is>
      </c>
      <c r="B111" s="38" t="inlineStr">
        <is>
          <t>ART_011_S12</t>
        </is>
      </c>
      <c r="C111" s="38" t="inlineStr">
        <is>
          <t>El Espectador</t>
        </is>
      </c>
      <c r="D111" s="38" t="inlineStr">
        <is>
          <t>Relación con Estados Unidos</t>
        </is>
      </c>
      <c r="E111" s="38" t="inlineStr">
        <is>
          <t>Opinión-análisis</t>
        </is>
      </c>
      <c r="F111" s="38" t="inlineStr">
        <is>
          <t>Fri, 04 Sep 2026 14:46:43 +0000</t>
        </is>
      </c>
      <c r="G111" s="62" t="inlineStr">
        <is>
          <t>Pero la situación es demasiado seria –y demasiado interesante– como para darle mucho tiempo y gusto a la tentación de trollear (uno de los buenos neologismos de nuestro tiempo).</t>
        </is>
      </c>
      <c r="H111" s="62" t="inlineStr">
        <is>
          <t>¿Dónde quedaron las exigencias urgentes de ruptura diplomática?</t>
        </is>
      </c>
      <c r="I111" s="62" t="inlineStr">
        <is>
          <t>Sería fundamental tratar de entender por qué estamos frente a este episodio, inimaginable hasta hace tan poco.</t>
        </is>
      </c>
      <c r="J111" s="38" t="n"/>
      <c r="K111" s="62" t="n"/>
      <c r="L111" s="38" t="n"/>
      <c r="M111" s="62" t="n"/>
      <c r="N111" s="38" t="n"/>
      <c r="O111" s="62" t="n"/>
      <c r="P111" s="38" t="n"/>
      <c r="Q111" s="62" t="n"/>
      <c r="R111" s="38" t="n"/>
      <c r="S111" s="62" t="n"/>
      <c r="T111" s="38" t="n"/>
      <c r="U111" s="62" t="n"/>
      <c r="V111" s="38" t="n"/>
      <c r="W111" s="62" t="n"/>
      <c r="X111" s="38" t="n"/>
      <c r="Y111" s="62" t="n"/>
      <c r="Z111" s="38" t="n"/>
      <c r="AA111" s="62" t="n"/>
      <c r="AB111" s="38" t="n"/>
      <c r="AC111" s="62" t="n"/>
      <c r="AD111" s="38" t="n"/>
      <c r="AE111" s="38" t="n"/>
      <c r="AF111" s="61">
        <f>IF(COUNTIF($B$5:B111,B111)=1,1,0)</f>
        <v/>
      </c>
      <c r="AG111" s="62" t="inlineStr">
        <is>
          <t>https://www.elespectador.com/opinion/columnistas/francisco-gutierrez-sanin/la-metamorfosis/</t>
        </is>
      </c>
    </row>
    <row r="112" ht="15" customHeight="1" s="31">
      <c r="A112" s="38" t="inlineStr">
        <is>
          <t>ART_011</t>
        </is>
      </c>
      <c r="B112" s="38" t="inlineStr">
        <is>
          <t>ART_011_S13</t>
        </is>
      </c>
      <c r="C112" s="38" t="inlineStr">
        <is>
          <t>El Espectador</t>
        </is>
      </c>
      <c r="D112" s="38" t="inlineStr">
        <is>
          <t>Relación con Estados Unidos</t>
        </is>
      </c>
      <c r="E112" s="38" t="inlineStr">
        <is>
          <t>Opinión-análisis</t>
        </is>
      </c>
      <c r="F112" s="38" t="inlineStr">
        <is>
          <t>Fri, 04 Sep 2026 14:46:43 +0000</t>
        </is>
      </c>
      <c r="G112" s="62" t="inlineStr">
        <is>
          <t>Sería fundamental tratar de entender por qué estamos frente a este episodio, inimaginable hasta hace tan poco.</t>
        </is>
      </c>
      <c r="H112" s="62" t="inlineStr">
        <is>
          <t>Pero la situación es demasiado seria –y demasiado interesante– como para darle mucho tiempo y gusto a la tentación de trollear (uno de los buenos neologismos de nuestro tiempo).</t>
        </is>
      </c>
      <c r="I112" s="62" t="inlineStr">
        <is>
          <t>La explicación de los incentivos inmediatos de los actores principales de este drama es relativamente rectilínea.</t>
        </is>
      </c>
      <c r="J112" s="38" t="n"/>
      <c r="K112" s="62" t="n"/>
      <c r="L112" s="38" t="n"/>
      <c r="M112" s="62" t="n"/>
      <c r="N112" s="38" t="n"/>
      <c r="O112" s="62" t="n"/>
      <c r="P112" s="38" t="n"/>
      <c r="Q112" s="62" t="n"/>
      <c r="R112" s="38" t="n"/>
      <c r="S112" s="62" t="n"/>
      <c r="T112" s="38" t="n"/>
      <c r="U112" s="62" t="n"/>
      <c r="V112" s="38" t="n"/>
      <c r="W112" s="62" t="n"/>
      <c r="X112" s="38" t="n"/>
      <c r="Y112" s="62" t="n"/>
      <c r="Z112" s="38" t="n"/>
      <c r="AA112" s="62" t="n"/>
      <c r="AB112" s="38" t="n"/>
      <c r="AC112" s="62" t="n"/>
      <c r="AD112" s="38" t="n"/>
      <c r="AE112" s="38" t="n"/>
      <c r="AF112" s="61">
        <f>IF(COUNTIF($B$5:B112,B112)=1,1,0)</f>
        <v/>
      </c>
      <c r="AG112" s="62" t="inlineStr">
        <is>
          <t>https://www.elespectador.com/opinion/columnistas/francisco-gutierrez-sanin/la-metamorfosis/</t>
        </is>
      </c>
    </row>
    <row r="113" ht="15" customHeight="1" s="31">
      <c r="A113" s="38" t="inlineStr">
        <is>
          <t>ART_011</t>
        </is>
      </c>
      <c r="B113" s="38" t="inlineStr">
        <is>
          <t>ART_011_S14</t>
        </is>
      </c>
      <c r="C113" s="38" t="inlineStr">
        <is>
          <t>El Espectador</t>
        </is>
      </c>
      <c r="D113" s="38" t="inlineStr">
        <is>
          <t>Relación con Estados Unidos</t>
        </is>
      </c>
      <c r="E113" s="38" t="inlineStr">
        <is>
          <t>Opinión-análisis</t>
        </is>
      </c>
      <c r="F113" s="38" t="inlineStr">
        <is>
          <t>Fri, 04 Sep 2026 14:46:43 +0000</t>
        </is>
      </c>
      <c r="G113" s="62" t="inlineStr">
        <is>
          <t>La explicación de los incentivos inmediatos de los actores principales de este drama es relativamente rectilínea.</t>
        </is>
      </c>
      <c r="H113" s="62" t="inlineStr">
        <is>
          <t>Sería fundamental tratar de entender por qué estamos frente a este episodio, inimaginable hasta hace tan poco.</t>
        </is>
      </c>
      <c r="I113" s="62" t="n"/>
      <c r="J113" s="38" t="n"/>
      <c r="K113" s="62" t="n"/>
      <c r="L113" s="38" t="n"/>
      <c r="M113" s="62" t="n"/>
      <c r="N113" s="38" t="n"/>
      <c r="O113" s="62" t="n"/>
      <c r="P113" s="38" t="n"/>
      <c r="Q113" s="62" t="n"/>
      <c r="R113" s="38" t="n"/>
      <c r="S113" s="62" t="n"/>
      <c r="T113" s="38" t="n"/>
      <c r="U113" s="62" t="n"/>
      <c r="V113" s="38" t="n"/>
      <c r="W113" s="62" t="n"/>
      <c r="X113" s="38" t="n"/>
      <c r="Y113" s="62" t="n"/>
      <c r="Z113" s="38" t="n"/>
      <c r="AA113" s="62" t="n"/>
      <c r="AB113" s="38" t="n"/>
      <c r="AC113" s="62" t="n"/>
      <c r="AD113" s="38" t="n"/>
      <c r="AE113" s="38" t="n"/>
      <c r="AF113" s="61">
        <f>IF(COUNTIF($B$5:B113,B113)=1,1,0)</f>
        <v/>
      </c>
      <c r="AG113" s="62" t="inlineStr">
        <is>
          <t>https://www.elespectador.com/opinion/columnistas/francisco-gutierrez-sanin/la-metamorfosis/</t>
        </is>
      </c>
    </row>
    <row r="114" ht="15" customHeight="1" s="31">
      <c r="A114" s="38" t="inlineStr">
        <is>
          <t>ART_012</t>
        </is>
      </c>
      <c r="B114" s="38" t="inlineStr">
        <is>
          <t>ART_012_S01</t>
        </is>
      </c>
      <c r="C114" s="38" t="inlineStr">
        <is>
          <t>La Silla Vacía</t>
        </is>
      </c>
      <c r="D114" s="38" t="inlineStr">
        <is>
          <t>Transición de gobierno y relación con la oposición</t>
        </is>
      </c>
      <c r="E114" s="38" t="inlineStr">
        <is>
          <t>Noticia dura</t>
        </is>
      </c>
      <c r="F114" s="38" t="inlineStr">
        <is>
          <t>Fri, 04 Sep 2026 20:47:35 +0000</t>
        </is>
      </c>
      <c r="G114" s="62" t="inlineStr">
        <is>
          <t>Las Autodefensas Conquistadoras de la Sierra Nevada (Acsn) aseguraron que “no habrá retaliaciones” tras la muerte de uno de sus cabecillas, Naín Andrés Pérez, alias “Naín” o “Bendito Menor”.</t>
        </is>
      </c>
      <c r="H114" s="62" t="n"/>
      <c r="I114" s="62" t="inlineStr">
        <is>
          <t>Fue abatido en las últimas horas como resultado de un operativo conjunto entre el Ejército y la Policía en Riohacha (La Guajira) .</t>
        </is>
      </c>
      <c r="J114" s="38" t="n"/>
      <c r="K114" s="62" t="n"/>
      <c r="L114" s="38" t="n"/>
      <c r="M114" s="62" t="n"/>
      <c r="N114" s="38" t="n"/>
      <c r="O114" s="62" t="n"/>
      <c r="P114" s="38" t="n"/>
      <c r="Q114" s="62" t="n"/>
      <c r="R114" s="38" t="n"/>
      <c r="S114" s="62" t="n"/>
      <c r="T114" s="38" t="n"/>
      <c r="U114" s="62" t="n"/>
      <c r="V114" s="38" t="n"/>
      <c r="W114" s="62" t="n"/>
      <c r="X114" s="38" t="n"/>
      <c r="Y114" s="62" t="n"/>
      <c r="Z114" s="38" t="n"/>
      <c r="AA114" s="62" t="n"/>
      <c r="AB114" s="38" t="n"/>
      <c r="AC114" s="62" t="n"/>
      <c r="AD114" s="38" t="n"/>
      <c r="AE114" s="38" t="n"/>
      <c r="AF114" s="61">
        <f>IF(COUNTIF($B$5:B114,B114)=1,1,0)</f>
        <v/>
      </c>
      <c r="AG114" s="62" t="inlineStr">
        <is>
          <t>https://www.lasillavacia.com/en-vivo/no-habra-retaliaciones-acsn-tras-muerte-de-bendito-menor-en-operativo/</t>
        </is>
      </c>
    </row>
    <row r="115" ht="15" customHeight="1" s="31">
      <c r="A115" s="38" t="inlineStr">
        <is>
          <t>ART_012</t>
        </is>
      </c>
      <c r="B115" s="38" t="inlineStr">
        <is>
          <t>ART_012_S02</t>
        </is>
      </c>
      <c r="C115" s="38" t="inlineStr">
        <is>
          <t>La Silla Vacía</t>
        </is>
      </c>
      <c r="D115" s="38" t="inlineStr">
        <is>
          <t>Transición de gobierno y relación con la oposición</t>
        </is>
      </c>
      <c r="E115" s="38" t="inlineStr">
        <is>
          <t>Noticia dura</t>
        </is>
      </c>
      <c r="F115" s="38" t="inlineStr">
        <is>
          <t>Fri, 04 Sep 2026 20:47:35 +0000</t>
        </is>
      </c>
      <c r="G115" s="62" t="inlineStr">
        <is>
          <t>Fue abatido en las últimas horas como resultado de un operativo conjunto entre el Ejército y la Policía en Riohacha (La Guajira) .</t>
        </is>
      </c>
      <c r="H115" s="62" t="inlineStr">
        <is>
          <t>Las Autodefensas Conquistadoras de la Sierra Nevada (Acsn) aseguraron que “no habrá retaliaciones” tras la muerte de uno de sus cabecillas, Naín Andrés Pérez, alias “Naín” o “Bendito Menor”.</t>
        </is>
      </c>
      <c r="I115" s="62" t="inlineStr">
        <is>
          <t>“Hacemos un llamado a la población civil de la Sierra Nevada de Santa Marta y de los departamentos del Magdalena, La Guajira y Cesar a mantener la calma”, añadió en un comunicado el Estado Mayor de las Acsn.</t>
        </is>
      </c>
      <c r="J115" s="38" t="n"/>
      <c r="K115" s="62" t="n"/>
      <c r="L115" s="38" t="n"/>
      <c r="M115" s="62" t="n"/>
      <c r="N115" s="38" t="n"/>
      <c r="O115" s="62" t="n"/>
      <c r="P115" s="38" t="n"/>
      <c r="Q115" s="62" t="n"/>
      <c r="R115" s="38" t="n"/>
      <c r="S115" s="62" t="n"/>
      <c r="T115" s="38" t="n"/>
      <c r="U115" s="62" t="n"/>
      <c r="V115" s="38" t="n"/>
      <c r="W115" s="62" t="n"/>
      <c r="X115" s="38" t="n"/>
      <c r="Y115" s="62" t="n"/>
      <c r="Z115" s="38" t="n"/>
      <c r="AA115" s="62" t="n"/>
      <c r="AB115" s="38" t="n"/>
      <c r="AC115" s="62" t="n"/>
      <c r="AD115" s="38" t="n"/>
      <c r="AE115" s="38" t="n"/>
      <c r="AF115" s="61">
        <f>IF(COUNTIF($B$5:B115,B115)=1,1,0)</f>
        <v/>
      </c>
      <c r="AG115" s="62" t="inlineStr">
        <is>
          <t>https://www.lasillavacia.com/en-vivo/no-habra-retaliaciones-acsn-tras-muerte-de-bendito-menor-en-operativo/</t>
        </is>
      </c>
    </row>
    <row r="116" ht="15" customHeight="1" s="31">
      <c r="A116" s="38" t="inlineStr">
        <is>
          <t>ART_012</t>
        </is>
      </c>
      <c r="B116" s="38" t="inlineStr">
        <is>
          <t>ART_012_S03</t>
        </is>
      </c>
      <c r="C116" s="38" t="inlineStr">
        <is>
          <t>La Silla Vacía</t>
        </is>
      </c>
      <c r="D116" s="38" t="inlineStr">
        <is>
          <t>Transición de gobierno y relación con la oposición</t>
        </is>
      </c>
      <c r="E116" s="38" t="inlineStr">
        <is>
          <t>Noticia dura</t>
        </is>
      </c>
      <c r="F116" s="38" t="inlineStr">
        <is>
          <t>Fri, 04 Sep 2026 20:47:35 +0000</t>
        </is>
      </c>
      <c r="G116" s="62" t="inlineStr">
        <is>
          <t>“Hacemos un llamado a la población civil de la Sierra Nevada de Santa Marta y de los departamentos del Magdalena, La Guajira y Cesar a mantener la calma”, añadió en un comunicado el Estado Mayor de las Acsn.</t>
        </is>
      </c>
      <c r="H116" s="62" t="inlineStr">
        <is>
          <t>Fue abatido en las últimas horas como resultado de un operativo conjunto entre el Ejército y la Policía en Riohacha (La Guajira) .</t>
        </is>
      </c>
      <c r="I116" s="62" t="inlineStr">
        <is>
          <t>Sostuvo que el operativo supuso un “golpe a nuestra organización”, pero que no habrá respuesta.</t>
        </is>
      </c>
      <c r="J116" s="38" t="n"/>
      <c r="K116" s="62" t="n"/>
      <c r="L116" s="38" t="n"/>
      <c r="M116" s="62" t="n"/>
      <c r="N116" s="38" t="n"/>
      <c r="O116" s="62" t="n"/>
      <c r="P116" s="38" t="n"/>
      <c r="Q116" s="62" t="n"/>
      <c r="R116" s="38" t="n"/>
      <c r="S116" s="62" t="n"/>
      <c r="T116" s="38" t="n"/>
      <c r="U116" s="62" t="n"/>
      <c r="V116" s="38" t="n"/>
      <c r="W116" s="62" t="n"/>
      <c r="X116" s="38" t="n"/>
      <c r="Y116" s="62" t="n"/>
      <c r="Z116" s="38" t="n"/>
      <c r="AA116" s="62" t="n"/>
      <c r="AB116" s="38" t="n"/>
      <c r="AC116" s="62" t="n"/>
      <c r="AD116" s="38" t="n"/>
      <c r="AE116" s="38" t="n"/>
      <c r="AF116" s="61">
        <f>IF(COUNTIF($B$5:B116,B116)=1,1,0)</f>
        <v/>
      </c>
      <c r="AG116" s="62" t="inlineStr">
        <is>
          <t>https://www.lasillavacia.com/en-vivo/no-habra-retaliaciones-acsn-tras-muerte-de-bendito-menor-en-operativo/</t>
        </is>
      </c>
    </row>
    <row r="117" ht="15" customHeight="1" s="31">
      <c r="A117" s="38" t="inlineStr">
        <is>
          <t>ART_012</t>
        </is>
      </c>
      <c r="B117" s="38" t="inlineStr">
        <is>
          <t>ART_012_S04</t>
        </is>
      </c>
      <c r="C117" s="38" t="inlineStr">
        <is>
          <t>La Silla Vacía</t>
        </is>
      </c>
      <c r="D117" s="38" t="inlineStr">
        <is>
          <t>Transición de gobierno y relación con la oposición</t>
        </is>
      </c>
      <c r="E117" s="38" t="inlineStr">
        <is>
          <t>Noticia dura</t>
        </is>
      </c>
      <c r="F117" s="38" t="inlineStr">
        <is>
          <t>Fri, 04 Sep 2026 20:47:35 +0000</t>
        </is>
      </c>
      <c r="G117" s="62" t="inlineStr">
        <is>
          <t>Sostuvo que el operativo supuso un “golpe a nuestra organización”, pero que no habrá respuesta.</t>
        </is>
      </c>
      <c r="H117" s="62" t="inlineStr">
        <is>
          <t>“Hacemos un llamado a la población civil de la Sierra Nevada de Santa Marta y de los departamentos del Magdalena, La Guajira y Cesar a mantener la calma”, añadió en un comunicado el Estado Mayor de las Acsn.</t>
        </is>
      </c>
      <c r="I117" s="62" t="inlineStr">
        <is>
          <t>Comunicado a la opinión pública en general… pic.twitter.com/QQKq7X58mv</t>
        </is>
      </c>
      <c r="J117" s="38" t="n"/>
      <c r="K117" s="62" t="n"/>
      <c r="L117" s="38" t="n"/>
      <c r="M117" s="62" t="n"/>
      <c r="N117" s="38" t="n"/>
      <c r="O117" s="62" t="n"/>
      <c r="P117" s="38" t="n"/>
      <c r="Q117" s="62" t="n"/>
      <c r="R117" s="38" t="n"/>
      <c r="S117" s="62" t="n"/>
      <c r="T117" s="38" t="n"/>
      <c r="U117" s="62" t="n"/>
      <c r="V117" s="38" t="n"/>
      <c r="W117" s="62" t="n"/>
      <c r="X117" s="38" t="n"/>
      <c r="Y117" s="62" t="n"/>
      <c r="Z117" s="38" t="n"/>
      <c r="AA117" s="62" t="n"/>
      <c r="AB117" s="38" t="n"/>
      <c r="AC117" s="62" t="n"/>
      <c r="AD117" s="38" t="n"/>
      <c r="AE117" s="38" t="n"/>
      <c r="AF117" s="61">
        <f>IF(COUNTIF($B$5:B117,B117)=1,1,0)</f>
        <v/>
      </c>
      <c r="AG117" s="62" t="inlineStr">
        <is>
          <t>https://www.lasillavacia.com/en-vivo/no-habra-retaliaciones-acsn-tras-muerte-de-bendito-menor-en-operativo/</t>
        </is>
      </c>
    </row>
    <row r="118" ht="15" customHeight="1" s="31">
      <c r="A118" s="38" t="inlineStr">
        <is>
          <t>ART_012</t>
        </is>
      </c>
      <c r="B118" s="38" t="inlineStr">
        <is>
          <t>ART_012_S05</t>
        </is>
      </c>
      <c r="C118" s="38" t="inlineStr">
        <is>
          <t>La Silla Vacía</t>
        </is>
      </c>
      <c r="D118" s="38" t="inlineStr">
        <is>
          <t>Transición de gobierno y relación con la oposición</t>
        </is>
      </c>
      <c r="E118" s="38" t="inlineStr">
        <is>
          <t>Noticia dura</t>
        </is>
      </c>
      <c r="F118" s="38" t="inlineStr">
        <is>
          <t>Fri, 04 Sep 2026 20:47:35 +0000</t>
        </is>
      </c>
      <c r="G118" s="62" t="inlineStr">
        <is>
          <t>Comunicado a la opinión pública en general… pic.twitter.com/QQKq7X58mv</t>
        </is>
      </c>
      <c r="H118" s="62" t="inlineStr">
        <is>
          <t>Sostuvo que el operativo supuso un “golpe a nuestra organización”, pero que no habrá respuesta.</t>
        </is>
      </c>
      <c r="I118" s="62" t="inlineStr">
        <is>
          <t>¿Quién era alias Bendito Menor?</t>
        </is>
      </c>
      <c r="J118" s="38" t="n"/>
      <c r="K118" s="62" t="n"/>
      <c r="L118" s="38" t="n"/>
      <c r="M118" s="62" t="n"/>
      <c r="N118" s="38" t="n"/>
      <c r="O118" s="62" t="n"/>
      <c r="P118" s="38" t="n"/>
      <c r="Q118" s="62" t="n"/>
      <c r="R118" s="38" t="n"/>
      <c r="S118" s="62" t="n"/>
      <c r="T118" s="38" t="n"/>
      <c r="U118" s="62" t="n"/>
      <c r="V118" s="38" t="n"/>
      <c r="W118" s="62" t="n"/>
      <c r="X118" s="38" t="n"/>
      <c r="Y118" s="62" t="n"/>
      <c r="Z118" s="38" t="n"/>
      <c r="AA118" s="62" t="n"/>
      <c r="AB118" s="38" t="n"/>
      <c r="AC118" s="62" t="n"/>
      <c r="AD118" s="38" t="n"/>
      <c r="AE118" s="38" t="n"/>
      <c r="AF118" s="61">
        <f>IF(COUNTIF($B$5:B118,B118)=1,1,0)</f>
        <v/>
      </c>
      <c r="AG118" s="62" t="inlineStr">
        <is>
          <t>https://www.lasillavacia.com/en-vivo/no-habra-retaliaciones-acsn-tras-muerte-de-bendito-menor-en-operativo/</t>
        </is>
      </c>
    </row>
    <row r="119" ht="15" customHeight="1" s="31">
      <c r="A119" s="38" t="inlineStr">
        <is>
          <t>ART_012</t>
        </is>
      </c>
      <c r="B119" s="38" t="inlineStr">
        <is>
          <t>ART_012_S06</t>
        </is>
      </c>
      <c r="C119" s="38" t="inlineStr">
        <is>
          <t>La Silla Vacía</t>
        </is>
      </c>
      <c r="D119" s="38" t="inlineStr">
        <is>
          <t>Transición de gobierno y relación con la oposición</t>
        </is>
      </c>
      <c r="E119" s="38" t="inlineStr">
        <is>
          <t>Noticia dura</t>
        </is>
      </c>
      <c r="F119" s="38" t="inlineStr">
        <is>
          <t>Fri, 04 Sep 2026 20:47:35 +0000</t>
        </is>
      </c>
      <c r="G119" s="62" t="inlineStr">
        <is>
          <t>¿Quién era alias Bendito Menor?</t>
        </is>
      </c>
      <c r="H119" s="62" t="inlineStr">
        <is>
          <t>Comunicado a la opinión pública en general… pic.twitter.com/QQKq7X58mv</t>
        </is>
      </c>
      <c r="I119" s="62" t="inlineStr">
        <is>
          <t>Naín Pérez Toncel tenía 26 años y las autoridades lo relacionaban con desplazamientos, paros armados y varios delitos.</t>
        </is>
      </c>
      <c r="J119" s="38" t="n"/>
      <c r="K119" s="62" t="n"/>
      <c r="L119" s="38" t="n"/>
      <c r="M119" s="62" t="n"/>
      <c r="N119" s="38" t="n"/>
      <c r="O119" s="62" t="n"/>
      <c r="P119" s="38" t="n"/>
      <c r="Q119" s="62" t="n"/>
      <c r="R119" s="38" t="n"/>
      <c r="S119" s="62" t="n"/>
      <c r="T119" s="38" t="n"/>
      <c r="U119" s="62" t="n"/>
      <c r="V119" s="38" t="n"/>
      <c r="W119" s="62" t="n"/>
      <c r="X119" s="38" t="n"/>
      <c r="Y119" s="62" t="n"/>
      <c r="Z119" s="38" t="n"/>
      <c r="AA119" s="62" t="n"/>
      <c r="AB119" s="38" t="n"/>
      <c r="AC119" s="62" t="n"/>
      <c r="AD119" s="38" t="n"/>
      <c r="AE119" s="38" t="n"/>
      <c r="AF119" s="61">
        <f>IF(COUNTIF($B$5:B119,B119)=1,1,0)</f>
        <v/>
      </c>
      <c r="AG119" s="62" t="inlineStr">
        <is>
          <t>https://www.lasillavacia.com/en-vivo/no-habra-retaliaciones-acsn-tras-muerte-de-bendito-menor-en-operativo/</t>
        </is>
      </c>
    </row>
    <row r="120" ht="15" customHeight="1" s="31">
      <c r="A120" s="38" t="inlineStr">
        <is>
          <t>ART_012</t>
        </is>
      </c>
      <c r="B120" s="38" t="inlineStr">
        <is>
          <t>ART_012_S07</t>
        </is>
      </c>
      <c r="C120" s="38" t="inlineStr">
        <is>
          <t>La Silla Vacía</t>
        </is>
      </c>
      <c r="D120" s="38" t="inlineStr">
        <is>
          <t>Transición de gobierno y relación con la oposición</t>
        </is>
      </c>
      <c r="E120" s="38" t="inlineStr">
        <is>
          <t>Noticia dura</t>
        </is>
      </c>
      <c r="F120" s="38" t="inlineStr">
        <is>
          <t>Fri, 04 Sep 2026 20:47:35 +0000</t>
        </is>
      </c>
      <c r="G120" s="62" t="inlineStr">
        <is>
          <t>Naín Pérez Toncel tenía 26 años y las autoridades lo relacionaban con desplazamientos, paros armados y varios delitos.</t>
        </is>
      </c>
      <c r="H120" s="62" t="inlineStr">
        <is>
          <t>¿Quién era alias Bendito Menor?</t>
        </is>
      </c>
      <c r="I120" s="62" t="inlineStr">
        <is>
          <t>Uno de los casos más graves fue la masacre de Maicao, a comienzos de 2025, en la que cinco personas fueron asesinadas.</t>
        </is>
      </c>
      <c r="J120" s="38" t="n"/>
      <c r="K120" s="62" t="n"/>
      <c r="L120" s="38" t="n"/>
      <c r="M120" s="62" t="n"/>
      <c r="N120" s="38" t="n"/>
      <c r="O120" s="62" t="n"/>
      <c r="P120" s="38" t="n"/>
      <c r="Q120" s="62" t="n"/>
      <c r="R120" s="38" t="n"/>
      <c r="S120" s="62" t="n"/>
      <c r="T120" s="38" t="n"/>
      <c r="U120" s="62" t="n"/>
      <c r="V120" s="38" t="n"/>
      <c r="W120" s="62" t="n"/>
      <c r="X120" s="38" t="n"/>
      <c r="Y120" s="62" t="n"/>
      <c r="Z120" s="38" t="n"/>
      <c r="AA120" s="62" t="n"/>
      <c r="AB120" s="38" t="n"/>
      <c r="AC120" s="62" t="n"/>
      <c r="AD120" s="38" t="n"/>
      <c r="AE120" s="38" t="n"/>
      <c r="AF120" s="61">
        <f>IF(COUNTIF($B$5:B120,B120)=1,1,0)</f>
        <v/>
      </c>
      <c r="AG120" s="62" t="inlineStr">
        <is>
          <t>https://www.lasillavacia.com/en-vivo/no-habra-retaliaciones-acsn-tras-muerte-de-bendito-menor-en-operativo/</t>
        </is>
      </c>
    </row>
    <row r="121" ht="15" customHeight="1" s="31">
      <c r="A121" s="38" t="inlineStr">
        <is>
          <t>ART_012</t>
        </is>
      </c>
      <c r="B121" s="38" t="inlineStr">
        <is>
          <t>ART_012_S08</t>
        </is>
      </c>
      <c r="C121" s="38" t="inlineStr">
        <is>
          <t>La Silla Vacía</t>
        </is>
      </c>
      <c r="D121" s="38" t="inlineStr">
        <is>
          <t>Transición de gobierno y relación con la oposición</t>
        </is>
      </c>
      <c r="E121" s="38" t="inlineStr">
        <is>
          <t>Noticia dura</t>
        </is>
      </c>
      <c r="F121" s="38" t="inlineStr">
        <is>
          <t>Fri, 04 Sep 2026 20:47:35 +0000</t>
        </is>
      </c>
      <c r="G121" s="62" t="inlineStr">
        <is>
          <t>Uno de los casos más graves fue la masacre de Maicao, a comienzos de 2025, en la que cinco personas fueron asesinadas.</t>
        </is>
      </c>
      <c r="H121" s="62" t="inlineStr">
        <is>
          <t>Naín Pérez Toncel tenía 26 años y las autoridades lo relacionaban con desplazamientos, paros armados y varios delitos.</t>
        </is>
      </c>
      <c r="I121" s="62" t="n"/>
      <c r="J121" s="38" t="n"/>
      <c r="K121" s="62" t="n"/>
      <c r="L121" s="38" t="n"/>
      <c r="M121" s="62" t="n"/>
      <c r="N121" s="38" t="n"/>
      <c r="O121" s="62" t="n"/>
      <c r="P121" s="38" t="n"/>
      <c r="Q121" s="62" t="n"/>
      <c r="R121" s="38" t="n"/>
      <c r="S121" s="62" t="n"/>
      <c r="T121" s="38" t="n"/>
      <c r="U121" s="62" t="n"/>
      <c r="V121" s="38" t="n"/>
      <c r="W121" s="62" t="n"/>
      <c r="X121" s="38" t="n"/>
      <c r="Y121" s="62" t="n"/>
      <c r="Z121" s="38" t="n"/>
      <c r="AA121" s="62" t="n"/>
      <c r="AB121" s="38" t="n"/>
      <c r="AC121" s="62" t="n"/>
      <c r="AD121" s="38" t="n"/>
      <c r="AE121" s="38" t="n"/>
      <c r="AF121" s="61">
        <f>IF(COUNTIF($B$5:B121,B121)=1,1,0)</f>
        <v/>
      </c>
      <c r="AG121" s="62" t="inlineStr">
        <is>
          <t>https://www.lasillavacia.com/en-vivo/no-habra-retaliaciones-acsn-tras-muerte-de-bendito-menor-en-operativo/</t>
        </is>
      </c>
    </row>
    <row r="122" ht="15" customHeight="1" s="31">
      <c r="A122" s="38" t="inlineStr">
        <is>
          <t>ART_013</t>
        </is>
      </c>
      <c r="B122" s="38" t="inlineStr">
        <is>
          <t>ART_013_S02</t>
        </is>
      </c>
      <c r="C122" s="38" t="inlineStr">
        <is>
          <t>La Silla Vacía</t>
        </is>
      </c>
      <c r="D122" s="38" t="inlineStr">
        <is>
          <t>Transición de gobierno y relación con la oposición</t>
        </is>
      </c>
      <c r="E122" s="38" t="inlineStr">
        <is>
          <t>Opinión-análisis</t>
        </is>
      </c>
      <c r="F122" s="38" t="inlineStr">
        <is>
          <t>Fri, 04 Sep 2026 19:00:00 +0000</t>
        </is>
      </c>
      <c r="G122" s="62" t="inlineStr">
        <is>
          <t>Yannai Kadamani, exministra de las Culturas, las Artes y los Saberes, escribió en X apenas se conoció el proyecto de presupuesto para 2027, que al Ministerio “le quitan la mitad del presupuesto” y que “hay batallas que se pierden antes de empezar”, en respuesta a la promesa que Abelardo de la Espriella había hecho en su posesión, en el Batallón Pichincha de Cali, cuando dijo que “el renacer de la patria milagro también deberá ser cultural”.</t>
        </is>
      </c>
      <c r="H122" s="62" t="inlineStr">
        <is>
          <t>Este es un espacio de debate que no compromete la opinión de La Silla Vacía ni de sus aliados.</t>
        </is>
      </c>
      <c r="I122" s="62" t="inlineStr">
        <is>
          <t>El dato que circuló después en medios de comunicación y redes sociales, un recorte de 29,5%, parecía confirmar la tesis de que la «batalla cultural» era desmentida por el presupuesto; el problema acá es que esa cifra sale de restar dos cosas que no se pueden restar entre sí.</t>
        </is>
      </c>
      <c r="J122" s="38" t="n"/>
      <c r="K122" s="62" t="n"/>
      <c r="L122" s="38" t="n"/>
      <c r="M122" s="62" t="n"/>
      <c r="N122" s="38" t="n"/>
      <c r="O122" s="62" t="n"/>
      <c r="P122" s="38" t="n"/>
      <c r="Q122" s="62" t="n"/>
      <c r="R122" s="38" t="n"/>
      <c r="S122" s="62" t="n"/>
      <c r="T122" s="38" t="n"/>
      <c r="U122" s="62" t="n"/>
      <c r="V122" s="38" t="n"/>
      <c r="W122" s="62" t="n"/>
      <c r="X122" s="38" t="n"/>
      <c r="Y122" s="62" t="n"/>
      <c r="Z122" s="38" t="n"/>
      <c r="AA122" s="62" t="n"/>
      <c r="AB122" s="38" t="n"/>
      <c r="AC122" s="62" t="n"/>
      <c r="AD122" s="38" t="n"/>
      <c r="AE122" s="38" t="n"/>
      <c r="AF122" s="61">
        <f>IF(COUNTIF($B$5:B122,B122)=1,1,0)</f>
        <v/>
      </c>
      <c r="AG122" s="62" t="inlineStr">
        <is>
          <t>https://www.lasillavacia.com/red-de-expertos/red-social/el-presupuesto-de-cultura-bajo-pero-no-por-la-cifra-que-dicen/</t>
        </is>
      </c>
    </row>
    <row r="123" ht="15" customHeight="1" s="31">
      <c r="A123" s="38" t="inlineStr">
        <is>
          <t>ART_013</t>
        </is>
      </c>
      <c r="B123" s="38" t="inlineStr">
        <is>
          <t>ART_013_S03</t>
        </is>
      </c>
      <c r="C123" s="38" t="inlineStr">
        <is>
          <t>La Silla Vacía</t>
        </is>
      </c>
      <c r="D123" s="38" t="inlineStr">
        <is>
          <t>Transición de gobierno y relación con la oposición</t>
        </is>
      </c>
      <c r="E123" s="38" t="inlineStr">
        <is>
          <t>Opinión-análisis</t>
        </is>
      </c>
      <c r="F123" s="38" t="inlineStr">
        <is>
          <t>Fri, 04 Sep 2026 19:00:00 +0000</t>
        </is>
      </c>
      <c r="G123" s="62" t="inlineStr">
        <is>
          <t>El dato que circuló después en medios de comunicación y redes sociales, un recorte de 29,5%, parecía confirmar la tesis de que la «batalla cultural» era desmentida por el presupuesto; el problema acá es que esa cifra sale de restar dos cosas que no se pueden restar entre sí.</t>
        </is>
      </c>
      <c r="H123" s="62" t="inlineStr">
        <is>
          <t>Yannai Kadamani, exministra de las Culturas, las Artes y los Saberes, escribió en X apenas se conoció el proyecto de presupuesto para 2027, que al Ministerio “le quitan la mitad del presupuesto” y que “hay batallas que se pierden antes de empezar”, en respuesta a la promesa que Abelardo de la Espriella había hecho en su posesión, en el Batallón Pichincha de Cali, cuando dijo que “el renacer de la patria milagro también deberá ser cultural”.</t>
        </is>
      </c>
      <c r="I123" s="62" t="inlineStr">
        <is>
          <t>La crítica a este gobierno, si quiere sostenerse, necesita otro número: la comparación que sí corresponde es evaluar la propuesta frente al proyecto de ley que venía del gobierno anterior.</t>
        </is>
      </c>
      <c r="J123" s="38" t="n"/>
      <c r="K123" s="62" t="n"/>
      <c r="L123" s="38" t="n"/>
      <c r="M123" s="62" t="n"/>
      <c r="N123" s="38" t="n"/>
      <c r="O123" s="62" t="n"/>
      <c r="P123" s="38" t="n"/>
      <c r="Q123" s="62" t="n"/>
      <c r="R123" s="38" t="n"/>
      <c r="S123" s="62" t="n"/>
      <c r="T123" s="38" t="n"/>
      <c r="U123" s="62" t="n"/>
      <c r="V123" s="38" t="n"/>
      <c r="W123" s="62" t="n"/>
      <c r="X123" s="38" t="n"/>
      <c r="Y123" s="62" t="n"/>
      <c r="Z123" s="38" t="n"/>
      <c r="AA123" s="62" t="n"/>
      <c r="AB123" s="38" t="n"/>
      <c r="AC123" s="62" t="n"/>
      <c r="AD123" s="38" t="n"/>
      <c r="AE123" s="38" t="n"/>
      <c r="AF123" s="61">
        <f>IF(COUNTIF($B$5:B123,B123)=1,1,0)</f>
        <v/>
      </c>
      <c r="AG123" s="62" t="inlineStr">
        <is>
          <t>https://www.lasillavacia.com/red-de-expertos/red-social/el-presupuesto-de-cultura-bajo-pero-no-por-la-cifra-que-dicen/</t>
        </is>
      </c>
    </row>
    <row r="124" ht="15" customHeight="1" s="31">
      <c r="A124" s="38" t="inlineStr">
        <is>
          <t>ART_013</t>
        </is>
      </c>
      <c r="B124" s="38" t="inlineStr">
        <is>
          <t>ART_013_S04</t>
        </is>
      </c>
      <c r="C124" s="38" t="inlineStr">
        <is>
          <t>La Silla Vacía</t>
        </is>
      </c>
      <c r="D124" s="38" t="inlineStr">
        <is>
          <t>Transición de gobierno y relación con la oposición</t>
        </is>
      </c>
      <c r="E124" s="38" t="inlineStr">
        <is>
          <t>Opinión-análisis</t>
        </is>
      </c>
      <c r="F124" s="38" t="inlineStr">
        <is>
          <t>Fri, 04 Sep 2026 19:00:00 +0000</t>
        </is>
      </c>
      <c r="G124" s="62" t="inlineStr">
        <is>
          <t>La crítica a este gobierno, si quiere sostenerse, necesita otro número: la comparación que sí corresponde es evaluar la propuesta frente al proyecto de ley que venía del gobierno anterior.</t>
        </is>
      </c>
      <c r="H124" s="62" t="inlineStr">
        <is>
          <t>El dato que circuló después en medios de comunicación y redes sociales, un recorte de 29,5%, parecía confirmar la tesis de que la «batalla cultural» era desmentida por el presupuesto; el problema acá es que esa cifra sale de restar dos cosas que no se pueden restar entre sí.</t>
        </is>
      </c>
      <c r="I124" s="62" t="inlineStr">
        <is>
          <t>El porcentaje de 29,5% surge de comparar el presupuesto aprobado para 2026 —1.001.388 millones de pesos— contra la propuesta que De la Espriella radicó para 2027 —706.196 millones—, dos cifras que no pertenecen a la misma categoría: un presupuesto aprobado es plata que el Congreso ya autorizó gastar, mientras que un proyecto de Ley apenas empieza su trámite y todavía puede cambiar en debates y ponencias antes de convertirse en gasto real.</t>
        </is>
      </c>
      <c r="J124" s="38" t="n"/>
      <c r="K124" s="62" t="n"/>
      <c r="L124" s="38" t="n"/>
      <c r="M124" s="62" t="n"/>
      <c r="N124" s="38" t="n"/>
      <c r="O124" s="62" t="n"/>
      <c r="P124" s="38" t="n"/>
      <c r="Q124" s="62" t="n"/>
      <c r="R124" s="38" t="n"/>
      <c r="S124" s="62" t="n"/>
      <c r="T124" s="38" t="n"/>
      <c r="U124" s="62" t="n"/>
      <c r="V124" s="38" t="n"/>
      <c r="W124" s="62" t="n"/>
      <c r="X124" s="38" t="n"/>
      <c r="Y124" s="62" t="n"/>
      <c r="Z124" s="38" t="n"/>
      <c r="AA124" s="62" t="n"/>
      <c r="AB124" s="38" t="n"/>
      <c r="AC124" s="62" t="n"/>
      <c r="AD124" s="38" t="n"/>
      <c r="AE124" s="38" t="n"/>
      <c r="AF124" s="61">
        <f>IF(COUNTIF($B$5:B124,B124)=1,1,0)</f>
        <v/>
      </c>
      <c r="AG124" s="62" t="inlineStr">
        <is>
          <t>https://www.lasillavacia.com/red-de-expertos/red-social/el-presupuesto-de-cultura-bajo-pero-no-por-la-cifra-que-dicen/</t>
        </is>
      </c>
    </row>
    <row r="125" ht="15" customHeight="1" s="31">
      <c r="A125" s="38" t="inlineStr">
        <is>
          <t>ART_013</t>
        </is>
      </c>
      <c r="B125" s="38" t="inlineStr">
        <is>
          <t>ART_013_S05</t>
        </is>
      </c>
      <c r="C125" s="38" t="inlineStr">
        <is>
          <t>La Silla Vacía</t>
        </is>
      </c>
      <c r="D125" s="38" t="inlineStr">
        <is>
          <t>Transición de gobierno y relación con la oposición</t>
        </is>
      </c>
      <c r="E125" s="38" t="inlineStr">
        <is>
          <t>Opinión-análisis</t>
        </is>
      </c>
      <c r="F125" s="38" t="inlineStr">
        <is>
          <t>Fri, 04 Sep 2026 19:00:00 +0000</t>
        </is>
      </c>
      <c r="G125" s="62" t="inlineStr">
        <is>
          <t>El porcentaje de 29,5% surge de comparar el presupuesto aprobado para 2026 —1.001.388 millones de pesos— contra la propuesta que De la Espriella radicó para 2027 —706.196 millones—, dos cifras que no pertenecen a la misma categoría: un presupuesto aprobado es plata que el Congreso ya autorizó gastar, mientras que un proyecto de Ley apenas empieza su trámite y todavía puede cambiar en debates y ponencias antes de convertirse en gasto real.</t>
        </is>
      </c>
      <c r="H125" s="62" t="inlineStr">
        <is>
          <t>La crítica a este gobierno, si quiere sostenerse, necesita otro número: la comparación que sí corresponde es evaluar la propuesta frente al proyecto de ley que venía del gobierno anterior.</t>
        </is>
      </c>
      <c r="I125" s="62" t="inlineStr">
        <is>
          <t>Restar la una de la otra no mide un recorte, mide la distancia entre lo ejecutable y una intención; mi abuela lo resumía mejor: no se pueden comparar peras con manzanas.</t>
        </is>
      </c>
      <c r="J125" s="38" t="n"/>
      <c r="K125" s="62" t="n"/>
      <c r="L125" s="38" t="n"/>
      <c r="M125" s="62" t="n"/>
      <c r="N125" s="38" t="n"/>
      <c r="O125" s="62" t="n"/>
      <c r="P125" s="38" t="n"/>
      <c r="Q125" s="62" t="n"/>
      <c r="R125" s="38" t="n"/>
      <c r="S125" s="62" t="n"/>
      <c r="T125" s="38" t="n"/>
      <c r="U125" s="62" t="n"/>
      <c r="V125" s="38" t="n"/>
      <c r="W125" s="62" t="n"/>
      <c r="X125" s="38" t="n"/>
      <c r="Y125" s="62" t="n"/>
      <c r="Z125" s="38" t="n"/>
      <c r="AA125" s="62" t="n"/>
      <c r="AB125" s="38" t="n"/>
      <c r="AC125" s="62" t="n"/>
      <c r="AD125" s="38" t="n"/>
      <c r="AE125" s="38" t="n"/>
      <c r="AF125" s="61">
        <f>IF(COUNTIF($B$5:B125,B125)=1,1,0)</f>
        <v/>
      </c>
      <c r="AG125" s="62" t="inlineStr">
        <is>
          <t>https://www.lasillavacia.com/red-de-expertos/red-social/el-presupuesto-de-cultura-bajo-pero-no-por-la-cifra-que-dicen/</t>
        </is>
      </c>
    </row>
    <row r="126" ht="15" customHeight="1" s="31">
      <c r="A126" s="38" t="inlineStr">
        <is>
          <t>ART_013</t>
        </is>
      </c>
      <c r="B126" s="38" t="inlineStr">
        <is>
          <t>ART_013_S06</t>
        </is>
      </c>
      <c r="C126" s="38" t="inlineStr">
        <is>
          <t>La Silla Vacía</t>
        </is>
      </c>
      <c r="D126" s="38" t="inlineStr">
        <is>
          <t>Transición de gobierno y relación con la oposición</t>
        </is>
      </c>
      <c r="E126" s="38" t="inlineStr">
        <is>
          <t>Opinión-análisis</t>
        </is>
      </c>
      <c r="F126" s="38" t="inlineStr">
        <is>
          <t>Fri, 04 Sep 2026 19:00:00 +0000</t>
        </is>
      </c>
      <c r="G126" s="62" t="inlineStr">
        <is>
          <t>Restar la una de la otra no mide un recorte, mide la distancia entre lo ejecutable y una intención; mi abuela lo resumía mejor: no se pueden comparar peras con manzanas.</t>
        </is>
      </c>
      <c r="H126" s="62" t="inlineStr">
        <is>
          <t>El porcentaje de 29,5% surge de comparar el presupuesto aprobado para 2026 —1.001.388 millones de pesos— contra la propuesta que De la Espriella radicó para 2027 —706.196 millones—, dos cifras que no pertenecen a la misma categoría: un presupuesto aprobado es plata que el Congreso ya autorizó gastar, mientras que un proyecto de Ley apenas empieza su trámite y todavía puede cambiar en debates y ponencias antes de convertirse en gasto real.</t>
        </is>
      </c>
      <c r="I126" s="62" t="inlineStr">
        <is>
          <t>Antes de que De la Espriella presentara su proyecto de presupuesto para 2027, el gobierno de Petro ya había radicado el suyo mediante el proyecto de Ley 152/2026C del 29 de julio, asignando 746.556 millones para el Ministerio, un 25,4% menos que en 2026; ese es el punto de partida real.</t>
        </is>
      </c>
      <c r="J126" s="38" t="n"/>
      <c r="K126" s="62" t="n"/>
      <c r="L126" s="38" t="n"/>
      <c r="M126" s="62" t="n"/>
      <c r="N126" s="38" t="n"/>
      <c r="O126" s="62" t="n"/>
      <c r="P126" s="38" t="n"/>
      <c r="Q126" s="62" t="n"/>
      <c r="R126" s="38" t="n"/>
      <c r="S126" s="62" t="n"/>
      <c r="T126" s="38" t="n"/>
      <c r="U126" s="62" t="n"/>
      <c r="V126" s="38" t="n"/>
      <c r="W126" s="62" t="n"/>
      <c r="X126" s="38" t="n"/>
      <c r="Y126" s="62" t="n"/>
      <c r="Z126" s="38" t="n"/>
      <c r="AA126" s="62" t="n"/>
      <c r="AB126" s="38" t="n"/>
      <c r="AC126" s="62" t="n"/>
      <c r="AD126" s="38" t="n"/>
      <c r="AE126" s="38" t="n"/>
      <c r="AF126" s="61">
        <f>IF(COUNTIF($B$5:B126,B126)=1,1,0)</f>
        <v/>
      </c>
      <c r="AG126" s="62" t="inlineStr">
        <is>
          <t>https://www.lasillavacia.com/red-de-expertos/red-social/el-presupuesto-de-cultura-bajo-pero-no-por-la-cifra-que-dicen/</t>
        </is>
      </c>
    </row>
    <row r="127" ht="15" customHeight="1" s="31">
      <c r="A127" s="38" t="inlineStr">
        <is>
          <t>ART_013</t>
        </is>
      </c>
      <c r="B127" s="38" t="inlineStr">
        <is>
          <t>ART_013_S07</t>
        </is>
      </c>
      <c r="C127" s="38" t="inlineStr">
        <is>
          <t>La Silla Vacía</t>
        </is>
      </c>
      <c r="D127" s="38" t="inlineStr">
        <is>
          <t>Transición de gobierno y relación con la oposición</t>
        </is>
      </c>
      <c r="E127" s="38" t="inlineStr">
        <is>
          <t>Opinión-análisis</t>
        </is>
      </c>
      <c r="F127" s="38" t="inlineStr">
        <is>
          <t>Fri, 04 Sep 2026 19:00:00 +0000</t>
        </is>
      </c>
      <c r="G127" s="62" t="inlineStr">
        <is>
          <t>Antes de que De la Espriella presentara su proyecto de presupuesto para 2027, el gobierno de Petro ya había radicado el suyo mediante el proyecto de Ley 152/2026C del 29 de julio, asignando 746.556 millones para el Ministerio, un 25,4% menos que en 2026; ese es el punto de partida real.</t>
        </is>
      </c>
      <c r="H127" s="62" t="inlineStr">
        <is>
          <t>Restar la una de la otra no mide un recorte, mide la distancia entre lo ejecutable y una intención; mi abuela lo resumía mejor: no se pueden comparar peras con manzanas.</t>
        </is>
      </c>
      <c r="I127" s="62" t="inlineStr">
        <is>
          <t>Frente a este panorama, el ajuste que introdujo De la Espriella es de 40.360 millones, un 5,4% de toda la sección del Ministerio, y una parte de ese ajuste corresponde a un recorte concreto en el rubro de promoción y acceso efectivo a procesos culturales y artísticos, que financia festivales y programas de formación y acceso, el cual cayó de 305.585 a 265.585 millones, un 13,1% menos, el más grande en pesos de todo el sector.</t>
        </is>
      </c>
      <c r="J127" s="38" t="n"/>
      <c r="K127" s="62" t="n"/>
      <c r="L127" s="38" t="n"/>
      <c r="M127" s="62" t="n"/>
      <c r="N127" s="38" t="n"/>
      <c r="O127" s="62" t="n"/>
      <c r="P127" s="38" t="n"/>
      <c r="Q127" s="62" t="n"/>
      <c r="R127" s="38" t="n"/>
      <c r="S127" s="62" t="n"/>
      <c r="T127" s="38" t="n"/>
      <c r="U127" s="62" t="n"/>
      <c r="V127" s="38" t="n"/>
      <c r="W127" s="62" t="n"/>
      <c r="X127" s="38" t="n"/>
      <c r="Y127" s="62" t="n"/>
      <c r="Z127" s="38" t="n"/>
      <c r="AA127" s="62" t="n"/>
      <c r="AB127" s="38" t="n"/>
      <c r="AC127" s="62" t="n"/>
      <c r="AD127" s="38" t="n"/>
      <c r="AE127" s="38" t="n"/>
      <c r="AF127" s="61">
        <f>IF(COUNTIF($B$5:B127,B127)=1,1,0)</f>
        <v/>
      </c>
      <c r="AG127" s="62" t="inlineStr">
        <is>
          <t>https://www.lasillavacia.com/red-de-expertos/red-social/el-presupuesto-de-cultura-bajo-pero-no-por-la-cifra-que-dicen/</t>
        </is>
      </c>
    </row>
    <row r="128" ht="15" customHeight="1" s="31">
      <c r="A128" s="38" t="inlineStr">
        <is>
          <t>ART_013</t>
        </is>
      </c>
      <c r="B128" s="38" t="inlineStr">
        <is>
          <t>ART_013_S08</t>
        </is>
      </c>
      <c r="C128" s="38" t="inlineStr">
        <is>
          <t>La Silla Vacía</t>
        </is>
      </c>
      <c r="D128" s="38" t="inlineStr">
        <is>
          <t>Transición de gobierno y relación con la oposición</t>
        </is>
      </c>
      <c r="E128" s="38" t="inlineStr">
        <is>
          <t>Opinión-análisis</t>
        </is>
      </c>
      <c r="F128" s="38" t="inlineStr">
        <is>
          <t>Fri, 04 Sep 2026 19:00:00 +0000</t>
        </is>
      </c>
      <c r="G128" s="62" t="inlineStr">
        <is>
          <t>Frente a este panorama, el ajuste que introdujo De la Espriella es de 40.360 millones, un 5,4% de toda la sección del Ministerio, y una parte de ese ajuste corresponde a un recorte concreto en el rubro de promoción y acceso efectivo a procesos culturales y artísticos, que financia festivales y programas de formación y acceso, el cual cayó de 305.585 a 265.585 millones, un 13,1% menos, el más grande en pesos de todo el sector.</t>
        </is>
      </c>
      <c r="H128" s="62" t="inlineStr">
        <is>
          <t>Antes de que De la Espriella presentara su proyecto de presupuesto para 2027, el gobierno de Petro ya había radicado el suyo mediante el proyecto de Ley 152/2026C del 29 de julio, asignando 746.556 millones para el Ministerio, un 25,4% menos que en 2026; ese es el punto de partida real.</t>
        </is>
      </c>
      <c r="I128" s="62" t="inlineStr">
        <is>
          <t>Esta disminución sí es de este gobierno y ninguna corrección aritmética lo borra.</t>
        </is>
      </c>
      <c r="J128" s="38" t="n"/>
      <c r="K128" s="62" t="n"/>
      <c r="L128" s="38" t="n"/>
      <c r="M128" s="62" t="n"/>
      <c r="N128" s="38" t="n"/>
      <c r="O128" s="62" t="n"/>
      <c r="P128" s="38" t="n"/>
      <c r="Q128" s="62" t="n"/>
      <c r="R128" s="38" t="n"/>
      <c r="S128" s="62" t="n"/>
      <c r="T128" s="38" t="n"/>
      <c r="U128" s="62" t="n"/>
      <c r="V128" s="38" t="n"/>
      <c r="W128" s="62" t="n"/>
      <c r="X128" s="38" t="n"/>
      <c r="Y128" s="62" t="n"/>
      <c r="Z128" s="38" t="n"/>
      <c r="AA128" s="62" t="n"/>
      <c r="AB128" s="38" t="n"/>
      <c r="AC128" s="62" t="n"/>
      <c r="AD128" s="38" t="n"/>
      <c r="AE128" s="38" t="n"/>
      <c r="AF128" s="61">
        <f>IF(COUNTIF($B$5:B128,B128)=1,1,0)</f>
        <v/>
      </c>
      <c r="AG128" s="62" t="inlineStr">
        <is>
          <t>https://www.lasillavacia.com/red-de-expertos/red-social/el-presupuesto-de-cultura-bajo-pero-no-por-la-cifra-que-dicen/</t>
        </is>
      </c>
    </row>
    <row r="129" ht="15" customHeight="1" s="31">
      <c r="A129" s="38" t="inlineStr">
        <is>
          <t>ART_013</t>
        </is>
      </c>
      <c r="B129" s="38" t="inlineStr">
        <is>
          <t>ART_013_S09</t>
        </is>
      </c>
      <c r="C129" s="38" t="inlineStr">
        <is>
          <t>La Silla Vacía</t>
        </is>
      </c>
      <c r="D129" s="38" t="inlineStr">
        <is>
          <t>Transición de gobierno y relación con la oposición</t>
        </is>
      </c>
      <c r="E129" s="38" t="inlineStr">
        <is>
          <t>Opinión-análisis</t>
        </is>
      </c>
      <c r="F129" s="38" t="inlineStr">
        <is>
          <t>Fri, 04 Sep 2026 19:00:00 +0000</t>
        </is>
      </c>
      <c r="G129" s="62" t="inlineStr">
        <is>
          <t>Esta disminución sí es de este gobierno y ninguna corrección aritmética lo borra.</t>
        </is>
      </c>
      <c r="H129" s="62" t="inlineStr">
        <is>
          <t>Frente a este panorama, el ajuste que introdujo De la Espriella es de 40.360 millones, un 5,4% de toda la sección del Ministerio, y una parte de ese ajuste corresponde a un recorte concreto en el rubro de promoción y acceso efectivo a procesos culturales y artísticos, que financia festivales y programas de formación y acceso, el cual cayó de 305.585 a 265.585 millones, un 13,1% menos, el más grande en pesos de todo el sector.</t>
        </is>
      </c>
      <c r="I129" s="62" t="inlineStr">
        <is>
          <t>Pero la caída empezó antes, y la firmó el mismo gobierno que hoy la denuncia: Petro había propuesto inicialmente 1.140.000 millones para 2026 y el Congreso aprobó 1.001.388 millones; cuando presentó su proyecto para 2027 la cifra ya venía en 746.556 millones, tres momentos consecutivos de reducción dentro de la misma administración, antes de que Abelardo de la Espriella tocara una sola línea del presupuesto.</t>
        </is>
      </c>
      <c r="J129" s="38" t="n"/>
      <c r="K129" s="62" t="n"/>
      <c r="L129" s="38" t="n"/>
      <c r="M129" s="62" t="n"/>
      <c r="N129" s="38" t="n"/>
      <c r="O129" s="62" t="n"/>
      <c r="P129" s="38" t="n"/>
      <c r="Q129" s="62" t="n"/>
      <c r="R129" s="38" t="n"/>
      <c r="S129" s="62" t="n"/>
      <c r="T129" s="38" t="n"/>
      <c r="U129" s="62" t="n"/>
      <c r="V129" s="38" t="n"/>
      <c r="W129" s="62" t="n"/>
      <c r="X129" s="38" t="n"/>
      <c r="Y129" s="62" t="n"/>
      <c r="Z129" s="38" t="n"/>
      <c r="AA129" s="62" t="n"/>
      <c r="AB129" s="38" t="n"/>
      <c r="AC129" s="62" t="n"/>
      <c r="AD129" s="38" t="n"/>
      <c r="AE129" s="38" t="n"/>
      <c r="AF129" s="61">
        <f>IF(COUNTIF($B$5:B129,B129)=1,1,0)</f>
        <v/>
      </c>
      <c r="AG129" s="62" t="inlineStr">
        <is>
          <t>https://www.lasillavacia.com/red-de-expertos/red-social/el-presupuesto-de-cultura-bajo-pero-no-por-la-cifra-que-dicen/</t>
        </is>
      </c>
    </row>
    <row r="130" ht="15" customHeight="1" s="31">
      <c r="A130" s="38" t="inlineStr">
        <is>
          <t>ART_013</t>
        </is>
      </c>
      <c r="B130" s="38" t="inlineStr">
        <is>
          <t>ART_013_S10</t>
        </is>
      </c>
      <c r="C130" s="38" t="inlineStr">
        <is>
          <t>La Silla Vacía</t>
        </is>
      </c>
      <c r="D130" s="38" t="inlineStr">
        <is>
          <t>Transición de gobierno y relación con la oposición</t>
        </is>
      </c>
      <c r="E130" s="38" t="inlineStr">
        <is>
          <t>Opinión-análisis</t>
        </is>
      </c>
      <c r="F130" s="38" t="inlineStr">
        <is>
          <t>Fri, 04 Sep 2026 19:00:00 +0000</t>
        </is>
      </c>
      <c r="G130" s="62" t="inlineStr">
        <is>
          <t>Pero la caída empezó antes, y la firmó el mismo gobierno que hoy la denuncia: Petro había propuesto inicialmente 1.140.000 millones para 2026 y el Congreso aprobó 1.001.388 millones; cuando presentó su proyecto para 2027 la cifra ya venía en 746.556 millones, tres momentos consecutivos de reducción dentro de la misma administración, antes de que Abelardo de la Espriella tocara una sola línea del presupuesto.</t>
        </is>
      </c>
      <c r="H130" s="62" t="inlineStr">
        <is>
          <t>Esta disminución sí es de este gobierno y ninguna corrección aritmética lo borra.</t>
        </is>
      </c>
      <c r="I130" s="62" t="inlineStr">
        <is>
          <t>Atribuirle a este gobierno la caída del 29,5% le borra al anterior una tendencia que él mismo trazó, y le regala al actual una defensa que no debería necesitar.</t>
        </is>
      </c>
      <c r="J130" s="38" t="n"/>
      <c r="K130" s="62" t="n"/>
      <c r="L130" s="38" t="n"/>
      <c r="M130" s="62" t="n"/>
      <c r="N130" s="38" t="n"/>
      <c r="O130" s="62" t="n"/>
      <c r="P130" s="38" t="n"/>
      <c r="Q130" s="62" t="n"/>
      <c r="R130" s="38" t="n"/>
      <c r="S130" s="62" t="n"/>
      <c r="T130" s="38" t="n"/>
      <c r="U130" s="62" t="n"/>
      <c r="V130" s="38" t="n"/>
      <c r="W130" s="62" t="n"/>
      <c r="X130" s="38" t="n"/>
      <c r="Y130" s="62" t="n"/>
      <c r="Z130" s="38" t="n"/>
      <c r="AA130" s="62" t="n"/>
      <c r="AB130" s="38" t="n"/>
      <c r="AC130" s="62" t="n"/>
      <c r="AD130" s="38" t="n"/>
      <c r="AE130" s="38" t="n"/>
      <c r="AF130" s="61">
        <f>IF(COUNTIF($B$5:B130,B130)=1,1,0)</f>
        <v/>
      </c>
      <c r="AG130" s="62" t="inlineStr">
        <is>
          <t>https://www.lasillavacia.com/red-de-expertos/red-social/el-presupuesto-de-cultura-bajo-pero-no-por-la-cifra-que-dicen/</t>
        </is>
      </c>
    </row>
    <row r="131" ht="15" customHeight="1" s="31">
      <c r="A131" s="38" t="inlineStr">
        <is>
          <t>ART_013</t>
        </is>
      </c>
      <c r="B131" s="38" t="inlineStr">
        <is>
          <t>ART_013_S11</t>
        </is>
      </c>
      <c r="C131" s="38" t="inlineStr">
        <is>
          <t>La Silla Vacía</t>
        </is>
      </c>
      <c r="D131" s="38" t="inlineStr">
        <is>
          <t>Transición de gobierno y relación con la oposición</t>
        </is>
      </c>
      <c r="E131" s="38" t="inlineStr">
        <is>
          <t>Opinión-análisis</t>
        </is>
      </c>
      <c r="F131" s="38" t="inlineStr">
        <is>
          <t>Fri, 04 Sep 2026 19:00:00 +0000</t>
        </is>
      </c>
      <c r="G131" s="62" t="inlineStr">
        <is>
          <t>Atribuirle a este gobierno la caída del 29,5% le borra al anterior una tendencia que él mismo trazó, y le regala al actual una defensa que no debería necesitar.</t>
        </is>
      </c>
      <c r="H131" s="62" t="inlineStr">
        <is>
          <t>Pero la caída empezó antes, y la firmó el mismo gobierno que hoy la denuncia: Petro había propuesto inicialmente 1.140.000 millones para 2026 y el Congreso aprobó 1.001.388 millones; cuando presentó su proyecto para 2027 la cifra ya venía en 746.556 millones, tres momentos consecutivos de reducción dentro de la misma administración, antes de que Abelardo de la Espriella tocara una sola línea del presupuesto.</t>
        </is>
      </c>
      <c r="I131" s="62" t="inlineStr">
        <is>
          <t>El resto del ajuste repite el mismo patrón en las otras tres entidades del sector: en el Archivo General de la Nación el presupuesto total pasó de 48.675 a 44.036 millones, una caída del 9,5% concentrada casi por completo en el rubro de fortalecimiento institucional, que bajó de 15.513 a 9.757 millones; en el Instituto Colombiano de Antropología e Historia la caída total fue de apenas el 2,8%, de 49.535 a 48.160 millones, con el mismo recorte a la mitad en ese rubro institucional, de 5.696 a 2.848 millones; y en el Instituto Caro y Cuervo, el más pequeño de los cuatro, la pérdida fue solo del 1,1%, de 31.315 a 30.960 millones.</t>
        </is>
      </c>
      <c r="J131" s="38" t="n"/>
      <c r="K131" s="62" t="n"/>
      <c r="L131" s="38" t="n"/>
      <c r="M131" s="62" t="n"/>
      <c r="N131" s="38" t="n"/>
      <c r="O131" s="62" t="n"/>
      <c r="P131" s="38" t="n"/>
      <c r="Q131" s="62" t="n"/>
      <c r="R131" s="38" t="n"/>
      <c r="S131" s="62" t="n"/>
      <c r="T131" s="38" t="n"/>
      <c r="U131" s="62" t="n"/>
      <c r="V131" s="38" t="n"/>
      <c r="W131" s="62" t="n"/>
      <c r="X131" s="38" t="n"/>
      <c r="Y131" s="62" t="n"/>
      <c r="Z131" s="38" t="n"/>
      <c r="AA131" s="62" t="n"/>
      <c r="AB131" s="38" t="n"/>
      <c r="AC131" s="62" t="n"/>
      <c r="AD131" s="38" t="n"/>
      <c r="AE131" s="38" t="n"/>
      <c r="AF131" s="61">
        <f>IF(COUNTIF($B$5:B131,B131)=1,1,0)</f>
        <v/>
      </c>
      <c r="AG131" s="62" t="inlineStr">
        <is>
          <t>https://www.lasillavacia.com/red-de-expertos/red-social/el-presupuesto-de-cultura-bajo-pero-no-por-la-cifra-que-dicen/</t>
        </is>
      </c>
    </row>
    <row r="132" ht="15" customHeight="1" s="31">
      <c r="A132" s="38" t="inlineStr">
        <is>
          <t>ART_013</t>
        </is>
      </c>
      <c r="B132" s="38" t="inlineStr">
        <is>
          <t>ART_013_S12</t>
        </is>
      </c>
      <c r="C132" s="38" t="inlineStr">
        <is>
          <t>La Silla Vacía</t>
        </is>
      </c>
      <c r="D132" s="38" t="inlineStr">
        <is>
          <t>Transición de gobierno y relación con la oposición</t>
        </is>
      </c>
      <c r="E132" s="38" t="inlineStr">
        <is>
          <t>Opinión-análisis</t>
        </is>
      </c>
      <c r="F132" s="38" t="inlineStr">
        <is>
          <t>Fri, 04 Sep 2026 19:00:00 +0000</t>
        </is>
      </c>
      <c r="G132" s="62" t="inlineStr">
        <is>
          <t>El resto del ajuste repite el mismo patrón en las otras tres entidades del sector: en el Archivo General de la Nación el presupuesto total pasó de 48.675 a 44.036 millones, una caída del 9,5% concentrada casi por completo en el rubro de fortalecimiento institucional, que bajó de 15.513 a 9.757 millones; en el Instituto Colombiano de Antropología e Historia la caída total fue de apenas el 2,8%, de 49.535 a 48.160 millones, con el mismo recorte a la mitad en ese rubro institucional, de 5.696 a 2.848 millones; y en el Instituto Caro y Cuervo, el más pequeño de los cuatro, la pérdida fue solo del 1,1%, de 31.315 a 30.960 millones.</t>
        </is>
      </c>
      <c r="H132" s="62" t="inlineStr">
        <is>
          <t>Atribuirle a este gobierno la caída del 29,5% le borra al anterior una tendencia que él mismo trazó, y le regala al actual una defensa que no debería necesitar.</t>
        </is>
      </c>
      <c r="I132" s="62" t="n"/>
      <c r="J132" s="38" t="n"/>
      <c r="K132" s="62" t="n"/>
      <c r="L132" s="38" t="n"/>
      <c r="M132" s="62" t="n"/>
      <c r="N132" s="38" t="n"/>
      <c r="O132" s="62" t="n"/>
      <c r="P132" s="38" t="n"/>
      <c r="Q132" s="62" t="n"/>
      <c r="R132" s="38" t="n"/>
      <c r="S132" s="62" t="n"/>
      <c r="T132" s="38" t="n"/>
      <c r="U132" s="62" t="n"/>
      <c r="V132" s="38" t="n"/>
      <c r="W132" s="62" t="n"/>
      <c r="X132" s="38" t="n"/>
      <c r="Y132" s="62" t="n"/>
      <c r="Z132" s="38" t="n"/>
      <c r="AA132" s="62" t="n"/>
      <c r="AB132" s="38" t="n"/>
      <c r="AC132" s="62" t="n"/>
      <c r="AD132" s="38" t="n"/>
      <c r="AE132" s="38" t="n"/>
      <c r="AF132" s="61">
        <f>IF(COUNTIF($B$5:B132,B132)=1,1,0)</f>
        <v/>
      </c>
      <c r="AG132" s="62" t="inlineStr">
        <is>
          <t>https://www.lasillavacia.com/red-de-expertos/red-social/el-presupuesto-de-cultura-bajo-pero-no-por-la-cifra-que-dicen/</t>
        </is>
      </c>
    </row>
    <row r="133" ht="15" customHeight="1" s="31">
      <c r="A133" s="38" t="inlineStr">
        <is>
          <t>ART_014</t>
        </is>
      </c>
      <c r="B133" s="38" t="inlineStr">
        <is>
          <t>ART_014_S01</t>
        </is>
      </c>
      <c r="C133" s="38" t="inlineStr">
        <is>
          <t>Semana</t>
        </is>
      </c>
      <c r="D133" s="38" t="inlineStr">
        <is>
          <t>Transición de gobierno y relación con la oposición</t>
        </is>
      </c>
      <c r="E133" s="38" t="inlineStr">
        <is>
          <t>Noticia dura</t>
        </is>
      </c>
      <c r="F133" s="38" t="inlineStr">
        <is>
          <t>Fri, 04 Sep 2026 20:38:57 +0000</t>
        </is>
      </c>
      <c r="G133" s="62" t="inlineStr">
        <is>
          <t>Por medio de su cuenta de Instagram, el presidente Abelardo De La Espriella publicó una historia que no pasó desapercibida y que llamó la atención de los usuarios de las redes sociales.</t>
        </is>
      </c>
      <c r="H133" s="62" t="n"/>
      <c r="I133" s="62" t="inlineStr">
        <is>
          <t>Se trata de una foto en la que se ve al mandatario junto a integrantes de la Fuerza Pública, la cual está acompañada de un mensaje que vaticinaba la suerte que iba a tener el cabecilla Naín Andrés Pérez, más conocido con el alias de Bendito Menor.</t>
        </is>
      </c>
      <c r="J133" s="38" t="n"/>
      <c r="K133" s="62" t="n"/>
      <c r="L133" s="38" t="n"/>
      <c r="M133" s="62" t="n"/>
      <c r="N133" s="38" t="n"/>
      <c r="O133" s="62" t="n"/>
      <c r="P133" s="38" t="n"/>
      <c r="Q133" s="62" t="n"/>
      <c r="R133" s="38" t="n"/>
      <c r="S133" s="62" t="n"/>
      <c r="T133" s="38" t="n"/>
      <c r="U133" s="62" t="n"/>
      <c r="V133" s="38" t="n"/>
      <c r="W133" s="62" t="n"/>
      <c r="X133" s="38" t="n"/>
      <c r="Y133" s="62" t="n"/>
      <c r="Z133" s="38" t="n"/>
      <c r="AA133" s="62" t="n"/>
      <c r="AB133" s="38" t="n"/>
      <c r="AC133" s="62" t="n"/>
      <c r="AD133" s="38" t="n"/>
      <c r="AE133" s="38" t="n"/>
      <c r="AF133" s="61">
        <f>IF(COUNTIF($B$5:B133,B133)=1,1,0)</f>
        <v/>
      </c>
      <c r="AG133" s="62" t="inlineStr">
        <is>
          <t>https://www.semana.com/politica/articulo/la-publicacion-de-abelardo-de-la-espriella-que-vaticinaba-la-suerte-que-iba-a-tener-alias-bendito-menor-que-impacto-las-redes/202657/</t>
        </is>
      </c>
    </row>
    <row r="134" ht="15" customHeight="1" s="31">
      <c r="A134" s="38" t="inlineStr">
        <is>
          <t>ART_014</t>
        </is>
      </c>
      <c r="B134" s="38" t="inlineStr">
        <is>
          <t>ART_014_S02</t>
        </is>
      </c>
      <c r="C134" s="38" t="inlineStr">
        <is>
          <t>Semana</t>
        </is>
      </c>
      <c r="D134" s="38" t="inlineStr">
        <is>
          <t>Transición de gobierno y relación con la oposición</t>
        </is>
      </c>
      <c r="E134" s="38" t="inlineStr">
        <is>
          <t>Noticia dura</t>
        </is>
      </c>
      <c r="F134" s="38" t="inlineStr">
        <is>
          <t>Fri, 04 Sep 2026 20:38:57 +0000</t>
        </is>
      </c>
      <c r="G134" s="62" t="inlineStr">
        <is>
          <t>Se trata de una foto en la que se ve al mandatario junto a integrantes de la Fuerza Pública, la cual está acompañada de un mensaje que vaticinaba la suerte que iba a tener el cabecilla Naín Andrés Pérez, más conocido con el alias de Bendito Menor.</t>
        </is>
      </c>
      <c r="H134" s="62" t="inlineStr">
        <is>
          <t>Por medio de su cuenta de Instagram, el presidente Abelardo De La Espriella publicó una historia que no pasó desapercibida y que llamó la atención de los usuarios de las redes sociales.</t>
        </is>
      </c>
      <c r="I134" s="62" t="inlineStr">
        <is>
          <t>“Quien decida continuar atacando a Colombia, encontrará enfrente toda la capacidad legítima del Estado”, expresó la publicación en la cuenta de Instagram del mandatario.</t>
        </is>
      </c>
      <c r="J134" s="38" t="n"/>
      <c r="K134" s="62" t="n"/>
      <c r="L134" s="38" t="n"/>
      <c r="M134" s="62" t="n"/>
      <c r="N134" s="38" t="n"/>
      <c r="O134" s="62" t="n"/>
      <c r="P134" s="38" t="n"/>
      <c r="Q134" s="62" t="n"/>
      <c r="R134" s="38" t="n"/>
      <c r="S134" s="62" t="n"/>
      <c r="T134" s="38" t="n"/>
      <c r="U134" s="62" t="n"/>
      <c r="V134" s="38" t="n"/>
      <c r="W134" s="62" t="n"/>
      <c r="X134" s="38" t="n"/>
      <c r="Y134" s="62" t="n"/>
      <c r="Z134" s="38" t="n"/>
      <c r="AA134" s="62" t="n"/>
      <c r="AB134" s="38" t="n"/>
      <c r="AC134" s="62" t="n"/>
      <c r="AD134" s="38" t="n"/>
      <c r="AE134" s="38" t="n"/>
      <c r="AF134" s="61">
        <f>IF(COUNTIF($B$5:B134,B134)=1,1,0)</f>
        <v/>
      </c>
      <c r="AG134" s="62" t="inlineStr">
        <is>
          <t>https://www.semana.com/politica/articulo/la-publicacion-de-abelardo-de-la-espriella-que-vaticinaba-la-suerte-que-iba-a-tener-alias-bendito-menor-que-impacto-las-redes/202657/</t>
        </is>
      </c>
    </row>
    <row r="135" ht="15" customHeight="1" s="31">
      <c r="A135" s="38" t="inlineStr">
        <is>
          <t>ART_014</t>
        </is>
      </c>
      <c r="B135" s="38" t="inlineStr">
        <is>
          <t>ART_014_S03</t>
        </is>
      </c>
      <c r="C135" s="38" t="inlineStr">
        <is>
          <t>Semana</t>
        </is>
      </c>
      <c r="D135" s="38" t="inlineStr">
        <is>
          <t>Transición de gobierno y relación con la oposición</t>
        </is>
      </c>
      <c r="E135" s="38" t="inlineStr">
        <is>
          <t>Noticia dura</t>
        </is>
      </c>
      <c r="F135" s="38" t="inlineStr">
        <is>
          <t>Fri, 04 Sep 2026 20:38:57 +0000</t>
        </is>
      </c>
      <c r="G135" s="62" t="inlineStr">
        <is>
          <t>“Quien decida continuar atacando a Colombia, encontrará enfrente toda la capacidad legítima del Estado”, expresó la publicación en la cuenta de Instagram del mandatario.</t>
        </is>
      </c>
      <c r="H135" s="62" t="inlineStr">
        <is>
          <t>Se trata de una foto en la que se ve al mandatario junto a integrantes de la Fuerza Pública, la cual está acompañada de un mensaje que vaticinaba la suerte que iba a tener el cabecilla Naín Andrés Pérez, más conocido con el alias de Bendito Menor.</t>
        </is>
      </c>
      <c r="I135" s="62" t="inlineStr">
        <is>
          <t>Frente al caso de alias Bendito Menor, ese peligroso cabecilla fue dado de baja por una acción articulada que desplegó la Policía Nacional en el departamento de La Guajira.</t>
        </is>
      </c>
      <c r="J135" s="38" t="n"/>
      <c r="K135" s="62" t="n"/>
      <c r="L135" s="38" t="n"/>
      <c r="M135" s="62" t="n"/>
      <c r="N135" s="38" t="n"/>
      <c r="O135" s="62" t="n"/>
      <c r="P135" s="38" t="n"/>
      <c r="Q135" s="62" t="n"/>
      <c r="R135" s="38" t="n"/>
      <c r="S135" s="62" t="n"/>
      <c r="T135" s="38" t="n"/>
      <c r="U135" s="62" t="n"/>
      <c r="V135" s="38" t="n"/>
      <c r="W135" s="62" t="n"/>
      <c r="X135" s="38" t="n"/>
      <c r="Y135" s="62" t="n"/>
      <c r="Z135" s="38" t="n"/>
      <c r="AA135" s="62" t="n"/>
      <c r="AB135" s="38" t="n"/>
      <c r="AC135" s="62" t="n"/>
      <c r="AD135" s="38" t="n"/>
      <c r="AE135" s="38" t="n"/>
      <c r="AF135" s="61">
        <f>IF(COUNTIF($B$5:B135,B135)=1,1,0)</f>
        <v/>
      </c>
      <c r="AG135" s="62" t="inlineStr">
        <is>
          <t>https://www.semana.com/politica/articulo/la-publicacion-de-abelardo-de-la-espriella-que-vaticinaba-la-suerte-que-iba-a-tener-alias-bendito-menor-que-impacto-las-redes/202657/</t>
        </is>
      </c>
    </row>
    <row r="136" ht="15" customHeight="1" s="31">
      <c r="A136" s="38" t="inlineStr">
        <is>
          <t>ART_014</t>
        </is>
      </c>
      <c r="B136" s="38" t="inlineStr">
        <is>
          <t>ART_014_S04</t>
        </is>
      </c>
      <c r="C136" s="38" t="inlineStr">
        <is>
          <t>Semana</t>
        </is>
      </c>
      <c r="D136" s="38" t="inlineStr">
        <is>
          <t>Transición de gobierno y relación con la oposición</t>
        </is>
      </c>
      <c r="E136" s="38" t="inlineStr">
        <is>
          <t>Noticia dura</t>
        </is>
      </c>
      <c r="F136" s="38" t="inlineStr">
        <is>
          <t>Fri, 04 Sep 2026 20:38:57 +0000</t>
        </is>
      </c>
      <c r="G136" s="62" t="inlineStr">
        <is>
          <t>Frente al caso de alias Bendito Menor, ese peligroso cabecilla fue dado de baja por una acción articulada que desplegó la Policía Nacional en el departamento de La Guajira.</t>
        </is>
      </c>
      <c r="H136" s="62" t="inlineStr">
        <is>
          <t>“Quien decida continuar atacando a Colombia, encontrará enfrente toda la capacidad legítima del Estado”, expresó la publicación en la cuenta de Instagram del mandatario.</t>
        </is>
      </c>
      <c r="I136" s="62" t="inlineStr">
        <is>
          <t>El presidente De La Espriella, este viernes, 4 de septiembre, reveló detalles de la operación: “Hoy es un gran día para Colombia.</t>
        </is>
      </c>
      <c r="J136" s="38" t="n"/>
      <c r="K136" s="62" t="n"/>
      <c r="L136" s="38" t="n"/>
      <c r="M136" s="62" t="n"/>
      <c r="N136" s="38" t="n"/>
      <c r="O136" s="62" t="n"/>
      <c r="P136" s="38" t="n"/>
      <c r="Q136" s="62" t="n"/>
      <c r="R136" s="38" t="n"/>
      <c r="S136" s="62" t="n"/>
      <c r="T136" s="38" t="n"/>
      <c r="U136" s="62" t="n"/>
      <c r="V136" s="38" t="n"/>
      <c r="W136" s="62" t="n"/>
      <c r="X136" s="38" t="n"/>
      <c r="Y136" s="62" t="n"/>
      <c r="Z136" s="38" t="n"/>
      <c r="AA136" s="62" t="n"/>
      <c r="AB136" s="38" t="n"/>
      <c r="AC136" s="62" t="n"/>
      <c r="AD136" s="38" t="n"/>
      <c r="AE136" s="38" t="n"/>
      <c r="AF136" s="61">
        <f>IF(COUNTIF($B$5:B136,B136)=1,1,0)</f>
        <v/>
      </c>
      <c r="AG136" s="62" t="inlineStr">
        <is>
          <t>https://www.semana.com/politica/articulo/la-publicacion-de-abelardo-de-la-espriella-que-vaticinaba-la-suerte-que-iba-a-tener-alias-bendito-menor-que-impacto-las-redes/202657/</t>
        </is>
      </c>
    </row>
    <row r="137" ht="15" customHeight="1" s="31">
      <c r="A137" s="38" t="inlineStr">
        <is>
          <t>ART_014</t>
        </is>
      </c>
      <c r="B137" s="38" t="inlineStr">
        <is>
          <t>ART_014_S05</t>
        </is>
      </c>
      <c r="C137" s="38" t="inlineStr">
        <is>
          <t>Semana</t>
        </is>
      </c>
      <c r="D137" s="38" t="inlineStr">
        <is>
          <t>Transición de gobierno y relación con la oposición</t>
        </is>
      </c>
      <c r="E137" s="38" t="inlineStr">
        <is>
          <t>Noticia dura</t>
        </is>
      </c>
      <c r="F137" s="38" t="inlineStr">
        <is>
          <t>Fri, 04 Sep 2026 20:38:57 +0000</t>
        </is>
      </c>
      <c r="G137" s="62" t="inlineStr">
        <is>
          <t>El presidente De La Espriella, este viernes, 4 de septiembre, reveló detalles de la operación: “Hoy es un gran día para Colombia.</t>
        </is>
      </c>
      <c r="H137" s="62" t="inlineStr">
        <is>
          <t>Frente al caso de alias Bendito Menor, ese peligroso cabecilla fue dado de baja por una acción articulada que desplegó la Policía Nacional en el departamento de La Guajira.</t>
        </is>
      </c>
      <c r="I137" s="62" t="inlineStr">
        <is>
          <t>Gracias a una operación impecable realizada por nuestra Policía Nacional por un comando especial de la Dijín, se dio de baja a uno de los más peligrosos delincuentes de nuestro país, alias Naín o Bendito Menor”.</t>
        </is>
      </c>
      <c r="J137" s="38" t="n"/>
      <c r="K137" s="62" t="n"/>
      <c r="L137" s="38" t="n"/>
      <c r="M137" s="62" t="n"/>
      <c r="N137" s="38" t="n"/>
      <c r="O137" s="62" t="n"/>
      <c r="P137" s="38" t="n"/>
      <c r="Q137" s="62" t="n"/>
      <c r="R137" s="38" t="n"/>
      <c r="S137" s="62" t="n"/>
      <c r="T137" s="38" t="n"/>
      <c r="U137" s="62" t="n"/>
      <c r="V137" s="38" t="n"/>
      <c r="W137" s="62" t="n"/>
      <c r="X137" s="38" t="n"/>
      <c r="Y137" s="62" t="n"/>
      <c r="Z137" s="38" t="n"/>
      <c r="AA137" s="62" t="n"/>
      <c r="AB137" s="38" t="n"/>
      <c r="AC137" s="62" t="n"/>
      <c r="AD137" s="38" t="n"/>
      <c r="AE137" s="38" t="n"/>
      <c r="AF137" s="61">
        <f>IF(COUNTIF($B$5:B137,B137)=1,1,0)</f>
        <v/>
      </c>
      <c r="AG137" s="62" t="inlineStr">
        <is>
          <t>https://www.semana.com/politica/articulo/la-publicacion-de-abelardo-de-la-espriella-que-vaticinaba-la-suerte-que-iba-a-tener-alias-bendito-menor-que-impacto-las-redes/202657/</t>
        </is>
      </c>
    </row>
    <row r="138" ht="15" customHeight="1" s="31">
      <c r="A138" s="38" t="inlineStr">
        <is>
          <t>ART_014</t>
        </is>
      </c>
      <c r="B138" s="38" t="inlineStr">
        <is>
          <t>ART_014_S06</t>
        </is>
      </c>
      <c r="C138" s="38" t="inlineStr">
        <is>
          <t>Semana</t>
        </is>
      </c>
      <c r="D138" s="38" t="inlineStr">
        <is>
          <t>Transición de gobierno y relación con la oposición</t>
        </is>
      </c>
      <c r="E138" s="38" t="inlineStr">
        <is>
          <t>Noticia dura</t>
        </is>
      </c>
      <c r="F138" s="38" t="inlineStr">
        <is>
          <t>Fri, 04 Sep 2026 20:38:57 +0000</t>
        </is>
      </c>
      <c r="G138" s="62" t="inlineStr">
        <is>
          <t>Gracias a una operación impecable realizada por nuestra Policía Nacional por un comando especial de la Dijín, se dio de baja a uno de los más peligrosos delincuentes de nuestro país, alias Naín o Bendito Menor”.</t>
        </is>
      </c>
      <c r="H138" s="62" t="inlineStr">
        <is>
          <t>El presidente De La Espriella, este viernes, 4 de septiembre, reveló detalles de la operación: “Hoy es un gran día para Colombia.</t>
        </is>
      </c>
      <c r="I138" s="62" t="inlineStr">
        <is>
          <t>“Hoy ha llegado el fin de las actividades criminales de este narcoterrorista que tenía azotada a La Guajira y al Caribe colombiano mediante el narcotráfico, la extorsión y la presión a la población.</t>
        </is>
      </c>
      <c r="J138" s="38" t="n"/>
      <c r="K138" s="62" t="n"/>
      <c r="L138" s="38" t="n"/>
      <c r="M138" s="62" t="n"/>
      <c r="N138" s="38" t="n"/>
      <c r="O138" s="62" t="n"/>
      <c r="P138" s="38" t="n"/>
      <c r="Q138" s="62" t="n"/>
      <c r="R138" s="38" t="n"/>
      <c r="S138" s="62" t="n"/>
      <c r="T138" s="38" t="n"/>
      <c r="U138" s="62" t="n"/>
      <c r="V138" s="38" t="n"/>
      <c r="W138" s="62" t="n"/>
      <c r="X138" s="38" t="n"/>
      <c r="Y138" s="62" t="n"/>
      <c r="Z138" s="38" t="n"/>
      <c r="AA138" s="62" t="n"/>
      <c r="AB138" s="38" t="n"/>
      <c r="AC138" s="62" t="n"/>
      <c r="AD138" s="38" t="n"/>
      <c r="AE138" s="38" t="n"/>
      <c r="AF138" s="61">
        <f>IF(COUNTIF($B$5:B138,B138)=1,1,0)</f>
        <v/>
      </c>
      <c r="AG138" s="62" t="inlineStr">
        <is>
          <t>https://www.semana.com/politica/articulo/la-publicacion-de-abelardo-de-la-espriella-que-vaticinaba-la-suerte-que-iba-a-tener-alias-bendito-menor-que-impacto-las-redes/202657/</t>
        </is>
      </c>
    </row>
    <row r="139" ht="15" customHeight="1" s="31">
      <c r="A139" s="38" t="inlineStr">
        <is>
          <t>ART_014</t>
        </is>
      </c>
      <c r="B139" s="38" t="inlineStr">
        <is>
          <t>ART_014_S07</t>
        </is>
      </c>
      <c r="C139" s="38" t="inlineStr">
        <is>
          <t>Semana</t>
        </is>
      </c>
      <c r="D139" s="38" t="inlineStr">
        <is>
          <t>Transición de gobierno y relación con la oposición</t>
        </is>
      </c>
      <c r="E139" s="38" t="inlineStr">
        <is>
          <t>Noticia dura</t>
        </is>
      </c>
      <c r="F139" s="38" t="inlineStr">
        <is>
          <t>Fri, 04 Sep 2026 20:38:57 +0000</t>
        </is>
      </c>
      <c r="G139" s="62" t="inlineStr">
        <is>
          <t>“Hoy ha llegado el fin de las actividades criminales de este narcoterrorista que tenía azotada a La Guajira y al Caribe colombiano mediante el narcotráfico, la extorsión y la presión a la población.</t>
        </is>
      </c>
      <c r="H139" s="62" t="inlineStr">
        <is>
          <t>Gracias a una operación impecable realizada por nuestra Policía Nacional por un comando especial de la Dijín, se dio de baja a uno de los más peligrosos delincuentes de nuestro país, alias Naín o Bendito Menor”.</t>
        </is>
      </c>
      <c r="I139" s="62" t="inlineStr">
        <is>
          <t>Este delincuente, que no seguirá delinquiendo porque le cayó la mano de hierro del Estado, tenía arrodillada a la población, llena de miedo”, afirmó el mandatario colombiano en una declaración que dio desde La Guajira.</t>
        </is>
      </c>
      <c r="J139" s="38" t="n"/>
      <c r="K139" s="62" t="n"/>
      <c r="L139" s="38" t="n"/>
      <c r="M139" s="62" t="n"/>
      <c r="N139" s="38" t="n"/>
      <c r="O139" s="62" t="n"/>
      <c r="P139" s="38" t="n"/>
      <c r="Q139" s="62" t="n"/>
      <c r="R139" s="38" t="n"/>
      <c r="S139" s="62" t="n"/>
      <c r="T139" s="38" t="n"/>
      <c r="U139" s="62" t="n"/>
      <c r="V139" s="38" t="n"/>
      <c r="W139" s="62" t="n"/>
      <c r="X139" s="38" t="n"/>
      <c r="Y139" s="62" t="n"/>
      <c r="Z139" s="38" t="n"/>
      <c r="AA139" s="62" t="n"/>
      <c r="AB139" s="38" t="n"/>
      <c r="AC139" s="62" t="n"/>
      <c r="AD139" s="38" t="n"/>
      <c r="AE139" s="38" t="n"/>
      <c r="AF139" s="61">
        <f>IF(COUNTIF($B$5:B139,B139)=1,1,0)</f>
        <v/>
      </c>
      <c r="AG139" s="62" t="inlineStr">
        <is>
          <t>https://www.semana.com/politica/articulo/la-publicacion-de-abelardo-de-la-espriella-que-vaticinaba-la-suerte-que-iba-a-tener-alias-bendito-menor-que-impacto-las-redes/202657/</t>
        </is>
      </c>
    </row>
    <row r="140" ht="15" customHeight="1" s="31">
      <c r="A140" s="38" t="inlineStr">
        <is>
          <t>ART_014</t>
        </is>
      </c>
      <c r="B140" s="38" t="inlineStr">
        <is>
          <t>ART_014_S08</t>
        </is>
      </c>
      <c r="C140" s="38" t="inlineStr">
        <is>
          <t>Semana</t>
        </is>
      </c>
      <c r="D140" s="38" t="inlineStr">
        <is>
          <t>Transición de gobierno y relación con la oposición</t>
        </is>
      </c>
      <c r="E140" s="38" t="inlineStr">
        <is>
          <t>Noticia dura</t>
        </is>
      </c>
      <c r="F140" s="38" t="inlineStr">
        <is>
          <t>Fri, 04 Sep 2026 20:38:57 +0000</t>
        </is>
      </c>
      <c r="G140" s="62" t="inlineStr">
        <is>
          <t>Este delincuente, que no seguirá delinquiendo porque le cayó la mano de hierro del Estado, tenía arrodillada a la población, llena de miedo”, afirmó el mandatario colombiano en una declaración que dio desde La Guajira.</t>
        </is>
      </c>
      <c r="H140" s="62" t="inlineStr">
        <is>
          <t>“Hoy ha llegado el fin de las actividades criminales de este narcoterrorista que tenía azotada a La Guajira y al Caribe colombiano mediante el narcotráfico, la extorsión y la presión a la población.</t>
        </is>
      </c>
      <c r="I140" s="62" t="inlineStr">
        <is>
          <t>También expresó: “En el Gobierno del Tigre la gente de bien no volverá a sentir miedo.</t>
        </is>
      </c>
      <c r="J140" s="38" t="n"/>
      <c r="K140" s="62" t="n"/>
      <c r="L140" s="38" t="n"/>
      <c r="M140" s="62" t="n"/>
      <c r="N140" s="38" t="n"/>
      <c r="O140" s="62" t="n"/>
      <c r="P140" s="38" t="n"/>
      <c r="Q140" s="62" t="n"/>
      <c r="R140" s="38" t="n"/>
      <c r="S140" s="62" t="n"/>
      <c r="T140" s="38" t="n"/>
      <c r="U140" s="62" t="n"/>
      <c r="V140" s="38" t="n"/>
      <c r="W140" s="62" t="n"/>
      <c r="X140" s="38" t="n"/>
      <c r="Y140" s="62" t="n"/>
      <c r="Z140" s="38" t="n"/>
      <c r="AA140" s="62" t="n"/>
      <c r="AB140" s="38" t="n"/>
      <c r="AC140" s="62" t="n"/>
      <c r="AD140" s="38" t="n"/>
      <c r="AE140" s="38" t="n"/>
      <c r="AF140" s="61">
        <f>IF(COUNTIF($B$5:B140,B140)=1,1,0)</f>
        <v/>
      </c>
      <c r="AG140" s="62" t="inlineStr">
        <is>
          <t>https://www.semana.com/politica/articulo/la-publicacion-de-abelardo-de-la-espriella-que-vaticinaba-la-suerte-que-iba-a-tener-alias-bendito-menor-que-impacto-las-redes/202657/</t>
        </is>
      </c>
    </row>
    <row r="141" ht="15" customHeight="1" s="31">
      <c r="A141" s="38" t="inlineStr">
        <is>
          <t>ART_014</t>
        </is>
      </c>
      <c r="B141" s="38" t="inlineStr">
        <is>
          <t>ART_014_S09</t>
        </is>
      </c>
      <c r="C141" s="38" t="inlineStr">
        <is>
          <t>Semana</t>
        </is>
      </c>
      <c r="D141" s="38" t="inlineStr">
        <is>
          <t>Transición de gobierno y relación con la oposición</t>
        </is>
      </c>
      <c r="E141" s="38" t="inlineStr">
        <is>
          <t>Noticia dura</t>
        </is>
      </c>
      <c r="F141" s="38" t="inlineStr">
        <is>
          <t>Fri, 04 Sep 2026 20:38:57 +0000</t>
        </is>
      </c>
      <c r="G141" s="62" t="inlineStr">
        <is>
          <t>También expresó: “En el Gobierno del Tigre la gente de bien no volverá a sentir miedo.</t>
        </is>
      </c>
      <c r="H141" s="62" t="inlineStr">
        <is>
          <t>Este delincuente, que no seguirá delinquiendo porque le cayó la mano de hierro del Estado, tenía arrodillada a la población, llena de miedo”, afirmó el mandatario colombiano en una declaración que dio desde La Guajira.</t>
        </is>
      </c>
      <c r="I141" s="62" t="inlineStr">
        <is>
          <t>Los que tienen que sentir pánico y terror son los delincuentes, porque aquellos que no se sometan terminarán de esta forma.</t>
        </is>
      </c>
      <c r="J141" s="38" t="n"/>
      <c r="K141" s="62" t="n"/>
      <c r="L141" s="38" t="n"/>
      <c r="M141" s="62" t="n"/>
      <c r="N141" s="38" t="n"/>
      <c r="O141" s="62" t="n"/>
      <c r="P141" s="38" t="n"/>
      <c r="Q141" s="62" t="n"/>
      <c r="R141" s="38" t="n"/>
      <c r="S141" s="62" t="n"/>
      <c r="T141" s="38" t="n"/>
      <c r="U141" s="62" t="n"/>
      <c r="V141" s="38" t="n"/>
      <c r="W141" s="62" t="n"/>
      <c r="X141" s="38" t="n"/>
      <c r="Y141" s="62" t="n"/>
      <c r="Z141" s="38" t="n"/>
      <c r="AA141" s="62" t="n"/>
      <c r="AB141" s="38" t="n"/>
      <c r="AC141" s="62" t="n"/>
      <c r="AD141" s="38" t="n"/>
      <c r="AE141" s="38" t="n"/>
      <c r="AF141" s="61">
        <f>IF(COUNTIF($B$5:B141,B141)=1,1,0)</f>
        <v/>
      </c>
      <c r="AG141" s="62" t="inlineStr">
        <is>
          <t>https://www.semana.com/politica/articulo/la-publicacion-de-abelardo-de-la-espriella-que-vaticinaba-la-suerte-que-iba-a-tener-alias-bendito-menor-que-impacto-las-redes/202657/</t>
        </is>
      </c>
    </row>
    <row r="142" ht="15" customHeight="1" s="31">
      <c r="A142" s="38" t="inlineStr">
        <is>
          <t>ART_014</t>
        </is>
      </c>
      <c r="B142" s="38" t="inlineStr">
        <is>
          <t>ART_014_S10</t>
        </is>
      </c>
      <c r="C142" s="38" t="inlineStr">
        <is>
          <t>Semana</t>
        </is>
      </c>
      <c r="D142" s="38" t="inlineStr">
        <is>
          <t>Transición de gobierno y relación con la oposición</t>
        </is>
      </c>
      <c r="E142" s="38" t="inlineStr">
        <is>
          <t>Noticia dura</t>
        </is>
      </c>
      <c r="F142" s="38" t="inlineStr">
        <is>
          <t>Fri, 04 Sep 2026 20:38:57 +0000</t>
        </is>
      </c>
      <c r="G142" s="62" t="inlineStr">
        <is>
          <t>Los que tienen que sentir pánico y terror son los delincuentes, porque aquellos que no se sometan terminarán de esta forma.</t>
        </is>
      </c>
      <c r="H142" s="62" t="inlineStr">
        <is>
          <t>También expresó: “En el Gobierno del Tigre la gente de bien no volverá a sentir miedo.</t>
        </is>
      </c>
      <c r="I142" s="62" t="n"/>
      <c r="J142" s="38" t="n"/>
      <c r="K142" s="62" t="n"/>
      <c r="L142" s="38" t="n"/>
      <c r="M142" s="62" t="n"/>
      <c r="N142" s="38" t="n"/>
      <c r="O142" s="62" t="n"/>
      <c r="P142" s="38" t="n"/>
      <c r="Q142" s="62" t="n"/>
      <c r="R142" s="38" t="n"/>
      <c r="S142" s="62" t="n"/>
      <c r="T142" s="38" t="n"/>
      <c r="U142" s="62" t="n"/>
      <c r="V142" s="38" t="n"/>
      <c r="W142" s="62" t="n"/>
      <c r="X142" s="38" t="n"/>
      <c r="Y142" s="62" t="n"/>
      <c r="Z142" s="38" t="n"/>
      <c r="AA142" s="62" t="n"/>
      <c r="AB142" s="38" t="n"/>
      <c r="AC142" s="62" t="n"/>
      <c r="AD142" s="38" t="n"/>
      <c r="AE142" s="38" t="n"/>
      <c r="AF142" s="61">
        <f>IF(COUNTIF($B$5:B142,B142)=1,1,0)</f>
        <v/>
      </c>
      <c r="AG142" s="62" t="inlineStr">
        <is>
          <t>https://www.semana.com/politica/articulo/la-publicacion-de-abelardo-de-la-espriella-que-vaticinaba-la-suerte-que-iba-a-tener-alias-bendito-menor-que-impacto-las-redes/202657/</t>
        </is>
      </c>
    </row>
    <row r="143" ht="15" customHeight="1" s="31">
      <c r="A143" s="38" t="inlineStr">
        <is>
          <t>ART_015</t>
        </is>
      </c>
      <c r="B143" s="38" t="inlineStr">
        <is>
          <t>ART_015_S01</t>
        </is>
      </c>
      <c r="C143" s="38" t="inlineStr">
        <is>
          <t>El Tiempo</t>
        </is>
      </c>
      <c r="D143" s="38" t="inlineStr">
        <is>
          <t>Relación con Estados Unidos</t>
        </is>
      </c>
      <c r="E143" s="38" t="inlineStr">
        <is>
          <t>Noticia dura</t>
        </is>
      </c>
      <c r="F143" s="38" t="inlineStr">
        <is>
          <t>2026-09-04T16:28:46-05:00</t>
        </is>
      </c>
      <c r="G143" s="62" t="inlineStr">
        <is>
          <t>El presidente de Estados Unidos, Donald Trump, afirmó este viernes que México tiene poco que ofrecer a su país más allá de "tamales picantes y tomates", aunque descartó interrumpir la relación comercial bilateral y destacó la buena sintonía que mantiene con la presidenta mexicana, Claudia Sheinbaum.</t>
        </is>
      </c>
      <c r="H143" s="62" t="n"/>
      <c r="I143" s="62" t="inlineStr">
        <is>
          <t>Trump hizo estas declaraciones en el Despacho Oval al ser consultado por periodistas sobre su amenaza de suspender el comercio con países que mantienen un superávit comercial frente a Estados Unidos.</t>
        </is>
      </c>
      <c r="J143" s="38" t="n"/>
      <c r="K143" s="62" t="n"/>
      <c r="L143" s="38" t="n"/>
      <c r="M143" s="62" t="n"/>
      <c r="N143" s="38" t="n"/>
      <c r="O143" s="62" t="n"/>
      <c r="P143" s="38" t="n"/>
      <c r="Q143" s="62" t="n"/>
      <c r="R143" s="38" t="n"/>
      <c r="S143" s="62" t="n"/>
      <c r="T143" s="38" t="n"/>
      <c r="U143" s="62" t="n"/>
      <c r="V143" s="38" t="n"/>
      <c r="W143" s="62" t="n"/>
      <c r="X143" s="38" t="n"/>
      <c r="Y143" s="62" t="n"/>
      <c r="Z143" s="38" t="n"/>
      <c r="AA143" s="62" t="n"/>
      <c r="AB143" s="38" t="n"/>
      <c r="AC143" s="62" t="n"/>
      <c r="AD143" s="38" t="n"/>
      <c r="AE143" s="38" t="n"/>
      <c r="AF143" s="61">
        <f>IF(COUNTIF($B$5:B143,B143)=1,1,0)</f>
        <v/>
      </c>
      <c r="AG143" s="62" t="inlineStr">
        <is>
          <t>https://www.eltiempo.com/mundo/eeuu-y-canada/tamales-picantes-y-tomates-estas-fueron-las-polemicas-declaraciones-de-trump-sobre-la-relacion-comercial-entre-mexico-y-estados-unidos-3583705</t>
        </is>
      </c>
    </row>
    <row r="144" ht="15" customHeight="1" s="31">
      <c r="A144" s="38" t="inlineStr">
        <is>
          <t>ART_015</t>
        </is>
      </c>
      <c r="B144" s="38" t="inlineStr">
        <is>
          <t>ART_015_S02</t>
        </is>
      </c>
      <c r="C144" s="38" t="inlineStr">
        <is>
          <t>El Tiempo</t>
        </is>
      </c>
      <c r="D144" s="38" t="inlineStr">
        <is>
          <t>Relación con Estados Unidos</t>
        </is>
      </c>
      <c r="E144" s="38" t="inlineStr">
        <is>
          <t>Noticia dura</t>
        </is>
      </c>
      <c r="F144" s="38" t="inlineStr">
        <is>
          <t>2026-09-04T16:28:46-05:00</t>
        </is>
      </c>
      <c r="G144" s="62" t="inlineStr">
        <is>
          <t>Trump hizo estas declaraciones en el Despacho Oval al ser consultado por periodistas sobre su amenaza de suspender el comercio con países que mantienen un superávit comercial frente a Estados Unidos.</t>
        </is>
      </c>
      <c r="H144" s="62" t="inlineStr">
        <is>
          <t>El presidente de Estados Unidos, Donald Trump, afirmó este viernes que México tiene poco que ofrecer a su país más allá de "tamales picantes y tomates", aunque descartó interrumpir la relación comercial bilateral y destacó la buena sintonía que mantiene con la presidenta mexicana, Claudia Sheinbaum.</t>
        </is>
      </c>
      <c r="I144" s="62" t="n"/>
      <c r="J144" s="38" t="n"/>
      <c r="K144" s="62" t="n"/>
      <c r="L144" s="38" t="n"/>
      <c r="M144" s="62" t="n"/>
      <c r="N144" s="38" t="n"/>
      <c r="O144" s="62" t="n"/>
      <c r="P144" s="38" t="n"/>
      <c r="Q144" s="62" t="n"/>
      <c r="R144" s="38" t="n"/>
      <c r="S144" s="62" t="n"/>
      <c r="T144" s="38" t="n"/>
      <c r="U144" s="62" t="n"/>
      <c r="V144" s="38" t="n"/>
      <c r="W144" s="62" t="n"/>
      <c r="X144" s="38" t="n"/>
      <c r="Y144" s="62" t="n"/>
      <c r="Z144" s="38" t="n"/>
      <c r="AA144" s="62" t="n"/>
      <c r="AB144" s="38" t="n"/>
      <c r="AC144" s="62" t="n"/>
      <c r="AD144" s="38" t="n"/>
      <c r="AE144" s="38" t="n"/>
      <c r="AF144" s="61">
        <f>IF(COUNTIF($B$5:B144,B144)=1,1,0)</f>
        <v/>
      </c>
      <c r="AG144" s="62" t="inlineStr">
        <is>
          <t>https://www.eltiempo.com/mundo/eeuu-y-canada/tamales-picantes-y-tomates-estas-fueron-las-polemicas-declaraciones-de-trump-sobre-la-relacion-comercial-entre-mexico-y-estados-unidos-3583705</t>
        </is>
      </c>
    </row>
    <row r="145" ht="15" customHeight="1" s="31">
      <c r="A145" s="38" t="inlineStr">
        <is>
          <t>ART_016</t>
        </is>
      </c>
      <c r="B145" s="38" t="inlineStr">
        <is>
          <t>ART_016_S01</t>
        </is>
      </c>
      <c r="C145" s="38" t="inlineStr">
        <is>
          <t>El Tiempo</t>
        </is>
      </c>
      <c r="D145" s="38" t="inlineStr">
        <is>
          <t>Seguridad y orden público</t>
        </is>
      </c>
      <c r="E145" s="38" t="inlineStr">
        <is>
          <t>Noticia dura</t>
        </is>
      </c>
      <c r="F145" s="38" t="inlineStr">
        <is>
          <t>2026-09-04T16:23:07-05:00</t>
        </is>
      </c>
      <c r="G145" s="62" t="inlineStr">
        <is>
          <t>Después de estar al frente de la Décima Primera Brigada, el brigadier general Óscar del Cristo Díaz Montiel asumió una nueva responsabilidad dentro de la estructura del Ejército.</t>
        </is>
      </c>
      <c r="H145" s="62" t="n"/>
      <c r="I145" s="62" t="inlineStr">
        <is>
          <t>El oficial fue designado comandante del Comando de Educación y Doctrina (Cedoc), desde donde tendrá a cargo los lineamientos para la formación, instrucción y entrenamiento de los integrantes de la Fuerza.</t>
        </is>
      </c>
      <c r="J145" s="38" t="n"/>
      <c r="K145" s="62" t="n"/>
      <c r="L145" s="38" t="n"/>
      <c r="M145" s="62" t="n"/>
      <c r="N145" s="38" t="n"/>
      <c r="O145" s="62" t="n"/>
      <c r="P145" s="38" t="n"/>
      <c r="Q145" s="62" t="n"/>
      <c r="R145" s="38" t="n"/>
      <c r="S145" s="62" t="n"/>
      <c r="T145" s="38" t="n"/>
      <c r="U145" s="62" t="n"/>
      <c r="V145" s="38" t="n"/>
      <c r="W145" s="62" t="n"/>
      <c r="X145" s="38" t="n"/>
      <c r="Y145" s="62" t="n"/>
      <c r="Z145" s="38" t="n"/>
      <c r="AA145" s="62" t="n"/>
      <c r="AB145" s="38" t="n"/>
      <c r="AC145" s="62" t="n"/>
      <c r="AD145" s="38" t="n"/>
      <c r="AE145" s="38" t="n"/>
      <c r="AF145" s="61">
        <f>IF(COUNTIF($B$5:B145,B145)=1,1,0)</f>
        <v/>
      </c>
      <c r="AG145" s="62" t="inlineStr">
        <is>
          <t>https://www.eltiempo.com/justicia/conflicto-y-narcotrafico/general-oscar-diaz-montiel-asume-el-comando-de-educacion-y-doctrina-del-ejercito-3583704</t>
        </is>
      </c>
    </row>
    <row r="146" ht="15" customHeight="1" s="31">
      <c r="A146" s="38" t="inlineStr">
        <is>
          <t>ART_016</t>
        </is>
      </c>
      <c r="B146" s="38" t="inlineStr">
        <is>
          <t>ART_016_S02</t>
        </is>
      </c>
      <c r="C146" s="38" t="inlineStr">
        <is>
          <t>El Tiempo</t>
        </is>
      </c>
      <c r="D146" s="38" t="inlineStr">
        <is>
          <t>Seguridad y orden público</t>
        </is>
      </c>
      <c r="E146" s="38" t="inlineStr">
        <is>
          <t>Noticia dura</t>
        </is>
      </c>
      <c r="F146" s="38" t="inlineStr">
        <is>
          <t>2026-09-04T16:23:07-05:00</t>
        </is>
      </c>
      <c r="G146" s="62" t="inlineStr">
        <is>
          <t>El oficial fue designado comandante del Comando de Educación y Doctrina (Cedoc), desde donde tendrá a cargo los lineamientos para la formación, instrucción y entrenamiento de los integrantes de la Fuerza.</t>
        </is>
      </c>
      <c r="H146" s="62" t="inlineStr">
        <is>
          <t>Después de estar al frente de la Décima Primera Brigada, el brigadier general Óscar del Cristo Díaz Montiel asumió una nueva responsabilidad dentro de la estructura del Ejército.</t>
        </is>
      </c>
      <c r="I146" s="62" t="n"/>
      <c r="J146" s="38" t="n"/>
      <c r="K146" s="62" t="n"/>
      <c r="L146" s="38" t="n"/>
      <c r="M146" s="62" t="n"/>
      <c r="N146" s="38" t="n"/>
      <c r="O146" s="62" t="n"/>
      <c r="P146" s="38" t="n"/>
      <c r="Q146" s="62" t="n"/>
      <c r="R146" s="38" t="n"/>
      <c r="S146" s="62" t="n"/>
      <c r="T146" s="38" t="n"/>
      <c r="U146" s="62" t="n"/>
      <c r="V146" s="38" t="n"/>
      <c r="W146" s="62" t="n"/>
      <c r="X146" s="38" t="n"/>
      <c r="Y146" s="62" t="n"/>
      <c r="Z146" s="38" t="n"/>
      <c r="AA146" s="62" t="n"/>
      <c r="AB146" s="38" t="n"/>
      <c r="AC146" s="62" t="n"/>
      <c r="AD146" s="38" t="n"/>
      <c r="AE146" s="38" t="n"/>
      <c r="AF146" s="61">
        <f>IF(COUNTIF($B$5:B146,B146)=1,1,0)</f>
        <v/>
      </c>
      <c r="AG146" s="62" t="inlineStr">
        <is>
          <t>https://www.eltiempo.com/justicia/conflicto-y-narcotrafico/general-oscar-diaz-montiel-asume-el-comando-de-educacion-y-doctrina-del-ejercito-3583704</t>
        </is>
      </c>
    </row>
    <row r="147" ht="15" customHeight="1" s="31">
      <c r="A147" s="38" t="inlineStr">
        <is>
          <t>ART_017</t>
        </is>
      </c>
      <c r="B147" s="38" t="inlineStr">
        <is>
          <t>ART_017_S01</t>
        </is>
      </c>
      <c r="C147" s="38" t="inlineStr">
        <is>
          <t>El Tiempo</t>
        </is>
      </c>
      <c r="D147" s="38" t="inlineStr">
        <is>
          <t>Respuesta a la emergencia del terremoto</t>
        </is>
      </c>
      <c r="E147" s="38" t="inlineStr">
        <is>
          <t>Noticia dura</t>
        </is>
      </c>
      <c r="F147" s="38" t="inlineStr">
        <is>
          <t>2026-09-04T12:35:46-05:00</t>
        </is>
      </c>
      <c r="G147" s="62" t="inlineStr">
        <is>
          <t>Ante la situación fiscal "crítica y sin precedentes" que enfrenta Colombia, el presidente del Comité Autónomo de Regla Fiscal (Carf), Juan Carlos Ramírez, detalló los principios que debe consultar el plan de ajuste fiscal del gobierno de Abelardo De La Espriella.</t>
        </is>
      </c>
      <c r="H147" s="62" t="n"/>
      <c r="I147" s="62" t="inlineStr">
        <is>
          <t>La postura del organismo se da luego de que el viceministro general de Hacienda, Andrés Quevedo, reiterara que inicialmente se tiene previsto realizar un recorte del gasto de 21,9 billones de pesos para empezar a estabilizar las cuentas fiscales y priorizar recursos para atender la emergencia por el terremoto.</t>
        </is>
      </c>
      <c r="J147" s="38" t="n"/>
      <c r="K147" s="62" t="n"/>
      <c r="L147" s="38" t="n"/>
      <c r="M147" s="62" t="n"/>
      <c r="N147" s="38" t="n"/>
      <c r="O147" s="62" t="n"/>
      <c r="P147" s="38" t="n"/>
      <c r="Q147" s="62" t="n"/>
      <c r="R147" s="38" t="n"/>
      <c r="S147" s="62" t="n"/>
      <c r="T147" s="38" t="n"/>
      <c r="U147" s="62" t="n"/>
      <c r="V147" s="38" t="n"/>
      <c r="W147" s="62" t="n"/>
      <c r="X147" s="38" t="n"/>
      <c r="Y147" s="62" t="n"/>
      <c r="Z147" s="38" t="n"/>
      <c r="AA147" s="62" t="n"/>
      <c r="AB147" s="38" t="n"/>
      <c r="AC147" s="62" t="n"/>
      <c r="AD147" s="38" t="n"/>
      <c r="AE147" s="38" t="n"/>
      <c r="AF147" s="61">
        <f>IF(COUNTIF($B$5:B147,B147)=1,1,0)</f>
        <v/>
      </c>
      <c r="AG147" s="62" t="inlineStr">
        <is>
          <t>https://www.eltiempo.com/economia/sectores/mas-impuestos-al-petroleo-y-la-construccion-asi-tendria-que-ser-el-ajuste-del-gobierno-de-la-espriella-para-sacar-a-colombia-de-la-crisis-fiscal-3583622</t>
        </is>
      </c>
    </row>
    <row r="148" ht="15" customHeight="1" s="31">
      <c r="A148" s="38" t="inlineStr">
        <is>
          <t>ART_017</t>
        </is>
      </c>
      <c r="B148" s="38" t="inlineStr">
        <is>
          <t>ART_017_S02</t>
        </is>
      </c>
      <c r="C148" s="38" t="inlineStr">
        <is>
          <t>El Tiempo</t>
        </is>
      </c>
      <c r="D148" s="38" t="inlineStr">
        <is>
          <t>Respuesta a la emergencia del terremoto</t>
        </is>
      </c>
      <c r="E148" s="38" t="inlineStr">
        <is>
          <t>Noticia dura</t>
        </is>
      </c>
      <c r="F148" s="38" t="inlineStr">
        <is>
          <t>2026-09-04T12:35:46-05:00</t>
        </is>
      </c>
      <c r="G148" s="62" t="inlineStr">
        <is>
          <t>La postura del organismo se da luego de que el viceministro general de Hacienda, Andrés Quevedo, reiterara que inicialmente se tiene previsto realizar un recorte del gasto de 21,9 billones de pesos para empezar a estabilizar las cuentas fiscales y priorizar recursos para atender la emergencia por el terremoto.</t>
        </is>
      </c>
      <c r="H148" s="62" t="inlineStr">
        <is>
          <t>Ante la situación fiscal "crítica y sin precedentes" que enfrenta Colombia, el presidente del Comité Autónomo de Regla Fiscal (Carf), Juan Carlos Ramírez, detalló los principios que debe consultar el plan de ajuste fiscal del gobierno de Abelardo De La Espriella.</t>
        </is>
      </c>
      <c r="I148" s="62" t="n"/>
      <c r="J148" s="38" t="n"/>
      <c r="K148" s="62" t="n"/>
      <c r="L148" s="38" t="n"/>
      <c r="M148" s="62" t="n"/>
      <c r="N148" s="38" t="n"/>
      <c r="O148" s="62" t="n"/>
      <c r="P148" s="38" t="n"/>
      <c r="Q148" s="62" t="n"/>
      <c r="R148" s="38" t="n"/>
      <c r="S148" s="62" t="n"/>
      <c r="T148" s="38" t="n"/>
      <c r="U148" s="62" t="n"/>
      <c r="V148" s="38" t="n"/>
      <c r="W148" s="62" t="n"/>
      <c r="X148" s="38" t="n"/>
      <c r="Y148" s="62" t="n"/>
      <c r="Z148" s="38" t="n"/>
      <c r="AA148" s="62" t="n"/>
      <c r="AB148" s="38" t="n"/>
      <c r="AC148" s="62" t="n"/>
      <c r="AD148" s="38" t="n"/>
      <c r="AE148" s="38" t="n"/>
      <c r="AF148" s="61">
        <f>IF(COUNTIF($B$5:B148,B148)=1,1,0)</f>
        <v/>
      </c>
      <c r="AG148" s="62" t="inlineStr">
        <is>
          <t>https://www.eltiempo.com/economia/sectores/mas-impuestos-al-petroleo-y-la-construccion-asi-tendria-que-ser-el-ajuste-del-gobierno-de-la-espriella-para-sacar-a-colombia-de-la-crisis-fiscal-3583622</t>
        </is>
      </c>
    </row>
    <row r="149" ht="15" customHeight="1" s="31">
      <c r="A149" s="38" t="inlineStr">
        <is>
          <t>ART_018</t>
        </is>
      </c>
      <c r="B149" s="38" t="inlineStr">
        <is>
          <t>ART_018_S02</t>
        </is>
      </c>
      <c r="C149" s="38" t="inlineStr">
        <is>
          <t>La Silla Vacía</t>
        </is>
      </c>
      <c r="D149" s="38" t="inlineStr">
        <is>
          <t>Respuesta a la emergencia del terremoto</t>
        </is>
      </c>
      <c r="E149" s="38" t="inlineStr">
        <is>
          <t>Opinión-análisis</t>
        </is>
      </c>
      <c r="F149" s="38" t="inlineStr">
        <is>
          <t>Fri, 04 Sep 2026 13:00:00 +0000</t>
        </is>
      </c>
      <c r="G149" s="62" t="inlineStr">
        <is>
          <t>El reciente terremoto que golpeó con mayor fuerza al Eje Cafetero, Valle del Cauca y Chocó, tiene un gran olvidado, el sector rural.</t>
        </is>
      </c>
      <c r="H149" s="62" t="inlineStr">
        <is>
          <t>Este es un espacio de debate que no compromete la opinión de La Silla Vacía ni de sus aliados.</t>
        </is>
      </c>
      <c r="I149" s="62" t="inlineStr">
        <is>
          <t>La reconstrucción del campo no puede reducirse a reparar lo que se ve, sino a recuperar la capacidad de las familias campesinas para volver a producir.</t>
        </is>
      </c>
      <c r="J149" s="38" t="n"/>
      <c r="K149" s="62" t="n"/>
      <c r="L149" s="38" t="n"/>
      <c r="M149" s="62" t="n"/>
      <c r="N149" s="38" t="n"/>
      <c r="O149" s="62" t="n"/>
      <c r="P149" s="38" t="n"/>
      <c r="Q149" s="62" t="n"/>
      <c r="R149" s="38" t="n"/>
      <c r="S149" s="62" t="n"/>
      <c r="T149" s="38" t="n"/>
      <c r="U149" s="62" t="n"/>
      <c r="V149" s="38" t="n"/>
      <c r="W149" s="62" t="n"/>
      <c r="X149" s="38" t="n"/>
      <c r="Y149" s="62" t="n"/>
      <c r="Z149" s="38" t="n"/>
      <c r="AA149" s="62" t="n"/>
      <c r="AB149" s="38" t="n"/>
      <c r="AC149" s="62" t="n"/>
      <c r="AD149" s="38" t="n"/>
      <c r="AE149" s="38" t="n"/>
      <c r="AF149" s="61">
        <f>IF(COUNTIF($B$5:B149,B149)=1,1,0)</f>
        <v/>
      </c>
      <c r="AG149" s="62" t="inlineStr">
        <is>
          <t>https://www.lasillavacia.com/red-de-expertos/red-rural/terremoto-en-el-corazon-del-cafe-al-caido-caerle/</t>
        </is>
      </c>
    </row>
    <row r="150" ht="15" customHeight="1" s="31">
      <c r="A150" s="38" t="inlineStr">
        <is>
          <t>ART_018</t>
        </is>
      </c>
      <c r="B150" s="38" t="inlineStr">
        <is>
          <t>ART_018_S03</t>
        </is>
      </c>
      <c r="C150" s="38" t="inlineStr">
        <is>
          <t>La Silla Vacía</t>
        </is>
      </c>
      <c r="D150" s="38" t="inlineStr">
        <is>
          <t>Respuesta a la emergencia del terremoto</t>
        </is>
      </c>
      <c r="E150" s="38" t="inlineStr">
        <is>
          <t>Opinión-análisis</t>
        </is>
      </c>
      <c r="F150" s="38" t="inlineStr">
        <is>
          <t>Fri, 04 Sep 2026 13:00:00 +0000</t>
        </is>
      </c>
      <c r="G150" s="62" t="inlineStr">
        <is>
          <t>La reconstrucción del campo no puede reducirse a reparar lo que se ve, sino a recuperar la capacidad de las familias campesinas para volver a producir.</t>
        </is>
      </c>
      <c r="H150" s="62" t="inlineStr">
        <is>
          <t>El reciente terremoto que golpeó con mayor fuerza al Eje Cafetero, Valle del Cauca y Chocó, tiene un gran olvidado, el sector rural.</t>
        </is>
      </c>
      <c r="I150" s="62" t="inlineStr">
        <is>
          <t>A la fecha, no existe un consolidado oficial que permita saber la magnitud de los daños y pérdidas y, en consecuencia, cuantificar con precisión el costo de la reconstrucción.</t>
        </is>
      </c>
      <c r="J150" s="38" t="n"/>
      <c r="K150" s="62" t="n"/>
      <c r="L150" s="38" t="n"/>
      <c r="M150" s="62" t="n"/>
      <c r="N150" s="38" t="n"/>
      <c r="O150" s="62" t="n"/>
      <c r="P150" s="38" t="n"/>
      <c r="Q150" s="62" t="n"/>
      <c r="R150" s="38" t="n"/>
      <c r="S150" s="62" t="n"/>
      <c r="T150" s="38" t="n"/>
      <c r="U150" s="62" t="n"/>
      <c r="V150" s="38" t="n"/>
      <c r="W150" s="62" t="n"/>
      <c r="X150" s="38" t="n"/>
      <c r="Y150" s="62" t="n"/>
      <c r="Z150" s="38" t="n"/>
      <c r="AA150" s="62" t="n"/>
      <c r="AB150" s="38" t="n"/>
      <c r="AC150" s="62" t="n"/>
      <c r="AD150" s="38" t="n"/>
      <c r="AE150" s="38" t="n"/>
      <c r="AF150" s="61">
        <f>IF(COUNTIF($B$5:B150,B150)=1,1,0)</f>
        <v/>
      </c>
      <c r="AG150" s="62" t="inlineStr">
        <is>
          <t>https://www.lasillavacia.com/red-de-expertos/red-rural/terremoto-en-el-corazon-del-cafe-al-caido-caerle/</t>
        </is>
      </c>
    </row>
    <row r="151" ht="15" customHeight="1" s="31">
      <c r="A151" s="38" t="inlineStr">
        <is>
          <t>ART_018</t>
        </is>
      </c>
      <c r="B151" s="38" t="inlineStr">
        <is>
          <t>ART_018_S04</t>
        </is>
      </c>
      <c r="C151" s="38" t="inlineStr">
        <is>
          <t>La Silla Vacía</t>
        </is>
      </c>
      <c r="D151" s="38" t="inlineStr">
        <is>
          <t>Respuesta a la emergencia del terremoto</t>
        </is>
      </c>
      <c r="E151" s="38" t="inlineStr">
        <is>
          <t>Opinión-análisis</t>
        </is>
      </c>
      <c r="F151" s="38" t="inlineStr">
        <is>
          <t>Fri, 04 Sep 2026 13:00:00 +0000</t>
        </is>
      </c>
      <c r="G151" s="62" t="inlineStr">
        <is>
          <t>A la fecha, no existe un consolidado oficial que permita saber la magnitud de los daños y pérdidas y, en consecuencia, cuantificar con precisión el costo de la reconstrucción.</t>
        </is>
      </c>
      <c r="H151" s="62" t="inlineStr">
        <is>
          <t>La reconstrucción del campo no puede reducirse a reparar lo que se ve, sino a recuperar la capacidad de las familias campesinas para volver a producir.</t>
        </is>
      </c>
      <c r="I151" s="62" t="inlineStr">
        <is>
          <t>Lo que se tiene por ahora son los datos de los cafeteros merced de la capacidad de respuesta de la Federación Nacional de Cafeteros y el esfuerzo en campo de su cuerpo de extensionistas.</t>
        </is>
      </c>
      <c r="J151" s="38" t="n"/>
      <c r="K151" s="62" t="n"/>
      <c r="L151" s="38" t="n"/>
      <c r="M151" s="62" t="n"/>
      <c r="N151" s="38" t="n"/>
      <c r="O151" s="62" t="n"/>
      <c r="P151" s="38" t="n"/>
      <c r="Q151" s="62" t="n"/>
      <c r="R151" s="38" t="n"/>
      <c r="S151" s="62" t="n"/>
      <c r="T151" s="38" t="n"/>
      <c r="U151" s="62" t="n"/>
      <c r="V151" s="38" t="n"/>
      <c r="W151" s="62" t="n"/>
      <c r="X151" s="38" t="n"/>
      <c r="Y151" s="62" t="n"/>
      <c r="Z151" s="38" t="n"/>
      <c r="AA151" s="62" t="n"/>
      <c r="AB151" s="38" t="n"/>
      <c r="AC151" s="62" t="n"/>
      <c r="AD151" s="38" t="n"/>
      <c r="AE151" s="38" t="n"/>
      <c r="AF151" s="61">
        <f>IF(COUNTIF($B$5:B151,B151)=1,1,0)</f>
        <v/>
      </c>
      <c r="AG151" s="62" t="inlineStr">
        <is>
          <t>https://www.lasillavacia.com/red-de-expertos/red-rural/terremoto-en-el-corazon-del-cafe-al-caido-caerle/</t>
        </is>
      </c>
    </row>
    <row r="152" ht="15" customHeight="1" s="31">
      <c r="A152" s="38" t="inlineStr">
        <is>
          <t>ART_018</t>
        </is>
      </c>
      <c r="B152" s="38" t="inlineStr">
        <is>
          <t>ART_018_S05</t>
        </is>
      </c>
      <c r="C152" s="38" t="inlineStr">
        <is>
          <t>La Silla Vacía</t>
        </is>
      </c>
      <c r="D152" s="38" t="inlineStr">
        <is>
          <t>Respuesta a la emergencia del terremoto</t>
        </is>
      </c>
      <c r="E152" s="38" t="inlineStr">
        <is>
          <t>Opinión-análisis</t>
        </is>
      </c>
      <c r="F152" s="38" t="inlineStr">
        <is>
          <t>Fri, 04 Sep 2026 13:00:00 +0000</t>
        </is>
      </c>
      <c r="G152" s="62" t="inlineStr">
        <is>
          <t>Lo que se tiene por ahora son los datos de los cafeteros merced de la capacidad de respuesta de la Federación Nacional de Cafeteros y el esfuerzo en campo de su cuerpo de extensionistas.</t>
        </is>
      </c>
      <c r="H152" s="62" t="inlineStr">
        <is>
          <t>A la fecha, no existe un consolidado oficial que permita saber la magnitud de los daños y pérdidas y, en consecuencia, cuantificar con precisión el costo de la reconstrucción.</t>
        </is>
      </c>
      <c r="I152" s="62" t="inlineStr">
        <is>
          <t>Con corte a la primera quincena de agosto, el gremio comunicó que contactó 10.460 caficultores en seis departamentos —Valle del Cauca, Risaralda, Caldas, Quindío, Antioquia y Chocó—, de los cuales 8.070 reportaron daños en sus viviendas.</t>
        </is>
      </c>
      <c r="J152" s="38" t="n"/>
      <c r="K152" s="62" t="n"/>
      <c r="L152" s="38" t="n"/>
      <c r="M152" s="62" t="n"/>
      <c r="N152" s="38" t="n"/>
      <c r="O152" s="62" t="n"/>
      <c r="P152" s="38" t="n"/>
      <c r="Q152" s="62" t="n"/>
      <c r="R152" s="38" t="n"/>
      <c r="S152" s="62" t="n"/>
      <c r="T152" s="38" t="n"/>
      <c r="U152" s="62" t="n"/>
      <c r="V152" s="38" t="n"/>
      <c r="W152" s="62" t="n"/>
      <c r="X152" s="38" t="n"/>
      <c r="Y152" s="62" t="n"/>
      <c r="Z152" s="38" t="n"/>
      <c r="AA152" s="62" t="n"/>
      <c r="AB152" s="38" t="n"/>
      <c r="AC152" s="62" t="n"/>
      <c r="AD152" s="38" t="n"/>
      <c r="AE152" s="38" t="n"/>
      <c r="AF152" s="61">
        <f>IF(COUNTIF($B$5:B152,B152)=1,1,0)</f>
        <v/>
      </c>
      <c r="AG152" s="62" t="inlineStr">
        <is>
          <t>https://www.lasillavacia.com/red-de-expertos/red-rural/terremoto-en-el-corazon-del-cafe-al-caido-caerle/</t>
        </is>
      </c>
    </row>
    <row r="153" ht="15" customHeight="1" s="31">
      <c r="A153" s="38" t="inlineStr">
        <is>
          <t>ART_018</t>
        </is>
      </c>
      <c r="B153" s="38" t="inlineStr">
        <is>
          <t>ART_018_S06</t>
        </is>
      </c>
      <c r="C153" s="38" t="inlineStr">
        <is>
          <t>La Silla Vacía</t>
        </is>
      </c>
      <c r="D153" s="38" t="inlineStr">
        <is>
          <t>Respuesta a la emergencia del terremoto</t>
        </is>
      </c>
      <c r="E153" s="38" t="inlineStr">
        <is>
          <t>Opinión-análisis</t>
        </is>
      </c>
      <c r="F153" s="38" t="inlineStr">
        <is>
          <t>Fri, 04 Sep 2026 13:00:00 +0000</t>
        </is>
      </c>
      <c r="G153" s="62" t="inlineStr">
        <is>
          <t>Con corte a la primera quincena de agosto, el gremio comunicó que contactó 10.460 caficultores en seis departamentos —Valle del Cauca, Risaralda, Caldas, Quindío, Antioquia y Chocó—, de los cuales 8.070 reportaron daños en sus viviendas.</t>
        </is>
      </c>
      <c r="H153" s="62" t="inlineStr">
        <is>
          <t>Lo que se tiene por ahora son los datos de los cafeteros merced de la capacidad de respuesta de la Federación Nacional de Cafeteros y el esfuerzo en campo de su cuerpo de extensionistas.</t>
        </is>
      </c>
      <c r="I153" s="62" t="inlineStr">
        <is>
          <t>En Caldas, la Federación informó de 1.700 cafeteros afectados , además de daños en la plaza de mercado de Riosucio y en los acueductos de Bonafont.</t>
        </is>
      </c>
      <c r="J153" s="38" t="n"/>
      <c r="K153" s="62" t="n"/>
      <c r="L153" s="38" t="n"/>
      <c r="M153" s="62" t="n"/>
      <c r="N153" s="38" t="n"/>
      <c r="O153" s="62" t="n"/>
      <c r="P153" s="38" t="n"/>
      <c r="Q153" s="62" t="n"/>
      <c r="R153" s="38" t="n"/>
      <c r="S153" s="62" t="n"/>
      <c r="T153" s="38" t="n"/>
      <c r="U153" s="62" t="n"/>
      <c r="V153" s="38" t="n"/>
      <c r="W153" s="62" t="n"/>
      <c r="X153" s="38" t="n"/>
      <c r="Y153" s="62" t="n"/>
      <c r="Z153" s="38" t="n"/>
      <c r="AA153" s="62" t="n"/>
      <c r="AB153" s="38" t="n"/>
      <c r="AC153" s="62" t="n"/>
      <c r="AD153" s="38" t="n"/>
      <c r="AE153" s="38" t="n"/>
      <c r="AF153" s="61">
        <f>IF(COUNTIF($B$5:B153,B153)=1,1,0)</f>
        <v/>
      </c>
      <c r="AG153" s="62" t="inlineStr">
        <is>
          <t>https://www.lasillavacia.com/red-de-expertos/red-rural/terremoto-en-el-corazon-del-cafe-al-caido-caerle/</t>
        </is>
      </c>
    </row>
    <row r="154" ht="15" customHeight="1" s="31">
      <c r="A154" s="38" t="inlineStr">
        <is>
          <t>ART_018</t>
        </is>
      </c>
      <c r="B154" s="38" t="inlineStr">
        <is>
          <t>ART_018_S07</t>
        </is>
      </c>
      <c r="C154" s="38" t="inlineStr">
        <is>
          <t>La Silla Vacía</t>
        </is>
      </c>
      <c r="D154" s="38" t="inlineStr">
        <is>
          <t>Respuesta a la emergencia del terremoto</t>
        </is>
      </c>
      <c r="E154" s="38" t="inlineStr">
        <is>
          <t>Opinión-análisis</t>
        </is>
      </c>
      <c r="F154" s="38" t="inlineStr">
        <is>
          <t>Fri, 04 Sep 2026 13:00:00 +0000</t>
        </is>
      </c>
      <c r="G154" s="62" t="inlineStr">
        <is>
          <t>En Caldas, la Federación informó de 1.700 cafeteros afectados , además de daños en la plaza de mercado de Riosucio y en los acueductos de Bonafont.</t>
        </is>
      </c>
      <c r="H154" s="62" t="inlineStr">
        <is>
          <t>Con corte a la primera quincena de agosto, el gremio comunicó que contactó 10.460 caficultores en seis departamentos —Valle del Cauca, Risaralda, Caldas, Quindío, Antioquia y Chocó—, de los cuales 8.070 reportaron daños en sus viviendas.</t>
        </is>
      </c>
      <c r="I154" s="62" t="inlineStr">
        <is>
          <t>En el Quindío, la Gobernación reportó 2.121 viviendas rurales afectadas; en el Valle, de 54 mil viviendas impactadas sin consolidado rural, municipios como el Águila, Roldanillo y Riofrío reportan daños superiores al 50%; y en Chocó, comunidades como Loma de Chupey (Sipí) y Pangalita (San José del Palmar) perdieron casi la totalidad de sus casas o quedaron en riesgo de derrumbe, mientras la Defensoría advierte que los problemas de acceso dejarán predios fuera del censo.</t>
        </is>
      </c>
      <c r="J154" s="38" t="n"/>
      <c r="K154" s="62" t="n"/>
      <c r="L154" s="38" t="n"/>
      <c r="M154" s="62" t="n"/>
      <c r="N154" s="38" t="n"/>
      <c r="O154" s="62" t="n"/>
      <c r="P154" s="38" t="n"/>
      <c r="Q154" s="62" t="n"/>
      <c r="R154" s="38" t="n"/>
      <c r="S154" s="62" t="n"/>
      <c r="T154" s="38" t="n"/>
      <c r="U154" s="62" t="n"/>
      <c r="V154" s="38" t="n"/>
      <c r="W154" s="62" t="n"/>
      <c r="X154" s="38" t="n"/>
      <c r="Y154" s="62" t="n"/>
      <c r="Z154" s="38" t="n"/>
      <c r="AA154" s="62" t="n"/>
      <c r="AB154" s="38" t="n"/>
      <c r="AC154" s="62" t="n"/>
      <c r="AD154" s="38" t="n"/>
      <c r="AE154" s="38" t="n"/>
      <c r="AF154" s="61">
        <f>IF(COUNTIF($B$5:B154,B154)=1,1,0)</f>
        <v/>
      </c>
      <c r="AG154" s="62" t="inlineStr">
        <is>
          <t>https://www.lasillavacia.com/red-de-expertos/red-rural/terremoto-en-el-corazon-del-cafe-al-caido-caerle/</t>
        </is>
      </c>
    </row>
    <row r="155" ht="15" customHeight="1" s="31">
      <c r="A155" s="38" t="inlineStr">
        <is>
          <t>ART_018</t>
        </is>
      </c>
      <c r="B155" s="38" t="inlineStr">
        <is>
          <t>ART_018_S08</t>
        </is>
      </c>
      <c r="C155" s="38" t="inlineStr">
        <is>
          <t>La Silla Vacía</t>
        </is>
      </c>
      <c r="D155" s="38" t="inlineStr">
        <is>
          <t>Respuesta a la emergencia del terremoto</t>
        </is>
      </c>
      <c r="E155" s="38" t="inlineStr">
        <is>
          <t>Opinión-análisis</t>
        </is>
      </c>
      <c r="F155" s="38" t="inlineStr">
        <is>
          <t>Fri, 04 Sep 2026 13:00:00 +0000</t>
        </is>
      </c>
      <c r="G155" s="62" t="inlineStr">
        <is>
          <t>En el Quindío, la Gobernación reportó 2.121 viviendas rurales afectadas; en el Valle, de 54 mil viviendas impactadas sin consolidado rural, municipios como el Águila, Roldanillo y Riofrío reportan daños superiores al 50%; y en Chocó, comunidades como Loma de Chupey (Sipí) y Pangalita (San José del Palmar) perdieron casi la totalidad de sus casas o quedaron en riesgo de derrumbe, mientras la Defensoría advierte que los problemas de acceso dejarán predios fuera del censo.</t>
        </is>
      </c>
      <c r="H155" s="62" t="inlineStr">
        <is>
          <t>En Caldas, la Federación informó de 1.700 cafeteros afectados , además de daños en la plaza de mercado de Riosucio y en los acueductos de Bonafont.</t>
        </is>
      </c>
      <c r="I155" s="62" t="inlineStr">
        <is>
          <t>Para Risaralda, el gremio reportó más de 1.300 familias cafeteras afectadas.</t>
        </is>
      </c>
      <c r="J155" s="38" t="n"/>
      <c r="K155" s="62" t="n"/>
      <c r="L155" s="38" t="n"/>
      <c r="M155" s="62" t="n"/>
      <c r="N155" s="38" t="n"/>
      <c r="O155" s="62" t="n"/>
      <c r="P155" s="38" t="n"/>
      <c r="Q155" s="62" t="n"/>
      <c r="R155" s="38" t="n"/>
      <c r="S155" s="62" t="n"/>
      <c r="T155" s="38" t="n"/>
      <c r="U155" s="62" t="n"/>
      <c r="V155" s="38" t="n"/>
      <c r="W155" s="62" t="n"/>
      <c r="X155" s="38" t="n"/>
      <c r="Y155" s="62" t="n"/>
      <c r="Z155" s="38" t="n"/>
      <c r="AA155" s="62" t="n"/>
      <c r="AB155" s="38" t="n"/>
      <c r="AC155" s="62" t="n"/>
      <c r="AD155" s="38" t="n"/>
      <c r="AE155" s="38" t="n"/>
      <c r="AF155" s="61">
        <f>IF(COUNTIF($B$5:B155,B155)=1,1,0)</f>
        <v/>
      </c>
      <c r="AG155" s="62" t="inlineStr">
        <is>
          <t>https://www.lasillavacia.com/red-de-expertos/red-rural/terremoto-en-el-corazon-del-cafe-al-caido-caerle/</t>
        </is>
      </c>
    </row>
    <row r="156" ht="15" customHeight="1" s="31">
      <c r="A156" s="38" t="inlineStr">
        <is>
          <t>ART_018</t>
        </is>
      </c>
      <c r="B156" s="38" t="inlineStr">
        <is>
          <t>ART_018_S09</t>
        </is>
      </c>
      <c r="C156" s="38" t="inlineStr">
        <is>
          <t>La Silla Vacía</t>
        </is>
      </c>
      <c r="D156" s="38" t="inlineStr">
        <is>
          <t>Respuesta a la emergencia del terremoto</t>
        </is>
      </c>
      <c r="E156" s="38" t="inlineStr">
        <is>
          <t>Opinión-análisis</t>
        </is>
      </c>
      <c r="F156" s="38" t="inlineStr">
        <is>
          <t>Fri, 04 Sep 2026 13:00:00 +0000</t>
        </is>
      </c>
      <c r="G156" s="62" t="inlineStr">
        <is>
          <t>Para Risaralda, el gremio reportó más de 1.300 familias cafeteras afectadas.</t>
        </is>
      </c>
      <c r="H156" s="62" t="inlineStr">
        <is>
          <t>En el Quindío, la Gobernación reportó 2.121 viviendas rurales afectadas; en el Valle, de 54 mil viviendas impactadas sin consolidado rural, municipios como el Águila, Roldanillo y Riofrío reportan daños superiores al 50%; y en Chocó, comunidades como Loma de Chupey (Sipí) y Pangalita (San José del Palmar) perdieron casi la totalidad de sus casas o quedaron en riesgo de derrumbe, mientras la Defensoría advierte que los problemas de acceso dejarán predios fuera del censo.</t>
        </is>
      </c>
      <c r="I156" s="62" t="inlineStr">
        <is>
          <t>Y a partir de datos preliminares recogidos en los municipios para esta columna, es posible hablar de destrozos superiores al 50%; con picos altos en casos como Belén de Umbría y Balboa.</t>
        </is>
      </c>
      <c r="J156" s="38" t="n"/>
      <c r="K156" s="62" t="n"/>
      <c r="L156" s="38" t="n"/>
      <c r="M156" s="62" t="n"/>
      <c r="N156" s="38" t="n"/>
      <c r="O156" s="62" t="n"/>
      <c r="P156" s="38" t="n"/>
      <c r="Q156" s="62" t="n"/>
      <c r="R156" s="38" t="n"/>
      <c r="S156" s="62" t="n"/>
      <c r="T156" s="38" t="n"/>
      <c r="U156" s="62" t="n"/>
      <c r="V156" s="38" t="n"/>
      <c r="W156" s="62" t="n"/>
      <c r="X156" s="38" t="n"/>
      <c r="Y156" s="62" t="n"/>
      <c r="Z156" s="38" t="n"/>
      <c r="AA156" s="62" t="n"/>
      <c r="AB156" s="38" t="n"/>
      <c r="AC156" s="62" t="n"/>
      <c r="AD156" s="38" t="n"/>
      <c r="AE156" s="38" t="n"/>
      <c r="AF156" s="61">
        <f>IF(COUNTIF($B$5:B156,B156)=1,1,0)</f>
        <v/>
      </c>
      <c r="AG156" s="62" t="inlineStr">
        <is>
          <t>https://www.lasillavacia.com/red-de-expertos/red-rural/terremoto-en-el-corazon-del-cafe-al-caido-caerle/</t>
        </is>
      </c>
    </row>
    <row r="157" ht="15" customHeight="1" s="31">
      <c r="A157" s="38" t="inlineStr">
        <is>
          <t>ART_018</t>
        </is>
      </c>
      <c r="B157" s="38" t="inlineStr">
        <is>
          <t>ART_018_S10</t>
        </is>
      </c>
      <c r="C157" s="38" t="inlineStr">
        <is>
          <t>La Silla Vacía</t>
        </is>
      </c>
      <c r="D157" s="38" t="inlineStr">
        <is>
          <t>Respuesta a la emergencia del terremoto</t>
        </is>
      </c>
      <c r="E157" s="38" t="inlineStr">
        <is>
          <t>Opinión-análisis</t>
        </is>
      </c>
      <c r="F157" s="38" t="inlineStr">
        <is>
          <t>Fri, 04 Sep 2026 13:00:00 +0000</t>
        </is>
      </c>
      <c r="G157" s="62" t="inlineStr">
        <is>
          <t>Y a partir de datos preliminares recogidos en los municipios para esta columna, es posible hablar de destrozos superiores al 50%; con picos altos en casos como Belén de Umbría y Balboa.</t>
        </is>
      </c>
      <c r="H157" s="62" t="inlineStr">
        <is>
          <t>Para Risaralda, el gremio reportó más de 1.300 familias cafeteras afectadas.</t>
        </is>
      </c>
      <c r="I157" s="62" t="inlineStr">
        <is>
          <t>Incluyen afectaciones de varios tipos en las viviendas, beneficiaderos de café, áreas de producción pecuarias y redes comunitarias de agua potable.</t>
        </is>
      </c>
      <c r="J157" s="38" t="n"/>
      <c r="K157" s="62" t="n"/>
      <c r="L157" s="38" t="n"/>
      <c r="M157" s="62" t="n"/>
      <c r="N157" s="38" t="n"/>
      <c r="O157" s="62" t="n"/>
      <c r="P157" s="38" t="n"/>
      <c r="Q157" s="62" t="n"/>
      <c r="R157" s="38" t="n"/>
      <c r="S157" s="62" t="n"/>
      <c r="T157" s="38" t="n"/>
      <c r="U157" s="62" t="n"/>
      <c r="V157" s="38" t="n"/>
      <c r="W157" s="62" t="n"/>
      <c r="X157" s="38" t="n"/>
      <c r="Y157" s="62" t="n"/>
      <c r="Z157" s="38" t="n"/>
      <c r="AA157" s="62" t="n"/>
      <c r="AB157" s="38" t="n"/>
      <c r="AC157" s="62" t="n"/>
      <c r="AD157" s="38" t="n"/>
      <c r="AE157" s="38" t="n"/>
      <c r="AF157" s="61">
        <f>IF(COUNTIF($B$5:B157,B157)=1,1,0)</f>
        <v/>
      </c>
      <c r="AG157" s="62" t="inlineStr">
        <is>
          <t>https://www.lasillavacia.com/red-de-expertos/red-rural/terremoto-en-el-corazon-del-cafe-al-caido-caerle/</t>
        </is>
      </c>
    </row>
    <row r="158" ht="15" customHeight="1" s="31">
      <c r="A158" s="38" t="inlineStr">
        <is>
          <t>ART_018</t>
        </is>
      </c>
      <c r="B158" s="38" t="inlineStr">
        <is>
          <t>ART_018_S11</t>
        </is>
      </c>
      <c r="C158" s="38" t="inlineStr">
        <is>
          <t>La Silla Vacía</t>
        </is>
      </c>
      <c r="D158" s="38" t="inlineStr">
        <is>
          <t>Respuesta a la emergencia del terremoto</t>
        </is>
      </c>
      <c r="E158" s="38" t="inlineStr">
        <is>
          <t>Opinión-análisis</t>
        </is>
      </c>
      <c r="F158" s="38" t="inlineStr">
        <is>
          <t>Fri, 04 Sep 2026 13:00:00 +0000</t>
        </is>
      </c>
      <c r="G158" s="62" t="inlineStr">
        <is>
          <t>Incluyen afectaciones de varios tipos en las viviendas, beneficiaderos de café, áreas de producción pecuarias y redes comunitarias de agua potable.</t>
        </is>
      </c>
      <c r="H158" s="62" t="inlineStr">
        <is>
          <t>Y a partir de datos preliminares recogidos en los municipios para esta columna, es posible hablar de destrozos superiores al 50%; con picos altos en casos como Belén de Umbría y Balboa.</t>
        </is>
      </c>
      <c r="I158" s="62" t="inlineStr">
        <is>
          <t>El sector venía de padecer una caída superior al 20% en el precio internacional del café arábica entre junio de 2025 y junio de 2026.</t>
        </is>
      </c>
      <c r="J158" s="38" t="n"/>
      <c r="K158" s="62" t="n"/>
      <c r="L158" s="38" t="n"/>
      <c r="M158" s="62" t="n"/>
      <c r="N158" s="38" t="n"/>
      <c r="O158" s="62" t="n"/>
      <c r="P158" s="38" t="n"/>
      <c r="Q158" s="62" t="n"/>
      <c r="R158" s="38" t="n"/>
      <c r="S158" s="62" t="n"/>
      <c r="T158" s="38" t="n"/>
      <c r="U158" s="62" t="n"/>
      <c r="V158" s="38" t="n"/>
      <c r="W158" s="62" t="n"/>
      <c r="X158" s="38" t="n"/>
      <c r="Y158" s="62" t="n"/>
      <c r="Z158" s="38" t="n"/>
      <c r="AA158" s="62" t="n"/>
      <c r="AB158" s="38" t="n"/>
      <c r="AC158" s="62" t="n"/>
      <c r="AD158" s="38" t="n"/>
      <c r="AE158" s="38" t="n"/>
      <c r="AF158" s="61">
        <f>IF(COUNTIF($B$5:B158,B158)=1,1,0)</f>
        <v/>
      </c>
      <c r="AG158" s="62" t="inlineStr">
        <is>
          <t>https://www.lasillavacia.com/red-de-expertos/red-rural/terremoto-en-el-corazon-del-cafe-al-caido-caerle/</t>
        </is>
      </c>
    </row>
    <row r="159" ht="15" customHeight="1" s="31">
      <c r="A159" s="38" t="inlineStr">
        <is>
          <t>ART_018</t>
        </is>
      </c>
      <c r="B159" s="38" t="inlineStr">
        <is>
          <t>ART_018_S12</t>
        </is>
      </c>
      <c r="C159" s="38" t="inlineStr">
        <is>
          <t>La Silla Vacía</t>
        </is>
      </c>
      <c r="D159" s="38" t="inlineStr">
        <is>
          <t>Respuesta a la emergencia del terremoto</t>
        </is>
      </c>
      <c r="E159" s="38" t="inlineStr">
        <is>
          <t>Opinión-análisis</t>
        </is>
      </c>
      <c r="F159" s="38" t="inlineStr">
        <is>
          <t>Fri, 04 Sep 2026 13:00:00 +0000</t>
        </is>
      </c>
      <c r="G159" s="62" t="inlineStr">
        <is>
          <t>El sector venía de padecer una caída superior al 20% en el precio internacional del café arábica entre junio de 2025 y junio de 2026.</t>
        </is>
      </c>
      <c r="H159" s="62" t="inlineStr">
        <is>
          <t>Incluyen afectaciones de varios tipos en las viviendas, beneficiaderos de café, áreas de producción pecuarias y redes comunitarias de agua potable.</t>
        </is>
      </c>
      <c r="I159" s="62" t="n"/>
      <c r="J159" s="38" t="n"/>
      <c r="K159" s="62" t="n"/>
      <c r="L159" s="38" t="n"/>
      <c r="M159" s="62" t="n"/>
      <c r="N159" s="38" t="n"/>
      <c r="O159" s="62" t="n"/>
      <c r="P159" s="38" t="n"/>
      <c r="Q159" s="62" t="n"/>
      <c r="R159" s="38" t="n"/>
      <c r="S159" s="62" t="n"/>
      <c r="T159" s="38" t="n"/>
      <c r="U159" s="62" t="n"/>
      <c r="V159" s="38" t="n"/>
      <c r="W159" s="62" t="n"/>
      <c r="X159" s="38" t="n"/>
      <c r="Y159" s="62" t="n"/>
      <c r="Z159" s="38" t="n"/>
      <c r="AA159" s="62" t="n"/>
      <c r="AB159" s="38" t="n"/>
      <c r="AC159" s="62" t="n"/>
      <c r="AD159" s="38" t="n"/>
      <c r="AE159" s="38" t="n"/>
      <c r="AF159" s="61">
        <f>IF(COUNTIF($B$5:B159,B159)=1,1,0)</f>
        <v/>
      </c>
      <c r="AG159" s="62" t="inlineStr">
        <is>
          <t>https://www.lasillavacia.com/red-de-expertos/red-rural/terremoto-en-el-corazon-del-cafe-al-caido-caerle/</t>
        </is>
      </c>
    </row>
    <row r="160" ht="15" customHeight="1" s="31">
      <c r="A160" s="38" t="inlineStr">
        <is>
          <t>ART_019</t>
        </is>
      </c>
      <c r="B160" s="38" t="inlineStr">
        <is>
          <t>ART_019_S01</t>
        </is>
      </c>
      <c r="C160" s="38" t="inlineStr">
        <is>
          <t>La Silla Vacía</t>
        </is>
      </c>
      <c r="D160" s="38" t="inlineStr">
        <is>
          <t>Respuesta a la emergencia del terremoto</t>
        </is>
      </c>
      <c r="E160" s="38" t="inlineStr">
        <is>
          <t>Noticia dura</t>
        </is>
      </c>
      <c r="F160" s="38" t="inlineStr">
        <is>
          <t>Fri, 28 Aug 2026 20:38:50 +0000</t>
        </is>
      </c>
      <c r="G160" s="62" t="inlineStr">
        <is>
          <t>Desde Cali, el presidente Abelardo de la Espriella anunció un subsidio de vivienda de $1.050.000 mensuales para las familias cuya vivienda quedó destruida o inhabitable por el terremoto.</t>
        </is>
      </c>
      <c r="H160" s="62" t="n"/>
      <c r="I160" s="62" t="inlineStr">
        <is>
          <t>El primer desembolso comienza este 31 de agosto y será por tres meses.</t>
        </is>
      </c>
      <c r="J160" s="38" t="n"/>
      <c r="K160" s="62" t="n"/>
      <c r="L160" s="38" t="n"/>
      <c r="M160" s="62" t="n"/>
      <c r="N160" s="38" t="n"/>
      <c r="O160" s="62" t="n"/>
      <c r="P160" s="38" t="n"/>
      <c r="Q160" s="62" t="n"/>
      <c r="R160" s="38" t="n"/>
      <c r="S160" s="62" t="n"/>
      <c r="T160" s="38" t="n"/>
      <c r="U160" s="62" t="n"/>
      <c r="V160" s="38" t="n"/>
      <c r="W160" s="62" t="n"/>
      <c r="X160" s="38" t="n"/>
      <c r="Y160" s="62" t="n"/>
      <c r="Z160" s="38" t="n"/>
      <c r="AA160" s="62" t="n"/>
      <c r="AB160" s="38" t="n"/>
      <c r="AC160" s="62" t="n"/>
      <c r="AD160" s="38" t="n"/>
      <c r="AE160" s="38" t="n"/>
      <c r="AF160" s="61">
        <f>IF(COUNTIF($B$5:B160,B160)=1,1,0)</f>
        <v/>
      </c>
      <c r="AG160" s="62" t="inlineStr">
        <is>
          <t>https://www.lasillavacia.com/en-vivo/cali-abelardo-anuncia-subsidios-de-1-050-000-por-tres-meses/</t>
        </is>
      </c>
    </row>
    <row r="161" ht="15" customHeight="1" s="31">
      <c r="A161" s="38" t="inlineStr">
        <is>
          <t>ART_019</t>
        </is>
      </c>
      <c r="B161" s="38" t="inlineStr">
        <is>
          <t>ART_019_S02</t>
        </is>
      </c>
      <c r="C161" s="38" t="inlineStr">
        <is>
          <t>La Silla Vacía</t>
        </is>
      </c>
      <c r="D161" s="38" t="inlineStr">
        <is>
          <t>Respuesta a la emergencia del terremoto</t>
        </is>
      </c>
      <c r="E161" s="38" t="inlineStr">
        <is>
          <t>Noticia dura</t>
        </is>
      </c>
      <c r="F161" s="38" t="inlineStr">
        <is>
          <t>Fri, 28 Aug 2026 20:38:50 +0000</t>
        </is>
      </c>
      <c r="G161" s="62" t="inlineStr">
        <is>
          <t>El primer desembolso comienza este 31 de agosto y será por tres meses.</t>
        </is>
      </c>
      <c r="H161" s="62" t="inlineStr">
        <is>
          <t>Desde Cali, el presidente Abelardo de la Espriella anunció un subsidio de vivienda de $1.050.000 mensuales para las familias cuya vivienda quedó destruida o inhabitable por el terremoto.</t>
        </is>
      </c>
      <c r="I161" s="62" t="inlineStr">
        <is>
          <t>La cifra es la misma que anunció este lunes para Buenaventura , hoy para Pereira y se acerca a la de Chocó.</t>
        </is>
      </c>
      <c r="J161" s="38" t="n"/>
      <c r="K161" s="62" t="n"/>
      <c r="L161" s="38" t="n"/>
      <c r="M161" s="62" t="n"/>
      <c r="N161" s="38" t="n"/>
      <c r="O161" s="62" t="n"/>
      <c r="P161" s="38" t="n"/>
      <c r="Q161" s="62" t="n"/>
      <c r="R161" s="38" t="n"/>
      <c r="S161" s="62" t="n"/>
      <c r="T161" s="38" t="n"/>
      <c r="U161" s="62" t="n"/>
      <c r="V161" s="38" t="n"/>
      <c r="W161" s="62" t="n"/>
      <c r="X161" s="38" t="n"/>
      <c r="Y161" s="62" t="n"/>
      <c r="Z161" s="38" t="n"/>
      <c r="AA161" s="62" t="n"/>
      <c r="AB161" s="38" t="n"/>
      <c r="AC161" s="62" t="n"/>
      <c r="AD161" s="38" t="n"/>
      <c r="AE161" s="38" t="n"/>
      <c r="AF161" s="61">
        <f>IF(COUNTIF($B$5:B161,B161)=1,1,0)</f>
        <v/>
      </c>
      <c r="AG161" s="62" t="inlineStr">
        <is>
          <t>https://www.lasillavacia.com/en-vivo/cali-abelardo-anuncia-subsidios-de-1-050-000-por-tres-meses/</t>
        </is>
      </c>
    </row>
    <row r="162" ht="15" customHeight="1" s="31">
      <c r="A162" s="38" t="inlineStr">
        <is>
          <t>ART_019</t>
        </is>
      </c>
      <c r="B162" s="38" t="inlineStr">
        <is>
          <t>ART_019_S03</t>
        </is>
      </c>
      <c r="C162" s="38" t="inlineStr">
        <is>
          <t>La Silla Vacía</t>
        </is>
      </c>
      <c r="D162" s="38" t="inlineStr">
        <is>
          <t>Respuesta a la emergencia del terremoto</t>
        </is>
      </c>
      <c r="E162" s="38" t="inlineStr">
        <is>
          <t>Noticia dura</t>
        </is>
      </c>
      <c r="F162" s="38" t="inlineStr">
        <is>
          <t>Fri, 28 Aug 2026 20:38:50 +0000</t>
        </is>
      </c>
      <c r="G162" s="62" t="inlineStr">
        <is>
          <t>La cifra es la misma que anunció este lunes para Buenaventura , hoy para Pereira y se acerca a la de Chocó.</t>
        </is>
      </c>
      <c r="H162" s="62" t="inlineStr">
        <is>
          <t>El primer desembolso comienza este 31 de agosto y será por tres meses.</t>
        </is>
      </c>
      <c r="I162" s="62" t="inlineStr">
        <is>
          <t>Es decir, cada hogar recibirá un total inicial de $3.150.000.</t>
        </is>
      </c>
      <c r="J162" s="38" t="n"/>
      <c r="K162" s="62" t="n"/>
      <c r="L162" s="38" t="n"/>
      <c r="M162" s="62" t="n"/>
      <c r="N162" s="38" t="n"/>
      <c r="O162" s="62" t="n"/>
      <c r="P162" s="38" t="n"/>
      <c r="Q162" s="62" t="n"/>
      <c r="R162" s="38" t="n"/>
      <c r="S162" s="62" t="n"/>
      <c r="T162" s="38" t="n"/>
      <c r="U162" s="62" t="n"/>
      <c r="V162" s="38" t="n"/>
      <c r="W162" s="62" t="n"/>
      <c r="X162" s="38" t="n"/>
      <c r="Y162" s="62" t="n"/>
      <c r="Z162" s="38" t="n"/>
      <c r="AA162" s="62" t="n"/>
      <c r="AB162" s="38" t="n"/>
      <c r="AC162" s="62" t="n"/>
      <c r="AD162" s="38" t="n"/>
      <c r="AE162" s="38" t="n"/>
      <c r="AF162" s="61">
        <f>IF(COUNTIF($B$5:B162,B162)=1,1,0)</f>
        <v/>
      </c>
      <c r="AG162" s="62" t="inlineStr">
        <is>
          <t>https://www.lasillavacia.com/en-vivo/cali-abelardo-anuncia-subsidios-de-1-050-000-por-tres-meses/</t>
        </is>
      </c>
    </row>
    <row r="163" ht="15" customHeight="1" s="31">
      <c r="A163" s="38" t="inlineStr">
        <is>
          <t>ART_019</t>
        </is>
      </c>
      <c r="B163" s="38" t="inlineStr">
        <is>
          <t>ART_019_S04</t>
        </is>
      </c>
      <c r="C163" s="38" t="inlineStr">
        <is>
          <t>La Silla Vacía</t>
        </is>
      </c>
      <c r="D163" s="38" t="inlineStr">
        <is>
          <t>Respuesta a la emergencia del terremoto</t>
        </is>
      </c>
      <c r="E163" s="38" t="inlineStr">
        <is>
          <t>Noticia dura</t>
        </is>
      </c>
      <c r="F163" s="38" t="inlineStr">
        <is>
          <t>Fri, 28 Aug 2026 20:38:50 +0000</t>
        </is>
      </c>
      <c r="G163" s="62" t="inlineStr">
        <is>
          <t>Es decir, cada hogar recibirá un total inicial de $3.150.000.</t>
        </is>
      </c>
      <c r="H163" s="62" t="inlineStr">
        <is>
          <t>La cifra es la misma que anunció este lunes para Buenaventura , hoy para Pereira y se acerca a la de Chocó.</t>
        </is>
      </c>
      <c r="I163" s="62" t="inlineStr">
        <is>
          <t>#Cali | Las familias afectadas en Cali recibirán directamente el dinero de los subsidios económicos anunciados por el presidente Abelardo de la Espriella.</t>
        </is>
      </c>
      <c r="J163" s="38" t="n"/>
      <c r="K163" s="62" t="n"/>
      <c r="L163" s="38" t="n"/>
      <c r="M163" s="62" t="n"/>
      <c r="N163" s="38" t="n"/>
      <c r="O163" s="62" t="n"/>
      <c r="P163" s="38" t="n"/>
      <c r="Q163" s="62" t="n"/>
      <c r="R163" s="38" t="n"/>
      <c r="S163" s="62" t="n"/>
      <c r="T163" s="38" t="n"/>
      <c r="U163" s="62" t="n"/>
      <c r="V163" s="38" t="n"/>
      <c r="W163" s="62" t="n"/>
      <c r="X163" s="38" t="n"/>
      <c r="Y163" s="62" t="n"/>
      <c r="Z163" s="38" t="n"/>
      <c r="AA163" s="62" t="n"/>
      <c r="AB163" s="38" t="n"/>
      <c r="AC163" s="62" t="n"/>
      <c r="AD163" s="38" t="n"/>
      <c r="AE163" s="38" t="n"/>
      <c r="AF163" s="61">
        <f>IF(COUNTIF($B$5:B163,B163)=1,1,0)</f>
        <v/>
      </c>
      <c r="AG163" s="62" t="inlineStr">
        <is>
          <t>https://www.lasillavacia.com/en-vivo/cali-abelardo-anuncia-subsidios-de-1-050-000-por-tres-meses/</t>
        </is>
      </c>
    </row>
    <row r="164" ht="15" customHeight="1" s="31">
      <c r="A164" s="38" t="inlineStr">
        <is>
          <t>ART_019</t>
        </is>
      </c>
      <c r="B164" s="38" t="inlineStr">
        <is>
          <t>ART_019_S05</t>
        </is>
      </c>
      <c r="C164" s="38" t="inlineStr">
        <is>
          <t>La Silla Vacía</t>
        </is>
      </c>
      <c r="D164" s="38" t="inlineStr">
        <is>
          <t>Respuesta a la emergencia del terremoto</t>
        </is>
      </c>
      <c r="E164" s="38" t="inlineStr">
        <is>
          <t>Noticia dura</t>
        </is>
      </c>
      <c r="F164" s="38" t="inlineStr">
        <is>
          <t>Fri, 28 Aug 2026 20:38:50 +0000</t>
        </is>
      </c>
      <c r="G164" s="62" t="inlineStr">
        <is>
          <t>#Cali | Las familias afectadas en Cali recibirán directamente el dinero de los subsidios económicos anunciados por el presidente Abelardo de la Espriella.</t>
        </is>
      </c>
      <c r="H164" s="62" t="inlineStr">
        <is>
          <t>Es decir, cada hogar recibirá un total inicial de $3.150.000.</t>
        </is>
      </c>
      <c r="I164" s="62" t="inlineStr">
        <is>
          <t>Serán $3.150.000 durante tres meses, a razón de $1.050.000 mensuales y sin intermediarios. pic.twitter.com/qhx9vNyDTO</t>
        </is>
      </c>
      <c r="J164" s="38" t="n"/>
      <c r="K164" s="62" t="n"/>
      <c r="L164" s="38" t="n"/>
      <c r="M164" s="62" t="n"/>
      <c r="N164" s="38" t="n"/>
      <c r="O164" s="62" t="n"/>
      <c r="P164" s="38" t="n"/>
      <c r="Q164" s="62" t="n"/>
      <c r="R164" s="38" t="n"/>
      <c r="S164" s="62" t="n"/>
      <c r="T164" s="38" t="n"/>
      <c r="U164" s="62" t="n"/>
      <c r="V164" s="38" t="n"/>
      <c r="W164" s="62" t="n"/>
      <c r="X164" s="38" t="n"/>
      <c r="Y164" s="62" t="n"/>
      <c r="Z164" s="38" t="n"/>
      <c r="AA164" s="62" t="n"/>
      <c r="AB164" s="38" t="n"/>
      <c r="AC164" s="62" t="n"/>
      <c r="AD164" s="38" t="n"/>
      <c r="AE164" s="38" t="n"/>
      <c r="AF164" s="61">
        <f>IF(COUNTIF($B$5:B164,B164)=1,1,0)</f>
        <v/>
      </c>
      <c r="AG164" s="62" t="inlineStr">
        <is>
          <t>https://www.lasillavacia.com/en-vivo/cali-abelardo-anuncia-subsidios-de-1-050-000-por-tres-meses/</t>
        </is>
      </c>
    </row>
    <row r="165" ht="15" customHeight="1" s="31">
      <c r="A165" s="38" t="inlineStr">
        <is>
          <t>ART_019</t>
        </is>
      </c>
      <c r="B165" s="38" t="inlineStr">
        <is>
          <t>ART_019_S06</t>
        </is>
      </c>
      <c r="C165" s="38" t="inlineStr">
        <is>
          <t>La Silla Vacía</t>
        </is>
      </c>
      <c r="D165" s="38" t="inlineStr">
        <is>
          <t>Respuesta a la emergencia del terremoto</t>
        </is>
      </c>
      <c r="E165" s="38" t="inlineStr">
        <is>
          <t>Noticia dura</t>
        </is>
      </c>
      <c r="F165" s="38" t="inlineStr">
        <is>
          <t>Fri, 28 Aug 2026 20:38:50 +0000</t>
        </is>
      </c>
      <c r="G165" s="62" t="inlineStr">
        <is>
          <t>Serán $3.150.000 durante tres meses, a razón de $1.050.000 mensuales y sin intermediarios. pic.twitter.com/qhx9vNyDTO</t>
        </is>
      </c>
      <c r="H165" s="62" t="inlineStr">
        <is>
          <t>#Cali | Las familias afectadas en Cali recibirán directamente el dinero de los subsidios económicos anunciados por el presidente Abelardo de la Espriella.</t>
        </is>
      </c>
      <c r="I165" s="62" t="inlineStr">
        <is>
          <t>En el evento estuvieron la gobernadora del Valle, Dilian Francisca Toro; el alcalde Alejandro Eder y el ministro de Vivienda, Jaime Andrés Beltrán, cuyo nombre volvió a sonar hoy tras los detalles que entregó su cartera sobre su viaje a Santa Marta en plena tragedia.</t>
        </is>
      </c>
      <c r="J165" s="38" t="n"/>
      <c r="K165" s="62" t="n"/>
      <c r="L165" s="38" t="n"/>
      <c r="M165" s="62" t="n"/>
      <c r="N165" s="38" t="n"/>
      <c r="O165" s="62" t="n"/>
      <c r="P165" s="38" t="n"/>
      <c r="Q165" s="62" t="n"/>
      <c r="R165" s="38" t="n"/>
      <c r="S165" s="62" t="n"/>
      <c r="T165" s="38" t="n"/>
      <c r="U165" s="62" t="n"/>
      <c r="V165" s="38" t="n"/>
      <c r="W165" s="62" t="n"/>
      <c r="X165" s="38" t="n"/>
      <c r="Y165" s="62" t="n"/>
      <c r="Z165" s="38" t="n"/>
      <c r="AA165" s="62" t="n"/>
      <c r="AB165" s="38" t="n"/>
      <c r="AC165" s="62" t="n"/>
      <c r="AD165" s="38" t="n"/>
      <c r="AE165" s="38" t="n"/>
      <c r="AF165" s="61">
        <f>IF(COUNTIF($B$5:B165,B165)=1,1,0)</f>
        <v/>
      </c>
      <c r="AG165" s="62" t="inlineStr">
        <is>
          <t>https://www.lasillavacia.com/en-vivo/cali-abelardo-anuncia-subsidios-de-1-050-000-por-tres-meses/</t>
        </is>
      </c>
    </row>
    <row r="166" ht="15" customHeight="1" s="31">
      <c r="A166" s="38" t="inlineStr">
        <is>
          <t>ART_019</t>
        </is>
      </c>
      <c r="B166" s="38" t="inlineStr">
        <is>
          <t>ART_019_S07</t>
        </is>
      </c>
      <c r="C166" s="38" t="inlineStr">
        <is>
          <t>La Silla Vacía</t>
        </is>
      </c>
      <c r="D166" s="38" t="inlineStr">
        <is>
          <t>Respuesta a la emergencia del terremoto</t>
        </is>
      </c>
      <c r="E166" s="38" t="inlineStr">
        <is>
          <t>Noticia dura</t>
        </is>
      </c>
      <c r="F166" s="38" t="inlineStr">
        <is>
          <t>Fri, 28 Aug 2026 20:38:50 +0000</t>
        </is>
      </c>
      <c r="G166" s="62" t="inlineStr">
        <is>
          <t>En el evento estuvieron la gobernadora del Valle, Dilian Francisca Toro; el alcalde Alejandro Eder y el ministro de Vivienda, Jaime Andrés Beltrán, cuyo nombre volvió a sonar hoy tras los detalles que entregó su cartera sobre su viaje a Santa Marta en plena tragedia.</t>
        </is>
      </c>
      <c r="H166" s="62" t="inlineStr">
        <is>
          <t>Serán $3.150.000 durante tres meses, a razón de $1.050.000 mensuales y sin intermediarios. pic.twitter.com/qhx9vNyDTO</t>
        </is>
      </c>
      <c r="I166" s="62" t="inlineStr">
        <is>
          <t>Entregó 120 toneladas de materiales para iniciar la reconstrucción.</t>
        </is>
      </c>
      <c r="J166" s="38" t="n"/>
      <c r="K166" s="62" t="n"/>
      <c r="L166" s="38" t="n"/>
      <c r="M166" s="62" t="n"/>
      <c r="N166" s="38" t="n"/>
      <c r="O166" s="62" t="n"/>
      <c r="P166" s="38" t="n"/>
      <c r="Q166" s="62" t="n"/>
      <c r="R166" s="38" t="n"/>
      <c r="S166" s="62" t="n"/>
      <c r="T166" s="38" t="n"/>
      <c r="U166" s="62" t="n"/>
      <c r="V166" s="38" t="n"/>
      <c r="W166" s="62" t="n"/>
      <c r="X166" s="38" t="n"/>
      <c r="Y166" s="62" t="n"/>
      <c r="Z166" s="38" t="n"/>
      <c r="AA166" s="62" t="n"/>
      <c r="AB166" s="38" t="n"/>
      <c r="AC166" s="62" t="n"/>
      <c r="AD166" s="38" t="n"/>
      <c r="AE166" s="38" t="n"/>
      <c r="AF166" s="61">
        <f>IF(COUNTIF($B$5:B166,B166)=1,1,0)</f>
        <v/>
      </c>
      <c r="AG166" s="62" t="inlineStr">
        <is>
          <t>https://www.lasillavacia.com/en-vivo/cali-abelardo-anuncia-subsidios-de-1-050-000-por-tres-meses/</t>
        </is>
      </c>
    </row>
    <row r="167" ht="15" customHeight="1" s="31">
      <c r="A167" s="38" t="inlineStr">
        <is>
          <t>ART_019</t>
        </is>
      </c>
      <c r="B167" s="38" t="inlineStr">
        <is>
          <t>ART_019_S08</t>
        </is>
      </c>
      <c r="C167" s="38" t="inlineStr">
        <is>
          <t>La Silla Vacía</t>
        </is>
      </c>
      <c r="D167" s="38" t="inlineStr">
        <is>
          <t>Respuesta a la emergencia del terremoto</t>
        </is>
      </c>
      <c r="E167" s="38" t="inlineStr">
        <is>
          <t>Noticia dura</t>
        </is>
      </c>
      <c r="F167" s="38" t="inlineStr">
        <is>
          <t>Fri, 28 Aug 2026 20:38:50 +0000</t>
        </is>
      </c>
      <c r="G167" s="62" t="inlineStr">
        <is>
          <t>Entregó 120 toneladas de materiales para iniciar la reconstrucción.</t>
        </is>
      </c>
      <c r="H167" s="62" t="inlineStr">
        <is>
          <t>En el evento estuvieron la gobernadora del Valle, Dilian Francisca Toro; el alcalde Alejandro Eder y el ministro de Vivienda, Jaime Andrés Beltrán, cuyo nombre volvió a sonar hoy tras los detalles que entregó su cartera sobre su viaje a Santa Marta en plena tragedia.</t>
        </is>
      </c>
      <c r="I167" s="62" t="n"/>
      <c r="J167" s="38" t="n"/>
      <c r="K167" s="62" t="n"/>
      <c r="L167" s="38" t="n"/>
      <c r="M167" s="62" t="n"/>
      <c r="N167" s="38" t="n"/>
      <c r="O167" s="62" t="n"/>
      <c r="P167" s="38" t="n"/>
      <c r="Q167" s="62" t="n"/>
      <c r="R167" s="38" t="n"/>
      <c r="S167" s="62" t="n"/>
      <c r="T167" s="38" t="n"/>
      <c r="U167" s="62" t="n"/>
      <c r="V167" s="38" t="n"/>
      <c r="W167" s="62" t="n"/>
      <c r="X167" s="38" t="n"/>
      <c r="Y167" s="62" t="n"/>
      <c r="Z167" s="38" t="n"/>
      <c r="AA167" s="62" t="n"/>
      <c r="AB167" s="38" t="n"/>
      <c r="AC167" s="62" t="n"/>
      <c r="AD167" s="38" t="n"/>
      <c r="AE167" s="38" t="n"/>
      <c r="AF167" s="61">
        <f>IF(COUNTIF($B$5:B167,B167)=1,1,0)</f>
        <v/>
      </c>
      <c r="AG167" s="62" t="inlineStr">
        <is>
          <t>https://www.lasillavacia.com/en-vivo/cali-abelardo-anuncia-subsidios-de-1-050-000-por-tres-meses/</t>
        </is>
      </c>
    </row>
    <row r="168" ht="15" customHeight="1" s="31">
      <c r="A168" s="38" t="inlineStr">
        <is>
          <t>ART_020</t>
        </is>
      </c>
      <c r="B168" s="38" t="inlineStr">
        <is>
          <t>ART_020_S03</t>
        </is>
      </c>
      <c r="C168" s="38" t="inlineStr">
        <is>
          <t>La Silla Vacía</t>
        </is>
      </c>
      <c r="D168" s="38" t="inlineStr">
        <is>
          <t>Reformas sociales en disputa (pensional/tributaria)</t>
        </is>
      </c>
      <c r="E168" s="38" t="inlineStr">
        <is>
          <t>Opinión-análisis</t>
        </is>
      </c>
      <c r="F168" s="38" t="inlineStr">
        <is>
          <t>Tue, 01 Sep 2026 12:00:00 +0000</t>
        </is>
      </c>
      <c r="G168" s="62" t="inlineStr">
        <is>
          <t>La reforma pensional beneficia a las mujeres.</t>
        </is>
      </c>
      <c r="H168" s="62" t="inlineStr">
        <is>
          <t>Esta columna fue escrita por la columnista invitada Laura Porras.</t>
        </is>
      </c>
      <c r="I168" s="62" t="inlineStr">
        <is>
          <t>Y esa precisión importa.</t>
        </is>
      </c>
      <c r="J168" s="38" t="n"/>
      <c r="K168" s="62" t="n"/>
      <c r="L168" s="38" t="n"/>
      <c r="M168" s="62" t="n"/>
      <c r="N168" s="38" t="n"/>
      <c r="O168" s="62" t="n"/>
      <c r="P168" s="38" t="n"/>
      <c r="Q168" s="62" t="n"/>
      <c r="R168" s="38" t="n"/>
      <c r="S168" s="62" t="n"/>
      <c r="T168" s="38" t="n"/>
      <c r="U168" s="62" t="n"/>
      <c r="V168" s="38" t="n"/>
      <c r="W168" s="62" t="n"/>
      <c r="X168" s="38" t="n"/>
      <c r="Y168" s="62" t="n"/>
      <c r="Z168" s="38" t="n"/>
      <c r="AA168" s="62" t="n"/>
      <c r="AB168" s="38" t="n"/>
      <c r="AC168" s="62" t="n"/>
      <c r="AD168" s="38" t="n"/>
      <c r="AE168" s="38" t="n"/>
      <c r="AF168" s="61">
        <f>IF(COUNTIF($B$5:B168,B168)=1,1,0)</f>
        <v/>
      </c>
      <c r="AG168" s="62" t="inlineStr">
        <is>
          <t>https://www.lasillavacia.com/red-de-expertos/red-de-las-mujeres/la-reforma-pensional-beneficia-a-las-mujeres/</t>
        </is>
      </c>
    </row>
    <row r="169" ht="15" customHeight="1" s="31">
      <c r="A169" s="38" t="inlineStr">
        <is>
          <t>ART_020</t>
        </is>
      </c>
      <c r="B169" s="38" t="inlineStr">
        <is>
          <t>ART_020_S04</t>
        </is>
      </c>
      <c r="C169" s="38" t="inlineStr">
        <is>
          <t>La Silla Vacía</t>
        </is>
      </c>
      <c r="D169" s="38" t="inlineStr">
        <is>
          <t>Reformas sociales en disputa (pensional/tributaria)</t>
        </is>
      </c>
      <c r="E169" s="38" t="inlineStr">
        <is>
          <t>Opinión-análisis</t>
        </is>
      </c>
      <c r="F169" s="38" t="inlineStr">
        <is>
          <t>Tue, 01 Sep 2026 12:00:00 +0000</t>
        </is>
      </c>
      <c r="G169" s="62" t="inlineStr">
        <is>
          <t>Y esa precisión importa.</t>
        </is>
      </c>
      <c r="H169" s="62" t="inlineStr">
        <is>
          <t>La reforma pensional beneficia a las mujeres.</t>
        </is>
      </c>
      <c r="I169" s="62" t="inlineStr">
        <is>
          <t>Algunas mujeres privilegiadas perderán subsidios.</t>
        </is>
      </c>
      <c r="J169" s="38" t="n"/>
      <c r="K169" s="62" t="n"/>
      <c r="L169" s="38" t="n"/>
      <c r="M169" s="62" t="n"/>
      <c r="N169" s="38" t="n"/>
      <c r="O169" s="62" t="n"/>
      <c r="P169" s="38" t="n"/>
      <c r="Q169" s="62" t="n"/>
      <c r="R169" s="38" t="n"/>
      <c r="S169" s="62" t="n"/>
      <c r="T169" s="38" t="n"/>
      <c r="U169" s="62" t="n"/>
      <c r="V169" s="38" t="n"/>
      <c r="W169" s="62" t="n"/>
      <c r="X169" s="38" t="n"/>
      <c r="Y169" s="62" t="n"/>
      <c r="Z169" s="38" t="n"/>
      <c r="AA169" s="62" t="n"/>
      <c r="AB169" s="38" t="n"/>
      <c r="AC169" s="62" t="n"/>
      <c r="AD169" s="38" t="n"/>
      <c r="AE169" s="38" t="n"/>
      <c r="AF169" s="61">
        <f>IF(COUNTIF($B$5:B169,B169)=1,1,0)</f>
        <v/>
      </c>
      <c r="AG169" s="62" t="inlineStr">
        <is>
          <t>https://www.lasillavacia.com/red-de-expertos/red-de-las-mujeres/la-reforma-pensional-beneficia-a-las-mujeres/</t>
        </is>
      </c>
    </row>
    <row r="170" ht="15" customHeight="1" s="31">
      <c r="A170" s="38" t="inlineStr">
        <is>
          <t>ART_020</t>
        </is>
      </c>
      <c r="B170" s="38" t="inlineStr">
        <is>
          <t>ART_020_S05</t>
        </is>
      </c>
      <c r="C170" s="38" t="inlineStr">
        <is>
          <t>La Silla Vacía</t>
        </is>
      </c>
      <c r="D170" s="38" t="inlineStr">
        <is>
          <t>Reformas sociales en disputa (pensional/tributaria)</t>
        </is>
      </c>
      <c r="E170" s="38" t="inlineStr">
        <is>
          <t>Opinión-análisis</t>
        </is>
      </c>
      <c r="F170" s="38" t="inlineStr">
        <is>
          <t>Tue, 01 Sep 2026 12:00:00 +0000</t>
        </is>
      </c>
      <c r="G170" s="62" t="inlineStr">
        <is>
          <t>Algunas mujeres privilegiadas perderán subsidios.</t>
        </is>
      </c>
      <c r="H170" s="62" t="inlineStr">
        <is>
          <t>Y esa precisión importa.</t>
        </is>
      </c>
      <c r="I170" s="62" t="inlineStr">
        <is>
          <t>Otras, que están cerca de completar las semanas necesarias para pensionarse, recibirán un empujón importante.</t>
        </is>
      </c>
      <c r="J170" s="38" t="n"/>
      <c r="K170" s="62" t="n"/>
      <c r="L170" s="38" t="n"/>
      <c r="M170" s="62" t="n"/>
      <c r="N170" s="38" t="n"/>
      <c r="O170" s="62" t="n"/>
      <c r="P170" s="38" t="n"/>
      <c r="Q170" s="62" t="n"/>
      <c r="R170" s="38" t="n"/>
      <c r="S170" s="62" t="n"/>
      <c r="T170" s="38" t="n"/>
      <c r="U170" s="62" t="n"/>
      <c r="V170" s="38" t="n"/>
      <c r="W170" s="62" t="n"/>
      <c r="X170" s="38" t="n"/>
      <c r="Y170" s="62" t="n"/>
      <c r="Z170" s="38" t="n"/>
      <c r="AA170" s="62" t="n"/>
      <c r="AB170" s="38" t="n"/>
      <c r="AC170" s="62" t="n"/>
      <c r="AD170" s="38" t="n"/>
      <c r="AE170" s="38" t="n"/>
      <c r="AF170" s="61">
        <f>IF(COUNTIF($B$5:B170,B170)=1,1,0)</f>
        <v/>
      </c>
      <c r="AG170" s="62" t="inlineStr">
        <is>
          <t>https://www.lasillavacia.com/red-de-expertos/red-de-las-mujeres/la-reforma-pensional-beneficia-a-las-mujeres/</t>
        </is>
      </c>
    </row>
    <row r="171" ht="15" customHeight="1" s="31">
      <c r="A171" s="38" t="inlineStr">
        <is>
          <t>ART_020</t>
        </is>
      </c>
      <c r="B171" s="38" t="inlineStr">
        <is>
          <t>ART_020_S06</t>
        </is>
      </c>
      <c r="C171" s="38" t="inlineStr">
        <is>
          <t>La Silla Vacía</t>
        </is>
      </c>
      <c r="D171" s="38" t="inlineStr">
        <is>
          <t>Reformas sociales en disputa (pensional/tributaria)</t>
        </is>
      </c>
      <c r="E171" s="38" t="inlineStr">
        <is>
          <t>Opinión-análisis</t>
        </is>
      </c>
      <c r="F171" s="38" t="inlineStr">
        <is>
          <t>Tue, 01 Sep 2026 12:00:00 +0000</t>
        </is>
      </c>
      <c r="G171" s="62" t="inlineStr">
        <is>
          <t>Otras, que están cerca de completar las semanas necesarias para pensionarse, recibirán un empujón importante.</t>
        </is>
      </c>
      <c r="H171" s="62" t="inlineStr">
        <is>
          <t>Algunas mujeres privilegiadas perderán subsidios.</t>
        </is>
      </c>
      <c r="I171" s="62" t="inlineStr">
        <is>
          <t>Y muchas de las más pobres, que nunca tuvieron una posibilidad real de obtener una pensión, recibirán una protección económica mucho mayor en la vejez.</t>
        </is>
      </c>
      <c r="J171" s="38" t="n"/>
      <c r="K171" s="62" t="n"/>
      <c r="L171" s="38" t="n"/>
      <c r="M171" s="62" t="n"/>
      <c r="N171" s="38" t="n"/>
      <c r="O171" s="62" t="n"/>
      <c r="P171" s="38" t="n"/>
      <c r="Q171" s="62" t="n"/>
      <c r="R171" s="38" t="n"/>
      <c r="S171" s="62" t="n"/>
      <c r="T171" s="38" t="n"/>
      <c r="U171" s="62" t="n"/>
      <c r="V171" s="38" t="n"/>
      <c r="W171" s="62" t="n"/>
      <c r="X171" s="38" t="n"/>
      <c r="Y171" s="62" t="n"/>
      <c r="Z171" s="38" t="n"/>
      <c r="AA171" s="62" t="n"/>
      <c r="AB171" s="38" t="n"/>
      <c r="AC171" s="62" t="n"/>
      <c r="AD171" s="38" t="n"/>
      <c r="AE171" s="38" t="n"/>
      <c r="AF171" s="61">
        <f>IF(COUNTIF($B$5:B171,B171)=1,1,0)</f>
        <v/>
      </c>
      <c r="AG171" s="62" t="inlineStr">
        <is>
          <t>https://www.lasillavacia.com/red-de-expertos/red-de-las-mujeres/la-reforma-pensional-beneficia-a-las-mujeres/</t>
        </is>
      </c>
    </row>
    <row r="172" ht="15" customHeight="1" s="31">
      <c r="A172" s="38" t="inlineStr">
        <is>
          <t>ART_020</t>
        </is>
      </c>
      <c r="B172" s="38" t="inlineStr">
        <is>
          <t>ART_020_S07</t>
        </is>
      </c>
      <c r="C172" s="38" t="inlineStr">
        <is>
          <t>La Silla Vacía</t>
        </is>
      </c>
      <c r="D172" s="38" t="inlineStr">
        <is>
          <t>Reformas sociales en disputa (pensional/tributaria)</t>
        </is>
      </c>
      <c r="E172" s="38" t="inlineStr">
        <is>
          <t>Opinión-análisis</t>
        </is>
      </c>
      <c r="F172" s="38" t="inlineStr">
        <is>
          <t>Tue, 01 Sep 2026 12:00:00 +0000</t>
        </is>
      </c>
      <c r="G172" s="62" t="inlineStr">
        <is>
          <t>Y muchas de las más pobres, que nunca tuvieron una posibilidad real de obtener una pensión, recibirán una protección económica mucho mayor en la vejez.</t>
        </is>
      </c>
      <c r="H172" s="62" t="inlineStr">
        <is>
          <t>Otras, que están cerca de completar las semanas necesarias para pensionarse, recibirán un empujón importante.</t>
        </is>
      </c>
      <c r="I172" s="62" t="inlineStr">
        <is>
          <t>No todas ganamos.</t>
        </is>
      </c>
      <c r="J172" s="38" t="n"/>
      <c r="K172" s="62" t="n"/>
      <c r="L172" s="38" t="n"/>
      <c r="M172" s="62" t="n"/>
      <c r="N172" s="38" t="n"/>
      <c r="O172" s="62" t="n"/>
      <c r="P172" s="38" t="n"/>
      <c r="Q172" s="62" t="n"/>
      <c r="R172" s="38" t="n"/>
      <c r="S172" s="62" t="n"/>
      <c r="T172" s="38" t="n"/>
      <c r="U172" s="62" t="n"/>
      <c r="V172" s="38" t="n"/>
      <c r="W172" s="62" t="n"/>
      <c r="X172" s="38" t="n"/>
      <c r="Y172" s="62" t="n"/>
      <c r="Z172" s="38" t="n"/>
      <c r="AA172" s="62" t="n"/>
      <c r="AB172" s="38" t="n"/>
      <c r="AC172" s="62" t="n"/>
      <c r="AD172" s="38" t="n"/>
      <c r="AE172" s="38" t="n"/>
      <c r="AF172" s="61">
        <f>IF(COUNTIF($B$5:B172,B172)=1,1,0)</f>
        <v/>
      </c>
      <c r="AG172" s="62" t="inlineStr">
        <is>
          <t>https://www.lasillavacia.com/red-de-expertos/red-de-las-mujeres/la-reforma-pensional-beneficia-a-las-mujeres/</t>
        </is>
      </c>
    </row>
    <row r="173" ht="15" customHeight="1" s="31">
      <c r="A173" s="38" t="inlineStr">
        <is>
          <t>ART_020</t>
        </is>
      </c>
      <c r="B173" s="38" t="inlineStr">
        <is>
          <t>ART_020_S08</t>
        </is>
      </c>
      <c r="C173" s="38" t="inlineStr">
        <is>
          <t>La Silla Vacía</t>
        </is>
      </c>
      <c r="D173" s="38" t="inlineStr">
        <is>
          <t>Reformas sociales en disputa (pensional/tributaria)</t>
        </is>
      </c>
      <c r="E173" s="38" t="inlineStr">
        <is>
          <t>Opinión-análisis</t>
        </is>
      </c>
      <c r="F173" s="38" t="inlineStr">
        <is>
          <t>Tue, 01 Sep 2026 12:00:00 +0000</t>
        </is>
      </c>
      <c r="G173" s="62" t="inlineStr">
        <is>
          <t>No todas ganamos.</t>
        </is>
      </c>
      <c r="H173" s="62" t="inlineStr">
        <is>
          <t>Y muchas de las más pobres, que nunca tuvieron una posibilidad real de obtener una pensión, recibirán una protección económica mucho mayor en la vejez.</t>
        </is>
      </c>
      <c r="I173" s="62" t="inlineStr">
        <is>
          <t>Pero quienes más necesitan ganar, ganan más.</t>
        </is>
      </c>
      <c r="J173" s="38" t="n"/>
      <c r="K173" s="62" t="n"/>
      <c r="L173" s="38" t="n"/>
      <c r="M173" s="62" t="n"/>
      <c r="N173" s="38" t="n"/>
      <c r="O173" s="62" t="n"/>
      <c r="P173" s="38" t="n"/>
      <c r="Q173" s="62" t="n"/>
      <c r="R173" s="38" t="n"/>
      <c r="S173" s="62" t="n"/>
      <c r="T173" s="38" t="n"/>
      <c r="U173" s="62" t="n"/>
      <c r="V173" s="38" t="n"/>
      <c r="W173" s="62" t="n"/>
      <c r="X173" s="38" t="n"/>
      <c r="Y173" s="62" t="n"/>
      <c r="Z173" s="38" t="n"/>
      <c r="AA173" s="62" t="n"/>
      <c r="AB173" s="38" t="n"/>
      <c r="AC173" s="62" t="n"/>
      <c r="AD173" s="38" t="n"/>
      <c r="AE173" s="38" t="n"/>
      <c r="AF173" s="61">
        <f>IF(COUNTIF($B$5:B173,B173)=1,1,0)</f>
        <v/>
      </c>
      <c r="AG173" s="62" t="inlineStr">
        <is>
          <t>https://www.lasillavacia.com/red-de-expertos/red-de-las-mujeres/la-reforma-pensional-beneficia-a-las-mujeres/</t>
        </is>
      </c>
    </row>
    <row r="174" ht="15" customHeight="1" s="31">
      <c r="A174" s="38" t="inlineStr">
        <is>
          <t>ART_020</t>
        </is>
      </c>
      <c r="B174" s="38" t="inlineStr">
        <is>
          <t>ART_020_S09</t>
        </is>
      </c>
      <c r="C174" s="38" t="inlineStr">
        <is>
          <t>La Silla Vacía</t>
        </is>
      </c>
      <c r="D174" s="38" t="inlineStr">
        <is>
          <t>Reformas sociales en disputa (pensional/tributaria)</t>
        </is>
      </c>
      <c r="E174" s="38" t="inlineStr">
        <is>
          <t>Opinión-análisis</t>
        </is>
      </c>
      <c r="F174" s="38" t="inlineStr">
        <is>
          <t>Tue, 01 Sep 2026 12:00:00 +0000</t>
        </is>
      </c>
      <c r="G174" s="62" t="inlineStr">
        <is>
          <t>Pero quienes más necesitan ganar, ganan más.</t>
        </is>
      </c>
      <c r="H174" s="62" t="inlineStr">
        <is>
          <t>No todas ganamos.</t>
        </is>
      </c>
      <c r="I174" s="62" t="inlineStr">
        <is>
          <t>De eso se trata redistribuir.</t>
        </is>
      </c>
      <c r="J174" s="38" t="n"/>
      <c r="K174" s="62" t="n"/>
      <c r="L174" s="38" t="n"/>
      <c r="M174" s="62" t="n"/>
      <c r="N174" s="38" t="n"/>
      <c r="O174" s="62" t="n"/>
      <c r="P174" s="38" t="n"/>
      <c r="Q174" s="62" t="n"/>
      <c r="R174" s="38" t="n"/>
      <c r="S174" s="62" t="n"/>
      <c r="T174" s="38" t="n"/>
      <c r="U174" s="62" t="n"/>
      <c r="V174" s="38" t="n"/>
      <c r="W174" s="62" t="n"/>
      <c r="X174" s="38" t="n"/>
      <c r="Y174" s="62" t="n"/>
      <c r="Z174" s="38" t="n"/>
      <c r="AA174" s="62" t="n"/>
      <c r="AB174" s="38" t="n"/>
      <c r="AC174" s="62" t="n"/>
      <c r="AD174" s="38" t="n"/>
      <c r="AE174" s="38" t="n"/>
      <c r="AF174" s="61">
        <f>IF(COUNTIF($B$5:B174,B174)=1,1,0)</f>
        <v/>
      </c>
      <c r="AG174" s="62" t="inlineStr">
        <is>
          <t>https://www.lasillavacia.com/red-de-expertos/red-de-las-mujeres/la-reforma-pensional-beneficia-a-las-mujeres/</t>
        </is>
      </c>
    </row>
    <row r="175" ht="15" customHeight="1" s="31">
      <c r="A175" s="38" t="inlineStr">
        <is>
          <t>ART_020</t>
        </is>
      </c>
      <c r="B175" s="38" t="inlineStr">
        <is>
          <t>ART_020_S10</t>
        </is>
      </c>
      <c r="C175" s="38" t="inlineStr">
        <is>
          <t>La Silla Vacía</t>
        </is>
      </c>
      <c r="D175" s="38" t="inlineStr">
        <is>
          <t>Reformas sociales en disputa (pensional/tributaria)</t>
        </is>
      </c>
      <c r="E175" s="38" t="inlineStr">
        <is>
          <t>Opinión-análisis</t>
        </is>
      </c>
      <c r="F175" s="38" t="inlineStr">
        <is>
          <t>Tue, 01 Sep 2026 12:00:00 +0000</t>
        </is>
      </c>
      <c r="G175" s="62" t="inlineStr">
        <is>
          <t>De eso se trata redistribuir.</t>
        </is>
      </c>
      <c r="H175" s="62" t="inlineStr">
        <is>
          <t>Pero quienes más necesitan ganar, ganan más.</t>
        </is>
      </c>
      <c r="I175" s="62" t="inlineStr">
        <is>
          <t>Pensemos en una pensión como pensamos en una casa propia.</t>
        </is>
      </c>
      <c r="J175" s="38" t="n"/>
      <c r="K175" s="62" t="n"/>
      <c r="L175" s="38" t="n"/>
      <c r="M175" s="62" t="n"/>
      <c r="N175" s="38" t="n"/>
      <c r="O175" s="62" t="n"/>
      <c r="P175" s="38" t="n"/>
      <c r="Q175" s="62" t="n"/>
      <c r="R175" s="38" t="n"/>
      <c r="S175" s="62" t="n"/>
      <c r="T175" s="38" t="n"/>
      <c r="U175" s="62" t="n"/>
      <c r="V175" s="38" t="n"/>
      <c r="W175" s="62" t="n"/>
      <c r="X175" s="38" t="n"/>
      <c r="Y175" s="62" t="n"/>
      <c r="Z175" s="38" t="n"/>
      <c r="AA175" s="62" t="n"/>
      <c r="AB175" s="38" t="n"/>
      <c r="AC175" s="62" t="n"/>
      <c r="AD175" s="38" t="n"/>
      <c r="AE175" s="38" t="n"/>
      <c r="AF175" s="61">
        <f>IF(COUNTIF($B$5:B175,B175)=1,1,0)</f>
        <v/>
      </c>
      <c r="AG175" s="62" t="inlineStr">
        <is>
          <t>https://www.lasillavacia.com/red-de-expertos/red-de-las-mujeres/la-reforma-pensional-beneficia-a-las-mujeres/</t>
        </is>
      </c>
    </row>
    <row r="176" ht="15" customHeight="1" s="31">
      <c r="A176" s="38" t="inlineStr">
        <is>
          <t>ART_020</t>
        </is>
      </c>
      <c r="B176" s="38" t="inlineStr">
        <is>
          <t>ART_020_S11</t>
        </is>
      </c>
      <c r="C176" s="38" t="inlineStr">
        <is>
          <t>La Silla Vacía</t>
        </is>
      </c>
      <c r="D176" s="38" t="inlineStr">
        <is>
          <t>Reformas sociales en disputa (pensional/tributaria)</t>
        </is>
      </c>
      <c r="E176" s="38" t="inlineStr">
        <is>
          <t>Opinión-análisis</t>
        </is>
      </c>
      <c r="F176" s="38" t="inlineStr">
        <is>
          <t>Tue, 01 Sep 2026 12:00:00 +0000</t>
        </is>
      </c>
      <c r="G176" s="62" t="inlineStr">
        <is>
          <t>Pensemos en una pensión como pensamos en una casa propia.</t>
        </is>
      </c>
      <c r="H176" s="62" t="inlineStr">
        <is>
          <t>De eso se trata redistribuir.</t>
        </is>
      </c>
      <c r="I176" s="62" t="inlineStr">
        <is>
          <t>Muy pocas mujeres pudieron comprarla.</t>
        </is>
      </c>
      <c r="J176" s="38" t="n"/>
      <c r="K176" s="62" t="n"/>
      <c r="L176" s="38" t="n"/>
      <c r="M176" s="62" t="n"/>
      <c r="N176" s="38" t="n"/>
      <c r="O176" s="62" t="n"/>
      <c r="P176" s="38" t="n"/>
      <c r="Q176" s="62" t="n"/>
      <c r="R176" s="38" t="n"/>
      <c r="S176" s="62" t="n"/>
      <c r="T176" s="38" t="n"/>
      <c r="U176" s="62" t="n"/>
      <c r="V176" s="38" t="n"/>
      <c r="W176" s="62" t="n"/>
      <c r="X176" s="38" t="n"/>
      <c r="Y176" s="62" t="n"/>
      <c r="Z176" s="38" t="n"/>
      <c r="AA176" s="62" t="n"/>
      <c r="AB176" s="38" t="n"/>
      <c r="AC176" s="62" t="n"/>
      <c r="AD176" s="38" t="n"/>
      <c r="AE176" s="38" t="n"/>
      <c r="AF176" s="61">
        <f>IF(COUNTIF($B$5:B176,B176)=1,1,0)</f>
        <v/>
      </c>
      <c r="AG176" s="62" t="inlineStr">
        <is>
          <t>https://www.lasillavacia.com/red-de-expertos/red-de-las-mujeres/la-reforma-pensional-beneficia-a-las-mujeres/</t>
        </is>
      </c>
    </row>
    <row r="177" ht="15" customHeight="1" s="31">
      <c r="A177" s="38" t="inlineStr">
        <is>
          <t>ART_020</t>
        </is>
      </c>
      <c r="B177" s="38" t="inlineStr">
        <is>
          <t>ART_020_S12</t>
        </is>
      </c>
      <c r="C177" s="38" t="inlineStr">
        <is>
          <t>La Silla Vacía</t>
        </is>
      </c>
      <c r="D177" s="38" t="inlineStr">
        <is>
          <t>Reformas sociales en disputa (pensional/tributaria)</t>
        </is>
      </c>
      <c r="E177" s="38" t="inlineStr">
        <is>
          <t>Opinión-análisis</t>
        </is>
      </c>
      <c r="F177" s="38" t="inlineStr">
        <is>
          <t>Tue, 01 Sep 2026 12:00:00 +0000</t>
        </is>
      </c>
      <c r="G177" s="62" t="inlineStr">
        <is>
          <t>Muy pocas mujeres pudieron comprarla.</t>
        </is>
      </c>
      <c r="H177" s="62" t="inlineStr">
        <is>
          <t>Pensemos en una pensión como pensamos en una casa propia.</t>
        </is>
      </c>
      <c r="I177" s="62" t="n"/>
      <c r="J177" s="38" t="n"/>
      <c r="K177" s="62" t="n"/>
      <c r="L177" s="38" t="n"/>
      <c r="M177" s="62" t="n"/>
      <c r="N177" s="38" t="n"/>
      <c r="O177" s="62" t="n"/>
      <c r="P177" s="38" t="n"/>
      <c r="Q177" s="62" t="n"/>
      <c r="R177" s="38" t="n"/>
      <c r="S177" s="62" t="n"/>
      <c r="T177" s="38" t="n"/>
      <c r="U177" s="62" t="n"/>
      <c r="V177" s="38" t="n"/>
      <c r="W177" s="62" t="n"/>
      <c r="X177" s="38" t="n"/>
      <c r="Y177" s="62" t="n"/>
      <c r="Z177" s="38" t="n"/>
      <c r="AA177" s="62" t="n"/>
      <c r="AB177" s="38" t="n"/>
      <c r="AC177" s="62" t="n"/>
      <c r="AD177" s="38" t="n"/>
      <c r="AE177" s="38" t="n"/>
      <c r="AF177" s="61">
        <f>IF(COUNTIF($B$5:B177,B177)=1,1,0)</f>
        <v/>
      </c>
      <c r="AG177" s="62" t="inlineStr">
        <is>
          <t>https://www.lasillavacia.com/red-de-expertos/red-de-las-mujeres/la-reforma-pensional-beneficia-a-las-mujeres/</t>
        </is>
      </c>
    </row>
    <row r="178" ht="15" customHeight="1" s="31">
      <c r="A178" s="38" t="inlineStr">
        <is>
          <t>ART_021</t>
        </is>
      </c>
      <c r="B178" s="38" t="inlineStr">
        <is>
          <t>ART_021_S01</t>
        </is>
      </c>
      <c r="C178" s="38" t="inlineStr">
        <is>
          <t>La Silla Vacía</t>
        </is>
      </c>
      <c r="D178" s="38" t="inlineStr">
        <is>
          <t>Reformas sociales en disputa (pensional/tributaria)</t>
        </is>
      </c>
      <c r="E178" s="38" t="inlineStr">
        <is>
          <t>Noticia dura</t>
        </is>
      </c>
      <c r="F178" s="38" t="inlineStr">
        <is>
          <t>Wed, 26 Aug 2026 00:50:09 +0000</t>
        </is>
      </c>
      <c r="G178" s="62" t="inlineStr">
        <is>
          <t>Con una votación de 7 a 1, la Corte Constitucional avaló la mayoría del articulado de la reforma pensional del gobierno de Gustavo Petro, pero le pidió a la Cámara discutir —en un plazo de 30 días— nueve proposiciones puntuales y un artículo nuevo.</t>
        </is>
      </c>
      <c r="H178" s="62" t="n"/>
      <c r="I178" s="62" t="inlineStr">
        <is>
          <t>El expediente tenía como ponente a la magistrada Paola Meneses.</t>
        </is>
      </c>
      <c r="J178" s="38" t="n"/>
      <c r="K178" s="62" t="n"/>
      <c r="L178" s="38" t="n"/>
      <c r="M178" s="62" t="n"/>
      <c r="N178" s="38" t="n"/>
      <c r="O178" s="62" t="n"/>
      <c r="P178" s="38" t="n"/>
      <c r="Q178" s="62" t="n"/>
      <c r="R178" s="38" t="n"/>
      <c r="S178" s="62" t="n"/>
      <c r="T178" s="38" t="n"/>
      <c r="U178" s="62" t="n"/>
      <c r="V178" s="38" t="n"/>
      <c r="W178" s="62" t="n"/>
      <c r="X178" s="38" t="n"/>
      <c r="Y178" s="62" t="n"/>
      <c r="Z178" s="38" t="n"/>
      <c r="AA178" s="62" t="n"/>
      <c r="AB178" s="38" t="n"/>
      <c r="AC178" s="62" t="n"/>
      <c r="AD178" s="38" t="n"/>
      <c r="AE178" s="38" t="n"/>
      <c r="AF178" s="61">
        <f>IF(COUNTIF($B$5:B178,B178)=1,1,0)</f>
        <v/>
      </c>
      <c r="AG178" s="62" t="inlineStr">
        <is>
          <t>https://www.lasillavacia.com/en-vivo/reforma-pensional-corte-avala-90-articulos-y-devuelve-9-a-la-camara/</t>
        </is>
      </c>
    </row>
    <row r="179" ht="15" customHeight="1" s="31">
      <c r="A179" s="38" t="inlineStr">
        <is>
          <t>ART_021</t>
        </is>
      </c>
      <c r="B179" s="38" t="inlineStr">
        <is>
          <t>ART_021_S02</t>
        </is>
      </c>
      <c r="C179" s="38" t="inlineStr">
        <is>
          <t>La Silla Vacía</t>
        </is>
      </c>
      <c r="D179" s="38" t="inlineStr">
        <is>
          <t>Reformas sociales en disputa (pensional/tributaria)</t>
        </is>
      </c>
      <c r="E179" s="38" t="inlineStr">
        <is>
          <t>Noticia dura</t>
        </is>
      </c>
      <c r="F179" s="38" t="inlineStr">
        <is>
          <t>Wed, 26 Aug 2026 00:50:09 +0000</t>
        </is>
      </c>
      <c r="G179" s="62" t="inlineStr">
        <is>
          <t>El expediente tenía como ponente a la magistrada Paola Meneses.</t>
        </is>
      </c>
      <c r="H179" s="62" t="inlineStr">
        <is>
          <t>Con una votación de 7 a 1, la Corte Constitucional avaló la mayoría del articulado de la reforma pensional del gobierno de Gustavo Petro, pero le pidió a la Cámara discutir —en un plazo de 30 días— nueve proposiciones puntuales y un artículo nuevo.</t>
        </is>
      </c>
      <c r="I179" s="62" t="inlineStr">
        <is>
          <t>El conjuez Carlos Pablo Márquez salvó el voto.</t>
        </is>
      </c>
      <c r="J179" s="38" t="n"/>
      <c r="K179" s="62" t="n"/>
      <c r="L179" s="38" t="n"/>
      <c r="M179" s="62" t="n"/>
      <c r="N179" s="38" t="n"/>
      <c r="O179" s="62" t="n"/>
      <c r="P179" s="38" t="n"/>
      <c r="Q179" s="62" t="n"/>
      <c r="R179" s="38" t="n"/>
      <c r="S179" s="62" t="n"/>
      <c r="T179" s="38" t="n"/>
      <c r="U179" s="62" t="n"/>
      <c r="V179" s="38" t="n"/>
      <c r="W179" s="62" t="n"/>
      <c r="X179" s="38" t="n"/>
      <c r="Y179" s="62" t="n"/>
      <c r="Z179" s="38" t="n"/>
      <c r="AA179" s="62" t="n"/>
      <c r="AB179" s="38" t="n"/>
      <c r="AC179" s="62" t="n"/>
      <c r="AD179" s="38" t="n"/>
      <c r="AE179" s="38" t="n"/>
      <c r="AF179" s="61">
        <f>IF(COUNTIF($B$5:B179,B179)=1,1,0)</f>
        <v/>
      </c>
      <c r="AG179" s="62" t="inlineStr">
        <is>
          <t>https://www.lasillavacia.com/en-vivo/reforma-pensional-corte-avala-90-articulos-y-devuelve-9-a-la-camara/</t>
        </is>
      </c>
    </row>
    <row r="180" ht="15" customHeight="1" s="31">
      <c r="A180" s="38" t="inlineStr">
        <is>
          <t>ART_021</t>
        </is>
      </c>
      <c r="B180" s="38" t="inlineStr">
        <is>
          <t>ART_021_S03</t>
        </is>
      </c>
      <c r="C180" s="38" t="inlineStr">
        <is>
          <t>La Silla Vacía</t>
        </is>
      </c>
      <c r="D180" s="38" t="inlineStr">
        <is>
          <t>Reformas sociales en disputa (pensional/tributaria)</t>
        </is>
      </c>
      <c r="E180" s="38" t="inlineStr">
        <is>
          <t>Noticia dura</t>
        </is>
      </c>
      <c r="F180" s="38" t="inlineStr">
        <is>
          <t>Wed, 26 Aug 2026 00:50:09 +0000</t>
        </is>
      </c>
      <c r="G180" s="62" t="inlineStr">
        <is>
          <t>El conjuez Carlos Pablo Márquez salvó el voto.</t>
        </is>
      </c>
      <c r="H180" s="62" t="inlineStr">
        <is>
          <t>El expediente tenía como ponente a la magistrada Paola Meneses.</t>
        </is>
      </c>
      <c r="I180" s="62" t="inlineStr">
        <is>
          <t>También declaró exequible el artículo 94.</t>
        </is>
      </c>
      <c r="J180" s="38" t="n"/>
      <c r="K180" s="62" t="n"/>
      <c r="L180" s="38" t="n"/>
      <c r="M180" s="62" t="n"/>
      <c r="N180" s="38" t="n"/>
      <c r="O180" s="62" t="n"/>
      <c r="P180" s="38" t="n"/>
      <c r="Q180" s="62" t="n"/>
      <c r="R180" s="38" t="n"/>
      <c r="S180" s="62" t="n"/>
      <c r="T180" s="38" t="n"/>
      <c r="U180" s="62" t="n"/>
      <c r="V180" s="38" t="n"/>
      <c r="W180" s="62" t="n"/>
      <c r="X180" s="38" t="n"/>
      <c r="Y180" s="62" t="n"/>
      <c r="Z180" s="38" t="n"/>
      <c r="AA180" s="62" t="n"/>
      <c r="AB180" s="38" t="n"/>
      <c r="AC180" s="62" t="n"/>
      <c r="AD180" s="38" t="n"/>
      <c r="AE180" s="38" t="n"/>
      <c r="AF180" s="61">
        <f>IF(COUNTIF($B$5:B180,B180)=1,1,0)</f>
        <v/>
      </c>
      <c r="AG180" s="62" t="inlineStr">
        <is>
          <t>https://www.lasillavacia.com/en-vivo/reforma-pensional-corte-avala-90-articulos-y-devuelve-9-a-la-camara/</t>
        </is>
      </c>
    </row>
    <row r="181" ht="15" customHeight="1" s="31">
      <c r="A181" s="38" t="inlineStr">
        <is>
          <t>ART_021</t>
        </is>
      </c>
      <c r="B181" s="38" t="inlineStr">
        <is>
          <t>ART_021_S04</t>
        </is>
      </c>
      <c r="C181" s="38" t="inlineStr">
        <is>
          <t>La Silla Vacía</t>
        </is>
      </c>
      <c r="D181" s="38" t="inlineStr">
        <is>
          <t>Reformas sociales en disputa (pensional/tributaria)</t>
        </is>
      </c>
      <c r="E181" s="38" t="inlineStr">
        <is>
          <t>Noticia dura</t>
        </is>
      </c>
      <c r="F181" s="38" t="inlineStr">
        <is>
          <t>Wed, 26 Aug 2026 00:50:09 +0000</t>
        </is>
      </c>
      <c r="G181" s="62" t="inlineStr">
        <is>
          <t>También declaró exequible el artículo 94.</t>
        </is>
      </c>
      <c r="H181" s="62" t="inlineStr">
        <is>
          <t>El conjuez Carlos Pablo Márquez salvó el voto.</t>
        </is>
      </c>
      <c r="I181" s="62" t="inlineStr">
        <is>
          <t>Es decir, el que establecía a julio de 2025 la entrada en vigencia del nuevo sistema de pilares de la reforma pensional.</t>
        </is>
      </c>
      <c r="J181" s="38" t="n"/>
      <c r="K181" s="62" t="n"/>
      <c r="L181" s="38" t="n"/>
      <c r="M181" s="62" t="n"/>
      <c r="N181" s="38" t="n"/>
      <c r="O181" s="62" t="n"/>
      <c r="P181" s="38" t="n"/>
      <c r="Q181" s="62" t="n"/>
      <c r="R181" s="38" t="n"/>
      <c r="S181" s="62" t="n"/>
      <c r="T181" s="38" t="n"/>
      <c r="U181" s="62" t="n"/>
      <c r="V181" s="38" t="n"/>
      <c r="W181" s="62" t="n"/>
      <c r="X181" s="38" t="n"/>
      <c r="Y181" s="62" t="n"/>
      <c r="Z181" s="38" t="n"/>
      <c r="AA181" s="62" t="n"/>
      <c r="AB181" s="38" t="n"/>
      <c r="AC181" s="62" t="n"/>
      <c r="AD181" s="38" t="n"/>
      <c r="AE181" s="38" t="n"/>
      <c r="AF181" s="61">
        <f>IF(COUNTIF($B$5:B181,B181)=1,1,0)</f>
        <v/>
      </c>
      <c r="AG181" s="62" t="inlineStr">
        <is>
          <t>https://www.lasillavacia.com/en-vivo/reforma-pensional-corte-avala-90-articulos-y-devuelve-9-a-la-camara/</t>
        </is>
      </c>
    </row>
    <row r="182" ht="15" customHeight="1" s="31">
      <c r="A182" s="38" t="inlineStr">
        <is>
          <t>ART_021</t>
        </is>
      </c>
      <c r="B182" s="38" t="inlineStr">
        <is>
          <t>ART_021_S05</t>
        </is>
      </c>
      <c r="C182" s="38" t="inlineStr">
        <is>
          <t>La Silla Vacía</t>
        </is>
      </c>
      <c r="D182" s="38" t="inlineStr">
        <is>
          <t>Reformas sociales en disputa (pensional/tributaria)</t>
        </is>
      </c>
      <c r="E182" s="38" t="inlineStr">
        <is>
          <t>Noticia dura</t>
        </is>
      </c>
      <c r="F182" s="38" t="inlineStr">
        <is>
          <t>Wed, 26 Aug 2026 00:50:09 +0000</t>
        </is>
      </c>
      <c r="G182" s="62" t="inlineStr">
        <is>
          <t>Es decir, el que establecía a julio de 2025 la entrada en vigencia del nuevo sistema de pilares de la reforma pensional.</t>
        </is>
      </c>
      <c r="H182" s="62" t="inlineStr">
        <is>
          <t>También declaró exequible el artículo 94.</t>
        </is>
      </c>
      <c r="I182" s="62" t="inlineStr">
        <is>
          <t>Se avala en el entendido de que los artículos declarados exequibles entrarán en vigencia a partir del 1 de abril de 2027.</t>
        </is>
      </c>
      <c r="J182" s="38" t="n"/>
      <c r="K182" s="62" t="n"/>
      <c r="L182" s="38" t="n"/>
      <c r="M182" s="62" t="n"/>
      <c r="N182" s="38" t="n"/>
      <c r="O182" s="62" t="n"/>
      <c r="P182" s="38" t="n"/>
      <c r="Q182" s="62" t="n"/>
      <c r="R182" s="38" t="n"/>
      <c r="S182" s="62" t="n"/>
      <c r="T182" s="38" t="n"/>
      <c r="U182" s="62" t="n"/>
      <c r="V182" s="38" t="n"/>
      <c r="W182" s="62" t="n"/>
      <c r="X182" s="38" t="n"/>
      <c r="Y182" s="62" t="n"/>
      <c r="Z182" s="38" t="n"/>
      <c r="AA182" s="62" t="n"/>
      <c r="AB182" s="38" t="n"/>
      <c r="AC182" s="62" t="n"/>
      <c r="AD182" s="38" t="n"/>
      <c r="AE182" s="38" t="n"/>
      <c r="AF182" s="61">
        <f>IF(COUNTIF($B$5:B182,B182)=1,1,0)</f>
        <v/>
      </c>
      <c r="AG182" s="62" t="inlineStr">
        <is>
          <t>https://www.lasillavacia.com/en-vivo/reforma-pensional-corte-avala-90-articulos-y-devuelve-9-a-la-camara/</t>
        </is>
      </c>
    </row>
    <row r="183" ht="15" customHeight="1" s="31">
      <c r="A183" s="38" t="inlineStr">
        <is>
          <t>ART_021</t>
        </is>
      </c>
      <c r="B183" s="38" t="inlineStr">
        <is>
          <t>ART_021_S06</t>
        </is>
      </c>
      <c r="C183" s="38" t="inlineStr">
        <is>
          <t>La Silla Vacía</t>
        </is>
      </c>
      <c r="D183" s="38" t="inlineStr">
        <is>
          <t>Reformas sociales en disputa (pensional/tributaria)</t>
        </is>
      </c>
      <c r="E183" s="38" t="inlineStr">
        <is>
          <t>Noticia dura</t>
        </is>
      </c>
      <c r="F183" s="38" t="inlineStr">
        <is>
          <t>Wed, 26 Aug 2026 00:50:09 +0000</t>
        </is>
      </c>
      <c r="G183" s="62" t="inlineStr">
        <is>
          <t>Se avala en el entendido de que los artículos declarados exequibles entrarán en vigencia a partir del 1 de abril de 2027.</t>
        </is>
      </c>
      <c r="H183" s="62" t="inlineStr">
        <is>
          <t>Es decir, el que establecía a julio de 2025 la entrada en vigencia del nuevo sistema de pilares de la reforma pensional.</t>
        </is>
      </c>
      <c r="I183" s="62" t="inlineStr">
        <is>
          <t>“Un nuevo triunfo del gobierno del cambio y del pueblo trabajador”, acaba de celebrar el expresidente Petro.</t>
        </is>
      </c>
      <c r="J183" s="38" t="n"/>
      <c r="K183" s="62" t="n"/>
      <c r="L183" s="38" t="n"/>
      <c r="M183" s="62" t="n"/>
      <c r="N183" s="38" t="n"/>
      <c r="O183" s="62" t="n"/>
      <c r="P183" s="38" t="n"/>
      <c r="Q183" s="62" t="n"/>
      <c r="R183" s="38" t="n"/>
      <c r="S183" s="62" t="n"/>
      <c r="T183" s="38" t="n"/>
      <c r="U183" s="62" t="n"/>
      <c r="V183" s="38" t="n"/>
      <c r="W183" s="62" t="n"/>
      <c r="X183" s="38" t="n"/>
      <c r="Y183" s="62" t="n"/>
      <c r="Z183" s="38" t="n"/>
      <c r="AA183" s="62" t="n"/>
      <c r="AB183" s="38" t="n"/>
      <c r="AC183" s="62" t="n"/>
      <c r="AD183" s="38" t="n"/>
      <c r="AE183" s="38" t="n"/>
      <c r="AF183" s="61">
        <f>IF(COUNTIF($B$5:B183,B183)=1,1,0)</f>
        <v/>
      </c>
      <c r="AG183" s="62" t="inlineStr">
        <is>
          <t>https://www.lasillavacia.com/en-vivo/reforma-pensional-corte-avala-90-articulos-y-devuelve-9-a-la-camara/</t>
        </is>
      </c>
    </row>
    <row r="184" ht="15" customHeight="1" s="31">
      <c r="A184" s="38" t="inlineStr">
        <is>
          <t>ART_021</t>
        </is>
      </c>
      <c r="B184" s="38" t="inlineStr">
        <is>
          <t>ART_021_S07</t>
        </is>
      </c>
      <c r="C184" s="38" t="inlineStr">
        <is>
          <t>La Silla Vacía</t>
        </is>
      </c>
      <c r="D184" s="38" t="inlineStr">
        <is>
          <t>Reformas sociales en disputa (pensional/tributaria)</t>
        </is>
      </c>
      <c r="E184" s="38" t="inlineStr">
        <is>
          <t>Noticia dura</t>
        </is>
      </c>
      <c r="F184" s="38" t="inlineStr">
        <is>
          <t>Wed, 26 Aug 2026 00:50:09 +0000</t>
        </is>
      </c>
      <c r="G184" s="62" t="inlineStr">
        <is>
          <t>“Un nuevo triunfo del gobierno del cambio y del pueblo trabajador”, acaba de celebrar el expresidente Petro.</t>
        </is>
      </c>
      <c r="H184" s="62" t="inlineStr">
        <is>
          <t>Se avala en el entendido de que los artículos declarados exequibles entrarán en vigencia a partir del 1 de abril de 2027.</t>
        </is>
      </c>
      <c r="I184" s="62" t="inlineStr">
        <is>
          <t>Se ha aprobado la mayor parte de la nueva ley de reforma pensional.</t>
        </is>
      </c>
      <c r="J184" s="38" t="n"/>
      <c r="K184" s="62" t="n"/>
      <c r="L184" s="38" t="n"/>
      <c r="M184" s="62" t="n"/>
      <c r="N184" s="38" t="n"/>
      <c r="O184" s="62" t="n"/>
      <c r="P184" s="38" t="n"/>
      <c r="Q184" s="62" t="n"/>
      <c r="R184" s="38" t="n"/>
      <c r="S184" s="62" t="n"/>
      <c r="T184" s="38" t="n"/>
      <c r="U184" s="62" t="n"/>
      <c r="V184" s="38" t="n"/>
      <c r="W184" s="62" t="n"/>
      <c r="X184" s="38" t="n"/>
      <c r="Y184" s="62" t="n"/>
      <c r="Z184" s="38" t="n"/>
      <c r="AA184" s="62" t="n"/>
      <c r="AB184" s="38" t="n"/>
      <c r="AC184" s="62" t="n"/>
      <c r="AD184" s="38" t="n"/>
      <c r="AE184" s="38" t="n"/>
      <c r="AF184" s="61">
        <f>IF(COUNTIF($B$5:B184,B184)=1,1,0)</f>
        <v/>
      </c>
      <c r="AG184" s="62" t="inlineStr">
        <is>
          <t>https://www.lasillavacia.com/en-vivo/reforma-pensional-corte-avala-90-articulos-y-devuelve-9-a-la-camara/</t>
        </is>
      </c>
    </row>
    <row r="185" ht="15" customHeight="1" s="31">
      <c r="A185" s="38" t="inlineStr">
        <is>
          <t>ART_021</t>
        </is>
      </c>
      <c r="B185" s="38" t="inlineStr">
        <is>
          <t>ART_021_S08</t>
        </is>
      </c>
      <c r="C185" s="38" t="inlineStr">
        <is>
          <t>La Silla Vacía</t>
        </is>
      </c>
      <c r="D185" s="38" t="inlineStr">
        <is>
          <t>Reformas sociales en disputa (pensional/tributaria)</t>
        </is>
      </c>
      <c r="E185" s="38" t="inlineStr">
        <is>
          <t>Noticia dura</t>
        </is>
      </c>
      <c r="F185" s="38" t="inlineStr">
        <is>
          <t>Wed, 26 Aug 2026 00:50:09 +0000</t>
        </is>
      </c>
      <c r="G185" s="62" t="inlineStr">
        <is>
          <t>Se ha aprobado la mayor parte de la nueva ley de reforma pensional.</t>
        </is>
      </c>
      <c r="H185" s="62" t="inlineStr">
        <is>
          <t>“Un nuevo triunfo del gobierno del cambio y del pueblo trabajador”, acaba de celebrar el expresidente Petro.</t>
        </is>
      </c>
      <c r="I185" s="62" t="n"/>
      <c r="J185" s="38" t="n"/>
      <c r="K185" s="62" t="n"/>
      <c r="L185" s="38" t="n"/>
      <c r="M185" s="62" t="n"/>
      <c r="N185" s="38" t="n"/>
      <c r="O185" s="62" t="n"/>
      <c r="P185" s="38" t="n"/>
      <c r="Q185" s="62" t="n"/>
      <c r="R185" s="38" t="n"/>
      <c r="S185" s="62" t="n"/>
      <c r="T185" s="38" t="n"/>
      <c r="U185" s="62" t="n"/>
      <c r="V185" s="38" t="n"/>
      <c r="W185" s="62" t="n"/>
      <c r="X185" s="38" t="n"/>
      <c r="Y185" s="62" t="n"/>
      <c r="Z185" s="38" t="n"/>
      <c r="AA185" s="62" t="n"/>
      <c r="AB185" s="38" t="n"/>
      <c r="AC185" s="62" t="n"/>
      <c r="AD185" s="38" t="n"/>
      <c r="AE185" s="38" t="n"/>
      <c r="AF185" s="61">
        <f>IF(COUNTIF($B$5:B185,B185)=1,1,0)</f>
        <v/>
      </c>
      <c r="AG185" s="62" t="inlineStr">
        <is>
          <t>https://www.lasillavacia.com/en-vivo/reforma-pensional-corte-avala-90-articulos-y-devuelve-9-a-la-camara/</t>
        </is>
      </c>
    </row>
    <row r="186" ht="15" customHeight="1" s="31">
      <c r="A186" s="38" t="inlineStr">
        <is>
          <t>ART_022</t>
        </is>
      </c>
      <c r="B186" s="38" t="inlineStr">
        <is>
          <t>ART_022_S01</t>
        </is>
      </c>
      <c r="C186" s="38" t="inlineStr">
        <is>
          <t>La Silla Vacía</t>
        </is>
      </c>
      <c r="D186" s="38" t="inlineStr">
        <is>
          <t>Relación con Estados Unidos</t>
        </is>
      </c>
      <c r="E186" s="38" t="inlineStr">
        <is>
          <t>Noticia dura</t>
        </is>
      </c>
      <c r="F186" s="38" t="inlineStr">
        <is>
          <t>Fri, 26 Dec 2025 05:05:00 +0000</t>
        </is>
      </c>
      <c r="G186" s="62" t="inlineStr">
        <is>
          <t>El 2025 fue un año lleno de incertidumbres.</t>
        </is>
      </c>
      <c r="H186" s="62" t="n"/>
      <c r="I186" s="62" t="inlineStr">
        <is>
          <t>A la impredictibilidad del presidente Gustavo Petro se sumó el inmenso cambio en el equilibrio de poder mundial producido por la llegada de Donald Trump a la Casa Blanca.</t>
        </is>
      </c>
      <c r="J186" s="38" t="n"/>
      <c r="K186" s="62" t="n"/>
      <c r="L186" s="38" t="n"/>
      <c r="M186" s="62" t="n"/>
      <c r="N186" s="38" t="n"/>
      <c r="O186" s="62" t="n"/>
      <c r="P186" s="38" t="n"/>
      <c r="Q186" s="62" t="n"/>
      <c r="R186" s="38" t="n"/>
      <c r="S186" s="62" t="n"/>
      <c r="T186" s="38" t="n"/>
      <c r="U186" s="62" t="n"/>
      <c r="V186" s="38" t="n"/>
      <c r="W186" s="62" t="n"/>
      <c r="X186" s="38" t="n"/>
      <c r="Y186" s="62" t="n"/>
      <c r="Z186" s="38" t="n"/>
      <c r="AA186" s="62" t="n"/>
      <c r="AB186" s="38" t="n"/>
      <c r="AC186" s="62" t="n"/>
      <c r="AD186" s="38" t="n"/>
      <c r="AE186" s="38" t="n"/>
      <c r="AF186" s="61">
        <f>IF(COUNTIF($B$5:B186,B186)=1,1,0)</f>
        <v/>
      </c>
      <c r="AG186" s="62" t="inlineStr">
        <is>
          <t>https://www.lasillavacia.com/silla-nacional/asi-se-transformo-el-poder-en-colombia-en-2025/</t>
        </is>
      </c>
    </row>
    <row r="187" ht="15" customHeight="1" s="31">
      <c r="A187" s="38" t="inlineStr">
        <is>
          <t>ART_022</t>
        </is>
      </c>
      <c r="B187" s="38" t="inlineStr">
        <is>
          <t>ART_022_S02</t>
        </is>
      </c>
      <c r="C187" s="38" t="inlineStr">
        <is>
          <t>La Silla Vacía</t>
        </is>
      </c>
      <c r="D187" s="38" t="inlineStr">
        <is>
          <t>Relación con Estados Unidos</t>
        </is>
      </c>
      <c r="E187" s="38" t="inlineStr">
        <is>
          <t>Noticia dura</t>
        </is>
      </c>
      <c r="F187" s="38" t="inlineStr">
        <is>
          <t>Fri, 26 Dec 2025 05:05:00 +0000</t>
        </is>
      </c>
      <c r="G187" s="62" t="inlineStr">
        <is>
          <t>A la impredictibilidad del presidente Gustavo Petro se sumó el inmenso cambio en el equilibrio de poder mundial producido por la llegada de Donald Trump a la Casa Blanca.</t>
        </is>
      </c>
      <c r="H187" s="62" t="inlineStr">
        <is>
          <t>El 2025 fue un año lleno de incertidumbres.</t>
        </is>
      </c>
      <c r="I187" s="62" t="inlineStr">
        <is>
          <t>Esa mezcla –explosiva– definió estos 12 meses.</t>
        </is>
      </c>
      <c r="J187" s="38" t="n"/>
      <c r="K187" s="62" t="n"/>
      <c r="L187" s="38" t="n"/>
      <c r="M187" s="62" t="n"/>
      <c r="N187" s="38" t="n"/>
      <c r="O187" s="62" t="n"/>
      <c r="P187" s="38" t="n"/>
      <c r="Q187" s="62" t="n"/>
      <c r="R187" s="38" t="n"/>
      <c r="S187" s="62" t="n"/>
      <c r="T187" s="38" t="n"/>
      <c r="U187" s="62" t="n"/>
      <c r="V187" s="38" t="n"/>
      <c r="W187" s="62" t="n"/>
      <c r="X187" s="38" t="n"/>
      <c r="Y187" s="62" t="n"/>
      <c r="Z187" s="38" t="n"/>
      <c r="AA187" s="62" t="n"/>
      <c r="AB187" s="38" t="n"/>
      <c r="AC187" s="62" t="n"/>
      <c r="AD187" s="38" t="n"/>
      <c r="AE187" s="38" t="n"/>
      <c r="AF187" s="61">
        <f>IF(COUNTIF($B$5:B187,B187)=1,1,0)</f>
        <v/>
      </c>
      <c r="AG187" s="62" t="inlineStr">
        <is>
          <t>https://www.lasillavacia.com/silla-nacional/asi-se-transformo-el-poder-en-colombia-en-2025/</t>
        </is>
      </c>
    </row>
    <row r="188" ht="15" customHeight="1" s="31">
      <c r="A188" s="38" t="inlineStr">
        <is>
          <t>ART_022</t>
        </is>
      </c>
      <c r="B188" s="38" t="inlineStr">
        <is>
          <t>ART_022_S03</t>
        </is>
      </c>
      <c r="C188" s="38" t="inlineStr">
        <is>
          <t>La Silla Vacía</t>
        </is>
      </c>
      <c r="D188" s="38" t="inlineStr">
        <is>
          <t>Relación con Estados Unidos</t>
        </is>
      </c>
      <c r="E188" s="38" t="inlineStr">
        <is>
          <t>Noticia dura</t>
        </is>
      </c>
      <c r="F188" s="38" t="inlineStr">
        <is>
          <t>Fri, 26 Dec 2025 05:05:00 +0000</t>
        </is>
      </c>
      <c r="G188" s="62" t="inlineStr">
        <is>
          <t>Esa mezcla –explosiva– definió estos 12 meses.</t>
        </is>
      </c>
      <c r="H188" s="62" t="inlineStr">
        <is>
          <t>A la impredictibilidad del presidente Gustavo Petro se sumó el inmenso cambio en el equilibrio de poder mundial producido por la llegada de Donald Trump a la Casa Blanca.</t>
        </is>
      </c>
      <c r="I188" s="62" t="inlineStr">
        <is>
          <t>Estas fueron las 11 grandes transformaciones del poder: En 2025, a Gustavo Petro se le vio más aislado que nunca: su esposa, Verónica Alcocer, salió de Casa de Nariño; Estados Unidos lo metió en la Lista Clinton ; su hijo Nicolás fue acusado de corrupción; y varios de sus principales aliados de izquierda salieron del gabinete, igual que su mano derecha, Laura Sarabia , todos desplazados por el todopoderoso Armando Benedetti .</t>
        </is>
      </c>
      <c r="J188" s="38" t="n"/>
      <c r="K188" s="62" t="n"/>
      <c r="L188" s="38" t="n"/>
      <c r="M188" s="62" t="n"/>
      <c r="N188" s="38" t="n"/>
      <c r="O188" s="62" t="n"/>
      <c r="P188" s="38" t="n"/>
      <c r="Q188" s="62" t="n"/>
      <c r="R188" s="38" t="n"/>
      <c r="S188" s="62" t="n"/>
      <c r="T188" s="38" t="n"/>
      <c r="U188" s="62" t="n"/>
      <c r="V188" s="38" t="n"/>
      <c r="W188" s="62" t="n"/>
      <c r="X188" s="38" t="n"/>
      <c r="Y188" s="62" t="n"/>
      <c r="Z188" s="38" t="n"/>
      <c r="AA188" s="62" t="n"/>
      <c r="AB188" s="38" t="n"/>
      <c r="AC188" s="62" t="n"/>
      <c r="AD188" s="38" t="n"/>
      <c r="AE188" s="38" t="n"/>
      <c r="AF188" s="61">
        <f>IF(COUNTIF($B$5:B188,B188)=1,1,0)</f>
        <v/>
      </c>
      <c r="AG188" s="62" t="inlineStr">
        <is>
          <t>https://www.lasillavacia.com/silla-nacional/asi-se-transformo-el-poder-en-colombia-en-2025/</t>
        </is>
      </c>
    </row>
    <row r="189" ht="15" customHeight="1" s="31">
      <c r="A189" s="38" t="inlineStr">
        <is>
          <t>ART_022</t>
        </is>
      </c>
      <c r="B189" s="38" t="inlineStr">
        <is>
          <t>ART_022_S04</t>
        </is>
      </c>
      <c r="C189" s="38" t="inlineStr">
        <is>
          <t>La Silla Vacía</t>
        </is>
      </c>
      <c r="D189" s="38" t="inlineStr">
        <is>
          <t>Relación con Estados Unidos</t>
        </is>
      </c>
      <c r="E189" s="38" t="inlineStr">
        <is>
          <t>Noticia dura</t>
        </is>
      </c>
      <c r="F189" s="38" t="inlineStr">
        <is>
          <t>Fri, 26 Dec 2025 05:05:00 +0000</t>
        </is>
      </c>
      <c r="G189" s="62" t="inlineStr">
        <is>
          <t>Estas fueron las 11 grandes transformaciones del poder: En 2025, a Gustavo Petro se le vio más aislado que nunca: su esposa, Verónica Alcocer, salió de Casa de Nariño; Estados Unidos lo metió en la Lista Clinton ; su hijo Nicolás fue acusado de corrupción; y varios de sus principales aliados de izquierda salieron del gabinete, igual que su mano derecha, Laura Sarabia , todos desplazados por el todopoderoso Armando Benedetti .</t>
        </is>
      </c>
      <c r="H189" s="62" t="inlineStr">
        <is>
          <t>Esa mezcla –explosiva– definió estos 12 meses.</t>
        </is>
      </c>
      <c r="I189" s="62" t="inlineStr">
        <is>
          <t>Su gabinete de bajo perfil, no sostiene ninguna coalición en el Congreso, donde no logró en el último semestre sacar adelante ninguna de las reformas que quería.</t>
        </is>
      </c>
      <c r="J189" s="38" t="n"/>
      <c r="K189" s="62" t="n"/>
      <c r="L189" s="38" t="n"/>
      <c r="M189" s="62" t="n"/>
      <c r="N189" s="38" t="n"/>
      <c r="O189" s="62" t="n"/>
      <c r="P189" s="38" t="n"/>
      <c r="Q189" s="62" t="n"/>
      <c r="R189" s="38" t="n"/>
      <c r="S189" s="62" t="n"/>
      <c r="T189" s="38" t="n"/>
      <c r="U189" s="62" t="n"/>
      <c r="V189" s="38" t="n"/>
      <c r="W189" s="62" t="n"/>
      <c r="X189" s="38" t="n"/>
      <c r="Y189" s="62" t="n"/>
      <c r="Z189" s="38" t="n"/>
      <c r="AA189" s="62" t="n"/>
      <c r="AB189" s="38" t="n"/>
      <c r="AC189" s="62" t="n"/>
      <c r="AD189" s="38" t="n"/>
      <c r="AE189" s="38" t="n"/>
      <c r="AF189" s="61">
        <f>IF(COUNTIF($B$5:B189,B189)=1,1,0)</f>
        <v/>
      </c>
      <c r="AG189" s="62" t="inlineStr">
        <is>
          <t>https://www.lasillavacia.com/silla-nacional/asi-se-transformo-el-poder-en-colombia-en-2025/</t>
        </is>
      </c>
    </row>
    <row r="190" ht="15" customHeight="1" s="31">
      <c r="A190" s="38" t="inlineStr">
        <is>
          <t>ART_022</t>
        </is>
      </c>
      <c r="B190" s="38" t="inlineStr">
        <is>
          <t>ART_022_S05</t>
        </is>
      </c>
      <c r="C190" s="38" t="inlineStr">
        <is>
          <t>La Silla Vacía</t>
        </is>
      </c>
      <c r="D190" s="38" t="inlineStr">
        <is>
          <t>Relación con Estados Unidos</t>
        </is>
      </c>
      <c r="E190" s="38" t="inlineStr">
        <is>
          <t>Noticia dura</t>
        </is>
      </c>
      <c r="F190" s="38" t="inlineStr">
        <is>
          <t>Fri, 26 Dec 2025 05:05:00 +0000</t>
        </is>
      </c>
      <c r="G190" s="62" t="inlineStr">
        <is>
          <t>Su gabinete de bajo perfil, no sostiene ninguna coalición en el Congreso, donde no logró en el último semestre sacar adelante ninguna de las reformas que quería.</t>
        </is>
      </c>
      <c r="H190" s="62" t="inlineStr">
        <is>
          <t>Estas fueron las 11 grandes transformaciones del poder: En 2025, a Gustavo Petro se le vio más aislado que nunca: su esposa, Verónica Alcocer, salió de Casa de Nariño; Estados Unidos lo metió en la Lista Clinton ; su hijo Nicolás fue acusado de corrupción; y varios de sus principales aliados de izquierda salieron del gabinete, igual que su mano derecha, Laura Sarabia , todos desplazados por el todopoderoso Armando Benedetti .</t>
        </is>
      </c>
      <c r="I190" s="62" t="inlineStr">
        <is>
          <t>Incluso en el vecindario, Petro quedó como una voz solitaria frente al impulso regional a la explotación de hidrocarburos y en plantear una relación abiertamente hostil frente a Estados Unidos, a diferencia de México o Brasil.</t>
        </is>
      </c>
      <c r="J190" s="38" t="n"/>
      <c r="K190" s="62" t="n"/>
      <c r="L190" s="38" t="n"/>
      <c r="M190" s="62" t="n"/>
      <c r="N190" s="38" t="n"/>
      <c r="O190" s="62" t="n"/>
      <c r="P190" s="38" t="n"/>
      <c r="Q190" s="62" t="n"/>
      <c r="R190" s="38" t="n"/>
      <c r="S190" s="62" t="n"/>
      <c r="T190" s="38" t="n"/>
      <c r="U190" s="62" t="n"/>
      <c r="V190" s="38" t="n"/>
      <c r="W190" s="62" t="n"/>
      <c r="X190" s="38" t="n"/>
      <c r="Y190" s="62" t="n"/>
      <c r="Z190" s="38" t="n"/>
      <c r="AA190" s="62" t="n"/>
      <c r="AB190" s="38" t="n"/>
      <c r="AC190" s="62" t="n"/>
      <c r="AD190" s="38" t="n"/>
      <c r="AE190" s="38" t="n"/>
      <c r="AF190" s="61">
        <f>IF(COUNTIF($B$5:B190,B190)=1,1,0)</f>
        <v/>
      </c>
      <c r="AG190" s="62" t="inlineStr">
        <is>
          <t>https://www.lasillavacia.com/silla-nacional/asi-se-transformo-el-poder-en-colombia-en-2025/</t>
        </is>
      </c>
    </row>
    <row r="191" ht="15" customHeight="1" s="31">
      <c r="A191" s="38" t="inlineStr">
        <is>
          <t>ART_022</t>
        </is>
      </c>
      <c r="B191" s="38" t="inlineStr">
        <is>
          <t>ART_022_S06</t>
        </is>
      </c>
      <c r="C191" s="38" t="inlineStr">
        <is>
          <t>La Silla Vacía</t>
        </is>
      </c>
      <c r="D191" s="38" t="inlineStr">
        <is>
          <t>Relación con Estados Unidos</t>
        </is>
      </c>
      <c r="E191" s="38" t="inlineStr">
        <is>
          <t>Noticia dura</t>
        </is>
      </c>
      <c r="F191" s="38" t="inlineStr">
        <is>
          <t>Fri, 26 Dec 2025 05:05:00 +0000</t>
        </is>
      </c>
      <c r="G191" s="62" t="inlineStr">
        <is>
          <t>Incluso en el vecindario, Petro quedó como una voz solitaria frente al impulso regional a la explotación de hidrocarburos y en plantear una relación abiertamente hostil frente a Estados Unidos, a diferencia de México o Brasil.</t>
        </is>
      </c>
      <c r="H191" s="62" t="inlineStr">
        <is>
          <t>Su gabinete de bajo perfil, no sostiene ninguna coalición en el Congreso, donde no logró en el último semestre sacar adelante ninguna de las reformas que quería.</t>
        </is>
      </c>
      <c r="I191" s="62" t="inlineStr">
        <is>
          <t>Cuando lo metieron en la lista Clinton, ninguno de sus homólogos protestó.</t>
        </is>
      </c>
      <c r="J191" s="38" t="n"/>
      <c r="K191" s="62" t="n"/>
      <c r="L191" s="38" t="n"/>
      <c r="M191" s="62" t="n"/>
      <c r="N191" s="38" t="n"/>
      <c r="O191" s="62" t="n"/>
      <c r="P191" s="38" t="n"/>
      <c r="Q191" s="62" t="n"/>
      <c r="R191" s="38" t="n"/>
      <c r="S191" s="62" t="n"/>
      <c r="T191" s="38" t="n"/>
      <c r="U191" s="62" t="n"/>
      <c r="V191" s="38" t="n"/>
      <c r="W191" s="62" t="n"/>
      <c r="X191" s="38" t="n"/>
      <c r="Y191" s="62" t="n"/>
      <c r="Z191" s="38" t="n"/>
      <c r="AA191" s="62" t="n"/>
      <c r="AB191" s="38" t="n"/>
      <c r="AC191" s="62" t="n"/>
      <c r="AD191" s="38" t="n"/>
      <c r="AE191" s="38" t="n"/>
      <c r="AF191" s="61">
        <f>IF(COUNTIF($B$5:B191,B191)=1,1,0)</f>
        <v/>
      </c>
      <c r="AG191" s="62" t="inlineStr">
        <is>
          <t>https://www.lasillavacia.com/silla-nacional/asi-se-transformo-el-poder-en-colombia-en-2025/</t>
        </is>
      </c>
    </row>
    <row r="192" ht="15" customHeight="1" s="31">
      <c r="A192" s="38" t="inlineStr">
        <is>
          <t>ART_022</t>
        </is>
      </c>
      <c r="B192" s="38" t="inlineStr">
        <is>
          <t>ART_022_S07</t>
        </is>
      </c>
      <c r="C192" s="38" t="inlineStr">
        <is>
          <t>La Silla Vacía</t>
        </is>
      </c>
      <c r="D192" s="38" t="inlineStr">
        <is>
          <t>Relación con Estados Unidos</t>
        </is>
      </c>
      <c r="E192" s="38" t="inlineStr">
        <is>
          <t>Noticia dura</t>
        </is>
      </c>
      <c r="F192" s="38" t="inlineStr">
        <is>
          <t>Fri, 26 Dec 2025 05:05:00 +0000</t>
        </is>
      </c>
      <c r="G192" s="62" t="inlineStr">
        <is>
          <t>Cuando lo metieron en la lista Clinton, ninguno de sus homólogos protestó.</t>
        </is>
      </c>
      <c r="H192" s="62" t="inlineStr">
        <is>
          <t>Incluso en el vecindario, Petro quedó como una voz solitaria frente al impulso regional a la explotación de hidrocarburos y en plantear una relación abiertamente hostil frente a Estados Unidos, a diferencia de México o Brasil.</t>
        </is>
      </c>
      <c r="I192" s="62" t="inlineStr">
        <is>
          <t>A pesar de esa soledad personal, el proyecto político del presidente está más consolidado que nunca.</t>
        </is>
      </c>
      <c r="J192" s="38" t="n"/>
      <c r="K192" s="62" t="n"/>
      <c r="L192" s="38" t="n"/>
      <c r="M192" s="62" t="n"/>
      <c r="N192" s="38" t="n"/>
      <c r="O192" s="62" t="n"/>
      <c r="P192" s="38" t="n"/>
      <c r="Q192" s="62" t="n"/>
      <c r="R192" s="38" t="n"/>
      <c r="S192" s="62" t="n"/>
      <c r="T192" s="38" t="n"/>
      <c r="U192" s="62" t="n"/>
      <c r="V192" s="38" t="n"/>
      <c r="W192" s="62" t="n"/>
      <c r="X192" s="38" t="n"/>
      <c r="Y192" s="62" t="n"/>
      <c r="Z192" s="38" t="n"/>
      <c r="AA192" s="62" t="n"/>
      <c r="AB192" s="38" t="n"/>
      <c r="AC192" s="62" t="n"/>
      <c r="AD192" s="38" t="n"/>
      <c r="AE192" s="38" t="n"/>
      <c r="AF192" s="61">
        <f>IF(COUNTIF($B$5:B192,B192)=1,1,0)</f>
        <v/>
      </c>
      <c r="AG192" s="62" t="inlineStr">
        <is>
          <t>https://www.lasillavacia.com/silla-nacional/asi-se-transformo-el-poder-en-colombia-en-2025/</t>
        </is>
      </c>
    </row>
    <row r="193" ht="15" customHeight="1" s="31">
      <c r="A193" s="38" t="inlineStr">
        <is>
          <t>ART_022</t>
        </is>
      </c>
      <c r="B193" s="38" t="inlineStr">
        <is>
          <t>ART_022_S08</t>
        </is>
      </c>
      <c r="C193" s="38" t="inlineStr">
        <is>
          <t>La Silla Vacía</t>
        </is>
      </c>
      <c r="D193" s="38" t="inlineStr">
        <is>
          <t>Relación con Estados Unidos</t>
        </is>
      </c>
      <c r="E193" s="38" t="inlineStr">
        <is>
          <t>Noticia dura</t>
        </is>
      </c>
      <c r="F193" s="38" t="inlineStr">
        <is>
          <t>Fri, 26 Dec 2025 05:05:00 +0000</t>
        </is>
      </c>
      <c r="G193" s="62" t="inlineStr">
        <is>
          <t>A pesar de esa soledad personal, el proyecto político del presidente está más consolidado que nunca.</t>
        </is>
      </c>
      <c r="H193" s="62" t="inlineStr">
        <is>
          <t>Cuando lo metieron en la lista Clinton, ninguno de sus homólogos protestó.</t>
        </is>
      </c>
      <c r="I193" s="62" t="n"/>
      <c r="J193" s="38" t="n"/>
      <c r="K193" s="62" t="n"/>
      <c r="L193" s="38" t="n"/>
      <c r="M193" s="62" t="n"/>
      <c r="N193" s="38" t="n"/>
      <c r="O193" s="62" t="n"/>
      <c r="P193" s="38" t="n"/>
      <c r="Q193" s="62" t="n"/>
      <c r="R193" s="38" t="n"/>
      <c r="S193" s="62" t="n"/>
      <c r="T193" s="38" t="n"/>
      <c r="U193" s="62" t="n"/>
      <c r="V193" s="38" t="n"/>
      <c r="W193" s="62" t="n"/>
      <c r="X193" s="38" t="n"/>
      <c r="Y193" s="62" t="n"/>
      <c r="Z193" s="38" t="n"/>
      <c r="AA193" s="62" t="n"/>
      <c r="AB193" s="38" t="n"/>
      <c r="AC193" s="62" t="n"/>
      <c r="AD193" s="38" t="n"/>
      <c r="AE193" s="38" t="n"/>
      <c r="AF193" s="61">
        <f>IF(COUNTIF($B$5:B193,B193)=1,1,0)</f>
        <v/>
      </c>
      <c r="AG193" s="62" t="inlineStr">
        <is>
          <t>https://www.lasillavacia.com/silla-nacional/asi-se-transformo-el-poder-en-colombia-en-2025/</t>
        </is>
      </c>
    </row>
    <row r="194" ht="15" customHeight="1" s="31">
      <c r="A194" s="38" t="inlineStr">
        <is>
          <t>ART_023</t>
        </is>
      </c>
      <c r="B194" s="38" t="inlineStr">
        <is>
          <t>ART_023_S03</t>
        </is>
      </c>
      <c r="C194" s="38" t="inlineStr">
        <is>
          <t>La Silla Vacía</t>
        </is>
      </c>
      <c r="D194" s="38" t="inlineStr">
        <is>
          <t>Seguridad y orden público</t>
        </is>
      </c>
      <c r="E194" s="38" t="inlineStr">
        <is>
          <t>Opinión-análisis</t>
        </is>
      </c>
      <c r="F194" s="38" t="inlineStr">
        <is>
          <t>Thu, 03 Sep 2026 21:00:00 +0000</t>
        </is>
      </c>
      <c r="G194" s="62" t="inlineStr">
        <is>
          <t>Una política de seguridad no debería preguntarse únicamente cuántos fueron capturados o abatidos hoy, sino cuánta capacidad criminal dejó de existir.</t>
        </is>
      </c>
      <c r="H194" s="62" t="inlineStr">
        <is>
          <t>Esta columna fue escrita por la columnista invitada Alexandra González Zapata.</t>
        </is>
      </c>
      <c r="I194" s="62" t="inlineStr">
        <is>
          <t>En menos de tres semanas, el nuevo gobierno ha hecho de los “golpes contundentes” una de sus principales narrativas de seguridad.</t>
        </is>
      </c>
      <c r="J194" s="38" t="n"/>
      <c r="K194" s="62" t="n"/>
      <c r="L194" s="38" t="n"/>
      <c r="M194" s="62" t="n"/>
      <c r="N194" s="38" t="n"/>
      <c r="O194" s="62" t="n"/>
      <c r="P194" s="38" t="n"/>
      <c r="Q194" s="62" t="n"/>
      <c r="R194" s="38" t="n"/>
      <c r="S194" s="62" t="n"/>
      <c r="T194" s="38" t="n"/>
      <c r="U194" s="62" t="n"/>
      <c r="V194" s="38" t="n"/>
      <c r="W194" s="62" t="n"/>
      <c r="X194" s="38" t="n"/>
      <c r="Y194" s="62" t="n"/>
      <c r="Z194" s="38" t="n"/>
      <c r="AA194" s="62" t="n"/>
      <c r="AB194" s="38" t="n"/>
      <c r="AC194" s="62" t="n"/>
      <c r="AD194" s="38" t="n"/>
      <c r="AE194" s="38" t="n"/>
      <c r="AF194" s="61">
        <f>IF(COUNTIF($B$5:B194,B194)=1,1,0)</f>
        <v/>
      </c>
      <c r="AG194" s="62" t="inlineStr">
        <is>
          <t>https://www.lasillavacia.com/red-de-expertos/red-de-la-paz/contar-capturas-y-bajas-no-mide-la-seguridad-en-colombia/</t>
        </is>
      </c>
    </row>
    <row r="195" ht="15" customHeight="1" s="31">
      <c r="A195" s="38" t="inlineStr">
        <is>
          <t>ART_023</t>
        </is>
      </c>
      <c r="B195" s="38" t="inlineStr">
        <is>
          <t>ART_023_S04</t>
        </is>
      </c>
      <c r="C195" s="38" t="inlineStr">
        <is>
          <t>La Silla Vacía</t>
        </is>
      </c>
      <c r="D195" s="38" t="inlineStr">
        <is>
          <t>Seguridad y orden público</t>
        </is>
      </c>
      <c r="E195" s="38" t="inlineStr">
        <is>
          <t>Opinión-análisis</t>
        </is>
      </c>
      <c r="F195" s="38" t="inlineStr">
        <is>
          <t>Thu, 03 Sep 2026 21:00:00 +0000</t>
        </is>
      </c>
      <c r="G195" s="62" t="inlineStr">
        <is>
          <t>En menos de tres semanas, el nuevo gobierno ha hecho de los “golpes contundentes” una de sus principales narrativas de seguridad.</t>
        </is>
      </c>
      <c r="H195" s="62" t="inlineStr">
        <is>
          <t>Una política de seguridad no debería preguntarse únicamente cuántos fueron capturados o abatidos hoy, sino cuánta capacidad criminal dejó de existir.</t>
        </is>
      </c>
      <c r="I195" s="62" t="inlineStr">
        <is>
          <t>Tres bombardeos —en los que murieron cuatro menores de edad víctimas de reclutamiento forzado—, capturas, bajas e incautaciones buscan transmitir una idea sencilla: el Estado volvió a ejercer autoridad.</t>
        </is>
      </c>
      <c r="J195" s="38" t="n"/>
      <c r="K195" s="62" t="n"/>
      <c r="L195" s="38" t="n"/>
      <c r="M195" s="62" t="n"/>
      <c r="N195" s="38" t="n"/>
      <c r="O195" s="62" t="n"/>
      <c r="P195" s="38" t="n"/>
      <c r="Q195" s="62" t="n"/>
      <c r="R195" s="38" t="n"/>
      <c r="S195" s="62" t="n"/>
      <c r="T195" s="38" t="n"/>
      <c r="U195" s="62" t="n"/>
      <c r="V195" s="38" t="n"/>
      <c r="W195" s="62" t="n"/>
      <c r="X195" s="38" t="n"/>
      <c r="Y195" s="62" t="n"/>
      <c r="Z195" s="38" t="n"/>
      <c r="AA195" s="62" t="n"/>
      <c r="AB195" s="38" t="n"/>
      <c r="AC195" s="62" t="n"/>
      <c r="AD195" s="38" t="n"/>
      <c r="AE195" s="38" t="n"/>
      <c r="AF195" s="61">
        <f>IF(COUNTIF($B$5:B195,B195)=1,1,0)</f>
        <v/>
      </c>
      <c r="AG195" s="62" t="inlineStr">
        <is>
          <t>https://www.lasillavacia.com/red-de-expertos/red-de-la-paz/contar-capturas-y-bajas-no-mide-la-seguridad-en-colombia/</t>
        </is>
      </c>
    </row>
    <row r="196" ht="15" customHeight="1" s="31">
      <c r="A196" s="38" t="inlineStr">
        <is>
          <t>ART_023</t>
        </is>
      </c>
      <c r="B196" s="38" t="inlineStr">
        <is>
          <t>ART_023_S05</t>
        </is>
      </c>
      <c r="C196" s="38" t="inlineStr">
        <is>
          <t>La Silla Vacía</t>
        </is>
      </c>
      <c r="D196" s="38" t="inlineStr">
        <is>
          <t>Seguridad y orden público</t>
        </is>
      </c>
      <c r="E196" s="38" t="inlineStr">
        <is>
          <t>Opinión-análisis</t>
        </is>
      </c>
      <c r="F196" s="38" t="inlineStr">
        <is>
          <t>Thu, 03 Sep 2026 21:00:00 +0000</t>
        </is>
      </c>
      <c r="G196" s="62" t="inlineStr">
        <is>
          <t>Tres bombardeos —en los que murieron cuatro menores de edad víctimas de reclutamiento forzado—, capturas, bajas e incautaciones buscan transmitir una idea sencilla: el Estado volvió a ejercer autoridad.</t>
        </is>
      </c>
      <c r="H196" s="62" t="inlineStr">
        <is>
          <t>En menos de tres semanas, el nuevo gobierno ha hecho de los “golpes contundentes” una de sus principales narrativas de seguridad.</t>
        </is>
      </c>
      <c r="I196" s="62" t="inlineStr">
        <is>
          <t>El gobierno anterior deja una paradoja útil para entenderlo.</t>
        </is>
      </c>
      <c r="J196" s="38" t="n"/>
      <c r="K196" s="62" t="n"/>
      <c r="L196" s="38" t="n"/>
      <c r="M196" s="62" t="n"/>
      <c r="N196" s="38" t="n"/>
      <c r="O196" s="62" t="n"/>
      <c r="P196" s="38" t="n"/>
      <c r="Q196" s="62" t="n"/>
      <c r="R196" s="38" t="n"/>
      <c r="S196" s="62" t="n"/>
      <c r="T196" s="38" t="n"/>
      <c r="U196" s="62" t="n"/>
      <c r="V196" s="38" t="n"/>
      <c r="W196" s="62" t="n"/>
      <c r="X196" s="38" t="n"/>
      <c r="Y196" s="62" t="n"/>
      <c r="Z196" s="38" t="n"/>
      <c r="AA196" s="62" t="n"/>
      <c r="AB196" s="38" t="n"/>
      <c r="AC196" s="62" t="n"/>
      <c r="AD196" s="38" t="n"/>
      <c r="AE196" s="38" t="n"/>
      <c r="AF196" s="61">
        <f>IF(COUNTIF($B$5:B196,B196)=1,1,0)</f>
        <v/>
      </c>
      <c r="AG196" s="62" t="inlineStr">
        <is>
          <t>https://www.lasillavacia.com/red-de-expertos/red-de-la-paz/contar-capturas-y-bajas-no-mide-la-seguridad-en-colombia/</t>
        </is>
      </c>
    </row>
    <row r="197" ht="15" customHeight="1" s="31">
      <c r="A197" s="38" t="inlineStr">
        <is>
          <t>ART_023</t>
        </is>
      </c>
      <c r="B197" s="38" t="inlineStr">
        <is>
          <t>ART_023_S06</t>
        </is>
      </c>
      <c r="C197" s="38" t="inlineStr">
        <is>
          <t>La Silla Vacía</t>
        </is>
      </c>
      <c r="D197" s="38" t="inlineStr">
        <is>
          <t>Seguridad y orden público</t>
        </is>
      </c>
      <c r="E197" s="38" t="inlineStr">
        <is>
          <t>Opinión-análisis</t>
        </is>
      </c>
      <c r="F197" s="38" t="inlineStr">
        <is>
          <t>Thu, 03 Sep 2026 21:00:00 +0000</t>
        </is>
      </c>
      <c r="G197" s="62" t="inlineStr">
        <is>
          <t>El gobierno anterior deja una paradoja útil para entenderlo.</t>
        </is>
      </c>
      <c r="H197" s="62" t="inlineStr">
        <is>
          <t>Tres bombardeos —en los que murieron cuatro menores de edad víctimas de reclutamiento forzado—, capturas, bajas e incautaciones buscan transmitir una idea sencilla: el Estado volvió a ejercer autoridad.</t>
        </is>
      </c>
      <c r="I197" s="62" t="inlineStr">
        <is>
          <t>Entre agosto de 2022 y julio de 2026, las Fuerzas Militares y la Policía neutralizaron a más de 16.000 integrantes de grupos armados y libraron un combate cada 20 horas, según reportó el Ministerio de Defensa.</t>
        </is>
      </c>
      <c r="J197" s="38" t="n"/>
      <c r="K197" s="62" t="n"/>
      <c r="L197" s="38" t="n"/>
      <c r="M197" s="62" t="n"/>
      <c r="N197" s="38" t="n"/>
      <c r="O197" s="62" t="n"/>
      <c r="P197" s="38" t="n"/>
      <c r="Q197" s="62" t="n"/>
      <c r="R197" s="38" t="n"/>
      <c r="S197" s="62" t="n"/>
      <c r="T197" s="38" t="n"/>
      <c r="U197" s="62" t="n"/>
      <c r="V197" s="38" t="n"/>
      <c r="W197" s="62" t="n"/>
      <c r="X197" s="38" t="n"/>
      <c r="Y197" s="62" t="n"/>
      <c r="Z197" s="38" t="n"/>
      <c r="AA197" s="62" t="n"/>
      <c r="AB197" s="38" t="n"/>
      <c r="AC197" s="62" t="n"/>
      <c r="AD197" s="38" t="n"/>
      <c r="AE197" s="38" t="n"/>
      <c r="AF197" s="61">
        <f>IF(COUNTIF($B$5:B197,B197)=1,1,0)</f>
        <v/>
      </c>
      <c r="AG197" s="62" t="inlineStr">
        <is>
          <t>https://www.lasillavacia.com/red-de-expertos/red-de-la-paz/contar-capturas-y-bajas-no-mide-la-seguridad-en-colombia/</t>
        </is>
      </c>
    </row>
    <row r="198" ht="15" customHeight="1" s="31">
      <c r="A198" s="38" t="inlineStr">
        <is>
          <t>ART_023</t>
        </is>
      </c>
      <c r="B198" s="38" t="inlineStr">
        <is>
          <t>ART_023_S07</t>
        </is>
      </c>
      <c r="C198" s="38" t="inlineStr">
        <is>
          <t>La Silla Vacía</t>
        </is>
      </c>
      <c r="D198" s="38" t="inlineStr">
        <is>
          <t>Seguridad y orden público</t>
        </is>
      </c>
      <c r="E198" s="38" t="inlineStr">
        <is>
          <t>Opinión-análisis</t>
        </is>
      </c>
      <c r="F198" s="38" t="inlineStr">
        <is>
          <t>Thu, 03 Sep 2026 21:00:00 +0000</t>
        </is>
      </c>
      <c r="G198" s="62" t="inlineStr">
        <is>
          <t>Entre agosto de 2022 y julio de 2026, las Fuerzas Militares y la Policía neutralizaron a más de 16.000 integrantes de grupos armados y libraron un combate cada 20 horas, según reportó el Ministerio de Defensa.</t>
        </is>
      </c>
      <c r="H198" s="62" t="inlineStr">
        <is>
          <t>El gobierno anterior deja una paradoja útil para entenderlo.</t>
        </is>
      </c>
      <c r="I198" s="62" t="inlineStr">
        <is>
          <t>Al mismo tiempo, la información de inteligencia estimó que las estructuras armadas aumentaron un 85% y superaron los 27.000 integrantes.</t>
        </is>
      </c>
      <c r="J198" s="38" t="n"/>
      <c r="K198" s="62" t="n"/>
      <c r="L198" s="38" t="n"/>
      <c r="M198" s="62" t="n"/>
      <c r="N198" s="38" t="n"/>
      <c r="O198" s="62" t="n"/>
      <c r="P198" s="38" t="n"/>
      <c r="Q198" s="62" t="n"/>
      <c r="R198" s="38" t="n"/>
      <c r="S198" s="62" t="n"/>
      <c r="T198" s="38" t="n"/>
      <c r="U198" s="62" t="n"/>
      <c r="V198" s="38" t="n"/>
      <c r="W198" s="62" t="n"/>
      <c r="X198" s="38" t="n"/>
      <c r="Y198" s="62" t="n"/>
      <c r="Z198" s="38" t="n"/>
      <c r="AA198" s="62" t="n"/>
      <c r="AB198" s="38" t="n"/>
      <c r="AC198" s="62" t="n"/>
      <c r="AD198" s="38" t="n"/>
      <c r="AE198" s="38" t="n"/>
      <c r="AF198" s="61">
        <f>IF(COUNTIF($B$5:B198,B198)=1,1,0)</f>
        <v/>
      </c>
      <c r="AG198" s="62" t="inlineStr">
        <is>
          <t>https://www.lasillavacia.com/red-de-expertos/red-de-la-paz/contar-capturas-y-bajas-no-mide-la-seguridad-en-colombia/</t>
        </is>
      </c>
    </row>
    <row r="199" ht="15" customHeight="1" s="31">
      <c r="A199" s="38" t="inlineStr">
        <is>
          <t>ART_023</t>
        </is>
      </c>
      <c r="B199" s="38" t="inlineStr">
        <is>
          <t>ART_023_S08</t>
        </is>
      </c>
      <c r="C199" s="38" t="inlineStr">
        <is>
          <t>La Silla Vacía</t>
        </is>
      </c>
      <c r="D199" s="38" t="inlineStr">
        <is>
          <t>Seguridad y orden público</t>
        </is>
      </c>
      <c r="E199" s="38" t="inlineStr">
        <is>
          <t>Opinión-análisis</t>
        </is>
      </c>
      <c r="F199" s="38" t="inlineStr">
        <is>
          <t>Thu, 03 Sep 2026 21:00:00 +0000</t>
        </is>
      </c>
      <c r="G199" s="62" t="inlineStr">
        <is>
          <t>Al mismo tiempo, la información de inteligencia estimó que las estructuras armadas aumentaron un 85% y superaron los 27.000 integrantes.</t>
        </is>
      </c>
      <c r="H199" s="62" t="inlineStr">
        <is>
          <t>Entre agosto de 2022 y julio de 2026, las Fuerzas Militares y la Policía neutralizaron a más de 16.000 integrantes de grupos armados y libraron un combate cada 20 horas, según reportó el Ministerio de Defensa.</t>
        </is>
      </c>
      <c r="I199" s="62" t="inlineStr">
        <is>
          <t>El Clan del Golfo es el mejor ejemplo: el 51% de los neutralizados pertenecían a este grupo.</t>
        </is>
      </c>
      <c r="J199" s="38" t="n"/>
      <c r="K199" s="62" t="n"/>
      <c r="L199" s="38" t="n"/>
      <c r="M199" s="62" t="n"/>
      <c r="N199" s="38" t="n"/>
      <c r="O199" s="62" t="n"/>
      <c r="P199" s="38" t="n"/>
      <c r="Q199" s="62" t="n"/>
      <c r="R199" s="38" t="n"/>
      <c r="S199" s="62" t="n"/>
      <c r="T199" s="38" t="n"/>
      <c r="U199" s="62" t="n"/>
      <c r="V199" s="38" t="n"/>
      <c r="W199" s="62" t="n"/>
      <c r="X199" s="38" t="n"/>
      <c r="Y199" s="62" t="n"/>
      <c r="Z199" s="38" t="n"/>
      <c r="AA199" s="62" t="n"/>
      <c r="AB199" s="38" t="n"/>
      <c r="AC199" s="62" t="n"/>
      <c r="AD199" s="38" t="n"/>
      <c r="AE199" s="38" t="n"/>
      <c r="AF199" s="61">
        <f>IF(COUNTIF($B$5:B199,B199)=1,1,0)</f>
        <v/>
      </c>
      <c r="AG199" s="62" t="inlineStr">
        <is>
          <t>https://www.lasillavacia.com/red-de-expertos/red-de-la-paz/contar-capturas-y-bajas-no-mide-la-seguridad-en-colombia/</t>
        </is>
      </c>
    </row>
    <row r="200" ht="15" customHeight="1" s="31">
      <c r="A200" s="38" t="inlineStr">
        <is>
          <t>ART_023</t>
        </is>
      </c>
      <c r="B200" s="38" t="inlineStr">
        <is>
          <t>ART_023_S09</t>
        </is>
      </c>
      <c r="C200" s="38" t="inlineStr">
        <is>
          <t>La Silla Vacía</t>
        </is>
      </c>
      <c r="D200" s="38" t="inlineStr">
        <is>
          <t>Seguridad y orden público</t>
        </is>
      </c>
      <c r="E200" s="38" t="inlineStr">
        <is>
          <t>Opinión-análisis</t>
        </is>
      </c>
      <c r="F200" s="38" t="inlineStr">
        <is>
          <t>Thu, 03 Sep 2026 21:00:00 +0000</t>
        </is>
      </c>
      <c r="G200" s="62" t="inlineStr">
        <is>
          <t>El Clan del Golfo es el mejor ejemplo: el 51% de los neutralizados pertenecían a este grupo.</t>
        </is>
      </c>
      <c r="H200" s="62" t="inlineStr">
        <is>
          <t>Al mismo tiempo, la información de inteligencia estimó que las estructuras armadas aumentaron un 85% y superaron los 27.000 integrantes.</t>
        </is>
      </c>
      <c r="I200" s="62" t="inlineStr">
        <is>
          <t>Aún así, hoy es la organización armada ilegal más numerosa del país.</t>
        </is>
      </c>
      <c r="J200" s="38" t="n"/>
      <c r="K200" s="62" t="n"/>
      <c r="L200" s="38" t="n"/>
      <c r="M200" s="62" t="n"/>
      <c r="N200" s="38" t="n"/>
      <c r="O200" s="62" t="n"/>
      <c r="P200" s="38" t="n"/>
      <c r="Q200" s="62" t="n"/>
      <c r="R200" s="38" t="n"/>
      <c r="S200" s="62" t="n"/>
      <c r="T200" s="38" t="n"/>
      <c r="U200" s="62" t="n"/>
      <c r="V200" s="38" t="n"/>
      <c r="W200" s="62" t="n"/>
      <c r="X200" s="38" t="n"/>
      <c r="Y200" s="62" t="n"/>
      <c r="Z200" s="38" t="n"/>
      <c r="AA200" s="62" t="n"/>
      <c r="AB200" s="38" t="n"/>
      <c r="AC200" s="62" t="n"/>
      <c r="AD200" s="38" t="n"/>
      <c r="AE200" s="38" t="n"/>
      <c r="AF200" s="61">
        <f>IF(COUNTIF($B$5:B200,B200)=1,1,0)</f>
        <v/>
      </c>
      <c r="AG200" s="62" t="inlineStr">
        <is>
          <t>https://www.lasillavacia.com/red-de-expertos/red-de-la-paz/contar-capturas-y-bajas-no-mide-la-seguridad-en-colombia/</t>
        </is>
      </c>
    </row>
    <row r="201" ht="15" customHeight="1" s="31">
      <c r="A201" s="38" t="inlineStr">
        <is>
          <t>ART_023</t>
        </is>
      </c>
      <c r="B201" s="38" t="inlineStr">
        <is>
          <t>ART_023_S10</t>
        </is>
      </c>
      <c r="C201" s="38" t="inlineStr">
        <is>
          <t>La Silla Vacía</t>
        </is>
      </c>
      <c r="D201" s="38" t="inlineStr">
        <is>
          <t>Seguridad y orden público</t>
        </is>
      </c>
      <c r="E201" s="38" t="inlineStr">
        <is>
          <t>Opinión-análisis</t>
        </is>
      </c>
      <c r="F201" s="38" t="inlineStr">
        <is>
          <t>Thu, 03 Sep 2026 21:00:00 +0000</t>
        </is>
      </c>
      <c r="G201" s="62" t="inlineStr">
        <is>
          <t>Aún así, hoy es la organización armada ilegal más numerosa del país.</t>
        </is>
      </c>
      <c r="H201" s="62" t="inlineStr">
        <is>
          <t>El Clan del Golfo es el mejor ejemplo: el 51% de los neutralizados pertenecían a este grupo.</t>
        </is>
      </c>
      <c r="I201" s="62" t="inlineStr">
        <is>
          <t>A eso podríamos llamarlo “inercia operacional”.</t>
        </is>
      </c>
      <c r="J201" s="38" t="n"/>
      <c r="K201" s="62" t="n"/>
      <c r="L201" s="38" t="n"/>
      <c r="M201" s="62" t="n"/>
      <c r="N201" s="38" t="n"/>
      <c r="O201" s="62" t="n"/>
      <c r="P201" s="38" t="n"/>
      <c r="Q201" s="62" t="n"/>
      <c r="R201" s="38" t="n"/>
      <c r="S201" s="62" t="n"/>
      <c r="T201" s="38" t="n"/>
      <c r="U201" s="62" t="n"/>
      <c r="V201" s="38" t="n"/>
      <c r="W201" s="62" t="n"/>
      <c r="X201" s="38" t="n"/>
      <c r="Y201" s="62" t="n"/>
      <c r="Z201" s="38" t="n"/>
      <c r="AA201" s="62" t="n"/>
      <c r="AB201" s="38" t="n"/>
      <c r="AC201" s="62" t="n"/>
      <c r="AD201" s="38" t="n"/>
      <c r="AE201" s="38" t="n"/>
      <c r="AF201" s="61">
        <f>IF(COUNTIF($B$5:B201,B201)=1,1,0)</f>
        <v/>
      </c>
      <c r="AG201" s="62" t="inlineStr">
        <is>
          <t>https://www.lasillavacia.com/red-de-expertos/red-de-la-paz/contar-capturas-y-bajas-no-mide-la-seguridad-en-colombia/</t>
        </is>
      </c>
    </row>
    <row r="202" ht="15" customHeight="1" s="31">
      <c r="A202" s="38" t="inlineStr">
        <is>
          <t>ART_023</t>
        </is>
      </c>
      <c r="B202" s="38" t="inlineStr">
        <is>
          <t>ART_023_S11</t>
        </is>
      </c>
      <c r="C202" s="38" t="inlineStr">
        <is>
          <t>La Silla Vacía</t>
        </is>
      </c>
      <c r="D202" s="38" t="inlineStr">
        <is>
          <t>Seguridad y orden público</t>
        </is>
      </c>
      <c r="E202" s="38" t="inlineStr">
        <is>
          <t>Opinión-análisis</t>
        </is>
      </c>
      <c r="F202" s="38" t="inlineStr">
        <is>
          <t>Thu, 03 Sep 2026 21:00:00 +0000</t>
        </is>
      </c>
      <c r="G202" s="62" t="inlineStr">
        <is>
          <t>A eso podríamos llamarlo “inercia operacional”.</t>
        </is>
      </c>
      <c r="H202" s="62" t="inlineStr">
        <is>
          <t>Aún así, hoy es la organización armada ilegal más numerosa del país.</t>
        </is>
      </c>
      <c r="I202" s="62" t="inlineStr">
        <is>
          <t>El Estado continúa midiendo buena parte de su éxito por aquello que sabe contar: capturas, bajas y toneladas incautadas.</t>
        </is>
      </c>
      <c r="J202" s="38" t="n"/>
      <c r="K202" s="62" t="n"/>
      <c r="L202" s="38" t="n"/>
      <c r="M202" s="62" t="n"/>
      <c r="N202" s="38" t="n"/>
      <c r="O202" s="62" t="n"/>
      <c r="P202" s="38" t="n"/>
      <c r="Q202" s="62" t="n"/>
      <c r="R202" s="38" t="n"/>
      <c r="S202" s="62" t="n"/>
      <c r="T202" s="38" t="n"/>
      <c r="U202" s="62" t="n"/>
      <c r="V202" s="38" t="n"/>
      <c r="W202" s="62" t="n"/>
      <c r="X202" s="38" t="n"/>
      <c r="Y202" s="62" t="n"/>
      <c r="Z202" s="38" t="n"/>
      <c r="AA202" s="62" t="n"/>
      <c r="AB202" s="38" t="n"/>
      <c r="AC202" s="62" t="n"/>
      <c r="AD202" s="38" t="n"/>
      <c r="AE202" s="38" t="n"/>
      <c r="AF202" s="61">
        <f>IF(COUNTIF($B$5:B202,B202)=1,1,0)</f>
        <v/>
      </c>
      <c r="AG202" s="62" t="inlineStr">
        <is>
          <t>https://www.lasillavacia.com/red-de-expertos/red-de-la-paz/contar-capturas-y-bajas-no-mide-la-seguridad-en-colombia/</t>
        </is>
      </c>
    </row>
    <row r="203" ht="15" customHeight="1" s="31">
      <c r="A203" s="38" t="inlineStr">
        <is>
          <t>ART_023</t>
        </is>
      </c>
      <c r="B203" s="38" t="inlineStr">
        <is>
          <t>ART_023_S12</t>
        </is>
      </c>
      <c r="C203" s="38" t="inlineStr">
        <is>
          <t>La Silla Vacía</t>
        </is>
      </c>
      <c r="D203" s="38" t="inlineStr">
        <is>
          <t>Seguridad y orden público</t>
        </is>
      </c>
      <c r="E203" s="38" t="inlineStr">
        <is>
          <t>Opinión-análisis</t>
        </is>
      </c>
      <c r="F203" s="38" t="inlineStr">
        <is>
          <t>Thu, 03 Sep 2026 21:00:00 +0000</t>
        </is>
      </c>
      <c r="G203" s="62" t="inlineStr">
        <is>
          <t>El Estado continúa midiendo buena parte de su éxito por aquello que sabe contar: capturas, bajas y toneladas incautadas.</t>
        </is>
      </c>
      <c r="H203" s="62" t="inlineStr">
        <is>
          <t>A eso podríamos llamarlo “inercia operacional”.</t>
        </is>
      </c>
      <c r="I203" s="62" t="n"/>
      <c r="J203" s="38" t="n"/>
      <c r="K203" s="62" t="n"/>
      <c r="L203" s="38" t="n"/>
      <c r="M203" s="62" t="n"/>
      <c r="N203" s="38" t="n"/>
      <c r="O203" s="62" t="n"/>
      <c r="P203" s="38" t="n"/>
      <c r="Q203" s="62" t="n"/>
      <c r="R203" s="38" t="n"/>
      <c r="S203" s="62" t="n"/>
      <c r="T203" s="38" t="n"/>
      <c r="U203" s="62" t="n"/>
      <c r="V203" s="38" t="n"/>
      <c r="W203" s="62" t="n"/>
      <c r="X203" s="38" t="n"/>
      <c r="Y203" s="62" t="n"/>
      <c r="Z203" s="38" t="n"/>
      <c r="AA203" s="62" t="n"/>
      <c r="AB203" s="38" t="n"/>
      <c r="AC203" s="62" t="n"/>
      <c r="AD203" s="38" t="n"/>
      <c r="AE203" s="38" t="n"/>
      <c r="AF203" s="61">
        <f>IF(COUNTIF($B$5:B203,B203)=1,1,0)</f>
        <v/>
      </c>
      <c r="AG203" s="62" t="inlineStr">
        <is>
          <t>https://www.lasillavacia.com/red-de-expertos/red-de-la-paz/contar-capturas-y-bajas-no-mide-la-seguridad-en-colombia/</t>
        </is>
      </c>
    </row>
    <row r="204" ht="15" customHeight="1" s="31">
      <c r="A204" s="38" t="inlineStr">
        <is>
          <t>ART_024</t>
        </is>
      </c>
      <c r="B204" s="38" t="inlineStr">
        <is>
          <t>ART_024_S01</t>
        </is>
      </c>
      <c r="C204" s="38" t="inlineStr">
        <is>
          <t>La Silla Vacía</t>
        </is>
      </c>
      <c r="D204" s="38" t="inlineStr">
        <is>
          <t>Seguridad y orden público</t>
        </is>
      </c>
      <c r="E204" s="38" t="inlineStr">
        <is>
          <t>Noticia dura</t>
        </is>
      </c>
      <c r="F204" s="38" t="inlineStr">
        <is>
          <t>Wed, 05 Aug 2026 17:07:39 +0000</t>
        </is>
      </c>
      <c r="G204" s="62" t="inlineStr">
        <is>
          <t>La Fundación Ideas para la Paz (FIP), que investiga el conflicto armado en el país, publicó un informe donde presenta un balance negativo de la paz total, una de las banderas del ya saliente gobierno de Gustavo Petro.</t>
        </is>
      </c>
      <c r="H204" s="62" t="n"/>
      <c r="I204" s="62" t="inlineStr">
        <is>
          <t>Una de las principales conclusiones es que todos los grupos armados crecieron en 13 mil integrantes en los últimos cuatro años.</t>
        </is>
      </c>
      <c r="J204" s="38" t="n"/>
      <c r="K204" s="62" t="n"/>
      <c r="L204" s="38" t="n"/>
      <c r="M204" s="62" t="n"/>
      <c r="N204" s="38" t="n"/>
      <c r="O204" s="62" t="n"/>
      <c r="P204" s="38" t="n"/>
      <c r="Q204" s="62" t="n"/>
      <c r="R204" s="38" t="n"/>
      <c r="S204" s="62" t="n"/>
      <c r="T204" s="38" t="n"/>
      <c r="U204" s="62" t="n"/>
      <c r="V204" s="38" t="n"/>
      <c r="W204" s="62" t="n"/>
      <c r="X204" s="38" t="n"/>
      <c r="Y204" s="62" t="n"/>
      <c r="Z204" s="38" t="n"/>
      <c r="AA204" s="62" t="n"/>
      <c r="AB204" s="38" t="n"/>
      <c r="AC204" s="62" t="n"/>
      <c r="AD204" s="38" t="n"/>
      <c r="AE204" s="38" t="n"/>
      <c r="AF204" s="61">
        <f>IF(COUNTIF($B$5:B204,B204)=1,1,0)</f>
        <v/>
      </c>
      <c r="AG204" s="62" t="inlineStr">
        <is>
          <t>https://www.lasillavacia.com/en-vivo/fip-en-balance-de-la-paz-total-grupos-armados-suman-28-mil-integrantes/</t>
        </is>
      </c>
    </row>
    <row r="205" ht="15" customHeight="1" s="31">
      <c r="A205" s="38" t="inlineStr">
        <is>
          <t>ART_024</t>
        </is>
      </c>
      <c r="B205" s="38" t="inlineStr">
        <is>
          <t>ART_024_S02</t>
        </is>
      </c>
      <c r="C205" s="38" t="inlineStr">
        <is>
          <t>La Silla Vacía</t>
        </is>
      </c>
      <c r="D205" s="38" t="inlineStr">
        <is>
          <t>Seguridad y orden público</t>
        </is>
      </c>
      <c r="E205" s="38" t="inlineStr">
        <is>
          <t>Noticia dura</t>
        </is>
      </c>
      <c r="F205" s="38" t="inlineStr">
        <is>
          <t>Wed, 05 Aug 2026 17:07:39 +0000</t>
        </is>
      </c>
      <c r="G205" s="62" t="inlineStr">
        <is>
          <t>Una de las principales conclusiones es que todos los grupos armados crecieron en 13 mil integrantes en los últimos cuatro años.</t>
        </is>
      </c>
      <c r="H205" s="62" t="inlineStr">
        <is>
          <t>La Fundación Ideas para la Paz (FIP), que investiga el conflicto armado en el país, publicó un informe donde presenta un balance negativo de la paz total, una de las banderas del ya saliente gobierno de Gustavo Petro.</t>
        </is>
      </c>
      <c r="I205" s="62" t="inlineStr">
        <is>
          <t>Más claves del informe.</t>
        </is>
      </c>
      <c r="J205" s="38" t="n"/>
      <c r="K205" s="62" t="n"/>
      <c r="L205" s="38" t="n"/>
      <c r="M205" s="62" t="n"/>
      <c r="N205" s="38" t="n"/>
      <c r="O205" s="62" t="n"/>
      <c r="P205" s="38" t="n"/>
      <c r="Q205" s="62" t="n"/>
      <c r="R205" s="38" t="n"/>
      <c r="S205" s="62" t="n"/>
      <c r="T205" s="38" t="n"/>
      <c r="U205" s="62" t="n"/>
      <c r="V205" s="38" t="n"/>
      <c r="W205" s="62" t="n"/>
      <c r="X205" s="38" t="n"/>
      <c r="Y205" s="62" t="n"/>
      <c r="Z205" s="38" t="n"/>
      <c r="AA205" s="62" t="n"/>
      <c r="AB205" s="38" t="n"/>
      <c r="AC205" s="62" t="n"/>
      <c r="AD205" s="38" t="n"/>
      <c r="AE205" s="38" t="n"/>
      <c r="AF205" s="61">
        <f>IF(COUNTIF($B$5:B205,B205)=1,1,0)</f>
        <v/>
      </c>
      <c r="AG205" s="62" t="inlineStr">
        <is>
          <t>https://www.lasillavacia.com/en-vivo/fip-en-balance-de-la-paz-total-grupos-armados-suman-28-mil-integrantes/</t>
        </is>
      </c>
    </row>
    <row r="206" ht="15" customHeight="1" s="31">
      <c r="A206" s="38" t="inlineStr">
        <is>
          <t>ART_024</t>
        </is>
      </c>
      <c r="B206" s="38" t="inlineStr">
        <is>
          <t>ART_024_S03</t>
        </is>
      </c>
      <c r="C206" s="38" t="inlineStr">
        <is>
          <t>La Silla Vacía</t>
        </is>
      </c>
      <c r="D206" s="38" t="inlineStr">
        <is>
          <t>Seguridad y orden público</t>
        </is>
      </c>
      <c r="E206" s="38" t="inlineStr">
        <is>
          <t>Noticia dura</t>
        </is>
      </c>
      <c r="F206" s="38" t="inlineStr">
        <is>
          <t>Wed, 05 Aug 2026 17:07:39 +0000</t>
        </is>
      </c>
      <c r="G206" s="62" t="inlineStr">
        <is>
          <t>Más claves del informe.</t>
        </is>
      </c>
      <c r="H206" s="62" t="inlineStr">
        <is>
          <t>Una de las principales conclusiones es que todos los grupos armados crecieron en 13 mil integrantes en los últimos cuatro años.</t>
        </is>
      </c>
      <c r="I206" s="62" t="inlineStr">
        <is>
          <t>El balance general: los grupos armados alcanzaron unos 28 mil integrantes.</t>
        </is>
      </c>
      <c r="J206" s="38" t="n"/>
      <c r="K206" s="62" t="n"/>
      <c r="L206" s="38" t="n"/>
      <c r="M206" s="62" t="n"/>
      <c r="N206" s="38" t="n"/>
      <c r="O206" s="62" t="n"/>
      <c r="P206" s="38" t="n"/>
      <c r="Q206" s="62" t="n"/>
      <c r="R206" s="38" t="n"/>
      <c r="S206" s="62" t="n"/>
      <c r="T206" s="38" t="n"/>
      <c r="U206" s="62" t="n"/>
      <c r="V206" s="38" t="n"/>
      <c r="W206" s="62" t="n"/>
      <c r="X206" s="38" t="n"/>
      <c r="Y206" s="62" t="n"/>
      <c r="Z206" s="38" t="n"/>
      <c r="AA206" s="62" t="n"/>
      <c r="AB206" s="38" t="n"/>
      <c r="AC206" s="62" t="n"/>
      <c r="AD206" s="38" t="n"/>
      <c r="AE206" s="38" t="n"/>
      <c r="AF206" s="61">
        <f>IF(COUNTIF($B$5:B206,B206)=1,1,0)</f>
        <v/>
      </c>
      <c r="AG206" s="62" t="inlineStr">
        <is>
          <t>https://www.lasillavacia.com/en-vivo/fip-en-balance-de-la-paz-total-grupos-armados-suman-28-mil-integrantes/</t>
        </is>
      </c>
    </row>
    <row r="207" ht="15" customHeight="1" s="31">
      <c r="A207" s="38" t="inlineStr">
        <is>
          <t>ART_024</t>
        </is>
      </c>
      <c r="B207" s="38" t="inlineStr">
        <is>
          <t>ART_024_S04</t>
        </is>
      </c>
      <c r="C207" s="38" t="inlineStr">
        <is>
          <t>La Silla Vacía</t>
        </is>
      </c>
      <c r="D207" s="38" t="inlineStr">
        <is>
          <t>Seguridad y orden público</t>
        </is>
      </c>
      <c r="E207" s="38" t="inlineStr">
        <is>
          <t>Noticia dura</t>
        </is>
      </c>
      <c r="F207" s="38" t="inlineStr">
        <is>
          <t>Wed, 05 Aug 2026 17:07:39 +0000</t>
        </is>
      </c>
      <c r="G207" s="62" t="inlineStr">
        <is>
          <t>El balance general: los grupos armados alcanzaron unos 28 mil integrantes.</t>
        </is>
      </c>
      <c r="H207" s="62" t="inlineStr">
        <is>
          <t>Más claves del informe.</t>
        </is>
      </c>
      <c r="I207" s="62" t="inlineStr">
        <is>
          <t>Al inicio del gobierno de Gustavo Petro, la cifra estaba en unos 15 mil, según datos del Ministerio de Defensa.</t>
        </is>
      </c>
      <c r="J207" s="38" t="n"/>
      <c r="K207" s="62" t="n"/>
      <c r="L207" s="38" t="n"/>
      <c r="M207" s="62" t="n"/>
      <c r="N207" s="38" t="n"/>
      <c r="O207" s="62" t="n"/>
      <c r="P207" s="38" t="n"/>
      <c r="Q207" s="62" t="n"/>
      <c r="R207" s="38" t="n"/>
      <c r="S207" s="62" t="n"/>
      <c r="T207" s="38" t="n"/>
      <c r="U207" s="62" t="n"/>
      <c r="V207" s="38" t="n"/>
      <c r="W207" s="62" t="n"/>
      <c r="X207" s="38" t="n"/>
      <c r="Y207" s="62" t="n"/>
      <c r="Z207" s="38" t="n"/>
      <c r="AA207" s="62" t="n"/>
      <c r="AB207" s="38" t="n"/>
      <c r="AC207" s="62" t="n"/>
      <c r="AD207" s="38" t="n"/>
      <c r="AE207" s="38" t="n"/>
      <c r="AF207" s="61">
        <f>IF(COUNTIF($B$5:B207,B207)=1,1,0)</f>
        <v/>
      </c>
      <c r="AG207" s="62" t="inlineStr">
        <is>
          <t>https://www.lasillavacia.com/en-vivo/fip-en-balance-de-la-paz-total-grupos-armados-suman-28-mil-integrantes/</t>
        </is>
      </c>
    </row>
    <row r="208" ht="15" customHeight="1" s="31">
      <c r="A208" s="38" t="inlineStr">
        <is>
          <t>ART_024</t>
        </is>
      </c>
      <c r="B208" s="38" t="inlineStr">
        <is>
          <t>ART_024_S05</t>
        </is>
      </c>
      <c r="C208" s="38" t="inlineStr">
        <is>
          <t>La Silla Vacía</t>
        </is>
      </c>
      <c r="D208" s="38" t="inlineStr">
        <is>
          <t>Seguridad y orden público</t>
        </is>
      </c>
      <c r="E208" s="38" t="inlineStr">
        <is>
          <t>Noticia dura</t>
        </is>
      </c>
      <c r="F208" s="38" t="inlineStr">
        <is>
          <t>Wed, 05 Aug 2026 17:07:39 +0000</t>
        </is>
      </c>
      <c r="G208" s="62" t="inlineStr">
        <is>
          <t>Al inicio del gobierno de Gustavo Petro, la cifra estaba en unos 15 mil, según datos del Ministerio de Defensa.</t>
        </is>
      </c>
      <c r="H208" s="62" t="inlineStr">
        <is>
          <t>El balance general: los grupos armados alcanzaron unos 28 mil integrantes.</t>
        </is>
      </c>
      <c r="I208" s="62" t="inlineStr">
        <is>
          <t>Es decir, que crecieron casi el doble en cuatro años.</t>
        </is>
      </c>
      <c r="J208" s="38" t="n"/>
      <c r="K208" s="62" t="n"/>
      <c r="L208" s="38" t="n"/>
      <c r="M208" s="62" t="n"/>
      <c r="N208" s="38" t="n"/>
      <c r="O208" s="62" t="n"/>
      <c r="P208" s="38" t="n"/>
      <c r="Q208" s="62" t="n"/>
      <c r="R208" s="38" t="n"/>
      <c r="S208" s="62" t="n"/>
      <c r="T208" s="38" t="n"/>
      <c r="U208" s="62" t="n"/>
      <c r="V208" s="38" t="n"/>
      <c r="W208" s="62" t="n"/>
      <c r="X208" s="38" t="n"/>
      <c r="Y208" s="62" t="n"/>
      <c r="Z208" s="38" t="n"/>
      <c r="AA208" s="62" t="n"/>
      <c r="AB208" s="38" t="n"/>
      <c r="AC208" s="62" t="n"/>
      <c r="AD208" s="38" t="n"/>
      <c r="AE208" s="38" t="n"/>
      <c r="AF208" s="61">
        <f>IF(COUNTIF($B$5:B208,B208)=1,1,0)</f>
        <v/>
      </c>
      <c r="AG208" s="62" t="inlineStr">
        <is>
          <t>https://www.lasillavacia.com/en-vivo/fip-en-balance-de-la-paz-total-grupos-armados-suman-28-mil-integrantes/</t>
        </is>
      </c>
    </row>
    <row r="209" ht="15" customHeight="1" s="31">
      <c r="A209" s="38" t="inlineStr">
        <is>
          <t>ART_024</t>
        </is>
      </c>
      <c r="B209" s="38" t="inlineStr">
        <is>
          <t>ART_024_S06</t>
        </is>
      </c>
      <c r="C209" s="38" t="inlineStr">
        <is>
          <t>La Silla Vacía</t>
        </is>
      </c>
      <c r="D209" s="38" t="inlineStr">
        <is>
          <t>Seguridad y orden público</t>
        </is>
      </c>
      <c r="E209" s="38" t="inlineStr">
        <is>
          <t>Noticia dura</t>
        </is>
      </c>
      <c r="F209" s="38" t="inlineStr">
        <is>
          <t>Wed, 05 Aug 2026 17:07:39 +0000</t>
        </is>
      </c>
      <c r="G209" s="62" t="inlineStr">
        <is>
          <t>Es decir, que crecieron casi el doble en cuatro años.</t>
        </is>
      </c>
      <c r="H209" s="62" t="inlineStr">
        <is>
          <t>Al inicio del gobierno de Gustavo Petro, la cifra estaba en unos 15 mil, según datos del Ministerio de Defensa.</t>
        </is>
      </c>
      <c r="I209" s="62" t="inlineStr">
        <is>
          <t>En un informe de inicios de año , la FIP reportó –con cifras oficiales– que los grupos armados aumentaron sus filas con 5 mil combatientes nuevos en 2025.</t>
        </is>
      </c>
      <c r="J209" s="38" t="n"/>
      <c r="K209" s="62" t="n"/>
      <c r="L209" s="38" t="n"/>
      <c r="M209" s="62" t="n"/>
      <c r="N209" s="38" t="n"/>
      <c r="O209" s="62" t="n"/>
      <c r="P209" s="38" t="n"/>
      <c r="Q209" s="62" t="n"/>
      <c r="R209" s="38" t="n"/>
      <c r="S209" s="62" t="n"/>
      <c r="T209" s="38" t="n"/>
      <c r="U209" s="62" t="n"/>
      <c r="V209" s="38" t="n"/>
      <c r="W209" s="62" t="n"/>
      <c r="X209" s="38" t="n"/>
      <c r="Y209" s="62" t="n"/>
      <c r="Z209" s="38" t="n"/>
      <c r="AA209" s="62" t="n"/>
      <c r="AB209" s="38" t="n"/>
      <c r="AC209" s="62" t="n"/>
      <c r="AD209" s="38" t="n"/>
      <c r="AE209" s="38" t="n"/>
      <c r="AF209" s="61">
        <f>IF(COUNTIF($B$5:B209,B209)=1,1,0)</f>
        <v/>
      </c>
      <c r="AG209" s="62" t="inlineStr">
        <is>
          <t>https://www.lasillavacia.com/en-vivo/fip-en-balance-de-la-paz-total-grupos-armados-suman-28-mil-integrantes/</t>
        </is>
      </c>
    </row>
    <row r="210" ht="15" customHeight="1" s="31">
      <c r="A210" s="38" t="inlineStr">
        <is>
          <t>ART_024</t>
        </is>
      </c>
      <c r="B210" s="38" t="inlineStr">
        <is>
          <t>ART_024_S07</t>
        </is>
      </c>
      <c r="C210" s="38" t="inlineStr">
        <is>
          <t>La Silla Vacía</t>
        </is>
      </c>
      <c r="D210" s="38" t="inlineStr">
        <is>
          <t>Seguridad y orden público</t>
        </is>
      </c>
      <c r="E210" s="38" t="inlineStr">
        <is>
          <t>Noticia dura</t>
        </is>
      </c>
      <c r="F210" s="38" t="inlineStr">
        <is>
          <t>Wed, 05 Aug 2026 17:07:39 +0000</t>
        </is>
      </c>
      <c r="G210" s="62" t="inlineStr">
        <is>
          <t>En un informe de inicios de año , la FIP reportó –con cifras oficiales– que los grupos armados aumentaron sus filas con 5 mil combatientes nuevos en 2025.</t>
        </is>
      </c>
      <c r="H210" s="62" t="inlineStr">
        <is>
          <t>Es decir, que crecieron casi el doble en cuatro años.</t>
        </is>
      </c>
      <c r="I210" s="62" t="inlineStr">
        <is>
          <t>Entonces había 27.121 integrantes.</t>
        </is>
      </c>
      <c r="J210" s="38" t="n"/>
      <c r="K210" s="62" t="n"/>
      <c r="L210" s="38" t="n"/>
      <c r="M210" s="62" t="n"/>
      <c r="N210" s="38" t="n"/>
      <c r="O210" s="62" t="n"/>
      <c r="P210" s="38" t="n"/>
      <c r="Q210" s="62" t="n"/>
      <c r="R210" s="38" t="n"/>
      <c r="S210" s="62" t="n"/>
      <c r="T210" s="38" t="n"/>
      <c r="U210" s="62" t="n"/>
      <c r="V210" s="38" t="n"/>
      <c r="W210" s="62" t="n"/>
      <c r="X210" s="38" t="n"/>
      <c r="Y210" s="62" t="n"/>
      <c r="Z210" s="38" t="n"/>
      <c r="AA210" s="62" t="n"/>
      <c r="AB210" s="38" t="n"/>
      <c r="AC210" s="62" t="n"/>
      <c r="AD210" s="38" t="n"/>
      <c r="AE210" s="38" t="n"/>
      <c r="AF210" s="61">
        <f>IF(COUNTIF($B$5:B210,B210)=1,1,0)</f>
        <v/>
      </c>
      <c r="AG210" s="62" t="inlineStr">
        <is>
          <t>https://www.lasillavacia.com/en-vivo/fip-en-balance-de-la-paz-total-grupos-armados-suman-28-mil-integrantes/</t>
        </is>
      </c>
    </row>
    <row r="211" ht="15" customHeight="1" s="31">
      <c r="A211" s="38" t="inlineStr">
        <is>
          <t>ART_024</t>
        </is>
      </c>
      <c r="B211" s="38" t="inlineStr">
        <is>
          <t>ART_024_S08</t>
        </is>
      </c>
      <c r="C211" s="38" t="inlineStr">
        <is>
          <t>La Silla Vacía</t>
        </is>
      </c>
      <c r="D211" s="38" t="inlineStr">
        <is>
          <t>Seguridad y orden público</t>
        </is>
      </c>
      <c r="E211" s="38" t="inlineStr">
        <is>
          <t>Noticia dura</t>
        </is>
      </c>
      <c r="F211" s="38" t="inlineStr">
        <is>
          <t>Wed, 05 Aug 2026 17:07:39 +0000</t>
        </is>
      </c>
      <c r="G211" s="62" t="inlineStr">
        <is>
          <t>Entonces había 27.121 integrantes.</t>
        </is>
      </c>
      <c r="H211" s="62" t="inlineStr">
        <is>
          <t>En un informe de inicios de año , la FIP reportó –con cifras oficiales– que los grupos armados aumentaron sus filas con 5 mil combatientes nuevos en 2025.</t>
        </is>
      </c>
      <c r="I211" s="62" t="n"/>
      <c r="J211" s="38" t="n"/>
      <c r="K211" s="62" t="n"/>
      <c r="L211" s="38" t="n"/>
      <c r="M211" s="62" t="n"/>
      <c r="N211" s="38" t="n"/>
      <c r="O211" s="62" t="n"/>
      <c r="P211" s="38" t="n"/>
      <c r="Q211" s="62" t="n"/>
      <c r="R211" s="38" t="n"/>
      <c r="S211" s="62" t="n"/>
      <c r="T211" s="38" t="n"/>
      <c r="U211" s="62" t="n"/>
      <c r="V211" s="38" t="n"/>
      <c r="W211" s="62" t="n"/>
      <c r="X211" s="38" t="n"/>
      <c r="Y211" s="62" t="n"/>
      <c r="Z211" s="38" t="n"/>
      <c r="AA211" s="62" t="n"/>
      <c r="AB211" s="38" t="n"/>
      <c r="AC211" s="62" t="n"/>
      <c r="AD211" s="38" t="n"/>
      <c r="AE211" s="38" t="n"/>
      <c r="AF211" s="61">
        <f>IF(COUNTIF($B$5:B211,B211)=1,1,0)</f>
        <v/>
      </c>
      <c r="AG211" s="62" t="inlineStr">
        <is>
          <t>https://www.lasillavacia.com/en-vivo/fip-en-balance-de-la-paz-total-grupos-armados-suman-28-mil-integrantes/</t>
        </is>
      </c>
    </row>
    <row r="212" ht="15" customHeight="1" s="31">
      <c r="A212" s="38" t="inlineStr">
        <is>
          <t>ART_025</t>
        </is>
      </c>
      <c r="B212" s="38" t="inlineStr">
        <is>
          <t>ART_025_S03</t>
        </is>
      </c>
      <c r="C212" s="38" t="inlineStr">
        <is>
          <t>La Silla Vacía</t>
        </is>
      </c>
      <c r="D212" s="38" t="inlineStr">
        <is>
          <t>Relación con Estados Unidos</t>
        </is>
      </c>
      <c r="E212" s="38" t="inlineStr">
        <is>
          <t>Opinión-análisis</t>
        </is>
      </c>
      <c r="F212" s="38" t="inlineStr">
        <is>
          <t>Sat, 22 Aug 2026 04:57:47 +0000</t>
        </is>
      </c>
      <c r="G212" s="62" t="inlineStr">
        <is>
          <t>Desde hace unos días, se habla de la posibilidad de que Colombia abandone la Corte Penal Internacional (CPI).</t>
        </is>
      </c>
      <c r="H212" s="62" t="inlineStr">
        <is>
          <t>Esta columna fue escrita por los columnistas invitados Enrique Prieto Ríos y Juan Pablo Coy.</t>
        </is>
      </c>
      <c r="I212" s="62" t="inlineStr">
        <is>
          <t>La noticia, por ahora no confirmada oficialmente, apareció solo unos días después de que Pete Hegseth, secretario de Defensa de Estados Unidos, invitara a los países integrantes de la Coalición de las Américas contra los Cárteles a retirarse de la CPI.</t>
        </is>
      </c>
      <c r="J212" s="38" t="n"/>
      <c r="K212" s="62" t="n"/>
      <c r="L212" s="38" t="n"/>
      <c r="M212" s="62" t="n"/>
      <c r="N212" s="38" t="n"/>
      <c r="O212" s="62" t="n"/>
      <c r="P212" s="38" t="n"/>
      <c r="Q212" s="62" t="n"/>
      <c r="R212" s="38" t="n"/>
      <c r="S212" s="62" t="n"/>
      <c r="T212" s="38" t="n"/>
      <c r="U212" s="62" t="n"/>
      <c r="V212" s="38" t="n"/>
      <c r="W212" s="62" t="n"/>
      <c r="X212" s="38" t="n"/>
      <c r="Y212" s="62" t="n"/>
      <c r="Z212" s="38" t="n"/>
      <c r="AA212" s="62" t="n"/>
      <c r="AB212" s="38" t="n"/>
      <c r="AC212" s="62" t="n"/>
      <c r="AD212" s="38" t="n"/>
      <c r="AE212" s="38" t="n"/>
      <c r="AF212" s="61">
        <f>IF(COUNTIF($B$5:B212,B212)=1,1,0)</f>
        <v/>
      </c>
      <c r="AG212" s="62" t="inlineStr">
        <is>
          <t>https://www.lasillavacia.com/red-de-expertos/red-social/borron-y-cuenta-nueva-colombia-y-su-retirada-de-la-cpi/</t>
        </is>
      </c>
    </row>
    <row r="213" ht="15" customHeight="1" s="31">
      <c r="A213" s="38" t="inlineStr">
        <is>
          <t>ART_025</t>
        </is>
      </c>
      <c r="B213" s="38" t="inlineStr">
        <is>
          <t>ART_025_S04</t>
        </is>
      </c>
      <c r="C213" s="38" t="inlineStr">
        <is>
          <t>La Silla Vacía</t>
        </is>
      </c>
      <c r="D213" s="38" t="inlineStr">
        <is>
          <t>Relación con Estados Unidos</t>
        </is>
      </c>
      <c r="E213" s="38" t="inlineStr">
        <is>
          <t>Opinión-análisis</t>
        </is>
      </c>
      <c r="F213" s="38" t="inlineStr">
        <is>
          <t>Sat, 22 Aug 2026 04:57:47 +0000</t>
        </is>
      </c>
      <c r="G213" s="62" t="inlineStr">
        <is>
          <t>La noticia, por ahora no confirmada oficialmente, apareció solo unos días después de que Pete Hegseth, secretario de Defensa de Estados Unidos, invitara a los países integrantes de la Coalición de las Américas contra los Cárteles a retirarse de la CPI.</t>
        </is>
      </c>
      <c r="H213" s="62" t="inlineStr">
        <is>
          <t>Desde hace unos días, se habla de la posibilidad de que Colombia abandone la Corte Penal Internacional (CPI).</t>
        </is>
      </c>
      <c r="I213" s="62" t="inlineStr">
        <is>
          <t>Esta no es una discusión menor, menos tratándose de un país como el nuestro que ha pertenecido a la Corte durante más de dos décadas, y mucho menos cuando hemos convivido durante años con una situación de conflicto armado que, además, ha sido estudiada por la CPI.</t>
        </is>
      </c>
      <c r="J213" s="38" t="n"/>
      <c r="K213" s="62" t="n"/>
      <c r="L213" s="38" t="n"/>
      <c r="M213" s="62" t="n"/>
      <c r="N213" s="38" t="n"/>
      <c r="O213" s="62" t="n"/>
      <c r="P213" s="38" t="n"/>
      <c r="Q213" s="62" t="n"/>
      <c r="R213" s="38" t="n"/>
      <c r="S213" s="62" t="n"/>
      <c r="T213" s="38" t="n"/>
      <c r="U213" s="62" t="n"/>
      <c r="V213" s="38" t="n"/>
      <c r="W213" s="62" t="n"/>
      <c r="X213" s="38" t="n"/>
      <c r="Y213" s="62" t="n"/>
      <c r="Z213" s="38" t="n"/>
      <c r="AA213" s="62" t="n"/>
      <c r="AB213" s="38" t="n"/>
      <c r="AC213" s="62" t="n"/>
      <c r="AD213" s="38" t="n"/>
      <c r="AE213" s="38" t="n"/>
      <c r="AF213" s="61">
        <f>IF(COUNTIF($B$5:B213,B213)=1,1,0)</f>
        <v/>
      </c>
      <c r="AG213" s="62" t="inlineStr">
        <is>
          <t>https://www.lasillavacia.com/red-de-expertos/red-social/borron-y-cuenta-nueva-colombia-y-su-retirada-de-la-cpi/</t>
        </is>
      </c>
    </row>
    <row r="214" ht="15" customHeight="1" s="31">
      <c r="A214" s="38" t="inlineStr">
        <is>
          <t>ART_025</t>
        </is>
      </c>
      <c r="B214" s="38" t="inlineStr">
        <is>
          <t>ART_025_S05</t>
        </is>
      </c>
      <c r="C214" s="38" t="inlineStr">
        <is>
          <t>La Silla Vacía</t>
        </is>
      </c>
      <c r="D214" s="38" t="inlineStr">
        <is>
          <t>Relación con Estados Unidos</t>
        </is>
      </c>
      <c r="E214" s="38" t="inlineStr">
        <is>
          <t>Opinión-análisis</t>
        </is>
      </c>
      <c r="F214" s="38" t="inlineStr">
        <is>
          <t>Sat, 22 Aug 2026 04:57:47 +0000</t>
        </is>
      </c>
      <c r="G214" s="62" t="inlineStr">
        <is>
          <t>Esta no es una discusión menor, menos tratándose de un país como el nuestro que ha pertenecido a la Corte durante más de dos décadas, y mucho menos cuando hemos convivido durante años con una situación de conflicto armado que, además, ha sido estudiada por la CPI.</t>
        </is>
      </c>
      <c r="H214" s="62" t="inlineStr">
        <is>
          <t>La noticia, por ahora no confirmada oficialmente, apareció solo unos días después de que Pete Hegseth, secretario de Defensa de Estados Unidos, invitara a los países integrantes de la Coalición de las Américas contra los Cárteles a retirarse de la CPI.</t>
        </is>
      </c>
      <c r="I214" s="62" t="inlineStr">
        <is>
          <t>Al margen de las consideraciones políticas sobre la conveniencia o no del retiro de Colombia, creemos que conviene aclarar algo más elemental: ¿qué significa realmente retirarse de la CPI?</t>
        </is>
      </c>
      <c r="J214" s="38" t="n"/>
      <c r="K214" s="62" t="n"/>
      <c r="L214" s="38" t="n"/>
      <c r="M214" s="62" t="n"/>
      <c r="N214" s="38" t="n"/>
      <c r="O214" s="62" t="n"/>
      <c r="P214" s="38" t="n"/>
      <c r="Q214" s="62" t="n"/>
      <c r="R214" s="38" t="n"/>
      <c r="S214" s="62" t="n"/>
      <c r="T214" s="38" t="n"/>
      <c r="U214" s="62" t="n"/>
      <c r="V214" s="38" t="n"/>
      <c r="W214" s="62" t="n"/>
      <c r="X214" s="38" t="n"/>
      <c r="Y214" s="62" t="n"/>
      <c r="Z214" s="38" t="n"/>
      <c r="AA214" s="62" t="n"/>
      <c r="AB214" s="38" t="n"/>
      <c r="AC214" s="62" t="n"/>
      <c r="AD214" s="38" t="n"/>
      <c r="AE214" s="38" t="n"/>
      <c r="AF214" s="61">
        <f>IF(COUNTIF($B$5:B214,B214)=1,1,0)</f>
        <v/>
      </c>
      <c r="AG214" s="62" t="inlineStr">
        <is>
          <t>https://www.lasillavacia.com/red-de-expertos/red-social/borron-y-cuenta-nueva-colombia-y-su-retirada-de-la-cpi/</t>
        </is>
      </c>
    </row>
    <row r="215" ht="15" customHeight="1" s="31">
      <c r="A215" s="38" t="inlineStr">
        <is>
          <t>ART_025</t>
        </is>
      </c>
      <c r="B215" s="38" t="inlineStr">
        <is>
          <t>ART_025_S06</t>
        </is>
      </c>
      <c r="C215" s="38" t="inlineStr">
        <is>
          <t>La Silla Vacía</t>
        </is>
      </c>
      <c r="D215" s="38" t="inlineStr">
        <is>
          <t>Relación con Estados Unidos</t>
        </is>
      </c>
      <c r="E215" s="38" t="inlineStr">
        <is>
          <t>Opinión-análisis</t>
        </is>
      </c>
      <c r="F215" s="38" t="inlineStr">
        <is>
          <t>Sat, 22 Aug 2026 04:57:47 +0000</t>
        </is>
      </c>
      <c r="G215" s="62" t="inlineStr">
        <is>
          <t>Al margen de las consideraciones políticas sobre la conveniencia o no del retiro de Colombia, creemos que conviene aclarar algo más elemental: ¿qué significa realmente retirarse de la CPI?</t>
        </is>
      </c>
      <c r="H215" s="62" t="inlineStr">
        <is>
          <t>Esta no es una discusión menor, menos tratándose de un país como el nuestro que ha pertenecido a la Corte durante más de dos décadas, y mucho menos cuando hemos convivido durante años con una situación de conflicto armado que, además, ha sido estudiada por la CPI.</t>
        </is>
      </c>
      <c r="I215" s="62" t="inlineStr">
        <is>
          <t>Porque, contrario a lo que podría sugerir la discusión política, denunciar el Estatuto de Roma no equivale a apagar un interruptor y desaparecer inmediatamente de la jurisdicción de la Corte.</t>
        </is>
      </c>
      <c r="J215" s="38" t="n"/>
      <c r="K215" s="62" t="n"/>
      <c r="L215" s="38" t="n"/>
      <c r="M215" s="62" t="n"/>
      <c r="N215" s="38" t="n"/>
      <c r="O215" s="62" t="n"/>
      <c r="P215" s="38" t="n"/>
      <c r="Q215" s="62" t="n"/>
      <c r="R215" s="38" t="n"/>
      <c r="S215" s="62" t="n"/>
      <c r="T215" s="38" t="n"/>
      <c r="U215" s="62" t="n"/>
      <c r="V215" s="38" t="n"/>
      <c r="W215" s="62" t="n"/>
      <c r="X215" s="38" t="n"/>
      <c r="Y215" s="62" t="n"/>
      <c r="Z215" s="38" t="n"/>
      <c r="AA215" s="62" t="n"/>
      <c r="AB215" s="38" t="n"/>
      <c r="AC215" s="62" t="n"/>
      <c r="AD215" s="38" t="n"/>
      <c r="AE215" s="38" t="n"/>
      <c r="AF215" s="61">
        <f>IF(COUNTIF($B$5:B215,B215)=1,1,0)</f>
        <v/>
      </c>
      <c r="AG215" s="62" t="inlineStr">
        <is>
          <t>https://www.lasillavacia.com/red-de-expertos/red-social/borron-y-cuenta-nueva-colombia-y-su-retirada-de-la-cpi/</t>
        </is>
      </c>
    </row>
    <row r="216" ht="15" customHeight="1" s="31">
      <c r="A216" s="38" t="inlineStr">
        <is>
          <t>ART_025</t>
        </is>
      </c>
      <c r="B216" s="38" t="inlineStr">
        <is>
          <t>ART_025_S07</t>
        </is>
      </c>
      <c r="C216" s="38" t="inlineStr">
        <is>
          <t>La Silla Vacía</t>
        </is>
      </c>
      <c r="D216" s="38" t="inlineStr">
        <is>
          <t>Relación con Estados Unidos</t>
        </is>
      </c>
      <c r="E216" s="38" t="inlineStr">
        <is>
          <t>Opinión-análisis</t>
        </is>
      </c>
      <c r="F216" s="38" t="inlineStr">
        <is>
          <t>Sat, 22 Aug 2026 04:57:47 +0000</t>
        </is>
      </c>
      <c r="G216" s="62" t="inlineStr">
        <is>
          <t>Porque, contrario a lo que podría sugerir la discusión política, denunciar el Estatuto de Roma no equivale a apagar un interruptor y desaparecer inmediatamente de la jurisdicción de la Corte.</t>
        </is>
      </c>
      <c r="H216" s="62" t="inlineStr">
        <is>
          <t>Al margen de las consideraciones políticas sobre la conveniencia o no del retiro de Colombia, creemos que conviene aclarar algo más elemental: ¿qué significa realmente retirarse de la CPI?</t>
        </is>
      </c>
      <c r="I216" s="62" t="inlineStr">
        <is>
          <t>La escotilla de escape del Estatuto de Roma existe; de hecho, ningún tratado es una camisa de fuerza perpetua y, en este caso, se encuentra en el artículo 127 del Estatuto , que le permite a cualquier Estado Parte informar su deseo de retirarse.</t>
        </is>
      </c>
      <c r="J216" s="38" t="n"/>
      <c r="K216" s="62" t="n"/>
      <c r="L216" s="38" t="n"/>
      <c r="M216" s="62" t="n"/>
      <c r="N216" s="38" t="n"/>
      <c r="O216" s="62" t="n"/>
      <c r="P216" s="38" t="n"/>
      <c r="Q216" s="62" t="n"/>
      <c r="R216" s="38" t="n"/>
      <c r="S216" s="62" t="n"/>
      <c r="T216" s="38" t="n"/>
      <c r="U216" s="62" t="n"/>
      <c r="V216" s="38" t="n"/>
      <c r="W216" s="62" t="n"/>
      <c r="X216" s="38" t="n"/>
      <c r="Y216" s="62" t="n"/>
      <c r="Z216" s="38" t="n"/>
      <c r="AA216" s="62" t="n"/>
      <c r="AB216" s="38" t="n"/>
      <c r="AC216" s="62" t="n"/>
      <c r="AD216" s="38" t="n"/>
      <c r="AE216" s="38" t="n"/>
      <c r="AF216" s="61">
        <f>IF(COUNTIF($B$5:B216,B216)=1,1,0)</f>
        <v/>
      </c>
      <c r="AG216" s="62" t="inlineStr">
        <is>
          <t>https://www.lasillavacia.com/red-de-expertos/red-social/borron-y-cuenta-nueva-colombia-y-su-retirada-de-la-cpi/</t>
        </is>
      </c>
    </row>
    <row r="217" ht="15" customHeight="1" s="31">
      <c r="A217" s="38" t="inlineStr">
        <is>
          <t>ART_025</t>
        </is>
      </c>
      <c r="B217" s="38" t="inlineStr">
        <is>
          <t>ART_025_S08</t>
        </is>
      </c>
      <c r="C217" s="38" t="inlineStr">
        <is>
          <t>La Silla Vacía</t>
        </is>
      </c>
      <c r="D217" s="38" t="inlineStr">
        <is>
          <t>Relación con Estados Unidos</t>
        </is>
      </c>
      <c r="E217" s="38" t="inlineStr">
        <is>
          <t>Opinión-análisis</t>
        </is>
      </c>
      <c r="F217" s="38" t="inlineStr">
        <is>
          <t>Sat, 22 Aug 2026 04:57:47 +0000</t>
        </is>
      </c>
      <c r="G217" s="62" t="inlineStr">
        <is>
          <t>La escotilla de escape del Estatuto de Roma existe; de hecho, ningún tratado es una camisa de fuerza perpetua y, en este caso, se encuentra en el artículo 127 del Estatuto , que le permite a cualquier Estado Parte informar su deseo de retirarse.</t>
        </is>
      </c>
      <c r="H217" s="62" t="inlineStr">
        <is>
          <t>Porque, contrario a lo que podría sugerir la discusión política, denunciar el Estatuto de Roma no equivale a apagar un interruptor y desaparecer inmediatamente de la jurisdicción de la Corte.</t>
        </is>
      </c>
      <c r="I217" s="62" t="inlineStr">
        <is>
          <t>Esta notificación debe efectuarse mediante escrito dirigido al Secretario General de las Naciones Unidas.</t>
        </is>
      </c>
      <c r="J217" s="38" t="n"/>
      <c r="K217" s="62" t="n"/>
      <c r="L217" s="38" t="n"/>
      <c r="M217" s="62" t="n"/>
      <c r="N217" s="38" t="n"/>
      <c r="O217" s="62" t="n"/>
      <c r="P217" s="38" t="n"/>
      <c r="Q217" s="62" t="n"/>
      <c r="R217" s="38" t="n"/>
      <c r="S217" s="62" t="n"/>
      <c r="T217" s="38" t="n"/>
      <c r="U217" s="62" t="n"/>
      <c r="V217" s="38" t="n"/>
      <c r="W217" s="62" t="n"/>
      <c r="X217" s="38" t="n"/>
      <c r="Y217" s="62" t="n"/>
      <c r="Z217" s="38" t="n"/>
      <c r="AA217" s="62" t="n"/>
      <c r="AB217" s="38" t="n"/>
      <c r="AC217" s="62" t="n"/>
      <c r="AD217" s="38" t="n"/>
      <c r="AE217" s="38" t="n"/>
      <c r="AF217" s="61">
        <f>IF(COUNTIF($B$5:B217,B217)=1,1,0)</f>
        <v/>
      </c>
      <c r="AG217" s="62" t="inlineStr">
        <is>
          <t>https://www.lasillavacia.com/red-de-expertos/red-social/borron-y-cuenta-nueva-colombia-y-su-retirada-de-la-cpi/</t>
        </is>
      </c>
    </row>
    <row r="218" ht="15" customHeight="1" s="31">
      <c r="A218" s="38" t="inlineStr">
        <is>
          <t>ART_025</t>
        </is>
      </c>
      <c r="B218" s="38" t="inlineStr">
        <is>
          <t>ART_025_S09</t>
        </is>
      </c>
      <c r="C218" s="38" t="inlineStr">
        <is>
          <t>La Silla Vacía</t>
        </is>
      </c>
      <c r="D218" s="38" t="inlineStr">
        <is>
          <t>Relación con Estados Unidos</t>
        </is>
      </c>
      <c r="E218" s="38" t="inlineStr">
        <is>
          <t>Opinión-análisis</t>
        </is>
      </c>
      <c r="F218" s="38" t="inlineStr">
        <is>
          <t>Sat, 22 Aug 2026 04:57:47 +0000</t>
        </is>
      </c>
      <c r="G218" s="62" t="inlineStr">
        <is>
          <t>Esta notificación debe efectuarse mediante escrito dirigido al Secretario General de las Naciones Unidas.</t>
        </is>
      </c>
      <c r="H218" s="62" t="inlineStr">
        <is>
          <t>La escotilla de escape del Estatuto de Roma existe; de hecho, ningún tratado es una camisa de fuerza perpetua y, en este caso, se encuentra en el artículo 127 del Estatuto , que le permite a cualquier Estado Parte informar su deseo de retirarse.</t>
        </is>
      </c>
      <c r="I218" s="62" t="inlineStr">
        <is>
          <t>La decisión, además, no produce efectos inmediatos: salvo que el propio Estado indique una fecha posterior, el retiro solo se hace efectivo un año después de recibida la notificación.</t>
        </is>
      </c>
      <c r="J218" s="38" t="n"/>
      <c r="K218" s="62" t="n"/>
      <c r="L218" s="38" t="n"/>
      <c r="M218" s="62" t="n"/>
      <c r="N218" s="38" t="n"/>
      <c r="O218" s="62" t="n"/>
      <c r="P218" s="38" t="n"/>
      <c r="Q218" s="62" t="n"/>
      <c r="R218" s="38" t="n"/>
      <c r="S218" s="62" t="n"/>
      <c r="T218" s="38" t="n"/>
      <c r="U218" s="62" t="n"/>
      <c r="V218" s="38" t="n"/>
      <c r="W218" s="62" t="n"/>
      <c r="X218" s="38" t="n"/>
      <c r="Y218" s="62" t="n"/>
      <c r="Z218" s="38" t="n"/>
      <c r="AA218" s="62" t="n"/>
      <c r="AB218" s="38" t="n"/>
      <c r="AC218" s="62" t="n"/>
      <c r="AD218" s="38" t="n"/>
      <c r="AE218" s="38" t="n"/>
      <c r="AF218" s="61">
        <f>IF(COUNTIF($B$5:B218,B218)=1,1,0)</f>
        <v/>
      </c>
      <c r="AG218" s="62" t="inlineStr">
        <is>
          <t>https://www.lasillavacia.com/red-de-expertos/red-social/borron-y-cuenta-nueva-colombia-y-su-retirada-de-la-cpi/</t>
        </is>
      </c>
    </row>
    <row r="219" ht="15" customHeight="1" s="31">
      <c r="A219" s="38" t="inlineStr">
        <is>
          <t>ART_025</t>
        </is>
      </c>
      <c r="B219" s="38" t="inlineStr">
        <is>
          <t>ART_025_S10</t>
        </is>
      </c>
      <c r="C219" s="38" t="inlineStr">
        <is>
          <t>La Silla Vacía</t>
        </is>
      </c>
      <c r="D219" s="38" t="inlineStr">
        <is>
          <t>Relación con Estados Unidos</t>
        </is>
      </c>
      <c r="E219" s="38" t="inlineStr">
        <is>
          <t>Opinión-análisis</t>
        </is>
      </c>
      <c r="F219" s="38" t="inlineStr">
        <is>
          <t>Sat, 22 Aug 2026 04:57:47 +0000</t>
        </is>
      </c>
      <c r="G219" s="62" t="inlineStr">
        <is>
          <t>La decisión, además, no produce efectos inmediatos: salvo que el propio Estado indique una fecha posterior, el retiro solo se hace efectivo un año después de recibida la notificación.</t>
        </is>
      </c>
      <c r="H219" s="62" t="inlineStr">
        <is>
          <t>Esta notificación debe efectuarse mediante escrito dirigido al Secretario General de las Naciones Unidas.</t>
        </is>
      </c>
      <c r="I219" s="62" t="inlineStr">
        <is>
          <t>Colombia tampoco llegó accidentalmente a este sistema.</t>
        </is>
      </c>
      <c r="J219" s="38" t="n"/>
      <c r="K219" s="62" t="n"/>
      <c r="L219" s="38" t="n"/>
      <c r="M219" s="62" t="n"/>
      <c r="N219" s="38" t="n"/>
      <c r="O219" s="62" t="n"/>
      <c r="P219" s="38" t="n"/>
      <c r="Q219" s="62" t="n"/>
      <c r="R219" s="38" t="n"/>
      <c r="S219" s="62" t="n"/>
      <c r="T219" s="38" t="n"/>
      <c r="U219" s="62" t="n"/>
      <c r="V219" s="38" t="n"/>
      <c r="W219" s="62" t="n"/>
      <c r="X219" s="38" t="n"/>
      <c r="Y219" s="62" t="n"/>
      <c r="Z219" s="38" t="n"/>
      <c r="AA219" s="62" t="n"/>
      <c r="AB219" s="38" t="n"/>
      <c r="AC219" s="62" t="n"/>
      <c r="AD219" s="38" t="n"/>
      <c r="AE219" s="38" t="n"/>
      <c r="AF219" s="61">
        <f>IF(COUNTIF($B$5:B219,B219)=1,1,0)</f>
        <v/>
      </c>
      <c r="AG219" s="62" t="inlineStr">
        <is>
          <t>https://www.lasillavacia.com/red-de-expertos/red-social/borron-y-cuenta-nueva-colombia-y-su-retirada-de-la-cpi/</t>
        </is>
      </c>
    </row>
    <row r="220" ht="15" customHeight="1" s="31">
      <c r="A220" s="38" t="inlineStr">
        <is>
          <t>ART_025</t>
        </is>
      </c>
      <c r="B220" s="38" t="inlineStr">
        <is>
          <t>ART_025_S11</t>
        </is>
      </c>
      <c r="C220" s="38" t="inlineStr">
        <is>
          <t>La Silla Vacía</t>
        </is>
      </c>
      <c r="D220" s="38" t="inlineStr">
        <is>
          <t>Relación con Estados Unidos</t>
        </is>
      </c>
      <c r="E220" s="38" t="inlineStr">
        <is>
          <t>Opinión-análisis</t>
        </is>
      </c>
      <c r="F220" s="38" t="inlineStr">
        <is>
          <t>Sat, 22 Aug 2026 04:57:47 +0000</t>
        </is>
      </c>
      <c r="G220" s="62" t="inlineStr">
        <is>
          <t>Colombia tampoco llegó accidentalmente a este sistema.</t>
        </is>
      </c>
      <c r="H220" s="62" t="inlineStr">
        <is>
          <t>La decisión, además, no produce efectos inmediatos: salvo que el propio Estado indique una fecha posterior, el retiro solo se hace efectivo un año después de recibida la notificación.</t>
        </is>
      </c>
      <c r="I220" s="62" t="inlineStr">
        <is>
          <t>El país suscribió el Estatuto de Roma en 1998 y, después de una reforma constitucional y de su aprobación por el Congreso mediante la Ley 742 de 2002 , depositó su instrumento de ratificación el 5 de agosto de ese año .</t>
        </is>
      </c>
      <c r="J220" s="38" t="n"/>
      <c r="K220" s="62" t="n"/>
      <c r="L220" s="38" t="n"/>
      <c r="M220" s="62" t="n"/>
      <c r="N220" s="38" t="n"/>
      <c r="O220" s="62" t="n"/>
      <c r="P220" s="38" t="n"/>
      <c r="Q220" s="62" t="n"/>
      <c r="R220" s="38" t="n"/>
      <c r="S220" s="62" t="n"/>
      <c r="T220" s="38" t="n"/>
      <c r="U220" s="62" t="n"/>
      <c r="V220" s="38" t="n"/>
      <c r="W220" s="62" t="n"/>
      <c r="X220" s="38" t="n"/>
      <c r="Y220" s="62" t="n"/>
      <c r="Z220" s="38" t="n"/>
      <c r="AA220" s="62" t="n"/>
      <c r="AB220" s="38" t="n"/>
      <c r="AC220" s="62" t="n"/>
      <c r="AD220" s="38" t="n"/>
      <c r="AE220" s="38" t="n"/>
      <c r="AF220" s="61">
        <f>IF(COUNTIF($B$5:B220,B220)=1,1,0)</f>
        <v/>
      </c>
      <c r="AG220" s="62" t="inlineStr">
        <is>
          <t>https://www.lasillavacia.com/red-de-expertos/red-social/borron-y-cuenta-nueva-colombia-y-su-retirada-de-la-cpi/</t>
        </is>
      </c>
    </row>
    <row r="221" ht="15" customHeight="1" s="31">
      <c r="A221" s="38" t="inlineStr">
        <is>
          <t>ART_025</t>
        </is>
      </c>
      <c r="B221" s="38" t="inlineStr">
        <is>
          <t>ART_025_S12</t>
        </is>
      </c>
      <c r="C221" s="38" t="inlineStr">
        <is>
          <t>La Silla Vacía</t>
        </is>
      </c>
      <c r="D221" s="38" t="inlineStr">
        <is>
          <t>Relación con Estados Unidos</t>
        </is>
      </c>
      <c r="E221" s="38" t="inlineStr">
        <is>
          <t>Opinión-análisis</t>
        </is>
      </c>
      <c r="F221" s="38" t="inlineStr">
        <is>
          <t>Sat, 22 Aug 2026 04:57:47 +0000</t>
        </is>
      </c>
      <c r="G221" s="62" t="inlineStr">
        <is>
          <t>El país suscribió el Estatuto de Roma en 1998 y, después de una reforma constitucional y de su aprobación por el Congreso mediante la Ley 742 de 2002 , depositó su instrumento de ratificación el 5 de agosto de ese año .</t>
        </is>
      </c>
      <c r="H221" s="62" t="inlineStr">
        <is>
          <t>Colombia tampoco llegó accidentalmente a este sistema.</t>
        </is>
      </c>
      <c r="I221" s="62" t="n"/>
      <c r="J221" s="38" t="n"/>
      <c r="K221" s="62" t="n"/>
      <c r="L221" s="38" t="n"/>
      <c r="M221" s="62" t="n"/>
      <c r="N221" s="38" t="n"/>
      <c r="O221" s="62" t="n"/>
      <c r="P221" s="38" t="n"/>
      <c r="Q221" s="62" t="n"/>
      <c r="R221" s="38" t="n"/>
      <c r="S221" s="62" t="n"/>
      <c r="T221" s="38" t="n"/>
      <c r="U221" s="62" t="n"/>
      <c r="V221" s="38" t="n"/>
      <c r="W221" s="62" t="n"/>
      <c r="X221" s="38" t="n"/>
      <c r="Y221" s="62" t="n"/>
      <c r="Z221" s="38" t="n"/>
      <c r="AA221" s="62" t="n"/>
      <c r="AB221" s="38" t="n"/>
      <c r="AC221" s="62" t="n"/>
      <c r="AD221" s="38" t="n"/>
      <c r="AE221" s="38" t="n"/>
      <c r="AF221" s="61">
        <f>IF(COUNTIF($B$5:B221,B221)=1,1,0)</f>
        <v/>
      </c>
      <c r="AG221" s="62" t="inlineStr">
        <is>
          <t>https://www.lasillavacia.com/red-de-expertos/red-social/borron-y-cuenta-nueva-colombia-y-su-retirada-de-la-cpi/</t>
        </is>
      </c>
    </row>
    <row r="222" ht="15" customHeight="1" s="31">
      <c r="A222" s="38" t="inlineStr">
        <is>
          <t>ART_026</t>
        </is>
      </c>
      <c r="B222" s="38" t="inlineStr">
        <is>
          <t>ART_026_S01</t>
        </is>
      </c>
      <c r="C222" s="38" t="inlineStr">
        <is>
          <t>Semana</t>
        </is>
      </c>
      <c r="D222" s="38" t="inlineStr">
        <is>
          <t>Reformas sociales en disputa (pensional/tributaria)</t>
        </is>
      </c>
      <c r="E222" s="38" t="inlineStr">
        <is>
          <t>Noticia dura</t>
        </is>
      </c>
      <c r="F222" s="38" t="inlineStr">
        <is>
          <t>Thu, 03 Sep 2026 02:25:55 +0000</t>
        </is>
      </c>
      <c r="G222" s="62" t="inlineStr">
        <is>
          <t>La Corte Constitucional señaló que el auxilio funerario contemplado dentro del sistema pensional se mantendrá en Colombia a partir de 2027, despejando así una de las dudas que había surgido alrededor de la entrada en vigencia de la reforma pensional.</t>
        </is>
      </c>
      <c r="H222" s="62" t="n"/>
      <c r="I222" s="62" t="inlineStr">
        <is>
          <t>Según Valora Analitik, la decisión se conoció luego de que el alto tribunal revisara las disposiciones de la reforma que cambiarán las reglas del sistema de pensiones.</t>
        </is>
      </c>
      <c r="J222" s="38" t="n"/>
      <c r="K222" s="62" t="n"/>
      <c r="L222" s="38" t="n"/>
      <c r="M222" s="62" t="n"/>
      <c r="N222" s="38" t="n"/>
      <c r="O222" s="62" t="n"/>
      <c r="P222" s="38" t="n"/>
      <c r="Q222" s="62" t="n"/>
      <c r="R222" s="38" t="n"/>
      <c r="S222" s="62" t="n"/>
      <c r="T222" s="38" t="n"/>
      <c r="U222" s="62" t="n"/>
      <c r="V222" s="38" t="n"/>
      <c r="W222" s="62" t="n"/>
      <c r="X222" s="38" t="n"/>
      <c r="Y222" s="62" t="n"/>
      <c r="Z222" s="38" t="n"/>
      <c r="AA222" s="62" t="n"/>
      <c r="AB222" s="38" t="n"/>
      <c r="AC222" s="62" t="n"/>
      <c r="AD222" s="38" t="n"/>
      <c r="AE222" s="38" t="n"/>
      <c r="AF222" s="61">
        <f>IF(COUNTIF($B$5:B222,B222)=1,1,0)</f>
        <v/>
      </c>
      <c r="AG222" s="62" t="inlineStr">
        <is>
          <t>https://www.semana.com/economia/management/articulo/se-acaba-en-2027-la-corte-constitucional-aclaro-que-pasara-con-el-auxilio-funerario-de-colpensiones/202655/</t>
        </is>
      </c>
    </row>
    <row r="223" ht="15" customHeight="1" s="31">
      <c r="A223" s="38" t="inlineStr">
        <is>
          <t>ART_026</t>
        </is>
      </c>
      <c r="B223" s="38" t="inlineStr">
        <is>
          <t>ART_026_S02</t>
        </is>
      </c>
      <c r="C223" s="38" t="inlineStr">
        <is>
          <t>Semana</t>
        </is>
      </c>
      <c r="D223" s="38" t="inlineStr">
        <is>
          <t>Reformas sociales en disputa (pensional/tributaria)</t>
        </is>
      </c>
      <c r="E223" s="38" t="inlineStr">
        <is>
          <t>Noticia dura</t>
        </is>
      </c>
      <c r="F223" s="38" t="inlineStr">
        <is>
          <t>Thu, 03 Sep 2026 02:25:55 +0000</t>
        </is>
      </c>
      <c r="G223" s="62" t="inlineStr">
        <is>
          <t>Según Valora Analitik, la decisión se conoció luego de que el alto tribunal revisara las disposiciones de la reforma que cambiarán las reglas del sistema de pensiones.</t>
        </is>
      </c>
      <c r="H223" s="62" t="inlineStr">
        <is>
          <t>La Corte Constitucional señaló que el auxilio funerario contemplado dentro del sistema pensional se mantendrá en Colombia a partir de 2027, despejando así una de las dudas que había surgido alrededor de la entrada en vigencia de la reforma pensional.</t>
        </is>
      </c>
      <c r="I223" s="62" t="inlineStr">
        <is>
          <t>Aunque el nuevo modelo traerá modificaciones para los afiliados, la prestación destinada a cubrir parte de los gastos funerarios continuará vigente.</t>
        </is>
      </c>
      <c r="J223" s="38" t="n"/>
      <c r="K223" s="62" t="n"/>
      <c r="L223" s="38" t="n"/>
      <c r="M223" s="62" t="n"/>
      <c r="N223" s="38" t="n"/>
      <c r="O223" s="62" t="n"/>
      <c r="P223" s="38" t="n"/>
      <c r="Q223" s="62" t="n"/>
      <c r="R223" s="38" t="n"/>
      <c r="S223" s="62" t="n"/>
      <c r="T223" s="38" t="n"/>
      <c r="U223" s="62" t="n"/>
      <c r="V223" s="38" t="n"/>
      <c r="W223" s="62" t="n"/>
      <c r="X223" s="38" t="n"/>
      <c r="Y223" s="62" t="n"/>
      <c r="Z223" s="38" t="n"/>
      <c r="AA223" s="62" t="n"/>
      <c r="AB223" s="38" t="n"/>
      <c r="AC223" s="62" t="n"/>
      <c r="AD223" s="38" t="n"/>
      <c r="AE223" s="38" t="n"/>
      <c r="AF223" s="61">
        <f>IF(COUNTIF($B$5:B223,B223)=1,1,0)</f>
        <v/>
      </c>
      <c r="AG223" s="62" t="inlineStr">
        <is>
          <t>https://www.semana.com/economia/management/articulo/se-acaba-en-2027-la-corte-constitucional-aclaro-que-pasara-con-el-auxilio-funerario-de-colpensiones/202655/</t>
        </is>
      </c>
    </row>
    <row r="224" ht="15" customHeight="1" s="31">
      <c r="A224" s="38" t="inlineStr">
        <is>
          <t>ART_026</t>
        </is>
      </c>
      <c r="B224" s="38" t="inlineStr">
        <is>
          <t>ART_026_S03</t>
        </is>
      </c>
      <c r="C224" s="38" t="inlineStr">
        <is>
          <t>Semana</t>
        </is>
      </c>
      <c r="D224" s="38" t="inlineStr">
        <is>
          <t>Reformas sociales en disputa (pensional/tributaria)</t>
        </is>
      </c>
      <c r="E224" s="38" t="inlineStr">
        <is>
          <t>Noticia dura</t>
        </is>
      </c>
      <c r="F224" s="38" t="inlineStr">
        <is>
          <t>Thu, 03 Sep 2026 02:25:55 +0000</t>
        </is>
      </c>
      <c r="G224" s="62" t="inlineStr">
        <is>
          <t>Aunque el nuevo modelo traerá modificaciones para los afiliados, la prestación destinada a cubrir parte de los gastos funerarios continuará vigente.</t>
        </is>
      </c>
      <c r="H224" s="62" t="inlineStr">
        <is>
          <t>Según Valora Analitik, la decisión se conoció luego de que el alto tribunal revisara las disposiciones de la reforma que cambiarán las reglas del sistema de pensiones.</t>
        </is>
      </c>
      <c r="I224" s="62" t="inlineStr">
        <is>
          <t>El auxilio funerario es un reconocimiento económico que puede recibir la persona que demuestre haber asumido los gastos del funeral de un afiliado o pensionado fallecido.</t>
        </is>
      </c>
      <c r="J224" s="38" t="n"/>
      <c r="K224" s="62" t="n"/>
      <c r="L224" s="38" t="n"/>
      <c r="M224" s="62" t="n"/>
      <c r="N224" s="38" t="n"/>
      <c r="O224" s="62" t="n"/>
      <c r="P224" s="38" t="n"/>
      <c r="Q224" s="62" t="n"/>
      <c r="R224" s="38" t="n"/>
      <c r="S224" s="62" t="n"/>
      <c r="T224" s="38" t="n"/>
      <c r="U224" s="62" t="n"/>
      <c r="V224" s="38" t="n"/>
      <c r="W224" s="62" t="n"/>
      <c r="X224" s="38" t="n"/>
      <c r="Y224" s="62" t="n"/>
      <c r="Z224" s="38" t="n"/>
      <c r="AA224" s="62" t="n"/>
      <c r="AB224" s="38" t="n"/>
      <c r="AC224" s="62" t="n"/>
      <c r="AD224" s="38" t="n"/>
      <c r="AE224" s="38" t="n"/>
      <c r="AF224" s="61">
        <f>IF(COUNTIF($B$5:B224,B224)=1,1,0)</f>
        <v/>
      </c>
      <c r="AG224" s="62" t="inlineStr">
        <is>
          <t>https://www.semana.com/economia/management/articulo/se-acaba-en-2027-la-corte-constitucional-aclaro-que-pasara-con-el-auxilio-funerario-de-colpensiones/202655/</t>
        </is>
      </c>
    </row>
    <row r="225" ht="15" customHeight="1" s="31">
      <c r="A225" s="38" t="inlineStr">
        <is>
          <t>ART_026</t>
        </is>
      </c>
      <c r="B225" s="38" t="inlineStr">
        <is>
          <t>ART_026_S04</t>
        </is>
      </c>
      <c r="C225" s="38" t="inlineStr">
        <is>
          <t>Semana</t>
        </is>
      </c>
      <c r="D225" s="38" t="inlineStr">
        <is>
          <t>Reformas sociales en disputa (pensional/tributaria)</t>
        </is>
      </c>
      <c r="E225" s="38" t="inlineStr">
        <is>
          <t>Noticia dura</t>
        </is>
      </c>
      <c r="F225" s="38" t="inlineStr">
        <is>
          <t>Thu, 03 Sep 2026 02:25:55 +0000</t>
        </is>
      </c>
      <c r="G225" s="62" t="inlineStr">
        <is>
          <t>El auxilio funerario es un reconocimiento económico que puede recibir la persona que demuestre haber asumido los gastos del funeral de un afiliado o pensionado fallecido.</t>
        </is>
      </c>
      <c r="H225" s="62" t="inlineStr">
        <is>
          <t>Aunque el nuevo modelo traerá modificaciones para los afiliados, la prestación destinada a cubrir parte de los gastos funerarios continuará vigente.</t>
        </is>
      </c>
      <c r="I225" s="62" t="inlineStr">
        <is>
          <t>Se trata de un apoyo que busca reducir el impacto económico que puede representar para una familia afrontar este tipo de gastos.</t>
        </is>
      </c>
      <c r="J225" s="38" t="n"/>
      <c r="K225" s="62" t="n"/>
      <c r="L225" s="38" t="n"/>
      <c r="M225" s="62" t="n"/>
      <c r="N225" s="38" t="n"/>
      <c r="O225" s="62" t="n"/>
      <c r="P225" s="38" t="n"/>
      <c r="Q225" s="62" t="n"/>
      <c r="R225" s="38" t="n"/>
      <c r="S225" s="62" t="n"/>
      <c r="T225" s="38" t="n"/>
      <c r="U225" s="62" t="n"/>
      <c r="V225" s="38" t="n"/>
      <c r="W225" s="62" t="n"/>
      <c r="X225" s="38" t="n"/>
      <c r="Y225" s="62" t="n"/>
      <c r="Z225" s="38" t="n"/>
      <c r="AA225" s="62" t="n"/>
      <c r="AB225" s="38" t="n"/>
      <c r="AC225" s="62" t="n"/>
      <c r="AD225" s="38" t="n"/>
      <c r="AE225" s="38" t="n"/>
      <c r="AF225" s="61">
        <f>IF(COUNTIF($B$5:B225,B225)=1,1,0)</f>
        <v/>
      </c>
      <c r="AG225" s="62" t="inlineStr">
        <is>
          <t>https://www.semana.com/economia/management/articulo/se-acaba-en-2027-la-corte-constitucional-aclaro-que-pasara-con-el-auxilio-funerario-de-colpensiones/202655/</t>
        </is>
      </c>
    </row>
    <row r="226" ht="15" customHeight="1" s="31">
      <c r="A226" s="38" t="inlineStr">
        <is>
          <t>ART_026</t>
        </is>
      </c>
      <c r="B226" s="38" t="inlineStr">
        <is>
          <t>ART_026_S05</t>
        </is>
      </c>
      <c r="C226" s="38" t="inlineStr">
        <is>
          <t>Semana</t>
        </is>
      </c>
      <c r="D226" s="38" t="inlineStr">
        <is>
          <t>Reformas sociales en disputa (pensional/tributaria)</t>
        </is>
      </c>
      <c r="E226" s="38" t="inlineStr">
        <is>
          <t>Noticia dura</t>
        </is>
      </c>
      <c r="F226" s="38" t="inlineStr">
        <is>
          <t>Thu, 03 Sep 2026 02:25:55 +0000</t>
        </is>
      </c>
      <c r="G226" s="62" t="inlineStr">
        <is>
          <t>Se trata de un apoyo que busca reducir el impacto económico que puede representar para una familia afrontar este tipo de gastos.</t>
        </is>
      </c>
      <c r="H226" s="62" t="inlineStr">
        <is>
          <t>El auxilio funerario es un reconocimiento económico que puede recibir la persona que demuestre haber asumido los gastos del funeral de un afiliado o pensionado fallecido.</t>
        </is>
      </c>
      <c r="I226" s="62" t="inlineStr">
        <is>
          <t>De acuerdo con lo establecido en las normas que regulan la prestación, el monto del auxilio está relacionado con la situación pensional o salarial que tenía la persona fallecida.</t>
        </is>
      </c>
      <c r="J226" s="38" t="n"/>
      <c r="K226" s="62" t="n"/>
      <c r="L226" s="38" t="n"/>
      <c r="M226" s="62" t="n"/>
      <c r="N226" s="38" t="n"/>
      <c r="O226" s="62" t="n"/>
      <c r="P226" s="38" t="n"/>
      <c r="Q226" s="62" t="n"/>
      <c r="R226" s="38" t="n"/>
      <c r="S226" s="62" t="n"/>
      <c r="T226" s="38" t="n"/>
      <c r="U226" s="62" t="n"/>
      <c r="V226" s="38" t="n"/>
      <c r="W226" s="62" t="n"/>
      <c r="X226" s="38" t="n"/>
      <c r="Y226" s="62" t="n"/>
      <c r="Z226" s="38" t="n"/>
      <c r="AA226" s="62" t="n"/>
      <c r="AB226" s="38" t="n"/>
      <c r="AC226" s="62" t="n"/>
      <c r="AD226" s="38" t="n"/>
      <c r="AE226" s="38" t="n"/>
      <c r="AF226" s="61">
        <f>IF(COUNTIF($B$5:B226,B226)=1,1,0)</f>
        <v/>
      </c>
      <c r="AG226" s="62" t="inlineStr">
        <is>
          <t>https://www.semana.com/economia/management/articulo/se-acaba-en-2027-la-corte-constitucional-aclaro-que-pasara-con-el-auxilio-funerario-de-colpensiones/202655/</t>
        </is>
      </c>
    </row>
    <row r="227" ht="15" customHeight="1" s="31">
      <c r="A227" s="38" t="inlineStr">
        <is>
          <t>ART_026</t>
        </is>
      </c>
      <c r="B227" s="38" t="inlineStr">
        <is>
          <t>ART_026_S06</t>
        </is>
      </c>
      <c r="C227" s="38" t="inlineStr">
        <is>
          <t>Semana</t>
        </is>
      </c>
      <c r="D227" s="38" t="inlineStr">
        <is>
          <t>Reformas sociales en disputa (pensional/tributaria)</t>
        </is>
      </c>
      <c r="E227" s="38" t="inlineStr">
        <is>
          <t>Noticia dura</t>
        </is>
      </c>
      <c r="F227" s="38" t="inlineStr">
        <is>
          <t>Thu, 03 Sep 2026 02:25:55 +0000</t>
        </is>
      </c>
      <c r="G227" s="62" t="inlineStr">
        <is>
          <t>De acuerdo con lo establecido en las normas que regulan la prestación, el monto del auxilio está relacionado con la situación pensional o salarial que tenía la persona fallecida.</t>
        </is>
      </c>
      <c r="H227" s="62" t="inlineStr">
        <is>
          <t>Se trata de un apoyo que busca reducir el impacto económico que puede representar para una familia afrontar este tipo de gastos.</t>
        </is>
      </c>
      <c r="I227" s="62" t="inlineStr">
        <is>
          <t>Además, existe un límite mínimo y máximo para determinar cuánto dinero puede recibir quien haga la reclamación.</t>
        </is>
      </c>
      <c r="J227" s="38" t="n"/>
      <c r="K227" s="62" t="n"/>
      <c r="L227" s="38" t="n"/>
      <c r="M227" s="62" t="n"/>
      <c r="N227" s="38" t="n"/>
      <c r="O227" s="62" t="n"/>
      <c r="P227" s="38" t="n"/>
      <c r="Q227" s="62" t="n"/>
      <c r="R227" s="38" t="n"/>
      <c r="S227" s="62" t="n"/>
      <c r="T227" s="38" t="n"/>
      <c r="U227" s="62" t="n"/>
      <c r="V227" s="38" t="n"/>
      <c r="W227" s="62" t="n"/>
      <c r="X227" s="38" t="n"/>
      <c r="Y227" s="62" t="n"/>
      <c r="Z227" s="38" t="n"/>
      <c r="AA227" s="62" t="n"/>
      <c r="AB227" s="38" t="n"/>
      <c r="AC227" s="62" t="n"/>
      <c r="AD227" s="38" t="n"/>
      <c r="AE227" s="38" t="n"/>
      <c r="AF227" s="61">
        <f>IF(COUNTIF($B$5:B227,B227)=1,1,0)</f>
        <v/>
      </c>
      <c r="AG227" s="62" t="inlineStr">
        <is>
          <t>https://www.semana.com/economia/management/articulo/se-acaba-en-2027-la-corte-constitucional-aclaro-que-pasara-con-el-auxilio-funerario-de-colpensiones/202655/</t>
        </is>
      </c>
    </row>
    <row r="228" ht="15" customHeight="1" s="31">
      <c r="A228" s="38" t="inlineStr">
        <is>
          <t>ART_026</t>
        </is>
      </c>
      <c r="B228" s="38" t="inlineStr">
        <is>
          <t>ART_026_S07</t>
        </is>
      </c>
      <c r="C228" s="38" t="inlineStr">
        <is>
          <t>Semana</t>
        </is>
      </c>
      <c r="D228" s="38" t="inlineStr">
        <is>
          <t>Reformas sociales en disputa (pensional/tributaria)</t>
        </is>
      </c>
      <c r="E228" s="38" t="inlineStr">
        <is>
          <t>Noticia dura</t>
        </is>
      </c>
      <c r="F228" s="38" t="inlineStr">
        <is>
          <t>Thu, 03 Sep 2026 02:25:55 +0000</t>
        </is>
      </c>
      <c r="G228" s="62" t="inlineStr">
        <is>
          <t>Además, existe un límite mínimo y máximo para determinar cuánto dinero puede recibir quien haga la reclamación.</t>
        </is>
      </c>
      <c r="H228" s="62" t="inlineStr">
        <is>
          <t>De acuerdo con lo establecido en las normas que regulan la prestación, el monto del auxilio está relacionado con la situación pensional o salarial que tenía la persona fallecida.</t>
        </is>
      </c>
      <c r="I228" s="62" t="inlineStr">
        <is>
          <t>Con la decisión de la Corte, este beneficio no quedará eliminado cuando empiece a aplicarse el nuevo sistema pensional.</t>
        </is>
      </c>
      <c r="J228" s="38" t="n"/>
      <c r="K228" s="62" t="n"/>
      <c r="L228" s="38" t="n"/>
      <c r="M228" s="62" t="n"/>
      <c r="N228" s="38" t="n"/>
      <c r="O228" s="62" t="n"/>
      <c r="P228" s="38" t="n"/>
      <c r="Q228" s="62" t="n"/>
      <c r="R228" s="38" t="n"/>
      <c r="S228" s="62" t="n"/>
      <c r="T228" s="38" t="n"/>
      <c r="U228" s="62" t="n"/>
      <c r="V228" s="38" t="n"/>
      <c r="W228" s="62" t="n"/>
      <c r="X228" s="38" t="n"/>
      <c r="Y228" s="62" t="n"/>
      <c r="Z228" s="38" t="n"/>
      <c r="AA228" s="62" t="n"/>
      <c r="AB228" s="38" t="n"/>
      <c r="AC228" s="62" t="n"/>
      <c r="AD228" s="38" t="n"/>
      <c r="AE228" s="38" t="n"/>
      <c r="AF228" s="61">
        <f>IF(COUNTIF($B$5:B228,B228)=1,1,0)</f>
        <v/>
      </c>
      <c r="AG228" s="62" t="inlineStr">
        <is>
          <t>https://www.semana.com/economia/management/articulo/se-acaba-en-2027-la-corte-constitucional-aclaro-que-pasara-con-el-auxilio-funerario-de-colpensiones/202655/</t>
        </is>
      </c>
    </row>
    <row r="229" ht="15" customHeight="1" s="31">
      <c r="A229" s="38" t="inlineStr">
        <is>
          <t>ART_026</t>
        </is>
      </c>
      <c r="B229" s="38" t="inlineStr">
        <is>
          <t>ART_026_S08</t>
        </is>
      </c>
      <c r="C229" s="38" t="inlineStr">
        <is>
          <t>Semana</t>
        </is>
      </c>
      <c r="D229" s="38" t="inlineStr">
        <is>
          <t>Reformas sociales en disputa (pensional/tributaria)</t>
        </is>
      </c>
      <c r="E229" s="38" t="inlineStr">
        <is>
          <t>Noticia dura</t>
        </is>
      </c>
      <c r="F229" s="38" t="inlineStr">
        <is>
          <t>Thu, 03 Sep 2026 02:25:55 +0000</t>
        </is>
      </c>
      <c r="G229" s="62" t="inlineStr">
        <is>
          <t>Con la decisión de la Corte, este beneficio no quedará eliminado cuando empiece a aplicarse el nuevo sistema pensional.</t>
        </is>
      </c>
      <c r="H229" s="62" t="inlineStr">
        <is>
          <t>Además, existe un límite mínimo y máximo para determinar cuánto dinero puede recibir quien haga la reclamación.</t>
        </is>
      </c>
      <c r="I229" s="62" t="inlineStr">
        <is>
          <t>Sin embargo, el valor exacto que tendrá el auxilio en 2027 todavía no se puede establecer, pues uno de los factores utilizados para calcularlo depende del salario mínimo que sea fijado para ese año.</t>
        </is>
      </c>
      <c r="J229" s="38" t="n"/>
      <c r="K229" s="62" t="n"/>
      <c r="L229" s="38" t="n"/>
      <c r="M229" s="62" t="n"/>
      <c r="N229" s="38" t="n"/>
      <c r="O229" s="62" t="n"/>
      <c r="P229" s="38" t="n"/>
      <c r="Q229" s="62" t="n"/>
      <c r="R229" s="38" t="n"/>
      <c r="S229" s="62" t="n"/>
      <c r="T229" s="38" t="n"/>
      <c r="U229" s="62" t="n"/>
      <c r="V229" s="38" t="n"/>
      <c r="W229" s="62" t="n"/>
      <c r="X229" s="38" t="n"/>
      <c r="Y229" s="62" t="n"/>
      <c r="Z229" s="38" t="n"/>
      <c r="AA229" s="62" t="n"/>
      <c r="AB229" s="38" t="n"/>
      <c r="AC229" s="62" t="n"/>
      <c r="AD229" s="38" t="n"/>
      <c r="AE229" s="38" t="n"/>
      <c r="AF229" s="61">
        <f>IF(COUNTIF($B$5:B229,B229)=1,1,0)</f>
        <v/>
      </c>
      <c r="AG229" s="62" t="inlineStr">
        <is>
          <t>https://www.semana.com/economia/management/articulo/se-acaba-en-2027-la-corte-constitucional-aclaro-que-pasara-con-el-auxilio-funerario-de-colpensiones/202655/</t>
        </is>
      </c>
    </row>
    <row r="230" ht="15" customHeight="1" s="31">
      <c r="A230" s="38" t="inlineStr">
        <is>
          <t>ART_026</t>
        </is>
      </c>
      <c r="B230" s="38" t="inlineStr">
        <is>
          <t>ART_026_S09</t>
        </is>
      </c>
      <c r="C230" s="38" t="inlineStr">
        <is>
          <t>Semana</t>
        </is>
      </c>
      <c r="D230" s="38" t="inlineStr">
        <is>
          <t>Reformas sociales en disputa (pensional/tributaria)</t>
        </is>
      </c>
      <c r="E230" s="38" t="inlineStr">
        <is>
          <t>Noticia dura</t>
        </is>
      </c>
      <c r="F230" s="38" t="inlineStr">
        <is>
          <t>Thu, 03 Sep 2026 02:25:55 +0000</t>
        </is>
      </c>
      <c r="G230" s="62" t="inlineStr">
        <is>
          <t>Sin embargo, el valor exacto que tendrá el auxilio en 2027 todavía no se puede establecer, pues uno de los factores utilizados para calcularlo depende del salario mínimo que sea fijado para ese año.</t>
        </is>
      </c>
      <c r="H230" s="62" t="inlineStr">
        <is>
          <t>Con la decisión de la Corte, este beneficio no quedará eliminado cuando empiece a aplicarse el nuevo sistema pensional.</t>
        </is>
      </c>
      <c r="I230" s="62" t="inlineStr">
        <is>
          <t>Actualmente, la legislación contempla que el auxilio funerario debe estar dentro de un rango que va de cinco a diez salarios mínimos mensuales.</t>
        </is>
      </c>
      <c r="J230" s="38" t="n"/>
      <c r="K230" s="62" t="n"/>
      <c r="L230" s="38" t="n"/>
      <c r="M230" s="62" t="n"/>
      <c r="N230" s="38" t="n"/>
      <c r="O230" s="62" t="n"/>
      <c r="P230" s="38" t="n"/>
      <c r="Q230" s="62" t="n"/>
      <c r="R230" s="38" t="n"/>
      <c r="S230" s="62" t="n"/>
      <c r="T230" s="38" t="n"/>
      <c r="U230" s="62" t="n"/>
      <c r="V230" s="38" t="n"/>
      <c r="W230" s="62" t="n"/>
      <c r="X230" s="38" t="n"/>
      <c r="Y230" s="62" t="n"/>
      <c r="Z230" s="38" t="n"/>
      <c r="AA230" s="62" t="n"/>
      <c r="AB230" s="38" t="n"/>
      <c r="AC230" s="62" t="n"/>
      <c r="AD230" s="38" t="n"/>
      <c r="AE230" s="38" t="n"/>
      <c r="AF230" s="61">
        <f>IF(COUNTIF($B$5:B230,B230)=1,1,0)</f>
        <v/>
      </c>
      <c r="AG230" s="62" t="inlineStr">
        <is>
          <t>https://www.semana.com/economia/management/articulo/se-acaba-en-2027-la-corte-constitucional-aclaro-que-pasara-con-el-auxilio-funerario-de-colpensiones/202655/</t>
        </is>
      </c>
    </row>
    <row r="231" ht="15" customHeight="1" s="31">
      <c r="A231" s="38" t="inlineStr">
        <is>
          <t>ART_026</t>
        </is>
      </c>
      <c r="B231" s="38" t="inlineStr">
        <is>
          <t>ART_026_S10</t>
        </is>
      </c>
      <c r="C231" s="38" t="inlineStr">
        <is>
          <t>Semana</t>
        </is>
      </c>
      <c r="D231" s="38" t="inlineStr">
        <is>
          <t>Reformas sociales en disputa (pensional/tributaria)</t>
        </is>
      </c>
      <c r="E231" s="38" t="inlineStr">
        <is>
          <t>Noticia dura</t>
        </is>
      </c>
      <c r="F231" s="38" t="inlineStr">
        <is>
          <t>Thu, 03 Sep 2026 02:25:55 +0000</t>
        </is>
      </c>
      <c r="G231" s="62" t="inlineStr">
        <is>
          <t>Actualmente, la legislación contempla que el auxilio funerario debe estar dentro de un rango que va de cinco a diez salarios mínimos mensuales.</t>
        </is>
      </c>
      <c r="H231" s="62" t="inlineStr">
        <is>
          <t>Sin embargo, el valor exacto que tendrá el auxilio en 2027 todavía no se puede establecer, pues uno de los factores utilizados para calcularlo depende del salario mínimo que sea fijado para ese año.</t>
        </is>
      </c>
      <c r="I231" s="62" t="n"/>
      <c r="J231" s="38" t="n"/>
      <c r="K231" s="62" t="n"/>
      <c r="L231" s="38" t="n"/>
      <c r="M231" s="62" t="n"/>
      <c r="N231" s="38" t="n"/>
      <c r="O231" s="62" t="n"/>
      <c r="P231" s="38" t="n"/>
      <c r="Q231" s="62" t="n"/>
      <c r="R231" s="38" t="n"/>
      <c r="S231" s="62" t="n"/>
      <c r="T231" s="38" t="n"/>
      <c r="U231" s="62" t="n"/>
      <c r="V231" s="38" t="n"/>
      <c r="W231" s="62" t="n"/>
      <c r="X231" s="38" t="n"/>
      <c r="Y231" s="62" t="n"/>
      <c r="Z231" s="38" t="n"/>
      <c r="AA231" s="62" t="n"/>
      <c r="AB231" s="38" t="n"/>
      <c r="AC231" s="62" t="n"/>
      <c r="AD231" s="38" t="n"/>
      <c r="AE231" s="38" t="n"/>
      <c r="AF231" s="61">
        <f>IF(COUNTIF($B$5:B231,B231)=1,1,0)</f>
        <v/>
      </c>
      <c r="AG231" s="62" t="inlineStr">
        <is>
          <t>https://www.semana.com/economia/management/articulo/se-acaba-en-2027-la-corte-constitucional-aclaro-que-pasara-con-el-auxilio-funerario-de-colpensiones/202655/</t>
        </is>
      </c>
    </row>
    <row r="232" ht="15" customHeight="1" s="31">
      <c r="A232" s="38" t="inlineStr">
        <is>
          <t>ART_027</t>
        </is>
      </c>
      <c r="B232" s="38" t="inlineStr">
        <is>
          <t>ART_027_S01</t>
        </is>
      </c>
      <c r="C232" s="38" t="inlineStr">
        <is>
          <t>Semana</t>
        </is>
      </c>
      <c r="D232" s="38" t="inlineStr">
        <is>
          <t>Seguridad y orden público</t>
        </is>
      </c>
      <c r="E232" s="38" t="inlineStr">
        <is>
          <t>Noticia dura</t>
        </is>
      </c>
      <c r="F232" s="38" t="inlineStr">
        <is>
          <t>Thu, 03 Sep 2026 23:36:50 +0000</t>
        </is>
      </c>
      <c r="G232" s="62" t="inlineStr">
        <is>
          <t>Dos militares muertos y dos más heridos dejó el presunto ataque que habría protagonizado un soldado al interior del Batallón de Infantería n.° 44, ubicado en la base militar de Cupiagua, en el municipio de Aguazul, Casanare.</t>
        </is>
      </c>
      <c r="H232" s="62" t="n"/>
      <c r="I232" s="62" t="inlineStr">
        <is>
          <t>La Sexta Brigada del Ejército Nacional confirmó a través de un comunicado que durante la mañana de este jueves, 3 de septiembre, se “presentó un hecho de intolerancia” en el que un soldado habría accionado un arma de dotación en contra de otros cuatro uniformados, integrantes del mencionado batallón.</t>
        </is>
      </c>
      <c r="J232" s="38" t="n"/>
      <c r="K232" s="62" t="n"/>
      <c r="L232" s="38" t="n"/>
      <c r="M232" s="62" t="n"/>
      <c r="N232" s="38" t="n"/>
      <c r="O232" s="62" t="n"/>
      <c r="P232" s="38" t="n"/>
      <c r="Q232" s="62" t="n"/>
      <c r="R232" s="38" t="n"/>
      <c r="S232" s="62" t="n"/>
      <c r="T232" s="38" t="n"/>
      <c r="U232" s="62" t="n"/>
      <c r="V232" s="38" t="n"/>
      <c r="W232" s="62" t="n"/>
      <c r="X232" s="38" t="n"/>
      <c r="Y232" s="62" t="n"/>
      <c r="Z232" s="38" t="n"/>
      <c r="AA232" s="62" t="n"/>
      <c r="AB232" s="38" t="n"/>
      <c r="AC232" s="62" t="n"/>
      <c r="AD232" s="38" t="n"/>
      <c r="AE232" s="38" t="n"/>
      <c r="AF232" s="61">
        <f>IF(COUNTIF($B$5:B232,B232)=1,1,0)</f>
        <v/>
      </c>
      <c r="AG232" s="62" t="inlineStr">
        <is>
          <t>https://www.semana.com/nacion/articulo/soldado-habria-atacado-a-cuatro-companeros-en-casanare-dos-militares-murieron/202650/</t>
        </is>
      </c>
    </row>
    <row r="233" ht="15" customHeight="1" s="31">
      <c r="A233" s="38" t="inlineStr">
        <is>
          <t>ART_027</t>
        </is>
      </c>
      <c r="B233" s="38" t="inlineStr">
        <is>
          <t>ART_027_S02</t>
        </is>
      </c>
      <c r="C233" s="38" t="inlineStr">
        <is>
          <t>Semana</t>
        </is>
      </c>
      <c r="D233" s="38" t="inlineStr">
        <is>
          <t>Seguridad y orden público</t>
        </is>
      </c>
      <c r="E233" s="38" t="inlineStr">
        <is>
          <t>Noticia dura</t>
        </is>
      </c>
      <c r="F233" s="38" t="inlineStr">
        <is>
          <t>Thu, 03 Sep 2026 23:36:50 +0000</t>
        </is>
      </c>
      <c r="G233" s="62" t="inlineStr">
        <is>
          <t>La Sexta Brigada del Ejército Nacional confirmó a través de un comunicado que durante la mañana de este jueves, 3 de septiembre, se “presentó un hecho de intolerancia” en el que un soldado habría accionado un arma de dotación en contra de otros cuatro uniformados, integrantes del mencionado batallón.</t>
        </is>
      </c>
      <c r="H233" s="62" t="inlineStr">
        <is>
          <t>Dos militares muertos y dos más heridos dejó el presunto ataque que habría protagonizado un soldado al interior del Batallón de Infantería n.° 44, ubicado en la base militar de Cupiagua, en el municipio de Aguazul, Casanare.</t>
        </is>
      </c>
      <c r="I233" s="62" t="inlineStr">
        <is>
          <t>La situación fue de tal gravedad que como consecuencia del presunto ataque, dos soldados fallecieron y otros dos resultaron heridos.</t>
        </is>
      </c>
      <c r="J233" s="38" t="n"/>
      <c r="K233" s="62" t="n"/>
      <c r="L233" s="38" t="n"/>
      <c r="M233" s="62" t="n"/>
      <c r="N233" s="38" t="n"/>
      <c r="O233" s="62" t="n"/>
      <c r="P233" s="38" t="n"/>
      <c r="Q233" s="62" t="n"/>
      <c r="R233" s="38" t="n"/>
      <c r="S233" s="62" t="n"/>
      <c r="T233" s="38" t="n"/>
      <c r="U233" s="62" t="n"/>
      <c r="V233" s="38" t="n"/>
      <c r="W233" s="62" t="n"/>
      <c r="X233" s="38" t="n"/>
      <c r="Y233" s="62" t="n"/>
      <c r="Z233" s="38" t="n"/>
      <c r="AA233" s="62" t="n"/>
      <c r="AB233" s="38" t="n"/>
      <c r="AC233" s="62" t="n"/>
      <c r="AD233" s="38" t="n"/>
      <c r="AE233" s="38" t="n"/>
      <c r="AF233" s="61">
        <f>IF(COUNTIF($B$5:B233,B233)=1,1,0)</f>
        <v/>
      </c>
      <c r="AG233" s="62" t="inlineStr">
        <is>
          <t>https://www.semana.com/nacion/articulo/soldado-habria-atacado-a-cuatro-companeros-en-casanare-dos-militares-murieron/202650/</t>
        </is>
      </c>
    </row>
    <row r="234" ht="15" customHeight="1" s="31">
      <c r="A234" s="38" t="inlineStr">
        <is>
          <t>ART_027</t>
        </is>
      </c>
      <c r="B234" s="38" t="inlineStr">
        <is>
          <t>ART_027_S03</t>
        </is>
      </c>
      <c r="C234" s="38" t="inlineStr">
        <is>
          <t>Semana</t>
        </is>
      </c>
      <c r="D234" s="38" t="inlineStr">
        <is>
          <t>Seguridad y orden público</t>
        </is>
      </c>
      <c r="E234" s="38" t="inlineStr">
        <is>
          <t>Noticia dura</t>
        </is>
      </c>
      <c r="F234" s="38" t="inlineStr">
        <is>
          <t>Thu, 03 Sep 2026 23:36:50 +0000</t>
        </is>
      </c>
      <c r="G234" s="62" t="inlineStr">
        <is>
          <t>La situación fue de tal gravedad que como consecuencia del presunto ataque, dos soldados fallecieron y otros dos resultaron heridos.</t>
        </is>
      </c>
      <c r="H234" s="62" t="inlineStr">
        <is>
          <t>La Sexta Brigada del Ejército Nacional confirmó a través de un comunicado que durante la mañana de este jueves, 3 de septiembre, se “presentó un hecho de intolerancia” en el que un soldado habría accionado un arma de dotación en contra de otros cuatro uniformados, integrantes del mencionado batallón.</t>
        </is>
      </c>
      <c r="I234" s="62" t="inlineStr">
        <is>
          <t>Sin embargo, las autoridades competentes ahora tratan de establecer la situación que habría provocado la tragedia en Casanare.</t>
        </is>
      </c>
      <c r="J234" s="38" t="n"/>
      <c r="K234" s="62" t="n"/>
      <c r="L234" s="38" t="n"/>
      <c r="M234" s="62" t="n"/>
      <c r="N234" s="38" t="n"/>
      <c r="O234" s="62" t="n"/>
      <c r="P234" s="38" t="n"/>
      <c r="Q234" s="62" t="n"/>
      <c r="R234" s="38" t="n"/>
      <c r="S234" s="62" t="n"/>
      <c r="T234" s="38" t="n"/>
      <c r="U234" s="62" t="n"/>
      <c r="V234" s="38" t="n"/>
      <c r="W234" s="62" t="n"/>
      <c r="X234" s="38" t="n"/>
      <c r="Y234" s="62" t="n"/>
      <c r="Z234" s="38" t="n"/>
      <c r="AA234" s="62" t="n"/>
      <c r="AB234" s="38" t="n"/>
      <c r="AC234" s="62" t="n"/>
      <c r="AD234" s="38" t="n"/>
      <c r="AE234" s="38" t="n"/>
      <c r="AF234" s="61">
        <f>IF(COUNTIF($B$5:B234,B234)=1,1,0)</f>
        <v/>
      </c>
      <c r="AG234" s="62" t="inlineStr">
        <is>
          <t>https://www.semana.com/nacion/articulo/soldado-habria-atacado-a-cuatro-companeros-en-casanare-dos-militares-murieron/202650/</t>
        </is>
      </c>
    </row>
    <row r="235" ht="15" customHeight="1" s="31">
      <c r="A235" s="38" t="inlineStr">
        <is>
          <t>ART_027</t>
        </is>
      </c>
      <c r="B235" s="38" t="inlineStr">
        <is>
          <t>ART_027_S04</t>
        </is>
      </c>
      <c r="C235" s="38" t="inlineStr">
        <is>
          <t>Semana</t>
        </is>
      </c>
      <c r="D235" s="38" t="inlineStr">
        <is>
          <t>Seguridad y orden público</t>
        </is>
      </c>
      <c r="E235" s="38" t="inlineStr">
        <is>
          <t>Noticia dura</t>
        </is>
      </c>
      <c r="F235" s="38" t="inlineStr">
        <is>
          <t>Thu, 03 Sep 2026 23:36:50 +0000</t>
        </is>
      </c>
      <c r="G235" s="62" t="inlineStr">
        <is>
          <t>Sin embargo, las autoridades competentes ahora tratan de establecer la situación que habría provocado la tragedia en Casanare.</t>
        </is>
      </c>
      <c r="H235" s="62" t="inlineStr">
        <is>
          <t>La situación fue de tal gravedad que como consecuencia del presunto ataque, dos soldados fallecieron y otros dos resultaron heridos.</t>
        </is>
      </c>
      <c r="I235" s="62" t="inlineStr">
        <is>
          <t>Desde el Ejército Nacional explicaron que los dos uniformados heridos fueron trasladados de inmediato a un centro hospitalario de la región para recibir atención médica especializada.</t>
        </is>
      </c>
      <c r="J235" s="38" t="n"/>
      <c r="K235" s="62" t="n"/>
      <c r="L235" s="38" t="n"/>
      <c r="M235" s="62" t="n"/>
      <c r="N235" s="38" t="n"/>
      <c r="O235" s="62" t="n"/>
      <c r="P235" s="38" t="n"/>
      <c r="Q235" s="62" t="n"/>
      <c r="R235" s="38" t="n"/>
      <c r="S235" s="62" t="n"/>
      <c r="T235" s="38" t="n"/>
      <c r="U235" s="62" t="n"/>
      <c r="V235" s="38" t="n"/>
      <c r="W235" s="62" t="n"/>
      <c r="X235" s="38" t="n"/>
      <c r="Y235" s="62" t="n"/>
      <c r="Z235" s="38" t="n"/>
      <c r="AA235" s="62" t="n"/>
      <c r="AB235" s="38" t="n"/>
      <c r="AC235" s="62" t="n"/>
      <c r="AD235" s="38" t="n"/>
      <c r="AE235" s="38" t="n"/>
      <c r="AF235" s="61">
        <f>IF(COUNTIF($B$5:B235,B235)=1,1,0)</f>
        <v/>
      </c>
      <c r="AG235" s="62" t="inlineStr">
        <is>
          <t>https://www.semana.com/nacion/articulo/soldado-habria-atacado-a-cuatro-companeros-en-casanare-dos-militares-murieron/202650/</t>
        </is>
      </c>
    </row>
    <row r="236" ht="15" customHeight="1" s="31">
      <c r="A236" s="38" t="inlineStr">
        <is>
          <t>ART_027</t>
        </is>
      </c>
      <c r="B236" s="38" t="inlineStr">
        <is>
          <t>ART_027_S05</t>
        </is>
      </c>
      <c r="C236" s="38" t="inlineStr">
        <is>
          <t>Semana</t>
        </is>
      </c>
      <c r="D236" s="38" t="inlineStr">
        <is>
          <t>Seguridad y orden público</t>
        </is>
      </c>
      <c r="E236" s="38" t="inlineStr">
        <is>
          <t>Noticia dura</t>
        </is>
      </c>
      <c r="F236" s="38" t="inlineStr">
        <is>
          <t>Thu, 03 Sep 2026 23:36:50 +0000</t>
        </is>
      </c>
      <c r="G236" s="62" t="inlineStr">
        <is>
          <t>Desde el Ejército Nacional explicaron que los dos uniformados heridos fueron trasladados de inmediato a un centro hospitalario de la región para recibir atención médica especializada.</t>
        </is>
      </c>
      <c r="H236" s="62" t="inlineStr">
        <is>
          <t>Sin embargo, las autoridades competentes ahora tratan de establecer la situación que habría provocado la tragedia en Casanare.</t>
        </is>
      </c>
      <c r="I236" s="62" t="inlineStr">
        <is>
          <t>Por ahora, el parte médico de los militares es reservado.</t>
        </is>
      </c>
      <c r="J236" s="38" t="n"/>
      <c r="K236" s="62" t="n"/>
      <c r="L236" s="38" t="n"/>
      <c r="M236" s="62" t="n"/>
      <c r="N236" s="38" t="n"/>
      <c r="O236" s="62" t="n"/>
      <c r="P236" s="38" t="n"/>
      <c r="Q236" s="62" t="n"/>
      <c r="R236" s="38" t="n"/>
      <c r="S236" s="62" t="n"/>
      <c r="T236" s="38" t="n"/>
      <c r="U236" s="62" t="n"/>
      <c r="V236" s="38" t="n"/>
      <c r="W236" s="62" t="n"/>
      <c r="X236" s="38" t="n"/>
      <c r="Y236" s="62" t="n"/>
      <c r="Z236" s="38" t="n"/>
      <c r="AA236" s="62" t="n"/>
      <c r="AB236" s="38" t="n"/>
      <c r="AC236" s="62" t="n"/>
      <c r="AD236" s="38" t="n"/>
      <c r="AE236" s="38" t="n"/>
      <c r="AF236" s="61">
        <f>IF(COUNTIF($B$5:B236,B236)=1,1,0)</f>
        <v/>
      </c>
      <c r="AG236" s="62" t="inlineStr">
        <is>
          <t>https://www.semana.com/nacion/articulo/soldado-habria-atacado-a-cuatro-companeros-en-casanare-dos-militares-murieron/202650/</t>
        </is>
      </c>
    </row>
    <row r="237" ht="15" customHeight="1" s="31">
      <c r="A237" s="38" t="inlineStr">
        <is>
          <t>ART_027</t>
        </is>
      </c>
      <c r="B237" s="38" t="inlineStr">
        <is>
          <t>ART_027_S06</t>
        </is>
      </c>
      <c r="C237" s="38" t="inlineStr">
        <is>
          <t>Semana</t>
        </is>
      </c>
      <c r="D237" s="38" t="inlineStr">
        <is>
          <t>Seguridad y orden público</t>
        </is>
      </c>
      <c r="E237" s="38" t="inlineStr">
        <is>
          <t>Noticia dura</t>
        </is>
      </c>
      <c r="F237" s="38" t="inlineStr">
        <is>
          <t>Thu, 03 Sep 2026 23:36:50 +0000</t>
        </is>
      </c>
      <c r="G237" s="62" t="inlineStr">
        <is>
          <t>Por ahora, el parte médico de los militares es reservado.</t>
        </is>
      </c>
      <c r="H237" s="62" t="inlineStr">
        <is>
          <t>Desde el Ejército Nacional explicaron que los dos uniformados heridos fueron trasladados de inmediato a un centro hospitalario de la región para recibir atención médica especializada.</t>
        </is>
      </c>
      <c r="I237" s="62" t="inlineStr">
        <is>
          <t>El Comando de la Décima Sexta Brigada anunció que se activaron todos los protocolos de seguridad establecidos y coordinó con las autoridades competentes el desarrollo de los actos urgentes y las labores investigativas.</t>
        </is>
      </c>
      <c r="J237" s="38" t="n"/>
      <c r="K237" s="62" t="n"/>
      <c r="L237" s="38" t="n"/>
      <c r="M237" s="62" t="n"/>
      <c r="N237" s="38" t="n"/>
      <c r="O237" s="62" t="n"/>
      <c r="P237" s="38" t="n"/>
      <c r="Q237" s="62" t="n"/>
      <c r="R237" s="38" t="n"/>
      <c r="S237" s="62" t="n"/>
      <c r="T237" s="38" t="n"/>
      <c r="U237" s="62" t="n"/>
      <c r="V237" s="38" t="n"/>
      <c r="W237" s="62" t="n"/>
      <c r="X237" s="38" t="n"/>
      <c r="Y237" s="62" t="n"/>
      <c r="Z237" s="38" t="n"/>
      <c r="AA237" s="62" t="n"/>
      <c r="AB237" s="38" t="n"/>
      <c r="AC237" s="62" t="n"/>
      <c r="AD237" s="38" t="n"/>
      <c r="AE237" s="38" t="n"/>
      <c r="AF237" s="61">
        <f>IF(COUNTIF($B$5:B237,B237)=1,1,0)</f>
        <v/>
      </c>
      <c r="AG237" s="62" t="inlineStr">
        <is>
          <t>https://www.semana.com/nacion/articulo/soldado-habria-atacado-a-cuatro-companeros-en-casanare-dos-militares-murieron/202650/</t>
        </is>
      </c>
    </row>
    <row r="238" ht="15" customHeight="1" s="31">
      <c r="A238" s="38" t="inlineStr">
        <is>
          <t>ART_027</t>
        </is>
      </c>
      <c r="B238" s="38" t="inlineStr">
        <is>
          <t>ART_027_S07</t>
        </is>
      </c>
      <c r="C238" s="38" t="inlineStr">
        <is>
          <t>Semana</t>
        </is>
      </c>
      <c r="D238" s="38" t="inlineStr">
        <is>
          <t>Seguridad y orden público</t>
        </is>
      </c>
      <c r="E238" s="38" t="inlineStr">
        <is>
          <t>Noticia dura</t>
        </is>
      </c>
      <c r="F238" s="38" t="inlineStr">
        <is>
          <t>Thu, 03 Sep 2026 23:36:50 +0000</t>
        </is>
      </c>
      <c r="G238" s="62" t="inlineStr">
        <is>
          <t>El Comando de la Décima Sexta Brigada anunció que se activaron todos los protocolos de seguridad establecidos y coordinó con las autoridades competentes el desarrollo de los actos urgentes y las labores investigativas.</t>
        </is>
      </c>
      <c r="H238" s="62" t="inlineStr">
        <is>
          <t>Por ahora, el parte médico de los militares es reservado.</t>
        </is>
      </c>
      <c r="I238" s="62" t="inlineStr">
        <is>
          <t>Esas indagaciones dejaron sobre la mesa las circunstancias de tiempo, modo y lugar detrás de ese acto de intolerancia que dejó dos soldados muertos y otros dos heridos por un militar que habría accionado su arma de dotación.</t>
        </is>
      </c>
      <c r="J238" s="38" t="n"/>
      <c r="K238" s="62" t="n"/>
      <c r="L238" s="38" t="n"/>
      <c r="M238" s="62" t="n"/>
      <c r="N238" s="38" t="n"/>
      <c r="O238" s="62" t="n"/>
      <c r="P238" s="38" t="n"/>
      <c r="Q238" s="62" t="n"/>
      <c r="R238" s="38" t="n"/>
      <c r="S238" s="62" t="n"/>
      <c r="T238" s="38" t="n"/>
      <c r="U238" s="62" t="n"/>
      <c r="V238" s="38" t="n"/>
      <c r="W238" s="62" t="n"/>
      <c r="X238" s="38" t="n"/>
      <c r="Y238" s="62" t="n"/>
      <c r="Z238" s="38" t="n"/>
      <c r="AA238" s="62" t="n"/>
      <c r="AB238" s="38" t="n"/>
      <c r="AC238" s="62" t="n"/>
      <c r="AD238" s="38" t="n"/>
      <c r="AE238" s="38" t="n"/>
      <c r="AF238" s="61">
        <f>IF(COUNTIF($B$5:B238,B238)=1,1,0)</f>
        <v/>
      </c>
      <c r="AG238" s="62" t="inlineStr">
        <is>
          <t>https://www.semana.com/nacion/articulo/soldado-habria-atacado-a-cuatro-companeros-en-casanare-dos-militares-murieron/202650/</t>
        </is>
      </c>
    </row>
    <row r="239" ht="15" customHeight="1" s="31">
      <c r="A239" s="38" t="inlineStr">
        <is>
          <t>ART_027</t>
        </is>
      </c>
      <c r="B239" s="38" t="inlineStr">
        <is>
          <t>ART_027_S08</t>
        </is>
      </c>
      <c r="C239" s="38" t="inlineStr">
        <is>
          <t>Semana</t>
        </is>
      </c>
      <c r="D239" s="38" t="inlineStr">
        <is>
          <t>Seguridad y orden público</t>
        </is>
      </c>
      <c r="E239" s="38" t="inlineStr">
        <is>
          <t>Noticia dura</t>
        </is>
      </c>
      <c r="F239" s="38" t="inlineStr">
        <is>
          <t>Thu, 03 Sep 2026 23:36:50 +0000</t>
        </is>
      </c>
      <c r="G239" s="62" t="inlineStr">
        <is>
          <t>Esas indagaciones dejaron sobre la mesa las circunstancias de tiempo, modo y lugar detrás de ese acto de intolerancia que dejó dos soldados muertos y otros dos heridos por un militar que habría accionado su arma de dotación.</t>
        </is>
      </c>
      <c r="H239" s="62" t="inlineStr">
        <is>
          <t>El Comando de la Décima Sexta Brigada anunció que se activaron todos los protocolos de seguridad establecidos y coordinó con las autoridades competentes el desarrollo de los actos urgentes y las labores investigativas.</t>
        </is>
      </c>
      <c r="I239" s="62" t="inlineStr">
        <is>
          <t>El Ejército Nacional también activó las medidas correspondientes para garantizar el desarrollo de las investigaciones y brindará toda la colaboración necesaria para que las autoridades judiciales puedan esclarecer este hecho de violencia ocurrido en el municipio de Aguazul.</t>
        </is>
      </c>
      <c r="J239" s="38" t="n"/>
      <c r="K239" s="62" t="n"/>
      <c r="L239" s="38" t="n"/>
      <c r="M239" s="62" t="n"/>
      <c r="N239" s="38" t="n"/>
      <c r="O239" s="62" t="n"/>
      <c r="P239" s="38" t="n"/>
      <c r="Q239" s="62" t="n"/>
      <c r="R239" s="38" t="n"/>
      <c r="S239" s="62" t="n"/>
      <c r="T239" s="38" t="n"/>
      <c r="U239" s="62" t="n"/>
      <c r="V239" s="38" t="n"/>
      <c r="W239" s="62" t="n"/>
      <c r="X239" s="38" t="n"/>
      <c r="Y239" s="62" t="n"/>
      <c r="Z239" s="38" t="n"/>
      <c r="AA239" s="62" t="n"/>
      <c r="AB239" s="38" t="n"/>
      <c r="AC239" s="62" t="n"/>
      <c r="AD239" s="38" t="n"/>
      <c r="AE239" s="38" t="n"/>
      <c r="AF239" s="61">
        <f>IF(COUNTIF($B$5:B239,B239)=1,1,0)</f>
        <v/>
      </c>
      <c r="AG239" s="62" t="inlineStr">
        <is>
          <t>https://www.semana.com/nacion/articulo/soldado-habria-atacado-a-cuatro-companeros-en-casanare-dos-militares-murieron/202650/</t>
        </is>
      </c>
    </row>
    <row r="240" ht="15" customHeight="1" s="31">
      <c r="A240" s="38" t="inlineStr">
        <is>
          <t>ART_027</t>
        </is>
      </c>
      <c r="B240" s="38" t="inlineStr">
        <is>
          <t>ART_027_S09</t>
        </is>
      </c>
      <c r="C240" s="38" t="inlineStr">
        <is>
          <t>Semana</t>
        </is>
      </c>
      <c r="D240" s="38" t="inlineStr">
        <is>
          <t>Seguridad y orden público</t>
        </is>
      </c>
      <c r="E240" s="38" t="inlineStr">
        <is>
          <t>Noticia dura</t>
        </is>
      </c>
      <c r="F240" s="38" t="inlineStr">
        <is>
          <t>Thu, 03 Sep 2026 23:36:50 +0000</t>
        </is>
      </c>
      <c r="G240" s="62" t="inlineStr">
        <is>
          <t>El Ejército Nacional también activó las medidas correspondientes para garantizar el desarrollo de las investigaciones y brindará toda la colaboración necesaria para que las autoridades judiciales puedan esclarecer este hecho de violencia ocurrido en el municipio de Aguazul.</t>
        </is>
      </c>
      <c r="H240" s="62" t="inlineStr">
        <is>
          <t>Esas indagaciones dejaron sobre la mesa las circunstancias de tiempo, modo y lugar detrás de ese acto de intolerancia que dejó dos soldados muertos y otros dos heridos por un militar que habría accionado su arma de dotación.</t>
        </is>
      </c>
      <c r="I240" s="62" t="inlineStr">
        <is>
          <t>Desde la institución manifestaron: “Lamenta profundamente este hecho y expresa sus condolencias a los familiares y allegados de los dos militares fallecidos, al tiempo que desea una pronta recuperación a los soldados que resultaron heridos”.</t>
        </is>
      </c>
      <c r="J240" s="38" t="n"/>
      <c r="K240" s="62" t="n"/>
      <c r="L240" s="38" t="n"/>
      <c r="M240" s="62" t="n"/>
      <c r="N240" s="38" t="n"/>
      <c r="O240" s="62" t="n"/>
      <c r="P240" s="38" t="n"/>
      <c r="Q240" s="62" t="n"/>
      <c r="R240" s="38" t="n"/>
      <c r="S240" s="62" t="n"/>
      <c r="T240" s="38" t="n"/>
      <c r="U240" s="62" t="n"/>
      <c r="V240" s="38" t="n"/>
      <c r="W240" s="62" t="n"/>
      <c r="X240" s="38" t="n"/>
      <c r="Y240" s="62" t="n"/>
      <c r="Z240" s="38" t="n"/>
      <c r="AA240" s="62" t="n"/>
      <c r="AB240" s="38" t="n"/>
      <c r="AC240" s="62" t="n"/>
      <c r="AD240" s="38" t="n"/>
      <c r="AE240" s="38" t="n"/>
      <c r="AF240" s="61">
        <f>IF(COUNTIF($B$5:B240,B240)=1,1,0)</f>
        <v/>
      </c>
      <c r="AG240" s="62" t="inlineStr">
        <is>
          <t>https://www.semana.com/nacion/articulo/soldado-habria-atacado-a-cuatro-companeros-en-casanare-dos-militares-murieron/202650/</t>
        </is>
      </c>
    </row>
    <row r="241" ht="15" customHeight="1" s="31">
      <c r="A241" s="38" t="inlineStr">
        <is>
          <t>ART_027</t>
        </is>
      </c>
      <c r="B241" s="38" t="inlineStr">
        <is>
          <t>ART_027_S10</t>
        </is>
      </c>
      <c r="C241" s="38" t="inlineStr">
        <is>
          <t>Semana</t>
        </is>
      </c>
      <c r="D241" s="38" t="inlineStr">
        <is>
          <t>Seguridad y orden público</t>
        </is>
      </c>
      <c r="E241" s="38" t="inlineStr">
        <is>
          <t>Noticia dura</t>
        </is>
      </c>
      <c r="F241" s="38" t="inlineStr">
        <is>
          <t>Thu, 03 Sep 2026 23:36:50 +0000</t>
        </is>
      </c>
      <c r="G241" s="62" t="inlineStr">
        <is>
          <t>Desde la institución manifestaron: “Lamenta profundamente este hecho y expresa sus condolencias a los familiares y allegados de los dos militares fallecidos, al tiempo que desea una pronta recuperación a los soldados que resultaron heridos”.</t>
        </is>
      </c>
      <c r="H241" s="62" t="inlineStr">
        <is>
          <t>El Ejército Nacional también activó las medidas correspondientes para garantizar el desarrollo de las investigaciones y brindará toda la colaboración necesaria para que las autoridades judiciales puedan esclarecer este hecho de violencia ocurrido en el municipio de Aguazul.</t>
        </is>
      </c>
      <c r="I241" s="62" t="n"/>
      <c r="J241" s="38" t="n"/>
      <c r="K241" s="62" t="n"/>
      <c r="L241" s="38" t="n"/>
      <c r="M241" s="62" t="n"/>
      <c r="N241" s="38" t="n"/>
      <c r="O241" s="62" t="n"/>
      <c r="P241" s="38" t="n"/>
      <c r="Q241" s="62" t="n"/>
      <c r="R241" s="38" t="n"/>
      <c r="S241" s="62" t="n"/>
      <c r="T241" s="38" t="n"/>
      <c r="U241" s="62" t="n"/>
      <c r="V241" s="38" t="n"/>
      <c r="W241" s="62" t="n"/>
      <c r="X241" s="38" t="n"/>
      <c r="Y241" s="62" t="n"/>
      <c r="Z241" s="38" t="n"/>
      <c r="AA241" s="62" t="n"/>
      <c r="AB241" s="38" t="n"/>
      <c r="AC241" s="62" t="n"/>
      <c r="AD241" s="38" t="n"/>
      <c r="AE241" s="38" t="n"/>
      <c r="AF241" s="61">
        <f>IF(COUNTIF($B$5:B241,B241)=1,1,0)</f>
        <v/>
      </c>
      <c r="AG241" s="62" t="inlineStr">
        <is>
          <t>https://www.semana.com/nacion/articulo/soldado-habria-atacado-a-cuatro-companeros-en-casanare-dos-militares-murieron/202650/</t>
        </is>
      </c>
    </row>
    <row r="242" ht="15" customHeight="1" s="31">
      <c r="A242" s="38" t="inlineStr">
        <is>
          <t>ART_028</t>
        </is>
      </c>
      <c r="B242" s="38" t="inlineStr">
        <is>
          <t>ART_028_S01</t>
        </is>
      </c>
      <c r="C242" s="38" t="inlineStr">
        <is>
          <t>Semana</t>
        </is>
      </c>
      <c r="D242" s="38" t="inlineStr">
        <is>
          <t>Relación con Estados Unidos</t>
        </is>
      </c>
      <c r="E242" s="38" t="inlineStr">
        <is>
          <t>Opinión-análisis</t>
        </is>
      </c>
      <c r="F242" s="38" t="inlineStr">
        <is>
          <t>Sat, 05 Sep 2026 05:00:46 +0000</t>
        </is>
      </c>
      <c r="G242" s="62" t="inlineStr">
        <is>
          <t>Impúdico.</t>
        </is>
      </c>
      <c r="H242" s="62" t="n"/>
      <c r="I242" s="62" t="inlineStr">
        <is>
          <t>Es la palabra exacta.</t>
        </is>
      </c>
      <c r="J242" s="38" t="n"/>
      <c r="K242" s="62" t="n"/>
      <c r="L242" s="38" t="n"/>
      <c r="M242" s="62" t="n"/>
      <c r="N242" s="38" t="n"/>
      <c r="O242" s="62" t="n"/>
      <c r="P242" s="38" t="n"/>
      <c r="Q242" s="62" t="n"/>
      <c r="R242" s="38" t="n"/>
      <c r="S242" s="62" t="n"/>
      <c r="T242" s="38" t="n"/>
      <c r="U242" s="62" t="n"/>
      <c r="V242" s="38" t="n"/>
      <c r="W242" s="62" t="n"/>
      <c r="X242" s="38" t="n"/>
      <c r="Y242" s="62" t="n"/>
      <c r="Z242" s="38" t="n"/>
      <c r="AA242" s="62" t="n"/>
      <c r="AB242" s="38" t="n"/>
      <c r="AC242" s="62" t="n"/>
      <c r="AD242" s="38" t="n"/>
      <c r="AE242" s="38" t="n"/>
      <c r="AF242" s="61">
        <f>IF(COUNTIF($B$5:B242,B242)=1,1,0)</f>
        <v/>
      </c>
      <c r="AG242" s="62" t="inlineStr">
        <is>
          <t>https://www.semana.com/opinion/articulo/impudico/202646/</t>
        </is>
      </c>
    </row>
    <row r="243" ht="15" customHeight="1" s="31">
      <c r="A243" s="38" t="inlineStr">
        <is>
          <t>ART_028</t>
        </is>
      </c>
      <c r="B243" s="38" t="inlineStr">
        <is>
          <t>ART_028_S02</t>
        </is>
      </c>
      <c r="C243" s="38" t="inlineStr">
        <is>
          <t>Semana</t>
        </is>
      </c>
      <c r="D243" s="38" t="inlineStr">
        <is>
          <t>Relación con Estados Unidos</t>
        </is>
      </c>
      <c r="E243" s="38" t="inlineStr">
        <is>
          <t>Opinión-análisis</t>
        </is>
      </c>
      <c r="F243" s="38" t="inlineStr">
        <is>
          <t>Sat, 05 Sep 2026 05:00:46 +0000</t>
        </is>
      </c>
      <c r="G243" s="62" t="inlineStr">
        <is>
          <t>Es la palabra exacta.</t>
        </is>
      </c>
      <c r="H243" s="62" t="inlineStr">
        <is>
          <t>Impúdico.</t>
        </is>
      </c>
      <c r="I243" s="62" t="inlineStr">
        <is>
          <t>No hay otra que capture mejor la esencia del acuerdo petrolero entre Estados Unidos y Venezuela.</t>
        </is>
      </c>
      <c r="J243" s="38" t="n"/>
      <c r="K243" s="62" t="n"/>
      <c r="L243" s="38" t="n"/>
      <c r="M243" s="62" t="n"/>
      <c r="N243" s="38" t="n"/>
      <c r="O243" s="62" t="n"/>
      <c r="P243" s="38" t="n"/>
      <c r="Q243" s="62" t="n"/>
      <c r="R243" s="38" t="n"/>
      <c r="S243" s="62" t="n"/>
      <c r="T243" s="38" t="n"/>
      <c r="U243" s="62" t="n"/>
      <c r="V243" s="38" t="n"/>
      <c r="W243" s="62" t="n"/>
      <c r="X243" s="38" t="n"/>
      <c r="Y243" s="62" t="n"/>
      <c r="Z243" s="38" t="n"/>
      <c r="AA243" s="62" t="n"/>
      <c r="AB243" s="38" t="n"/>
      <c r="AC243" s="62" t="n"/>
      <c r="AD243" s="38" t="n"/>
      <c r="AE243" s="38" t="n"/>
      <c r="AF243" s="61">
        <f>IF(COUNTIF($B$5:B243,B243)=1,1,0)</f>
        <v/>
      </c>
      <c r="AG243" s="62" t="inlineStr">
        <is>
          <t>https://www.semana.com/opinion/articulo/impudico/202646/</t>
        </is>
      </c>
    </row>
    <row r="244" ht="15" customHeight="1" s="31">
      <c r="A244" s="38" t="inlineStr">
        <is>
          <t>ART_028</t>
        </is>
      </c>
      <c r="B244" s="38" t="inlineStr">
        <is>
          <t>ART_028_S03</t>
        </is>
      </c>
      <c r="C244" s="38" t="inlineStr">
        <is>
          <t>Semana</t>
        </is>
      </c>
      <c r="D244" s="38" t="inlineStr">
        <is>
          <t>Relación con Estados Unidos</t>
        </is>
      </c>
      <c r="E244" s="38" t="inlineStr">
        <is>
          <t>Opinión-análisis</t>
        </is>
      </c>
      <c r="F244" s="38" t="inlineStr">
        <is>
          <t>Sat, 05 Sep 2026 05:00:46 +0000</t>
        </is>
      </c>
      <c r="G244" s="62" t="inlineStr">
        <is>
          <t>No hay otra que capture mejor la esencia del acuerdo petrolero entre Estados Unidos y Venezuela.</t>
        </is>
      </c>
      <c r="H244" s="62" t="inlineStr">
        <is>
          <t>Es la palabra exacta.</t>
        </is>
      </c>
      <c r="I244" s="62" t="inlineStr">
        <is>
          <t>Es un pacto que desviste las intenciones, que quita el velo de la retórica diplomática y nos deja frente a frente con la cruda realidad del pragmatismo geopolítico.</t>
        </is>
      </c>
      <c r="J244" s="38" t="n"/>
      <c r="K244" s="62" t="n"/>
      <c r="L244" s="38" t="n"/>
      <c r="M244" s="62" t="n"/>
      <c r="N244" s="38" t="n"/>
      <c r="O244" s="62" t="n"/>
      <c r="P244" s="38" t="n"/>
      <c r="Q244" s="62" t="n"/>
      <c r="R244" s="38" t="n"/>
      <c r="S244" s="62" t="n"/>
      <c r="T244" s="38" t="n"/>
      <c r="U244" s="62" t="n"/>
      <c r="V244" s="38" t="n"/>
      <c r="W244" s="62" t="n"/>
      <c r="X244" s="38" t="n"/>
      <c r="Y244" s="62" t="n"/>
      <c r="Z244" s="38" t="n"/>
      <c r="AA244" s="62" t="n"/>
      <c r="AB244" s="38" t="n"/>
      <c r="AC244" s="62" t="n"/>
      <c r="AD244" s="38" t="n"/>
      <c r="AE244" s="38" t="n"/>
      <c r="AF244" s="61">
        <f>IF(COUNTIF($B$5:B244,B244)=1,1,0)</f>
        <v/>
      </c>
      <c r="AG244" s="62" t="inlineStr">
        <is>
          <t>https://www.semana.com/opinion/articulo/impudico/202646/</t>
        </is>
      </c>
    </row>
    <row r="245" ht="15" customHeight="1" s="31">
      <c r="A245" s="38" t="inlineStr">
        <is>
          <t>ART_028</t>
        </is>
      </c>
      <c r="B245" s="38" t="inlineStr">
        <is>
          <t>ART_028_S04</t>
        </is>
      </c>
      <c r="C245" s="38" t="inlineStr">
        <is>
          <t>Semana</t>
        </is>
      </c>
      <c r="D245" s="38" t="inlineStr">
        <is>
          <t>Relación con Estados Unidos</t>
        </is>
      </c>
      <c r="E245" s="38" t="inlineStr">
        <is>
          <t>Opinión-análisis</t>
        </is>
      </c>
      <c r="F245" s="38" t="inlineStr">
        <is>
          <t>Sat, 05 Sep 2026 05:00:46 +0000</t>
        </is>
      </c>
      <c r="G245" s="62" t="inlineStr">
        <is>
          <t>Es un pacto que desviste las intenciones, que quita el velo de la retórica diplomática y nos deja frente a frente con la cruda realidad del pragmatismo geopolítico.</t>
        </is>
      </c>
      <c r="H245" s="62" t="inlineStr">
        <is>
          <t>No hay otra que capture mejor la esencia del acuerdo petrolero entre Estados Unidos y Venezuela.</t>
        </is>
      </c>
      <c r="I245" s="62" t="inlineStr">
        <is>
          <t>Para entender este histórico giro, hay que dividir la historia en dos actos: el de Washington y el de Caracas.</t>
        </is>
      </c>
      <c r="J245" s="38" t="n"/>
      <c r="K245" s="62" t="n"/>
      <c r="L245" s="38" t="n"/>
      <c r="M245" s="62" t="n"/>
      <c r="N245" s="38" t="n"/>
      <c r="O245" s="62" t="n"/>
      <c r="P245" s="38" t="n"/>
      <c r="Q245" s="62" t="n"/>
      <c r="R245" s="38" t="n"/>
      <c r="S245" s="62" t="n"/>
      <c r="T245" s="38" t="n"/>
      <c r="U245" s="62" t="n"/>
      <c r="V245" s="38" t="n"/>
      <c r="W245" s="62" t="n"/>
      <c r="X245" s="38" t="n"/>
      <c r="Y245" s="62" t="n"/>
      <c r="Z245" s="38" t="n"/>
      <c r="AA245" s="62" t="n"/>
      <c r="AB245" s="38" t="n"/>
      <c r="AC245" s="62" t="n"/>
      <c r="AD245" s="38" t="n"/>
      <c r="AE245" s="38" t="n"/>
      <c r="AF245" s="61">
        <f>IF(COUNTIF($B$5:B245,B245)=1,1,0)</f>
        <v/>
      </c>
      <c r="AG245" s="62" t="inlineStr">
        <is>
          <t>https://www.semana.com/opinion/articulo/impudico/202646/</t>
        </is>
      </c>
    </row>
    <row r="246" ht="15" customHeight="1" s="31">
      <c r="A246" s="38" t="inlineStr">
        <is>
          <t>ART_028</t>
        </is>
      </c>
      <c r="B246" s="38" t="inlineStr">
        <is>
          <t>ART_028_S05</t>
        </is>
      </c>
      <c r="C246" s="38" t="inlineStr">
        <is>
          <t>Semana</t>
        </is>
      </c>
      <c r="D246" s="38" t="inlineStr">
        <is>
          <t>Relación con Estados Unidos</t>
        </is>
      </c>
      <c r="E246" s="38" t="inlineStr">
        <is>
          <t>Opinión-análisis</t>
        </is>
      </c>
      <c r="F246" s="38" t="inlineStr">
        <is>
          <t>Sat, 05 Sep 2026 05:00:46 +0000</t>
        </is>
      </c>
      <c r="G246" s="62" t="inlineStr">
        <is>
          <t>Para entender este histórico giro, hay que dividir la historia en dos actos: el de Washington y el de Caracas.</t>
        </is>
      </c>
      <c r="H246" s="62" t="inlineStr">
        <is>
          <t>Es un pacto que desviste las intenciones, que quita el velo de la retórica diplomática y nos deja frente a frente con la cruda realidad del pragmatismo geopolítico.</t>
        </is>
      </c>
      <c r="I246" s="62" t="inlineStr">
        <is>
          <t>Me explico.</t>
        </is>
      </c>
      <c r="J246" s="38" t="n"/>
      <c r="K246" s="62" t="n"/>
      <c r="L246" s="38" t="n"/>
      <c r="M246" s="62" t="n"/>
      <c r="N246" s="38" t="n"/>
      <c r="O246" s="62" t="n"/>
      <c r="P246" s="38" t="n"/>
      <c r="Q246" s="62" t="n"/>
      <c r="R246" s="38" t="n"/>
      <c r="S246" s="62" t="n"/>
      <c r="T246" s="38" t="n"/>
      <c r="U246" s="62" t="n"/>
      <c r="V246" s="38" t="n"/>
      <c r="W246" s="62" t="n"/>
      <c r="X246" s="38" t="n"/>
      <c r="Y246" s="62" t="n"/>
      <c r="Z246" s="38" t="n"/>
      <c r="AA246" s="62" t="n"/>
      <c r="AB246" s="38" t="n"/>
      <c r="AC246" s="62" t="n"/>
      <c r="AD246" s="38" t="n"/>
      <c r="AE246" s="38" t="n"/>
      <c r="AF246" s="61">
        <f>IF(COUNTIF($B$5:B246,B246)=1,1,0)</f>
        <v/>
      </c>
      <c r="AG246" s="62" t="inlineStr">
        <is>
          <t>https://www.semana.com/opinion/articulo/impudico/202646/</t>
        </is>
      </c>
    </row>
    <row r="247" ht="15" customHeight="1" s="31">
      <c r="A247" s="38" t="inlineStr">
        <is>
          <t>ART_028</t>
        </is>
      </c>
      <c r="B247" s="38" t="inlineStr">
        <is>
          <t>ART_028_S06</t>
        </is>
      </c>
      <c r="C247" s="38" t="inlineStr">
        <is>
          <t>Semana</t>
        </is>
      </c>
      <c r="D247" s="38" t="inlineStr">
        <is>
          <t>Relación con Estados Unidos</t>
        </is>
      </c>
      <c r="E247" s="38" t="inlineStr">
        <is>
          <t>Opinión-análisis</t>
        </is>
      </c>
      <c r="F247" s="38" t="inlineStr">
        <is>
          <t>Sat, 05 Sep 2026 05:00:46 +0000</t>
        </is>
      </c>
      <c r="G247" s="62" t="inlineStr">
        <is>
          <t>Me explico.</t>
        </is>
      </c>
      <c r="H247" s="62" t="inlineStr">
        <is>
          <t>Para entender este histórico giro, hay que dividir la historia en dos actos: el de Washington y el de Caracas.</t>
        </is>
      </c>
      <c r="I247" s="62" t="inlineStr">
        <is>
          <t>Desde la óptica estadounidense, estamos ante un cambio de paradigma excepcional.</t>
        </is>
      </c>
      <c r="J247" s="38" t="n"/>
      <c r="K247" s="62" t="n"/>
      <c r="L247" s="38" t="n"/>
      <c r="M247" s="62" t="n"/>
      <c r="N247" s="38" t="n"/>
      <c r="O247" s="62" t="n"/>
      <c r="P247" s="38" t="n"/>
      <c r="Q247" s="62" t="n"/>
      <c r="R247" s="38" t="n"/>
      <c r="S247" s="62" t="n"/>
      <c r="T247" s="38" t="n"/>
      <c r="U247" s="62" t="n"/>
      <c r="V247" s="38" t="n"/>
      <c r="W247" s="62" t="n"/>
      <c r="X247" s="38" t="n"/>
      <c r="Y247" s="62" t="n"/>
      <c r="Z247" s="38" t="n"/>
      <c r="AA247" s="62" t="n"/>
      <c r="AB247" s="38" t="n"/>
      <c r="AC247" s="62" t="n"/>
      <c r="AD247" s="38" t="n"/>
      <c r="AE247" s="38" t="n"/>
      <c r="AF247" s="61">
        <f>IF(COUNTIF($B$5:B247,B247)=1,1,0)</f>
        <v/>
      </c>
      <c r="AG247" s="62" t="inlineStr">
        <is>
          <t>https://www.semana.com/opinion/articulo/impudico/202646/</t>
        </is>
      </c>
    </row>
    <row r="248" ht="15" customHeight="1" s="31">
      <c r="A248" s="38" t="inlineStr">
        <is>
          <t>ART_028</t>
        </is>
      </c>
      <c r="B248" s="38" t="inlineStr">
        <is>
          <t>ART_028_S07</t>
        </is>
      </c>
      <c r="C248" s="38" t="inlineStr">
        <is>
          <t>Semana</t>
        </is>
      </c>
      <c r="D248" s="38" t="inlineStr">
        <is>
          <t>Relación con Estados Unidos</t>
        </is>
      </c>
      <c r="E248" s="38" t="inlineStr">
        <is>
          <t>Opinión-análisis</t>
        </is>
      </c>
      <c r="F248" s="38" t="inlineStr">
        <is>
          <t>Sat, 05 Sep 2026 05:00:46 +0000</t>
        </is>
      </c>
      <c r="G248" s="62" t="inlineStr">
        <is>
          <t>Desde la óptica estadounidense, estamos ante un cambio de paradigma excepcional.</t>
        </is>
      </c>
      <c r="H248" s="62" t="inlineStr">
        <is>
          <t>Me explico.</t>
        </is>
      </c>
      <c r="I248" s="62" t="inlineStr">
        <is>
          <t>Es el fin de la era de la dependencia ciega de Oriente Medio.</t>
        </is>
      </c>
      <c r="J248" s="38" t="n"/>
      <c r="K248" s="62" t="n"/>
      <c r="L248" s="38" t="n"/>
      <c r="M248" s="62" t="n"/>
      <c r="N248" s="38" t="n"/>
      <c r="O248" s="62" t="n"/>
      <c r="P248" s="38" t="n"/>
      <c r="Q248" s="62" t="n"/>
      <c r="R248" s="38" t="n"/>
      <c r="S248" s="62" t="n"/>
      <c r="T248" s="38" t="n"/>
      <c r="U248" s="62" t="n"/>
      <c r="V248" s="38" t="n"/>
      <c r="W248" s="62" t="n"/>
      <c r="X248" s="38" t="n"/>
      <c r="Y248" s="62" t="n"/>
      <c r="Z248" s="38" t="n"/>
      <c r="AA248" s="62" t="n"/>
      <c r="AB248" s="38" t="n"/>
      <c r="AC248" s="62" t="n"/>
      <c r="AD248" s="38" t="n"/>
      <c r="AE248" s="38" t="n"/>
      <c r="AF248" s="61">
        <f>IF(COUNTIF($B$5:B248,B248)=1,1,0)</f>
        <v/>
      </c>
      <c r="AG248" s="62" t="inlineStr">
        <is>
          <t>https://www.semana.com/opinion/articulo/impudico/202646/</t>
        </is>
      </c>
    </row>
    <row r="249" ht="15" customHeight="1" s="31">
      <c r="A249" s="38" t="inlineStr">
        <is>
          <t>ART_028</t>
        </is>
      </c>
      <c r="B249" s="38" t="inlineStr">
        <is>
          <t>ART_028_S08</t>
        </is>
      </c>
      <c r="C249" s="38" t="inlineStr">
        <is>
          <t>Semana</t>
        </is>
      </c>
      <c r="D249" s="38" t="inlineStr">
        <is>
          <t>Relación con Estados Unidos</t>
        </is>
      </c>
      <c r="E249" s="38" t="inlineStr">
        <is>
          <t>Opinión-análisis</t>
        </is>
      </c>
      <c r="F249" s="38" t="inlineStr">
        <is>
          <t>Sat, 05 Sep 2026 05:00:46 +0000</t>
        </is>
      </c>
      <c r="G249" s="62" t="inlineStr">
        <is>
          <t>Es el fin de la era de la dependencia ciega de Oriente Medio.</t>
        </is>
      </c>
      <c r="H249" s="62" t="inlineStr">
        <is>
          <t>Desde la óptica estadounidense, estamos ante un cambio de paradigma excepcional.</t>
        </is>
      </c>
      <c r="I249" s="62" t="inlineStr">
        <is>
          <t>Es mover el eje gravitacional del petróleo desde las arenas árabes hacia nuestra propia región, hacia América Latina.</t>
        </is>
      </c>
      <c r="J249" s="38" t="n"/>
      <c r="K249" s="62" t="n"/>
      <c r="L249" s="38" t="n"/>
      <c r="M249" s="62" t="n"/>
      <c r="N249" s="38" t="n"/>
      <c r="O249" s="62" t="n"/>
      <c r="P249" s="38" t="n"/>
      <c r="Q249" s="62" t="n"/>
      <c r="R249" s="38" t="n"/>
      <c r="S249" s="62" t="n"/>
      <c r="T249" s="38" t="n"/>
      <c r="U249" s="62" t="n"/>
      <c r="V249" s="38" t="n"/>
      <c r="W249" s="62" t="n"/>
      <c r="X249" s="38" t="n"/>
      <c r="Y249" s="62" t="n"/>
      <c r="Z249" s="38" t="n"/>
      <c r="AA249" s="62" t="n"/>
      <c r="AB249" s="38" t="n"/>
      <c r="AC249" s="62" t="n"/>
      <c r="AD249" s="38" t="n"/>
      <c r="AE249" s="38" t="n"/>
      <c r="AF249" s="61">
        <f>IF(COUNTIF($B$5:B249,B249)=1,1,0)</f>
        <v/>
      </c>
      <c r="AG249" s="62" t="inlineStr">
        <is>
          <t>https://www.semana.com/opinion/articulo/impudico/202646/</t>
        </is>
      </c>
    </row>
    <row r="250" ht="15" customHeight="1" s="31">
      <c r="A250" s="38" t="inlineStr">
        <is>
          <t>ART_028</t>
        </is>
      </c>
      <c r="B250" s="38" t="inlineStr">
        <is>
          <t>ART_028_S09</t>
        </is>
      </c>
      <c r="C250" s="38" t="inlineStr">
        <is>
          <t>Semana</t>
        </is>
      </c>
      <c r="D250" s="38" t="inlineStr">
        <is>
          <t>Relación con Estados Unidos</t>
        </is>
      </c>
      <c r="E250" s="38" t="inlineStr">
        <is>
          <t>Opinión-análisis</t>
        </is>
      </c>
      <c r="F250" s="38" t="inlineStr">
        <is>
          <t>Sat, 05 Sep 2026 05:00:46 +0000</t>
        </is>
      </c>
      <c r="G250" s="62" t="inlineStr">
        <is>
          <t>Es mover el eje gravitacional del petróleo desde las arenas árabes hacia nuestra propia región, hacia América Latina.</t>
        </is>
      </c>
      <c r="H250" s="62" t="inlineStr">
        <is>
          <t>Es el fin de la era de la dependencia ciega de Oriente Medio.</t>
        </is>
      </c>
      <c r="I250" s="62" t="inlineStr">
        <is>
          <t>No es un tema menor.</t>
        </is>
      </c>
      <c r="J250" s="38" t="n"/>
      <c r="K250" s="62" t="n"/>
      <c r="L250" s="38" t="n"/>
      <c r="M250" s="62" t="n"/>
      <c r="N250" s="38" t="n"/>
      <c r="O250" s="62" t="n"/>
      <c r="P250" s="38" t="n"/>
      <c r="Q250" s="62" t="n"/>
      <c r="R250" s="38" t="n"/>
      <c r="S250" s="62" t="n"/>
      <c r="T250" s="38" t="n"/>
      <c r="U250" s="62" t="n"/>
      <c r="V250" s="38" t="n"/>
      <c r="W250" s="62" t="n"/>
      <c r="X250" s="38" t="n"/>
      <c r="Y250" s="62" t="n"/>
      <c r="Z250" s="38" t="n"/>
      <c r="AA250" s="62" t="n"/>
      <c r="AB250" s="38" t="n"/>
      <c r="AC250" s="62" t="n"/>
      <c r="AD250" s="38" t="n"/>
      <c r="AE250" s="38" t="n"/>
      <c r="AF250" s="61">
        <f>IF(COUNTIF($B$5:B250,B250)=1,1,0)</f>
        <v/>
      </c>
      <c r="AG250" s="62" t="inlineStr">
        <is>
          <t>https://www.semana.com/opinion/articulo/impudico/202646/</t>
        </is>
      </c>
    </row>
    <row r="251" ht="15" customHeight="1" s="31">
      <c r="A251" s="38" t="inlineStr">
        <is>
          <t>ART_028</t>
        </is>
      </c>
      <c r="B251" s="38" t="inlineStr">
        <is>
          <t>ART_028_S10</t>
        </is>
      </c>
      <c r="C251" s="38" t="inlineStr">
        <is>
          <t>Semana</t>
        </is>
      </c>
      <c r="D251" s="38" t="inlineStr">
        <is>
          <t>Relación con Estados Unidos</t>
        </is>
      </c>
      <c r="E251" s="38" t="inlineStr">
        <is>
          <t>Opinión-análisis</t>
        </is>
      </c>
      <c r="F251" s="38" t="inlineStr">
        <is>
          <t>Sat, 05 Sep 2026 05:00:46 +0000</t>
        </is>
      </c>
      <c r="G251" s="62" t="inlineStr">
        <is>
          <t>No es un tema menor.</t>
        </is>
      </c>
      <c r="H251" s="62" t="inlineStr">
        <is>
          <t>Es mover el eje gravitacional del petróleo desde las arenas árabes hacia nuestra propia región, hacia América Latina.</t>
        </is>
      </c>
      <c r="I251" s="62" t="n"/>
      <c r="J251" s="38" t="n"/>
      <c r="K251" s="62" t="n"/>
      <c r="L251" s="38" t="n"/>
      <c r="M251" s="62" t="n"/>
      <c r="N251" s="38" t="n"/>
      <c r="O251" s="62" t="n"/>
      <c r="P251" s="38" t="n"/>
      <c r="Q251" s="62" t="n"/>
      <c r="R251" s="38" t="n"/>
      <c r="S251" s="62" t="n"/>
      <c r="T251" s="38" t="n"/>
      <c r="U251" s="62" t="n"/>
      <c r="V251" s="38" t="n"/>
      <c r="W251" s="62" t="n"/>
      <c r="X251" s="38" t="n"/>
      <c r="Y251" s="62" t="n"/>
      <c r="Z251" s="38" t="n"/>
      <c r="AA251" s="62" t="n"/>
      <c r="AB251" s="38" t="n"/>
      <c r="AC251" s="62" t="n"/>
      <c r="AD251" s="38" t="n"/>
      <c r="AE251" s="38" t="n"/>
      <c r="AF251" s="61">
        <f>IF(COUNTIF($B$5:B251,B251)=1,1,0)</f>
        <v/>
      </c>
      <c r="AG251" s="62" t="inlineStr">
        <is>
          <t>https://www.semana.com/opinion/articulo/impudico/202646/</t>
        </is>
      </c>
    </row>
    <row r="252" ht="15" customHeight="1" s="31">
      <c r="A252" s="38" t="inlineStr">
        <is>
          <t>ART_029</t>
        </is>
      </c>
      <c r="B252" s="38" t="inlineStr">
        <is>
          <t>ART_029_S01</t>
        </is>
      </c>
      <c r="C252" s="38" t="inlineStr">
        <is>
          <t>Semana</t>
        </is>
      </c>
      <c r="D252" s="38" t="inlineStr">
        <is>
          <t>Respuesta a la emergencia del terremoto</t>
        </is>
      </c>
      <c r="E252" s="38" t="inlineStr">
        <is>
          <t>Opinión-análisis</t>
        </is>
      </c>
      <c r="F252" s="38" t="inlineStr">
        <is>
          <t>Sat, 05 Sep 2026 04:59:35 +0000</t>
        </is>
      </c>
      <c r="G252" s="62" t="inlineStr">
        <is>
          <t>Si se escogiera el peor momento para un terremoto en Colombia, la respuesta sería el 10 de agosto de 2026.</t>
        </is>
      </c>
      <c r="H252" s="62" t="n"/>
      <c r="I252" s="62" t="inlineStr">
        <is>
          <t>No solo porque es una fecha inmediata de la transición del gobierno de Petro al de Abelardo De La Espriella, sino porque la situación fiscal del país es de las peores en las últimas décadas, con una deuda pública en niveles del 60 por ciento del PIB, contratada a costosas tasas de interés.</t>
        </is>
      </c>
      <c r="J252" s="38" t="n"/>
      <c r="K252" s="62" t="n"/>
      <c r="L252" s="38" t="n"/>
      <c r="M252" s="62" t="n"/>
      <c r="N252" s="38" t="n"/>
      <c r="O252" s="62" t="n"/>
      <c r="P252" s="38" t="n"/>
      <c r="Q252" s="62" t="n"/>
      <c r="R252" s="38" t="n"/>
      <c r="S252" s="62" t="n"/>
      <c r="T252" s="38" t="n"/>
      <c r="U252" s="62" t="n"/>
      <c r="V252" s="38" t="n"/>
      <c r="W252" s="62" t="n"/>
      <c r="X252" s="38" t="n"/>
      <c r="Y252" s="62" t="n"/>
      <c r="Z252" s="38" t="n"/>
      <c r="AA252" s="62" t="n"/>
      <c r="AB252" s="38" t="n"/>
      <c r="AC252" s="62" t="n"/>
      <c r="AD252" s="38" t="n"/>
      <c r="AE252" s="38" t="n"/>
      <c r="AF252" s="61">
        <f>IF(COUNTIF($B$5:B252,B252)=1,1,0)</f>
        <v/>
      </c>
      <c r="AG252" s="62" t="inlineStr">
        <is>
          <t>https://www.semana.com/opinion/articulo/un-terremoto-en-las-fauces-del-neoliberalismo/202635/</t>
        </is>
      </c>
    </row>
    <row r="253" ht="15" customHeight="1" s="31">
      <c r="A253" s="38" t="inlineStr">
        <is>
          <t>ART_029</t>
        </is>
      </c>
      <c r="B253" s="38" t="inlineStr">
        <is>
          <t>ART_029_S02</t>
        </is>
      </c>
      <c r="C253" s="38" t="inlineStr">
        <is>
          <t>Semana</t>
        </is>
      </c>
      <c r="D253" s="38" t="inlineStr">
        <is>
          <t>Respuesta a la emergencia del terremoto</t>
        </is>
      </c>
      <c r="E253" s="38" t="inlineStr">
        <is>
          <t>Opinión-análisis</t>
        </is>
      </c>
      <c r="F253" s="38" t="inlineStr">
        <is>
          <t>Sat, 05 Sep 2026 04:59:35 +0000</t>
        </is>
      </c>
      <c r="G253" s="62" t="inlineStr">
        <is>
          <t>No solo porque es una fecha inmediata de la transición del gobierno de Petro al de Abelardo De La Espriella, sino porque la situación fiscal del país es de las peores en las últimas décadas, con una deuda pública en niveles del 60 por ciento del PIB, contratada a costosas tasas de interés.</t>
        </is>
      </c>
      <c r="H253" s="62" t="inlineStr">
        <is>
          <t>Si se escogiera el peor momento para un terremoto en Colombia, la respuesta sería el 10 de agosto de 2026.</t>
        </is>
      </c>
      <c r="I253" s="62" t="inlineStr">
        <is>
          <t>La asfixia es tanta que, por cada peso que se abona al principal, se piden prestados tres.</t>
        </is>
      </c>
      <c r="J253" s="38" t="n"/>
      <c r="K253" s="62" t="n"/>
      <c r="L253" s="38" t="n"/>
      <c r="M253" s="62" t="n"/>
      <c r="N253" s="38" t="n"/>
      <c r="O253" s="62" t="n"/>
      <c r="P253" s="38" t="n"/>
      <c r="Q253" s="62" t="n"/>
      <c r="R253" s="38" t="n"/>
      <c r="S253" s="62" t="n"/>
      <c r="T253" s="38" t="n"/>
      <c r="U253" s="62" t="n"/>
      <c r="V253" s="38" t="n"/>
      <c r="W253" s="62" t="n"/>
      <c r="X253" s="38" t="n"/>
      <c r="Y253" s="62" t="n"/>
      <c r="Z253" s="38" t="n"/>
      <c r="AA253" s="62" t="n"/>
      <c r="AB253" s="38" t="n"/>
      <c r="AC253" s="62" t="n"/>
      <c r="AD253" s="38" t="n"/>
      <c r="AE253" s="38" t="n"/>
      <c r="AF253" s="61">
        <f>IF(COUNTIF($B$5:B253,B253)=1,1,0)</f>
        <v/>
      </c>
      <c r="AG253" s="62" t="inlineStr">
        <is>
          <t>https://www.semana.com/opinion/articulo/un-terremoto-en-las-fauces-del-neoliberalismo/202635/</t>
        </is>
      </c>
    </row>
    <row r="254" ht="15" customHeight="1" s="31">
      <c r="A254" s="38" t="inlineStr">
        <is>
          <t>ART_029</t>
        </is>
      </c>
      <c r="B254" s="38" t="inlineStr">
        <is>
          <t>ART_029_S03</t>
        </is>
      </c>
      <c r="C254" s="38" t="inlineStr">
        <is>
          <t>Semana</t>
        </is>
      </c>
      <c r="D254" s="38" t="inlineStr">
        <is>
          <t>Respuesta a la emergencia del terremoto</t>
        </is>
      </c>
      <c r="E254" s="38" t="inlineStr">
        <is>
          <t>Opinión-análisis</t>
        </is>
      </c>
      <c r="F254" s="38" t="inlineStr">
        <is>
          <t>Sat, 05 Sep 2026 04:59:35 +0000</t>
        </is>
      </c>
      <c r="G254" s="62" t="inlineStr">
        <is>
          <t>La asfixia es tanta que, por cada peso que se abona al principal, se piden prestados tres.</t>
        </is>
      </c>
      <c r="H254" s="62" t="inlineStr">
        <is>
          <t>No solo porque es una fecha inmediata de la transición del gobierno de Petro al de Abelardo De La Espriella, sino porque la situación fiscal del país es de las peores en las últimas décadas, con una deuda pública en niveles del 60 por ciento del PIB, contratada a costosas tasas de interés.</t>
        </is>
      </c>
      <c r="I254" s="62" t="inlineStr">
        <is>
          <t>La experiencia histórica es que la fórmula para reconstruir una región luego de un terremoto se reduce a dos palabras: Estado y plata.</t>
        </is>
      </c>
      <c r="J254" s="38" t="n"/>
      <c r="K254" s="62" t="n"/>
      <c r="L254" s="38" t="n"/>
      <c r="M254" s="62" t="n"/>
      <c r="N254" s="38" t="n"/>
      <c r="O254" s="62" t="n"/>
      <c r="P254" s="38" t="n"/>
      <c r="Q254" s="62" t="n"/>
      <c r="R254" s="38" t="n"/>
      <c r="S254" s="62" t="n"/>
      <c r="T254" s="38" t="n"/>
      <c r="U254" s="62" t="n"/>
      <c r="V254" s="38" t="n"/>
      <c r="W254" s="62" t="n"/>
      <c r="X254" s="38" t="n"/>
      <c r="Y254" s="62" t="n"/>
      <c r="Z254" s="38" t="n"/>
      <c r="AA254" s="62" t="n"/>
      <c r="AB254" s="38" t="n"/>
      <c r="AC254" s="62" t="n"/>
      <c r="AD254" s="38" t="n"/>
      <c r="AE254" s="38" t="n"/>
      <c r="AF254" s="61">
        <f>IF(COUNTIF($B$5:B254,B254)=1,1,0)</f>
        <v/>
      </c>
      <c r="AG254" s="62" t="inlineStr">
        <is>
          <t>https://www.semana.com/opinion/articulo/un-terremoto-en-las-fauces-del-neoliberalismo/202635/</t>
        </is>
      </c>
    </row>
    <row r="255" ht="15" customHeight="1" s="31">
      <c r="A255" s="38" t="inlineStr">
        <is>
          <t>ART_029</t>
        </is>
      </c>
      <c r="B255" s="38" t="inlineStr">
        <is>
          <t>ART_029_S04</t>
        </is>
      </c>
      <c r="C255" s="38" t="inlineStr">
        <is>
          <t>Semana</t>
        </is>
      </c>
      <c r="D255" s="38" t="inlineStr">
        <is>
          <t>Respuesta a la emergencia del terremoto</t>
        </is>
      </c>
      <c r="E255" s="38" t="inlineStr">
        <is>
          <t>Opinión-análisis</t>
        </is>
      </c>
      <c r="F255" s="38" t="inlineStr">
        <is>
          <t>Sat, 05 Sep 2026 04:59:35 +0000</t>
        </is>
      </c>
      <c r="G255" s="62" t="inlineStr">
        <is>
          <t>La experiencia histórica es que la fórmula para reconstruir una región luego de un terremoto se reduce a dos palabras: Estado y plata.</t>
        </is>
      </c>
      <c r="H255" s="62" t="inlineStr">
        <is>
          <t>La asfixia es tanta que, por cada peso que se abona al principal, se piden prestados tres.</t>
        </is>
      </c>
      <c r="I255" s="62" t="inlineStr">
        <is>
          <t>Sin estos dos elementos a tope, el sufrimiento de las personas es mayor, el periodo para recomponer es más largo y la recuperación económica puede quedar a mitad de camino.</t>
        </is>
      </c>
      <c r="J255" s="38" t="n"/>
      <c r="K255" s="62" t="n"/>
      <c r="L255" s="38" t="n"/>
      <c r="M255" s="62" t="n"/>
      <c r="N255" s="38" t="n"/>
      <c r="O255" s="62" t="n"/>
      <c r="P255" s="38" t="n"/>
      <c r="Q255" s="62" t="n"/>
      <c r="R255" s="38" t="n"/>
      <c r="S255" s="62" t="n"/>
      <c r="T255" s="38" t="n"/>
      <c r="U255" s="62" t="n"/>
      <c r="V255" s="38" t="n"/>
      <c r="W255" s="62" t="n"/>
      <c r="X255" s="38" t="n"/>
      <c r="Y255" s="62" t="n"/>
      <c r="Z255" s="38" t="n"/>
      <c r="AA255" s="62" t="n"/>
      <c r="AB255" s="38" t="n"/>
      <c r="AC255" s="62" t="n"/>
      <c r="AD255" s="38" t="n"/>
      <c r="AE255" s="38" t="n"/>
      <c r="AF255" s="61">
        <f>IF(COUNTIF($B$5:B255,B255)=1,1,0)</f>
        <v/>
      </c>
      <c r="AG255" s="62" t="inlineStr">
        <is>
          <t>https://www.semana.com/opinion/articulo/un-terremoto-en-las-fauces-del-neoliberalismo/202635/</t>
        </is>
      </c>
    </row>
    <row r="256" ht="15" customHeight="1" s="31">
      <c r="A256" s="38" t="inlineStr">
        <is>
          <t>ART_029</t>
        </is>
      </c>
      <c r="B256" s="38" t="inlineStr">
        <is>
          <t>ART_029_S05</t>
        </is>
      </c>
      <c r="C256" s="38" t="inlineStr">
        <is>
          <t>Semana</t>
        </is>
      </c>
      <c r="D256" s="38" t="inlineStr">
        <is>
          <t>Respuesta a la emergencia del terremoto</t>
        </is>
      </c>
      <c r="E256" s="38" t="inlineStr">
        <is>
          <t>Opinión-análisis</t>
        </is>
      </c>
      <c r="F256" s="38" t="inlineStr">
        <is>
          <t>Sat, 05 Sep 2026 04:59:35 +0000</t>
        </is>
      </c>
      <c r="G256" s="62" t="inlineStr">
        <is>
          <t>Sin estos dos elementos a tope, el sufrimiento de las personas es mayor, el periodo para recomponer es más largo y la recuperación económica puede quedar a mitad de camino.</t>
        </is>
      </c>
      <c r="H256" s="62" t="inlineStr">
        <is>
          <t>La experiencia histórica es que la fórmula para reconstruir una región luego de un terremoto se reduce a dos palabras: Estado y plata.</t>
        </is>
      </c>
      <c r="I256" s="62" t="inlineStr">
        <is>
          <t>Dos reglas universales de los terremotos indican que el costo de arreglar es igual a 2 o a 2,5 veces el de lo derruido (Banco Mundial), y el tiempo de la operación de rescate se aproxima a 1.000 días por grado de intensidad del siniestro, lo que para uno de escala 7 será entre seis y diez años (ONU).</t>
        </is>
      </c>
      <c r="J256" s="38" t="n"/>
      <c r="K256" s="62" t="n"/>
      <c r="L256" s="38" t="n"/>
      <c r="M256" s="62" t="n"/>
      <c r="N256" s="38" t="n"/>
      <c r="O256" s="62" t="n"/>
      <c r="P256" s="38" t="n"/>
      <c r="Q256" s="62" t="n"/>
      <c r="R256" s="38" t="n"/>
      <c r="S256" s="62" t="n"/>
      <c r="T256" s="38" t="n"/>
      <c r="U256" s="62" t="n"/>
      <c r="V256" s="38" t="n"/>
      <c r="W256" s="62" t="n"/>
      <c r="X256" s="38" t="n"/>
      <c r="Y256" s="62" t="n"/>
      <c r="Z256" s="38" t="n"/>
      <c r="AA256" s="62" t="n"/>
      <c r="AB256" s="38" t="n"/>
      <c r="AC256" s="62" t="n"/>
      <c r="AD256" s="38" t="n"/>
      <c r="AE256" s="38" t="n"/>
      <c r="AF256" s="61">
        <f>IF(COUNTIF($B$5:B256,B256)=1,1,0)</f>
        <v/>
      </c>
      <c r="AG256" s="62" t="inlineStr">
        <is>
          <t>https://www.semana.com/opinion/articulo/un-terremoto-en-las-fauces-del-neoliberalismo/202635/</t>
        </is>
      </c>
    </row>
    <row r="257" ht="15" customHeight="1" s="31">
      <c r="A257" s="38" t="inlineStr">
        <is>
          <t>ART_029</t>
        </is>
      </c>
      <c r="B257" s="38" t="inlineStr">
        <is>
          <t>ART_029_S06</t>
        </is>
      </c>
      <c r="C257" s="38" t="inlineStr">
        <is>
          <t>Semana</t>
        </is>
      </c>
      <c r="D257" s="38" t="inlineStr">
        <is>
          <t>Respuesta a la emergencia del terremoto</t>
        </is>
      </c>
      <c r="E257" s="38" t="inlineStr">
        <is>
          <t>Opinión-análisis</t>
        </is>
      </c>
      <c r="F257" s="38" t="inlineStr">
        <is>
          <t>Sat, 05 Sep 2026 04:59:35 +0000</t>
        </is>
      </c>
      <c r="G257" s="62" t="inlineStr">
        <is>
          <t>Dos reglas universales de los terremotos indican que el costo de arreglar es igual a 2 o a 2,5 veces el de lo derruido (Banco Mundial), y el tiempo de la operación de rescate se aproxima a 1.000 días por grado de intensidad del siniestro, lo que para uno de escala 7 será entre seis y diez años (ONU).</t>
        </is>
      </c>
      <c r="H257" s="62" t="inlineStr">
        <is>
          <t>Sin estos dos elementos a tope, el sufrimiento de las personas es mayor, el periodo para recomponer es más largo y la recuperación económica puede quedar a mitad de camino.</t>
        </is>
      </c>
      <c r="I257" s="62" t="inlineStr">
        <is>
          <t>Esos importes y el periodo aumentarían si los centros económicos fueron golpeados como ahora, en primer lugar, en el caso de Pereira.</t>
        </is>
      </c>
      <c r="J257" s="38" t="n"/>
      <c r="K257" s="62" t="n"/>
      <c r="L257" s="38" t="n"/>
      <c r="M257" s="62" t="n"/>
      <c r="N257" s="38" t="n"/>
      <c r="O257" s="62" t="n"/>
      <c r="P257" s="38" t="n"/>
      <c r="Q257" s="62" t="n"/>
      <c r="R257" s="38" t="n"/>
      <c r="S257" s="62" t="n"/>
      <c r="T257" s="38" t="n"/>
      <c r="U257" s="62" t="n"/>
      <c r="V257" s="38" t="n"/>
      <c r="W257" s="62" t="n"/>
      <c r="X257" s="38" t="n"/>
      <c r="Y257" s="62" t="n"/>
      <c r="Z257" s="38" t="n"/>
      <c r="AA257" s="62" t="n"/>
      <c r="AB257" s="38" t="n"/>
      <c r="AC257" s="62" t="n"/>
      <c r="AD257" s="38" t="n"/>
      <c r="AE257" s="38" t="n"/>
      <c r="AF257" s="61">
        <f>IF(COUNTIF($B$5:B257,B257)=1,1,0)</f>
        <v/>
      </c>
      <c r="AG257" s="62" t="inlineStr">
        <is>
          <t>https://www.semana.com/opinion/articulo/un-terremoto-en-las-fauces-del-neoliberalismo/202635/</t>
        </is>
      </c>
    </row>
    <row r="258" ht="15" customHeight="1" s="31">
      <c r="A258" s="38" t="inlineStr">
        <is>
          <t>ART_029</t>
        </is>
      </c>
      <c r="B258" s="38" t="inlineStr">
        <is>
          <t>ART_029_S07</t>
        </is>
      </c>
      <c r="C258" s="38" t="inlineStr">
        <is>
          <t>Semana</t>
        </is>
      </c>
      <c r="D258" s="38" t="inlineStr">
        <is>
          <t>Respuesta a la emergencia del terremoto</t>
        </is>
      </c>
      <c r="E258" s="38" t="inlineStr">
        <is>
          <t>Opinión-análisis</t>
        </is>
      </c>
      <c r="F258" s="38" t="inlineStr">
        <is>
          <t>Sat, 05 Sep 2026 04:59:35 +0000</t>
        </is>
      </c>
      <c r="G258" s="62" t="inlineStr">
        <is>
          <t>Esos importes y el periodo aumentarían si los centros económicos fueron golpeados como ahora, en primer lugar, en el caso de Pereira.</t>
        </is>
      </c>
      <c r="H258" s="62" t="inlineStr">
        <is>
          <t>Dos reglas universales de los terremotos indican que el costo de arreglar es igual a 2 o a 2,5 veces el de lo derruido (Banco Mundial), y el tiempo de la operación de rescate se aproxima a 1.000 días por grado de intensidad del siniestro, lo que para uno de escala 7 será entre seis y diez años (ONU).</t>
        </is>
      </c>
      <c r="I258" s="62" t="inlineStr">
        <is>
          <t>Hay ejemplos recientes que ratifican lo anterior.</t>
        </is>
      </c>
      <c r="J258" s="38" t="n"/>
      <c r="K258" s="62" t="n"/>
      <c r="L258" s="38" t="n"/>
      <c r="M258" s="62" t="n"/>
      <c r="N258" s="38" t="n"/>
      <c r="O258" s="62" t="n"/>
      <c r="P258" s="38" t="n"/>
      <c r="Q258" s="62" t="n"/>
      <c r="R258" s="38" t="n"/>
      <c r="S258" s="62" t="n"/>
      <c r="T258" s="38" t="n"/>
      <c r="U258" s="62" t="n"/>
      <c r="V258" s="38" t="n"/>
      <c r="W258" s="62" t="n"/>
      <c r="X258" s="38" t="n"/>
      <c r="Y258" s="62" t="n"/>
      <c r="Z258" s="38" t="n"/>
      <c r="AA258" s="62" t="n"/>
      <c r="AB258" s="38" t="n"/>
      <c r="AC258" s="62" t="n"/>
      <c r="AD258" s="38" t="n"/>
      <c r="AE258" s="38" t="n"/>
      <c r="AF258" s="61">
        <f>IF(COUNTIF($B$5:B258,B258)=1,1,0)</f>
        <v/>
      </c>
      <c r="AG258" s="62" t="inlineStr">
        <is>
          <t>https://www.semana.com/opinion/articulo/un-terremoto-en-las-fauces-del-neoliberalismo/202635/</t>
        </is>
      </c>
    </row>
    <row r="259" ht="15" customHeight="1" s="31">
      <c r="A259" s="38" t="inlineStr">
        <is>
          <t>ART_029</t>
        </is>
      </c>
      <c r="B259" s="38" t="inlineStr">
        <is>
          <t>ART_029_S08</t>
        </is>
      </c>
      <c r="C259" s="38" t="inlineStr">
        <is>
          <t>Semana</t>
        </is>
      </c>
      <c r="D259" s="38" t="inlineStr">
        <is>
          <t>Respuesta a la emergencia del terremoto</t>
        </is>
      </c>
      <c r="E259" s="38" t="inlineStr">
        <is>
          <t>Opinión-análisis</t>
        </is>
      </c>
      <c r="F259" s="38" t="inlineStr">
        <is>
          <t>Sat, 05 Sep 2026 04:59:35 +0000</t>
        </is>
      </c>
      <c r="G259" s="62" t="inlineStr">
        <is>
          <t>Hay ejemplos recientes que ratifican lo anterior.</t>
        </is>
      </c>
      <c r="H259" s="62" t="inlineStr">
        <is>
          <t>Esos importes y el periodo aumentarían si los centros económicos fueron golpeados como ahora, en primer lugar, en el caso de Pereira.</t>
        </is>
      </c>
      <c r="I259" s="62" t="inlineStr">
        <is>
          <t>El peor es Haití en 2010, con una intensidad de 7 en la escala de Richter.</t>
        </is>
      </c>
      <c r="J259" s="38" t="n"/>
      <c r="K259" s="62" t="n"/>
      <c r="L259" s="38" t="n"/>
      <c r="M259" s="62" t="n"/>
      <c r="N259" s="38" t="n"/>
      <c r="O259" s="62" t="n"/>
      <c r="P259" s="38" t="n"/>
      <c r="Q259" s="62" t="n"/>
      <c r="R259" s="38" t="n"/>
      <c r="S259" s="62" t="n"/>
      <c r="T259" s="38" t="n"/>
      <c r="U259" s="62" t="n"/>
      <c r="V259" s="38" t="n"/>
      <c r="W259" s="62" t="n"/>
      <c r="X259" s="38" t="n"/>
      <c r="Y259" s="62" t="n"/>
      <c r="Z259" s="38" t="n"/>
      <c r="AA259" s="62" t="n"/>
      <c r="AB259" s="38" t="n"/>
      <c r="AC259" s="62" t="n"/>
      <c r="AD259" s="38" t="n"/>
      <c r="AE259" s="38" t="n"/>
      <c r="AF259" s="61">
        <f>IF(COUNTIF($B$5:B259,B259)=1,1,0)</f>
        <v/>
      </c>
      <c r="AG259" s="62" t="inlineStr">
        <is>
          <t>https://www.semana.com/opinion/articulo/un-terremoto-en-las-fauces-del-neoliberalismo/202635/</t>
        </is>
      </c>
    </row>
    <row r="260" ht="15" customHeight="1" s="31">
      <c r="A260" s="38" t="inlineStr">
        <is>
          <t>ART_029</t>
        </is>
      </c>
      <c r="B260" s="38" t="inlineStr">
        <is>
          <t>ART_029_S09</t>
        </is>
      </c>
      <c r="C260" s="38" t="inlineStr">
        <is>
          <t>Semana</t>
        </is>
      </c>
      <c r="D260" s="38" t="inlineStr">
        <is>
          <t>Respuesta a la emergencia del terremoto</t>
        </is>
      </c>
      <c r="E260" s="38" t="inlineStr">
        <is>
          <t>Opinión-análisis</t>
        </is>
      </c>
      <c r="F260" s="38" t="inlineStr">
        <is>
          <t>Sat, 05 Sep 2026 04:59:35 +0000</t>
        </is>
      </c>
      <c r="G260" s="62" t="inlineStr">
        <is>
          <t>El peor es Haití en 2010, con una intensidad de 7 en la escala de Richter.</t>
        </is>
      </c>
      <c r="H260" s="62" t="inlineStr">
        <is>
          <t>Hay ejemplos recientes que ratifican lo anterior.</t>
        </is>
      </c>
      <c r="I260" s="62" t="inlineStr">
        <is>
          <t>La mortandad fue descomunal, con centenares de miles de muertos, la reconstrucción lleva 14 años y no ha terminado, porque hubo otro en la zona sur del país en 2021.</t>
        </is>
      </c>
      <c r="J260" s="38" t="n"/>
      <c r="K260" s="62" t="n"/>
      <c r="L260" s="38" t="n"/>
      <c r="M260" s="62" t="n"/>
      <c r="N260" s="38" t="n"/>
      <c r="O260" s="62" t="n"/>
      <c r="P260" s="38" t="n"/>
      <c r="Q260" s="62" t="n"/>
      <c r="R260" s="38" t="n"/>
      <c r="S260" s="62" t="n"/>
      <c r="T260" s="38" t="n"/>
      <c r="U260" s="62" t="n"/>
      <c r="V260" s="38" t="n"/>
      <c r="W260" s="62" t="n"/>
      <c r="X260" s="38" t="n"/>
      <c r="Y260" s="62" t="n"/>
      <c r="Z260" s="38" t="n"/>
      <c r="AA260" s="62" t="n"/>
      <c r="AB260" s="38" t="n"/>
      <c r="AC260" s="62" t="n"/>
      <c r="AD260" s="38" t="n"/>
      <c r="AE260" s="38" t="n"/>
      <c r="AF260" s="61">
        <f>IF(COUNTIF($B$5:B260,B260)=1,1,0)</f>
        <v/>
      </c>
      <c r="AG260" s="62" t="inlineStr">
        <is>
          <t>https://www.semana.com/opinion/articulo/un-terremoto-en-las-fauces-del-neoliberalismo/202635/</t>
        </is>
      </c>
    </row>
    <row r="261" ht="15" customHeight="1" s="31">
      <c r="A261" s="38" t="inlineStr">
        <is>
          <t>ART_029</t>
        </is>
      </c>
      <c r="B261" s="38" t="inlineStr">
        <is>
          <t>ART_029_S10</t>
        </is>
      </c>
      <c r="C261" s="38" t="inlineStr">
        <is>
          <t>Semana</t>
        </is>
      </c>
      <c r="D261" s="38" t="inlineStr">
        <is>
          <t>Respuesta a la emergencia del terremoto</t>
        </is>
      </c>
      <c r="E261" s="38" t="inlineStr">
        <is>
          <t>Opinión-análisis</t>
        </is>
      </c>
      <c r="F261" s="38" t="inlineStr">
        <is>
          <t>Sat, 05 Sep 2026 04:59:35 +0000</t>
        </is>
      </c>
      <c r="G261" s="62" t="inlineStr">
        <is>
          <t>La mortandad fue descomunal, con centenares de miles de muertos, la reconstrucción lleva 14 años y no ha terminado, porque hubo otro en la zona sur del país en 2021.</t>
        </is>
      </c>
      <c r="H261" s="62" t="inlineStr">
        <is>
          <t>El peor es Haití en 2010, con una intensidad de 7 en la escala de Richter.</t>
        </is>
      </c>
      <c r="I261" s="62" t="n"/>
      <c r="J261" s="38" t="n"/>
      <c r="K261" s="62" t="n"/>
      <c r="L261" s="38" t="n"/>
      <c r="M261" s="62" t="n"/>
      <c r="N261" s="38" t="n"/>
      <c r="O261" s="62" t="n"/>
      <c r="P261" s="38" t="n"/>
      <c r="Q261" s="62" t="n"/>
      <c r="R261" s="38" t="n"/>
      <c r="S261" s="62" t="n"/>
      <c r="T261" s="38" t="n"/>
      <c r="U261" s="62" t="n"/>
      <c r="V261" s="38" t="n"/>
      <c r="W261" s="62" t="n"/>
      <c r="X261" s="38" t="n"/>
      <c r="Y261" s="62" t="n"/>
      <c r="Z261" s="38" t="n"/>
      <c r="AA261" s="62" t="n"/>
      <c r="AB261" s="38" t="n"/>
      <c r="AC261" s="62" t="n"/>
      <c r="AD261" s="38" t="n"/>
      <c r="AE261" s="38" t="n"/>
      <c r="AF261" s="61">
        <f>IF(COUNTIF($B$5:B261,B261)=1,1,0)</f>
        <v/>
      </c>
      <c r="AG261" s="62" t="inlineStr">
        <is>
          <t>https://www.semana.com/opinion/articulo/un-terremoto-en-las-fauces-del-neoliberalismo/202635/</t>
        </is>
      </c>
    </row>
    <row r="262" ht="15" customHeight="1" s="31">
      <c r="A262" s="38" t="inlineStr">
        <is>
          <t>ART_030</t>
        </is>
      </c>
      <c r="B262" s="38" t="inlineStr">
        <is>
          <t>ART_030_S01</t>
        </is>
      </c>
      <c r="C262" s="38" t="inlineStr">
        <is>
          <t>Semana</t>
        </is>
      </c>
      <c r="D262" s="38" t="inlineStr">
        <is>
          <t>Seguridad y orden público</t>
        </is>
      </c>
      <c r="E262" s="38" t="inlineStr">
        <is>
          <t>Opinión-análisis</t>
        </is>
      </c>
      <c r="F262" s="38" t="inlineStr">
        <is>
          <t>Fri, 04 Sep 2026 10:00:00 +0000</t>
        </is>
      </c>
      <c r="G262" s="62" t="inlineStr">
        <is>
          <t>Mucho se ha hablado del “histórico megaacuerdo” petrolero entre los Estados Unidos y Venezuela.</t>
        </is>
      </c>
      <c r="H262" s="62" t="n"/>
      <c r="I262" s="62" t="inlineStr">
        <is>
          <t>Dejando de lado las consideraciones legales y políticas que pudiera tener, habrá que saber cuáles son las eventuales consecuencias que podría tener para nuestro país.</t>
        </is>
      </c>
      <c r="J262" s="38" t="n"/>
      <c r="K262" s="62" t="n"/>
      <c r="L262" s="38" t="n"/>
      <c r="M262" s="62" t="n"/>
      <c r="N262" s="38" t="n"/>
      <c r="O262" s="62" t="n"/>
      <c r="P262" s="38" t="n"/>
      <c r="Q262" s="62" t="n"/>
      <c r="R262" s="38" t="n"/>
      <c r="S262" s="62" t="n"/>
      <c r="T262" s="38" t="n"/>
      <c r="U262" s="62" t="n"/>
      <c r="V262" s="38" t="n"/>
      <c r="W262" s="62" t="n"/>
      <c r="X262" s="38" t="n"/>
      <c r="Y262" s="62" t="n"/>
      <c r="Z262" s="38" t="n"/>
      <c r="AA262" s="62" t="n"/>
      <c r="AB262" s="38" t="n"/>
      <c r="AC262" s="62" t="n"/>
      <c r="AD262" s="38" t="n"/>
      <c r="AE262" s="38" t="n"/>
      <c r="AF262" s="61">
        <f>IF(COUNTIF($B$5:B262,B262)=1,1,0)</f>
        <v/>
      </c>
      <c r="AG262" s="62" t="inlineStr">
        <is>
          <t>https://www.semana.com/opinion/articulo/una-venezuela-prospera-y-democratica-fundamental-para-colombia/202600/</t>
        </is>
      </c>
    </row>
    <row r="263" ht="15" customHeight="1" s="31">
      <c r="A263" s="38" t="inlineStr">
        <is>
          <t>ART_030</t>
        </is>
      </c>
      <c r="B263" s="38" t="inlineStr">
        <is>
          <t>ART_030_S02</t>
        </is>
      </c>
      <c r="C263" s="38" t="inlineStr">
        <is>
          <t>Semana</t>
        </is>
      </c>
      <c r="D263" s="38" t="inlineStr">
        <is>
          <t>Seguridad y orden público</t>
        </is>
      </c>
      <c r="E263" s="38" t="inlineStr">
        <is>
          <t>Opinión-análisis</t>
        </is>
      </c>
      <c r="F263" s="38" t="inlineStr">
        <is>
          <t>Fri, 04 Sep 2026 10:00:00 +0000</t>
        </is>
      </c>
      <c r="G263" s="62" t="inlineStr">
        <is>
          <t>Dejando de lado las consideraciones legales y políticas que pudiera tener, habrá que saber cuáles son las eventuales consecuencias que podría tener para nuestro país.</t>
        </is>
      </c>
      <c r="H263" s="62" t="inlineStr">
        <is>
          <t>Mucho se ha hablado del “histórico megaacuerdo” petrolero entre los Estados Unidos y Venezuela.</t>
        </is>
      </c>
      <c r="I263" s="62" t="inlineStr">
        <is>
          <t>Hay hechos que son determinantes y que se derivan del transcurrir de los años de existencia de las dos repúblicas.</t>
        </is>
      </c>
      <c r="J263" s="38" t="n"/>
      <c r="K263" s="62" t="n"/>
      <c r="L263" s="38" t="n"/>
      <c r="M263" s="62" t="n"/>
      <c r="N263" s="38" t="n"/>
      <c r="O263" s="62" t="n"/>
      <c r="P263" s="38" t="n"/>
      <c r="Q263" s="62" t="n"/>
      <c r="R263" s="38" t="n"/>
      <c r="S263" s="62" t="n"/>
      <c r="T263" s="38" t="n"/>
      <c r="U263" s="62" t="n"/>
      <c r="V263" s="38" t="n"/>
      <c r="W263" s="62" t="n"/>
      <c r="X263" s="38" t="n"/>
      <c r="Y263" s="62" t="n"/>
      <c r="Z263" s="38" t="n"/>
      <c r="AA263" s="62" t="n"/>
      <c r="AB263" s="38" t="n"/>
      <c r="AC263" s="62" t="n"/>
      <c r="AD263" s="38" t="n"/>
      <c r="AE263" s="38" t="n"/>
      <c r="AF263" s="61">
        <f>IF(COUNTIF($B$5:B263,B263)=1,1,0)</f>
        <v/>
      </c>
      <c r="AG263" s="62" t="inlineStr">
        <is>
          <t>https://www.semana.com/opinion/articulo/una-venezuela-prospera-y-democratica-fundamental-para-colombia/202600/</t>
        </is>
      </c>
    </row>
    <row r="264" ht="15" customHeight="1" s="31">
      <c r="A264" s="38" t="inlineStr">
        <is>
          <t>ART_030</t>
        </is>
      </c>
      <c r="B264" s="38" t="inlineStr">
        <is>
          <t>ART_030_S03</t>
        </is>
      </c>
      <c r="C264" s="38" t="inlineStr">
        <is>
          <t>Semana</t>
        </is>
      </c>
      <c r="D264" s="38" t="inlineStr">
        <is>
          <t>Seguridad y orden público</t>
        </is>
      </c>
      <c r="E264" s="38" t="inlineStr">
        <is>
          <t>Opinión-análisis</t>
        </is>
      </c>
      <c r="F264" s="38" t="inlineStr">
        <is>
          <t>Fri, 04 Sep 2026 10:00:00 +0000</t>
        </is>
      </c>
      <c r="G264" s="62" t="inlineStr">
        <is>
          <t>Hay hechos que son determinantes y que se derivan del transcurrir de los años de existencia de las dos repúblicas.</t>
        </is>
      </c>
      <c r="H264" s="62" t="inlineStr">
        <is>
          <t>Dejando de lado las consideraciones legales y políticas que pudiera tener, habrá que saber cuáles son las eventuales consecuencias que podría tener para nuestro país.</t>
        </is>
      </c>
      <c r="I264" s="62" t="inlineStr">
        <is>
          <t>Ante todo, Colombia no tiene los recursos que posee Venezuela.</t>
        </is>
      </c>
      <c r="J264" s="38" t="n"/>
      <c r="K264" s="62" t="n"/>
      <c r="L264" s="38" t="n"/>
      <c r="M264" s="62" t="n"/>
      <c r="N264" s="38" t="n"/>
      <c r="O264" s="62" t="n"/>
      <c r="P264" s="38" t="n"/>
      <c r="Q264" s="62" t="n"/>
      <c r="R264" s="38" t="n"/>
      <c r="S264" s="62" t="n"/>
      <c r="T264" s="38" t="n"/>
      <c r="U264" s="62" t="n"/>
      <c r="V264" s="38" t="n"/>
      <c r="W264" s="62" t="n"/>
      <c r="X264" s="38" t="n"/>
      <c r="Y264" s="62" t="n"/>
      <c r="Z264" s="38" t="n"/>
      <c r="AA264" s="62" t="n"/>
      <c r="AB264" s="38" t="n"/>
      <c r="AC264" s="62" t="n"/>
      <c r="AD264" s="38" t="n"/>
      <c r="AE264" s="38" t="n"/>
      <c r="AF264" s="61">
        <f>IF(COUNTIF($B$5:B264,B264)=1,1,0)</f>
        <v/>
      </c>
      <c r="AG264" s="62" t="inlineStr">
        <is>
          <t>https://www.semana.com/opinion/articulo/una-venezuela-prospera-y-democratica-fundamental-para-colombia/202600/</t>
        </is>
      </c>
    </row>
    <row r="265" ht="15" customHeight="1" s="31">
      <c r="A265" s="38" t="inlineStr">
        <is>
          <t>ART_030</t>
        </is>
      </c>
      <c r="B265" s="38" t="inlineStr">
        <is>
          <t>ART_030_S04</t>
        </is>
      </c>
      <c r="C265" s="38" t="inlineStr">
        <is>
          <t>Semana</t>
        </is>
      </c>
      <c r="D265" s="38" t="inlineStr">
        <is>
          <t>Seguridad y orden público</t>
        </is>
      </c>
      <c r="E265" s="38" t="inlineStr">
        <is>
          <t>Opinión-análisis</t>
        </is>
      </c>
      <c r="F265" s="38" t="inlineStr">
        <is>
          <t>Fri, 04 Sep 2026 10:00:00 +0000</t>
        </is>
      </c>
      <c r="G265" s="62" t="inlineStr">
        <is>
          <t>Ante todo, Colombia no tiene los recursos que posee Venezuela.</t>
        </is>
      </c>
      <c r="H265" s="62" t="inlineStr">
        <is>
          <t>Hay hechos que son determinantes y que se derivan del transcurrir de los años de existencia de las dos repúblicas.</t>
        </is>
      </c>
      <c r="I265" s="62" t="inlineStr">
        <is>
          <t>Se recuerda a algún personaje colombiano que decía a mediados del siglo XX que, por cualquier parte por donde se trazara la línea fronteriza con Venezuela, el petróleo siempre estaría del otro lado.</t>
        </is>
      </c>
      <c r="J265" s="38" t="n"/>
      <c r="K265" s="62" t="n"/>
      <c r="L265" s="38" t="n"/>
      <c r="M265" s="62" t="n"/>
      <c r="N265" s="38" t="n"/>
      <c r="O265" s="62" t="n"/>
      <c r="P265" s="38" t="n"/>
      <c r="Q265" s="62" t="n"/>
      <c r="R265" s="38" t="n"/>
      <c r="S265" s="62" t="n"/>
      <c r="T265" s="38" t="n"/>
      <c r="U265" s="62" t="n"/>
      <c r="V265" s="38" t="n"/>
      <c r="W265" s="62" t="n"/>
      <c r="X265" s="38" t="n"/>
      <c r="Y265" s="62" t="n"/>
      <c r="Z265" s="38" t="n"/>
      <c r="AA265" s="62" t="n"/>
      <c r="AB265" s="38" t="n"/>
      <c r="AC265" s="62" t="n"/>
      <c r="AD265" s="38" t="n"/>
      <c r="AE265" s="38" t="n"/>
      <c r="AF265" s="61">
        <f>IF(COUNTIF($B$5:B265,B265)=1,1,0)</f>
        <v/>
      </c>
      <c r="AG265" s="62" t="inlineStr">
        <is>
          <t>https://www.semana.com/opinion/articulo/una-venezuela-prospera-y-democratica-fundamental-para-colombia/202600/</t>
        </is>
      </c>
    </row>
    <row r="266" ht="15" customHeight="1" s="31">
      <c r="A266" s="38" t="inlineStr">
        <is>
          <t>ART_030</t>
        </is>
      </c>
      <c r="B266" s="38" t="inlineStr">
        <is>
          <t>ART_030_S05</t>
        </is>
      </c>
      <c r="C266" s="38" t="inlineStr">
        <is>
          <t>Semana</t>
        </is>
      </c>
      <c r="D266" s="38" t="inlineStr">
        <is>
          <t>Seguridad y orden público</t>
        </is>
      </c>
      <c r="E266" s="38" t="inlineStr">
        <is>
          <t>Opinión-análisis</t>
        </is>
      </c>
      <c r="F266" s="38" t="inlineStr">
        <is>
          <t>Fri, 04 Sep 2026 10:00:00 +0000</t>
        </is>
      </c>
      <c r="G266" s="62" t="inlineStr">
        <is>
          <t>Se recuerda a algún personaje colombiano que decía a mediados del siglo XX que, por cualquier parte por donde se trazara la línea fronteriza con Venezuela, el petróleo siempre estaría del otro lado.</t>
        </is>
      </c>
      <c r="H266" s="62" t="inlineStr">
        <is>
          <t>Ante todo, Colombia no tiene los recursos que posee Venezuela.</t>
        </is>
      </c>
      <c r="I266" s="62" t="inlineStr">
        <is>
          <t>No solamente es el petróleo, sino el gas, el hierro, la bauxita, el acero, el coltán, las tierras raras y la energía eléctrica, para no hablar del oro y de algunos otros metales preciosos.</t>
        </is>
      </c>
      <c r="J266" s="38" t="n"/>
      <c r="K266" s="62" t="n"/>
      <c r="L266" s="38" t="n"/>
      <c r="M266" s="62" t="n"/>
      <c r="N266" s="38" t="n"/>
      <c r="O266" s="62" t="n"/>
      <c r="P266" s="38" t="n"/>
      <c r="Q266" s="62" t="n"/>
      <c r="R266" s="38" t="n"/>
      <c r="S266" s="62" t="n"/>
      <c r="T266" s="38" t="n"/>
      <c r="U266" s="62" t="n"/>
      <c r="V266" s="38" t="n"/>
      <c r="W266" s="62" t="n"/>
      <c r="X266" s="38" t="n"/>
      <c r="Y266" s="62" t="n"/>
      <c r="Z266" s="38" t="n"/>
      <c r="AA266" s="62" t="n"/>
      <c r="AB266" s="38" t="n"/>
      <c r="AC266" s="62" t="n"/>
      <c r="AD266" s="38" t="n"/>
      <c r="AE266" s="38" t="n"/>
      <c r="AF266" s="61">
        <f>IF(COUNTIF($B$5:B266,B266)=1,1,0)</f>
        <v/>
      </c>
      <c r="AG266" s="62" t="inlineStr">
        <is>
          <t>https://www.semana.com/opinion/articulo/una-venezuela-prospera-y-democratica-fundamental-para-colombia/202600/</t>
        </is>
      </c>
    </row>
    <row r="267" ht="15" customHeight="1" s="31">
      <c r="A267" s="38" t="inlineStr">
        <is>
          <t>ART_030</t>
        </is>
      </c>
      <c r="B267" s="38" t="inlineStr">
        <is>
          <t>ART_030_S06</t>
        </is>
      </c>
      <c r="C267" s="38" t="inlineStr">
        <is>
          <t>Semana</t>
        </is>
      </c>
      <c r="D267" s="38" t="inlineStr">
        <is>
          <t>Seguridad y orden público</t>
        </is>
      </c>
      <c r="E267" s="38" t="inlineStr">
        <is>
          <t>Opinión-análisis</t>
        </is>
      </c>
      <c r="F267" s="38" t="inlineStr">
        <is>
          <t>Fri, 04 Sep 2026 10:00:00 +0000</t>
        </is>
      </c>
      <c r="G267" s="62" t="inlineStr">
        <is>
          <t>No solamente es el petróleo, sino el gas, el hierro, la bauxita, el acero, el coltán, las tierras raras y la energía eléctrica, para no hablar del oro y de algunos otros metales preciosos.</t>
        </is>
      </c>
      <c r="H267" s="62" t="inlineStr">
        <is>
          <t>Se recuerda a algún personaje colombiano que decía a mediados del siglo XX que, por cualquier parte por donde se trazara la línea fronteriza con Venezuela, el petróleo siempre estaría del otro lado.</t>
        </is>
      </c>
      <c r="I267" s="62"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J267" s="38" t="n"/>
      <c r="K267" s="62" t="n"/>
      <c r="L267" s="38" t="n"/>
      <c r="M267" s="62" t="n"/>
      <c r="N267" s="38" t="n"/>
      <c r="O267" s="62" t="n"/>
      <c r="P267" s="38" t="n"/>
      <c r="Q267" s="62" t="n"/>
      <c r="R267" s="38" t="n"/>
      <c r="S267" s="62" t="n"/>
      <c r="T267" s="38" t="n"/>
      <c r="U267" s="62" t="n"/>
      <c r="V267" s="38" t="n"/>
      <c r="W267" s="62" t="n"/>
      <c r="X267" s="38" t="n"/>
      <c r="Y267" s="62" t="n"/>
      <c r="Z267" s="38" t="n"/>
      <c r="AA267" s="62" t="n"/>
      <c r="AB267" s="38" t="n"/>
      <c r="AC267" s="62" t="n"/>
      <c r="AD267" s="38" t="n"/>
      <c r="AE267" s="38" t="n"/>
      <c r="AF267" s="61">
        <f>IF(COUNTIF($B$5:B267,B267)=1,1,0)</f>
        <v/>
      </c>
      <c r="AG267" s="62" t="inlineStr">
        <is>
          <t>https://www.semana.com/opinion/articulo/una-venezuela-prospera-y-democratica-fundamental-para-colombia/202600/</t>
        </is>
      </c>
    </row>
    <row r="268" ht="15" customHeight="1" s="31">
      <c r="A268" s="38" t="inlineStr">
        <is>
          <t>ART_030</t>
        </is>
      </c>
      <c r="B268" s="38" t="inlineStr">
        <is>
          <t>ART_030_S07</t>
        </is>
      </c>
      <c r="C268" s="38" t="inlineStr">
        <is>
          <t>Semana</t>
        </is>
      </c>
      <c r="D268" s="38" t="inlineStr">
        <is>
          <t>Seguridad y orden público</t>
        </is>
      </c>
      <c r="E268" s="38" t="inlineStr">
        <is>
          <t>Opinión-análisis</t>
        </is>
      </c>
      <c r="F268" s="38" t="inlineStr">
        <is>
          <t>Fri, 04 Sep 2026 10:00:00 +0000</t>
        </is>
      </c>
      <c r="G268" s="62"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H268" s="62" t="inlineStr">
        <is>
          <t>No solamente es el petróleo, sino el gas, el hierro, la bauxita, el acero, el coltán, las tierras raras y la energía eléctrica, para no hablar del oro y de algunos otros metales preciosos.</t>
        </is>
      </c>
      <c r="I268" s="62" t="inlineStr">
        <is>
          <t>A esa condición se ha acostumbrado la población, a la que además le gustan los militares, que son los que dicen la última palabra, incluso en asuntos que van desde la política exterior hasta el manejo de la economía.</t>
        </is>
      </c>
      <c r="J268" s="38" t="n"/>
      <c r="K268" s="62" t="n"/>
      <c r="L268" s="38" t="n"/>
      <c r="M268" s="62" t="n"/>
      <c r="N268" s="38" t="n"/>
      <c r="O268" s="62" t="n"/>
      <c r="P268" s="38" t="n"/>
      <c r="Q268" s="62" t="n"/>
      <c r="R268" s="38" t="n"/>
      <c r="S268" s="62" t="n"/>
      <c r="T268" s="38" t="n"/>
      <c r="U268" s="62" t="n"/>
      <c r="V268" s="38" t="n"/>
      <c r="W268" s="62" t="n"/>
      <c r="X268" s="38" t="n"/>
      <c r="Y268" s="62" t="n"/>
      <c r="Z268" s="38" t="n"/>
      <c r="AA268" s="62" t="n"/>
      <c r="AB268" s="38" t="n"/>
      <c r="AC268" s="62" t="n"/>
      <c r="AD268" s="38" t="n"/>
      <c r="AE268" s="38" t="n"/>
      <c r="AF268" s="61">
        <f>IF(COUNTIF($B$5:B268,B268)=1,1,0)</f>
        <v/>
      </c>
      <c r="AG268" s="62" t="inlineStr">
        <is>
          <t>https://www.semana.com/opinion/articulo/una-venezuela-prospera-y-democratica-fundamental-para-colombia/202600/</t>
        </is>
      </c>
    </row>
    <row r="269" ht="15" customHeight="1" s="31">
      <c r="A269" s="38" t="inlineStr">
        <is>
          <t>ART_030</t>
        </is>
      </c>
      <c r="B269" s="38" t="inlineStr">
        <is>
          <t>ART_030_S08</t>
        </is>
      </c>
      <c r="C269" s="38" t="inlineStr">
        <is>
          <t>Semana</t>
        </is>
      </c>
      <c r="D269" s="38" t="inlineStr">
        <is>
          <t>Seguridad y orden público</t>
        </is>
      </c>
      <c r="E269" s="38" t="inlineStr">
        <is>
          <t>Opinión-análisis</t>
        </is>
      </c>
      <c r="F269" s="38" t="inlineStr">
        <is>
          <t>Fri, 04 Sep 2026 10:00:00 +0000</t>
        </is>
      </c>
      <c r="G269" s="62" t="inlineStr">
        <is>
          <t>A esa condición se ha acostumbrado la población, a la que además le gustan los militares, que son los que dicen la última palabra, incluso en asuntos que van desde la política exterior hasta el manejo de la economía.</t>
        </is>
      </c>
      <c r="H269" s="62"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I269" s="62" t="inlineStr">
        <is>
          <t>Sabiendo desde hace años que los delincuentes y los grupos armados colombianos consiguen refugio en Venezuela, es indispensable que su gobierno actúe decididamente para reprimirlos y coordine con Colombia acciones efectivas para lograrlo.</t>
        </is>
      </c>
      <c r="J269" s="38" t="n"/>
      <c r="K269" s="62" t="n"/>
      <c r="L269" s="38" t="n"/>
      <c r="M269" s="62" t="n"/>
      <c r="N269" s="38" t="n"/>
      <c r="O269" s="62" t="n"/>
      <c r="P269" s="38" t="n"/>
      <c r="Q269" s="62" t="n"/>
      <c r="R269" s="38" t="n"/>
      <c r="S269" s="62" t="n"/>
      <c r="T269" s="38" t="n"/>
      <c r="U269" s="62" t="n"/>
      <c r="V269" s="38" t="n"/>
      <c r="W269" s="62" t="n"/>
      <c r="X269" s="38" t="n"/>
      <c r="Y269" s="62" t="n"/>
      <c r="Z269" s="38" t="n"/>
      <c r="AA269" s="62" t="n"/>
      <c r="AB269" s="38" t="n"/>
      <c r="AC269" s="62" t="n"/>
      <c r="AD269" s="38" t="n"/>
      <c r="AE269" s="38" t="n"/>
      <c r="AF269" s="61">
        <f>IF(COUNTIF($B$5:B269,B269)=1,1,0)</f>
        <v/>
      </c>
      <c r="AG269" s="62" t="inlineStr">
        <is>
          <t>https://www.semana.com/opinion/articulo/una-venezuela-prospera-y-democratica-fundamental-para-colombia/202600/</t>
        </is>
      </c>
    </row>
    <row r="270" ht="15" customHeight="1" s="31">
      <c r="A270" s="38" t="inlineStr">
        <is>
          <t>ART_030</t>
        </is>
      </c>
      <c r="B270" s="38" t="inlineStr">
        <is>
          <t>ART_030_S09</t>
        </is>
      </c>
      <c r="C270" s="38" t="inlineStr">
        <is>
          <t>Semana</t>
        </is>
      </c>
      <c r="D270" s="38" t="inlineStr">
        <is>
          <t>Seguridad y orden público</t>
        </is>
      </c>
      <c r="E270" s="38" t="inlineStr">
        <is>
          <t>Opinión-análisis</t>
        </is>
      </c>
      <c r="F270" s="38" t="inlineStr">
        <is>
          <t>Fri, 04 Sep 2026 10:00:00 +0000</t>
        </is>
      </c>
      <c r="G270" s="62" t="inlineStr">
        <is>
          <t>Sabiendo desde hace años que los delincuentes y los grupos armados colombianos consiguen refugio en Venezuela, es indispensable que su gobierno actúe decididamente para reprimirlos y coordine con Colombia acciones efectivas para lograrlo.</t>
        </is>
      </c>
      <c r="H270" s="62" t="inlineStr">
        <is>
          <t>A esa condición se ha acostumbrado la población, a la que además le gustan los militares, que son los que dicen la última palabra, incluso en asuntos que van desde la política exterior hasta el manejo de la economía.</t>
        </is>
      </c>
      <c r="I270" s="62" t="inlineStr">
        <is>
          <t>Venezuela debe saber que Colombia nunca los invadirá, a pesar de que durante muchos años las Fuerzas Armadas venezolanas y algunos dirigentes políticos de ese país así lo preveían.</t>
        </is>
      </c>
      <c r="J270" s="38" t="n"/>
      <c r="K270" s="62" t="n"/>
      <c r="L270" s="38" t="n"/>
      <c r="M270" s="62" t="n"/>
      <c r="N270" s="38" t="n"/>
      <c r="O270" s="62" t="n"/>
      <c r="P270" s="38" t="n"/>
      <c r="Q270" s="62" t="n"/>
      <c r="R270" s="38" t="n"/>
      <c r="S270" s="62" t="n"/>
      <c r="T270" s="38" t="n"/>
      <c r="U270" s="62" t="n"/>
      <c r="V270" s="38" t="n"/>
      <c r="W270" s="62" t="n"/>
      <c r="X270" s="38" t="n"/>
      <c r="Y270" s="62" t="n"/>
      <c r="Z270" s="38" t="n"/>
      <c r="AA270" s="62" t="n"/>
      <c r="AB270" s="38" t="n"/>
      <c r="AC270" s="62" t="n"/>
      <c r="AD270" s="38" t="n"/>
      <c r="AE270" s="38" t="n"/>
      <c r="AF270" s="61">
        <f>IF(COUNTIF($B$5:B270,B270)=1,1,0)</f>
        <v/>
      </c>
      <c r="AG270" s="62" t="inlineStr">
        <is>
          <t>https://www.semana.com/opinion/articulo/una-venezuela-prospera-y-democratica-fundamental-para-colombia/202600/</t>
        </is>
      </c>
    </row>
    <row r="271" ht="15" customHeight="1" s="31">
      <c r="A271" s="38" t="inlineStr">
        <is>
          <t>ART_030</t>
        </is>
      </c>
      <c r="B271" s="38" t="inlineStr">
        <is>
          <t>ART_030_S10</t>
        </is>
      </c>
      <c r="C271" s="38" t="inlineStr">
        <is>
          <t>Semana</t>
        </is>
      </c>
      <c r="D271" s="38" t="inlineStr">
        <is>
          <t>Seguridad y orden público</t>
        </is>
      </c>
      <c r="E271" s="38" t="inlineStr">
        <is>
          <t>Opinión-análisis</t>
        </is>
      </c>
      <c r="F271" s="38" t="inlineStr">
        <is>
          <t>Fri, 04 Sep 2026 10:00:00 +0000</t>
        </is>
      </c>
      <c r="G271" s="62" t="inlineStr">
        <is>
          <t>Venezuela debe saber que Colombia nunca los invadirá, a pesar de que durante muchos años las Fuerzas Armadas venezolanas y algunos dirigentes políticos de ese país así lo preveían.</t>
        </is>
      </c>
      <c r="H271" s="62" t="inlineStr">
        <is>
          <t>Sabiendo desde hace años que los delincuentes y los grupos armados colombianos consiguen refugio en Venezuela, es indispensable que su gobierno actúe decididamente para reprimirlos y coordine con Colombia acciones efectivas para lograrlo.</t>
        </is>
      </c>
      <c r="I271" s="62" t="n"/>
      <c r="J271" s="38" t="n"/>
      <c r="K271" s="62" t="n"/>
      <c r="L271" s="38" t="n"/>
      <c r="M271" s="62" t="n"/>
      <c r="N271" s="38" t="n"/>
      <c r="O271" s="62" t="n"/>
      <c r="P271" s="38" t="n"/>
      <c r="Q271" s="62" t="n"/>
      <c r="R271" s="38" t="n"/>
      <c r="S271" s="62" t="n"/>
      <c r="T271" s="38" t="n"/>
      <c r="U271" s="62" t="n"/>
      <c r="V271" s="38" t="n"/>
      <c r="W271" s="62" t="n"/>
      <c r="X271" s="38" t="n"/>
      <c r="Y271" s="62" t="n"/>
      <c r="Z271" s="38" t="n"/>
      <c r="AA271" s="62" t="n"/>
      <c r="AB271" s="38" t="n"/>
      <c r="AC271" s="62" t="n"/>
      <c r="AD271" s="38" t="n"/>
      <c r="AE271" s="38" t="n"/>
      <c r="AF271" s="61">
        <f>IF(COUNTIF($B$5:B271,B271)=1,1,0)</f>
        <v/>
      </c>
      <c r="AG271" s="62" t="inlineStr">
        <is>
          <t>https://www.semana.com/opinion/articulo/una-venezuela-prospera-y-democratica-fundamental-para-colombia/202600/</t>
        </is>
      </c>
    </row>
    <row r="272" ht="15" customHeight="1" s="31">
      <c r="A272" s="38" t="inlineStr">
        <is>
          <t>ART_031</t>
        </is>
      </c>
      <c r="B272" s="38" t="inlineStr">
        <is>
          <t>ART_031_S01</t>
        </is>
      </c>
      <c r="C272" s="38" t="inlineStr">
        <is>
          <t>El Tiempo</t>
        </is>
      </c>
      <c r="D272" s="38" t="inlineStr">
        <is>
          <t>Reformas sociales en disputa (pensional/tributaria)</t>
        </is>
      </c>
      <c r="E272" s="38" t="inlineStr">
        <is>
          <t>Noticia dura</t>
        </is>
      </c>
      <c r="F272" s="38" t="inlineStr">
        <is>
          <t>2026-09-05T01:05:59-05:00</t>
        </is>
      </c>
      <c r="G272" s="62" t="inlineStr">
        <is>
          <t>Llegar a la edad de pensión no significa automáticamente que una persona vaya a recibir una mesada mensual.</t>
        </is>
      </c>
      <c r="H272" s="62" t="n"/>
      <c r="I272" s="62" t="inlineStr">
        <is>
          <t>Para pensionarse también debe cumplir determinadas condiciones, que dependen del régimen al que esté afiliado.</t>
        </is>
      </c>
      <c r="J272" s="38" t="n"/>
      <c r="K272" s="62" t="n"/>
      <c r="L272" s="38" t="n"/>
      <c r="M272" s="62" t="n"/>
      <c r="N272" s="38" t="n"/>
      <c r="O272" s="62" t="n"/>
      <c r="P272" s="38" t="n"/>
      <c r="Q272" s="62" t="n"/>
      <c r="R272" s="38" t="n"/>
      <c r="S272" s="62" t="n"/>
      <c r="T272" s="38" t="n"/>
      <c r="U272" s="62" t="n"/>
      <c r="V272" s="38" t="n"/>
      <c r="W272" s="62" t="n"/>
      <c r="X272" s="38" t="n"/>
      <c r="Y272" s="62" t="n"/>
      <c r="Z272" s="38" t="n"/>
      <c r="AA272" s="62" t="n"/>
      <c r="AB272" s="38" t="n"/>
      <c r="AC272" s="62" t="n"/>
      <c r="AD272" s="38" t="n"/>
      <c r="AE272" s="38" t="n"/>
      <c r="AF272" s="61">
        <f>IF(COUNTIF($B$5:B272,B272)=1,1,0)</f>
        <v/>
      </c>
      <c r="AG272" s="62" t="inlineStr">
        <is>
          <t>https://www.eltiempo.com/economia/finanzas-personales/que-pasa-con-su-dinero-si-no-alcanza-a-cumplir-las-semanas-necesarias-para-pensionarse-consulte-que-hacer-si-esta-en-porvenir-o-colpensiones-3583613</t>
        </is>
      </c>
    </row>
    <row r="273" ht="15" customHeight="1" s="31">
      <c r="A273" s="38" t="inlineStr">
        <is>
          <t>ART_031</t>
        </is>
      </c>
      <c r="B273" s="38" t="inlineStr">
        <is>
          <t>ART_031_S02</t>
        </is>
      </c>
      <c r="C273" s="38" t="inlineStr">
        <is>
          <t>El Tiempo</t>
        </is>
      </c>
      <c r="D273" s="38" t="inlineStr">
        <is>
          <t>Reformas sociales en disputa (pensional/tributaria)</t>
        </is>
      </c>
      <c r="E273" s="38" t="inlineStr">
        <is>
          <t>Noticia dura</t>
        </is>
      </c>
      <c r="F273" s="38" t="inlineStr">
        <is>
          <t>2026-09-05T01:05:59-05:00</t>
        </is>
      </c>
      <c r="G273" s="62" t="inlineStr">
        <is>
          <t>Para pensionarse también debe cumplir determinadas condiciones, que dependen del régimen al que esté afiliado.</t>
        </is>
      </c>
      <c r="H273" s="62" t="inlineStr">
        <is>
          <t>Llegar a la edad de pensión no significa automáticamente que una persona vaya a recibir una mesada mensual.</t>
        </is>
      </c>
      <c r="I273" s="62" t="n"/>
      <c r="J273" s="38" t="n"/>
      <c r="K273" s="62" t="n"/>
      <c r="L273" s="38" t="n"/>
      <c r="M273" s="62" t="n"/>
      <c r="N273" s="38" t="n"/>
      <c r="O273" s="62" t="n"/>
      <c r="P273" s="38" t="n"/>
      <c r="Q273" s="62" t="n"/>
      <c r="R273" s="38" t="n"/>
      <c r="S273" s="62" t="n"/>
      <c r="T273" s="38" t="n"/>
      <c r="U273" s="62" t="n"/>
      <c r="V273" s="38" t="n"/>
      <c r="W273" s="62" t="n"/>
      <c r="X273" s="38" t="n"/>
      <c r="Y273" s="62" t="n"/>
      <c r="Z273" s="38" t="n"/>
      <c r="AA273" s="62" t="n"/>
      <c r="AB273" s="38" t="n"/>
      <c r="AC273" s="62" t="n"/>
      <c r="AD273" s="38" t="n"/>
      <c r="AE273" s="38" t="n"/>
      <c r="AF273" s="61">
        <f>IF(COUNTIF($B$5:B273,B273)=1,1,0)</f>
        <v/>
      </c>
      <c r="AG273" s="62" t="inlineStr">
        <is>
          <t>https://www.eltiempo.com/economia/finanzas-personales/que-pasa-con-su-dinero-si-no-alcanza-a-cumplir-las-semanas-necesarias-para-pensionarse-consulte-que-hacer-si-esta-en-porvenir-o-colpensiones-3583613</t>
        </is>
      </c>
    </row>
    <row r="274" ht="15" customHeight="1" s="31">
      <c r="A274" s="38" t="inlineStr">
        <is>
          <t>ART_032</t>
        </is>
      </c>
      <c r="B274" s="38" t="inlineStr">
        <is>
          <t>ART_032_S01</t>
        </is>
      </c>
      <c r="C274" s="38" t="inlineStr">
        <is>
          <t>El Tiempo</t>
        </is>
      </c>
      <c r="D274" s="38" t="inlineStr">
        <is>
          <t>Respuesta a la emergencia del terremoto</t>
        </is>
      </c>
      <c r="E274" s="38" t="inlineStr">
        <is>
          <t>Opinión-análisis</t>
        </is>
      </c>
      <c r="F274" s="38" t="inlineStr">
        <is>
          <t>2026-08-30T23:15:00-05:00</t>
        </is>
      </c>
      <c r="G274" s="62" t="inlineStr">
        <is>
          <t>El pasado viernes, 29 de agosto, “se convocó”, (¿?) a través de las redes sociales, una “Velatón por las Víctimas del Terremoto, Jornada de Oración” en la plaza de Bolívar, que recomiendo ver en videos con el logo oficial de la Presidencia.</t>
        </is>
      </c>
      <c r="H274" s="62" t="n"/>
      <c r="I274" s="62" t="inlineStr">
        <is>
          <t>Si bien los objetivos de recoger fondos y “orar” por las víctimas son loables, cabe preguntarse quién está detrás de la voz pasiva de esa convocatoria, y de aquella romería performática, y qué rol juega cada personaje, desde los protagónicos hasta los secundarios.</t>
        </is>
      </c>
      <c r="J274" s="38" t="n"/>
      <c r="K274" s="62" t="n"/>
      <c r="L274" s="38" t="n"/>
      <c r="M274" s="62" t="n"/>
      <c r="N274" s="38" t="n"/>
      <c r="O274" s="62" t="n"/>
      <c r="P274" s="38" t="n"/>
      <c r="Q274" s="62" t="n"/>
      <c r="R274" s="38" t="n"/>
      <c r="S274" s="62" t="n"/>
      <c r="T274" s="38" t="n"/>
      <c r="U274" s="62" t="n"/>
      <c r="V274" s="38" t="n"/>
      <c r="W274" s="62" t="n"/>
      <c r="X274" s="38" t="n"/>
      <c r="Y274" s="62" t="n"/>
      <c r="Z274" s="38" t="n"/>
      <c r="AA274" s="62" t="n"/>
      <c r="AB274" s="38" t="n"/>
      <c r="AC274" s="62" t="n"/>
      <c r="AD274" s="38" t="n"/>
      <c r="AE274" s="38" t="n"/>
      <c r="AF274" s="61">
        <f>IF(COUNTIF($B$5:B274,B274)=1,1,0)</f>
        <v/>
      </c>
      <c r="AG274" s="62" t="inlineStr">
        <is>
          <t>https://www.eltiempo.com/opinion/columnistas/con-el-favor-de-dios-3582274</t>
        </is>
      </c>
    </row>
    <row r="275" ht="15" customHeight="1" s="31">
      <c r="A275" s="38" t="inlineStr">
        <is>
          <t>ART_032</t>
        </is>
      </c>
      <c r="B275" s="38" t="inlineStr">
        <is>
          <t>ART_032_S02</t>
        </is>
      </c>
      <c r="C275" s="38" t="inlineStr">
        <is>
          <t>El Tiempo</t>
        </is>
      </c>
      <c r="D275" s="38" t="inlineStr">
        <is>
          <t>Respuesta a la emergencia del terremoto</t>
        </is>
      </c>
      <c r="E275" s="38" t="inlineStr">
        <is>
          <t>Opinión-análisis</t>
        </is>
      </c>
      <c r="F275" s="38" t="inlineStr">
        <is>
          <t>2026-08-30T23:15:00-05:00</t>
        </is>
      </c>
      <c r="G275" s="62" t="inlineStr">
        <is>
          <t>Si bien los objetivos de recoger fondos y “orar” por las víctimas son loables, cabe preguntarse quién está detrás de la voz pasiva de esa convocatoria, y de aquella romería performática, y qué rol juega cada personaje, desde los protagónicos hasta los secundarios.</t>
        </is>
      </c>
      <c r="H275" s="62" t="inlineStr">
        <is>
          <t>El pasado viernes, 29 de agosto, “se convocó”, (¿?) a través de las redes sociales, una “Velatón por las Víctimas del Terremoto, Jornada de Oración” en la plaza de Bolívar, que recomiendo ver en videos con el logo oficial de la Presidencia.</t>
        </is>
      </c>
      <c r="I275" s="62" t="inlineStr">
        <is>
          <t>Y, como en toda puesta en escena hay una trama y un guion, y también un subtexto y unas referencias de culto, el episodio del viernes ya muestra los motivos centrales de la “batalla cultural” que seguramente serán desarrollados en sucesivas temporadas.</t>
        </is>
      </c>
      <c r="J275" s="38" t="n"/>
      <c r="K275" s="62" t="n"/>
      <c r="L275" s="38" t="n"/>
      <c r="M275" s="62" t="n"/>
      <c r="N275" s="38" t="n"/>
      <c r="O275" s="62" t="n"/>
      <c r="P275" s="38" t="n"/>
      <c r="Q275" s="62" t="n"/>
      <c r="R275" s="38" t="n"/>
      <c r="S275" s="62" t="n"/>
      <c r="T275" s="38" t="n"/>
      <c r="U275" s="62" t="n"/>
      <c r="V275" s="38" t="n"/>
      <c r="W275" s="62" t="n"/>
      <c r="X275" s="38" t="n"/>
      <c r="Y275" s="62" t="n"/>
      <c r="Z275" s="38" t="n"/>
      <c r="AA275" s="62" t="n"/>
      <c r="AB275" s="38" t="n"/>
      <c r="AC275" s="62" t="n"/>
      <c r="AD275" s="38" t="n"/>
      <c r="AE275" s="38" t="n"/>
      <c r="AF275" s="61">
        <f>IF(COUNTIF($B$5:B275,B275)=1,1,0)</f>
        <v/>
      </c>
      <c r="AG275" s="62" t="inlineStr">
        <is>
          <t>https://www.eltiempo.com/opinion/columnistas/con-el-favor-de-dios-3582274</t>
        </is>
      </c>
    </row>
    <row r="276" ht="15" customHeight="1" s="31">
      <c r="A276" s="38" t="inlineStr">
        <is>
          <t>ART_032</t>
        </is>
      </c>
      <c r="B276" s="38" t="inlineStr">
        <is>
          <t>ART_032_S03</t>
        </is>
      </c>
      <c r="C276" s="38" t="inlineStr">
        <is>
          <t>El Tiempo</t>
        </is>
      </c>
      <c r="D276" s="38" t="inlineStr">
        <is>
          <t>Respuesta a la emergencia del terremoto</t>
        </is>
      </c>
      <c r="E276" s="38" t="inlineStr">
        <is>
          <t>Opinión-análisis</t>
        </is>
      </c>
      <c r="F276" s="38" t="inlineStr">
        <is>
          <t>2026-08-30T23:15:00-05:00</t>
        </is>
      </c>
      <c r="G276" s="62" t="inlineStr">
        <is>
          <t>Y, como en toda puesta en escena hay una trama y un guion, y también un subtexto y unas referencias de culto, el episodio del viernes ya muestra los motivos centrales de la “batalla cultural” que seguramente serán desarrollados en sucesivas temporadas.</t>
        </is>
      </c>
      <c r="H276" s="62" t="inlineStr">
        <is>
          <t>Si bien los objetivos de recoger fondos y “orar” por las víctimas son loables, cabe preguntarse quién está detrás de la voz pasiva de esa convocatoria, y de aquella romería performática, y qué rol juega cada personaje, desde los protagónicos hasta los secundarios.</t>
        </is>
      </c>
      <c r="I276" s="62" t="inlineStr">
        <is>
          <t>Lo primero para decir es que el guion (de texto, imágenes y música) no es malo, para los objetivos que persigue, aunque tampoco es original.</t>
        </is>
      </c>
      <c r="J276" s="38" t="n"/>
      <c r="K276" s="62" t="n"/>
      <c r="L276" s="38" t="n"/>
      <c r="M276" s="62" t="n"/>
      <c r="N276" s="38" t="n"/>
      <c r="O276" s="62" t="n"/>
      <c r="P276" s="38" t="n"/>
      <c r="Q276" s="62" t="n"/>
      <c r="R276" s="38" t="n"/>
      <c r="S276" s="62" t="n"/>
      <c r="T276" s="38" t="n"/>
      <c r="U276" s="62" t="n"/>
      <c r="V276" s="38" t="n"/>
      <c r="W276" s="62" t="n"/>
      <c r="X276" s="38" t="n"/>
      <c r="Y276" s="62" t="n"/>
      <c r="Z276" s="38" t="n"/>
      <c r="AA276" s="62" t="n"/>
      <c r="AB276" s="38" t="n"/>
      <c r="AC276" s="62" t="n"/>
      <c r="AD276" s="38" t="n"/>
      <c r="AE276" s="38" t="n"/>
      <c r="AF276" s="61">
        <f>IF(COUNTIF($B$5:B276,B276)=1,1,0)</f>
        <v/>
      </c>
      <c r="AG276" s="62" t="inlineStr">
        <is>
          <t>https://www.eltiempo.com/opinion/columnistas/con-el-favor-de-dios-3582274</t>
        </is>
      </c>
    </row>
    <row r="277" ht="15" customHeight="1" s="31">
      <c r="A277" s="38" t="inlineStr">
        <is>
          <t>ART_032</t>
        </is>
      </c>
      <c r="B277" s="38" t="inlineStr">
        <is>
          <t>ART_032_S04</t>
        </is>
      </c>
      <c r="C277" s="38" t="inlineStr">
        <is>
          <t>El Tiempo</t>
        </is>
      </c>
      <c r="D277" s="38" t="inlineStr">
        <is>
          <t>Respuesta a la emergencia del terremoto</t>
        </is>
      </c>
      <c r="E277" s="38" t="inlineStr">
        <is>
          <t>Opinión-análisis</t>
        </is>
      </c>
      <c r="F277" s="38" t="inlineStr">
        <is>
          <t>2026-08-30T23:15:00-05:00</t>
        </is>
      </c>
      <c r="G277" s="62" t="inlineStr">
        <is>
          <t>Lo primero para decir es que el guion (de texto, imágenes y música) no es malo, para los objetivos que persigue, aunque tampoco es original.</t>
        </is>
      </c>
      <c r="H277" s="62" t="inlineStr">
        <is>
          <t>Y, como en toda puesta en escena hay una trama y un guion, y también un subtexto y unas referencias de culto, el episodio del viernes ya muestra los motivos centrales de la “batalla cultural” que seguramente serán desarrollados en sucesivas temporadas.</t>
        </is>
      </c>
      <c r="I277" s="62" t="inlineStr">
        <is>
          <t>Y lo segundo es que, a pesar de cierta obviedad, la paleta de colores del vestuario (primera dama/Virgen de Fátima) funciona bien, e incluso se refuerza con personajes secundarios como la esposa del Vicepresidente, puesta ahí, al parecer, para dar continuidad a un decorado pastel claro.</t>
        </is>
      </c>
      <c r="J277" s="38" t="n"/>
      <c r="K277" s="62" t="n"/>
      <c r="L277" s="38" t="n"/>
      <c r="M277" s="62" t="n"/>
      <c r="N277" s="38" t="n"/>
      <c r="O277" s="62" t="n"/>
      <c r="P277" s="38" t="n"/>
      <c r="Q277" s="62" t="n"/>
      <c r="R277" s="38" t="n"/>
      <c r="S277" s="62" t="n"/>
      <c r="T277" s="38" t="n"/>
      <c r="U277" s="62" t="n"/>
      <c r="V277" s="38" t="n"/>
      <c r="W277" s="62" t="n"/>
      <c r="X277" s="38" t="n"/>
      <c r="Y277" s="62" t="n"/>
      <c r="Z277" s="38" t="n"/>
      <c r="AA277" s="62" t="n"/>
      <c r="AB277" s="38" t="n"/>
      <c r="AC277" s="62" t="n"/>
      <c r="AD277" s="38" t="n"/>
      <c r="AE277" s="38" t="n"/>
      <c r="AF277" s="61">
        <f>IF(COUNTIF($B$5:B277,B277)=1,1,0)</f>
        <v/>
      </c>
      <c r="AG277" s="62" t="inlineStr">
        <is>
          <t>https://www.eltiempo.com/opinion/columnistas/con-el-favor-de-dios-3582274</t>
        </is>
      </c>
    </row>
    <row r="278" ht="15" customHeight="1" s="31">
      <c r="A278" s="38" t="inlineStr">
        <is>
          <t>ART_032</t>
        </is>
      </c>
      <c r="B278" s="38" t="inlineStr">
        <is>
          <t>ART_032_S05</t>
        </is>
      </c>
      <c r="C278" s="38" t="inlineStr">
        <is>
          <t>El Tiempo</t>
        </is>
      </c>
      <c r="D278" s="38" t="inlineStr">
        <is>
          <t>Respuesta a la emergencia del terremoto</t>
        </is>
      </c>
      <c r="E278" s="38" t="inlineStr">
        <is>
          <t>Opinión-análisis</t>
        </is>
      </c>
      <c r="F278" s="38" t="inlineStr">
        <is>
          <t>2026-08-30T23:15:00-05:00</t>
        </is>
      </c>
      <c r="G278" s="62" t="inlineStr">
        <is>
          <t>Y lo segundo es que, a pesar de cierta obviedad, la paleta de colores del vestuario (primera dama/Virgen de Fátima) funciona bien, e incluso se refuerza con personajes secundarios como la esposa del Vicepresidente, puesta ahí, al parecer, para dar continuidad a un decorado pastel claro.</t>
        </is>
      </c>
      <c r="H278" s="62" t="inlineStr">
        <is>
          <t>Lo primero para decir es que el guion (de texto, imágenes y música) no es malo, para los objetivos que persigue, aunque tampoco es original.</t>
        </is>
      </c>
      <c r="I278" s="62" t="inlineStr">
        <is>
          <t>Es un acierto también el orden de aparición de los “líderes interreligiosos”, como los llama la primera dama en su discurso de invocación.</t>
        </is>
      </c>
      <c r="J278" s="38" t="n"/>
      <c r="K278" s="62" t="n"/>
      <c r="L278" s="38" t="n"/>
      <c r="M278" s="62" t="n"/>
      <c r="N278" s="38" t="n"/>
      <c r="O278" s="62" t="n"/>
      <c r="P278" s="38" t="n"/>
      <c r="Q278" s="62" t="n"/>
      <c r="R278" s="38" t="n"/>
      <c r="S278" s="62" t="n"/>
      <c r="T278" s="38" t="n"/>
      <c r="U278" s="62" t="n"/>
      <c r="V278" s="38" t="n"/>
      <c r="W278" s="62" t="n"/>
      <c r="X278" s="38" t="n"/>
      <c r="Y278" s="62" t="n"/>
      <c r="Z278" s="38" t="n"/>
      <c r="AA278" s="62" t="n"/>
      <c r="AB278" s="38" t="n"/>
      <c r="AC278" s="62" t="n"/>
      <c r="AD278" s="38" t="n"/>
      <c r="AE278" s="38" t="n"/>
      <c r="AF278" s="61">
        <f>IF(COUNTIF($B$5:B278,B278)=1,1,0)</f>
        <v/>
      </c>
      <c r="AG278" s="62" t="inlineStr">
        <is>
          <t>https://www.eltiempo.com/opinion/columnistas/con-el-favor-de-dios-3582274</t>
        </is>
      </c>
    </row>
    <row r="279" ht="15" customHeight="1" s="31">
      <c r="A279" s="38" t="inlineStr">
        <is>
          <t>ART_032</t>
        </is>
      </c>
      <c r="B279" s="38" t="inlineStr">
        <is>
          <t>ART_032_S06</t>
        </is>
      </c>
      <c r="C279" s="38" t="inlineStr">
        <is>
          <t>El Tiempo</t>
        </is>
      </c>
      <c r="D279" s="38" t="inlineStr">
        <is>
          <t>Respuesta a la emergencia del terremoto</t>
        </is>
      </c>
      <c r="E279" s="38" t="inlineStr">
        <is>
          <t>Opinión-análisis</t>
        </is>
      </c>
      <c r="F279" s="38" t="inlineStr">
        <is>
          <t>2026-08-30T23:15:00-05:00</t>
        </is>
      </c>
      <c r="G279" s="62" t="inlineStr">
        <is>
          <t>Es un acierto también el orden de aparición de los “líderes interreligiosos”, como los llama la primera dama en su discurso de invocación.</t>
        </is>
      </c>
      <c r="H279" s="62" t="inlineStr">
        <is>
          <t>Y lo segundo es que, a pesar de cierta obviedad, la paleta de colores del vestuario (primera dama/Virgen de Fátima) funciona bien, e incluso se refuerza con personajes secundarios como la esposa del Vicepresidente, puesta ahí, al parecer, para dar continuidad a un decorado pastel claro.</t>
        </is>
      </c>
      <c r="I279" s="62" t="n"/>
      <c r="J279" s="38" t="n"/>
      <c r="K279" s="62" t="n"/>
      <c r="L279" s="38" t="n"/>
      <c r="M279" s="62" t="n"/>
      <c r="N279" s="38" t="n"/>
      <c r="O279" s="62" t="n"/>
      <c r="P279" s="38" t="n"/>
      <c r="Q279" s="62" t="n"/>
      <c r="R279" s="38" t="n"/>
      <c r="S279" s="62" t="n"/>
      <c r="T279" s="38" t="n"/>
      <c r="U279" s="62" t="n"/>
      <c r="V279" s="38" t="n"/>
      <c r="W279" s="62" t="n"/>
      <c r="X279" s="38" t="n"/>
      <c r="Y279" s="62" t="n"/>
      <c r="Z279" s="38" t="n"/>
      <c r="AA279" s="62" t="n"/>
      <c r="AB279" s="38" t="n"/>
      <c r="AC279" s="62" t="n"/>
      <c r="AD279" s="38" t="n"/>
      <c r="AE279" s="38" t="n"/>
      <c r="AF279" s="61">
        <f>IF(COUNTIF($B$5:B279,B279)=1,1,0)</f>
        <v/>
      </c>
      <c r="AG279" s="62" t="inlineStr">
        <is>
          <t>https://www.eltiempo.com/opinion/columnistas/con-el-favor-de-dios-3582274</t>
        </is>
      </c>
    </row>
    <row r="280" ht="15" customHeight="1" s="31">
      <c r="A280" s="38" t="inlineStr">
        <is>
          <t>ART_033</t>
        </is>
      </c>
      <c r="B280" s="38" t="inlineStr">
        <is>
          <t>ART_033_S01</t>
        </is>
      </c>
      <c r="C280" s="38" t="inlineStr">
        <is>
          <t>El Espectador</t>
        </is>
      </c>
      <c r="D280" s="38" t="inlineStr">
        <is>
          <t>Relación con Estados Unidos</t>
        </is>
      </c>
      <c r="E280" s="38" t="inlineStr">
        <is>
          <t>Noticia dura</t>
        </is>
      </c>
      <c r="F280" s="38" t="inlineStr">
        <is>
          <t>Fri, 04 Sep 2026 23:58:00 +0000</t>
        </is>
      </c>
      <c r="G280" s="62" t="inlineStr">
        <is>
          <t>La aerolínea Avianca confirmó que canceló los tiquetes adquiridos por el expresidente Gustavo Petro para su viaje a México debido a que está incluido en la lista OFAC.</t>
        </is>
      </c>
      <c r="H280" s="62" t="n"/>
      <c r="I280" s="62" t="inlineStr">
        <is>
          <t>El expresidente les respondió.</t>
        </is>
      </c>
      <c r="J280" s="38" t="n"/>
      <c r="K280" s="62" t="n"/>
      <c r="L280" s="38" t="n"/>
      <c r="M280" s="62" t="n"/>
      <c r="N280" s="38" t="n"/>
      <c r="O280" s="62" t="n"/>
      <c r="P280" s="38" t="n"/>
      <c r="Q280" s="62" t="n"/>
      <c r="R280" s="38" t="n"/>
      <c r="S280" s="62" t="n"/>
      <c r="T280" s="38" t="n"/>
      <c r="U280" s="62" t="n"/>
      <c r="V280" s="38" t="n"/>
      <c r="W280" s="62" t="n"/>
      <c r="X280" s="38" t="n"/>
      <c r="Y280" s="62" t="n"/>
      <c r="Z280" s="38" t="n"/>
      <c r="AA280" s="62" t="n"/>
      <c r="AB280" s="38" t="n"/>
      <c r="AC280" s="62" t="n"/>
      <c r="AD280" s="38" t="n"/>
      <c r="AE280" s="38" t="n"/>
      <c r="AF280" s="61">
        <f>IF(COUNTIF($B$5:B280,B280)=1,1,0)</f>
        <v/>
      </c>
      <c r="AG280" s="62" t="inlineStr">
        <is>
          <t>https://www.elespectador.com/politica/avianca-confirma-que-cancelo-tiquetes-de-petro-a-mexico-esto-dijo-el-expresidente/</t>
        </is>
      </c>
    </row>
    <row r="281" ht="15" customHeight="1" s="31">
      <c r="A281" s="38" t="inlineStr">
        <is>
          <t>ART_033</t>
        </is>
      </c>
      <c r="B281" s="38" t="inlineStr">
        <is>
          <t>ART_033_S02</t>
        </is>
      </c>
      <c r="C281" s="38" t="inlineStr">
        <is>
          <t>El Espectador</t>
        </is>
      </c>
      <c r="D281" s="38" t="inlineStr">
        <is>
          <t>Relación con Estados Unidos</t>
        </is>
      </c>
      <c r="E281" s="38" t="inlineStr">
        <is>
          <t>Noticia dura</t>
        </is>
      </c>
      <c r="F281" s="38" t="inlineStr">
        <is>
          <t>Fri, 04 Sep 2026 23:58:00 +0000</t>
        </is>
      </c>
      <c r="G281" s="62" t="inlineStr">
        <is>
          <t>El expresidente les respondió.</t>
        </is>
      </c>
      <c r="H281" s="62" t="inlineStr">
        <is>
          <t>La aerolínea Avianca confirmó que canceló los tiquetes adquiridos por el expresidente Gustavo Petro para su viaje a México debido a que está incluido en la lista OFAC.</t>
        </is>
      </c>
      <c r="I281" s="62"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J281" s="38" t="n"/>
      <c r="K281" s="62" t="n"/>
      <c r="L281" s="38" t="n"/>
      <c r="M281" s="62" t="n"/>
      <c r="N281" s="38" t="n"/>
      <c r="O281" s="62" t="n"/>
      <c r="P281" s="38" t="n"/>
      <c r="Q281" s="62" t="n"/>
      <c r="R281" s="38" t="n"/>
      <c r="S281" s="62" t="n"/>
      <c r="T281" s="38" t="n"/>
      <c r="U281" s="62" t="n"/>
      <c r="V281" s="38" t="n"/>
      <c r="W281" s="62" t="n"/>
      <c r="X281" s="38" t="n"/>
      <c r="Y281" s="62" t="n"/>
      <c r="Z281" s="38" t="n"/>
      <c r="AA281" s="62" t="n"/>
      <c r="AB281" s="38" t="n"/>
      <c r="AC281" s="62" t="n"/>
      <c r="AD281" s="38" t="n"/>
      <c r="AE281" s="38" t="n"/>
      <c r="AF281" s="61">
        <f>IF(COUNTIF($B$5:B281,B281)=1,1,0)</f>
        <v/>
      </c>
      <c r="AG281" s="62" t="inlineStr">
        <is>
          <t>https://www.elespectador.com/politica/avianca-confirma-que-cancelo-tiquetes-de-petro-a-mexico-esto-dijo-el-expresidente/</t>
        </is>
      </c>
    </row>
    <row r="282" ht="15" customHeight="1" s="31">
      <c r="A282" s="38" t="inlineStr">
        <is>
          <t>ART_033</t>
        </is>
      </c>
      <c r="B282" s="38" t="inlineStr">
        <is>
          <t>ART_033_S03</t>
        </is>
      </c>
      <c r="C282" s="38" t="inlineStr">
        <is>
          <t>El Espectador</t>
        </is>
      </c>
      <c r="D282" s="38" t="inlineStr">
        <is>
          <t>Relación con Estados Unidos</t>
        </is>
      </c>
      <c r="E282" s="38" t="inlineStr">
        <is>
          <t>Noticia dura</t>
        </is>
      </c>
      <c r="F282" s="38" t="inlineStr">
        <is>
          <t>Fri, 04 Sep 2026 23:58:00 +0000</t>
        </is>
      </c>
      <c r="G282" s="62"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H282" s="62" t="inlineStr">
        <is>
          <t>El expresidente les respondió.</t>
        </is>
      </c>
      <c r="I282" s="62" t="inlineStr">
        <is>
          <t>Lea: Gobernadores se reunieron con presidente De la Espriella y elevaron peticiones regionales</t>
        </is>
      </c>
      <c r="J282" s="38" t="n"/>
      <c r="K282" s="62" t="n"/>
      <c r="L282" s="38" t="n"/>
      <c r="M282" s="62" t="n"/>
      <c r="N282" s="38" t="n"/>
      <c r="O282" s="62" t="n"/>
      <c r="P282" s="38" t="n"/>
      <c r="Q282" s="62" t="n"/>
      <c r="R282" s="38" t="n"/>
      <c r="S282" s="62" t="n"/>
      <c r="T282" s="38" t="n"/>
      <c r="U282" s="62" t="n"/>
      <c r="V282" s="38" t="n"/>
      <c r="W282" s="62" t="n"/>
      <c r="X282" s="38" t="n"/>
      <c r="Y282" s="62" t="n"/>
      <c r="Z282" s="38" t="n"/>
      <c r="AA282" s="62" t="n"/>
      <c r="AB282" s="38" t="n"/>
      <c r="AC282" s="62" t="n"/>
      <c r="AD282" s="38" t="n"/>
      <c r="AE282" s="38" t="n"/>
      <c r="AF282" s="61">
        <f>IF(COUNTIF($B$5:B282,B282)=1,1,0)</f>
        <v/>
      </c>
      <c r="AG282" s="62" t="inlineStr">
        <is>
          <t>https://www.elespectador.com/politica/avianca-confirma-que-cancelo-tiquetes-de-petro-a-mexico-esto-dijo-el-expresidente/</t>
        </is>
      </c>
    </row>
    <row r="283" ht="15" customHeight="1" s="31">
      <c r="A283" s="38" t="inlineStr">
        <is>
          <t>ART_033</t>
        </is>
      </c>
      <c r="B283" s="38" t="inlineStr">
        <is>
          <t>ART_033_S04</t>
        </is>
      </c>
      <c r="C283" s="38" t="inlineStr">
        <is>
          <t>El Espectador</t>
        </is>
      </c>
      <c r="D283" s="38" t="inlineStr">
        <is>
          <t>Relación con Estados Unidos</t>
        </is>
      </c>
      <c r="E283" s="38" t="inlineStr">
        <is>
          <t>Noticia dura</t>
        </is>
      </c>
      <c r="F283" s="38" t="inlineStr">
        <is>
          <t>Fri, 04 Sep 2026 23:58:00 +0000</t>
        </is>
      </c>
      <c r="G283" s="62" t="inlineStr">
        <is>
          <t>Lea: Gobernadores se reunieron con presidente De la Espriella y elevaron peticiones regionales</t>
        </is>
      </c>
      <c r="H283" s="62"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I283" s="62"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J283" s="38" t="n"/>
      <c r="K283" s="62" t="n"/>
      <c r="L283" s="38" t="n"/>
      <c r="M283" s="62" t="n"/>
      <c r="N283" s="38" t="n"/>
      <c r="O283" s="62" t="n"/>
      <c r="P283" s="38" t="n"/>
      <c r="Q283" s="62" t="n"/>
      <c r="R283" s="38" t="n"/>
      <c r="S283" s="62" t="n"/>
      <c r="T283" s="38" t="n"/>
      <c r="U283" s="62" t="n"/>
      <c r="V283" s="38" t="n"/>
      <c r="W283" s="62" t="n"/>
      <c r="X283" s="38" t="n"/>
      <c r="Y283" s="62" t="n"/>
      <c r="Z283" s="38" t="n"/>
      <c r="AA283" s="62" t="n"/>
      <c r="AB283" s="38" t="n"/>
      <c r="AC283" s="62" t="n"/>
      <c r="AD283" s="38" t="n"/>
      <c r="AE283" s="38" t="n"/>
      <c r="AF283" s="61">
        <f>IF(COUNTIF($B$5:B283,B283)=1,1,0)</f>
        <v/>
      </c>
      <c r="AG283" s="62" t="inlineStr">
        <is>
          <t>https://www.elespectador.com/politica/avianca-confirma-que-cancelo-tiquetes-de-petro-a-mexico-esto-dijo-el-expresidente/</t>
        </is>
      </c>
    </row>
    <row r="284" ht="15" customHeight="1" s="31">
      <c r="A284" s="38" t="inlineStr">
        <is>
          <t>ART_033</t>
        </is>
      </c>
      <c r="B284" s="38" t="inlineStr">
        <is>
          <t>ART_033_S05</t>
        </is>
      </c>
      <c r="C284" s="38" t="inlineStr">
        <is>
          <t>El Espectador</t>
        </is>
      </c>
      <c r="D284" s="38" t="inlineStr">
        <is>
          <t>Relación con Estados Unidos</t>
        </is>
      </c>
      <c r="E284" s="38" t="inlineStr">
        <is>
          <t>Noticia dura</t>
        </is>
      </c>
      <c r="F284" s="38" t="inlineStr">
        <is>
          <t>Fri, 04 Sep 2026 23:58:00 +0000</t>
        </is>
      </c>
      <c r="G284" s="62"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H284" s="62" t="inlineStr">
        <is>
          <t>Lea: Gobernadores se reunieron con presidente De la Espriella y elevaron peticiones regionales</t>
        </is>
      </c>
      <c r="I284" s="62" t="inlineStr">
        <is>
          <t>Por esta razón, la aerolínea canceló las reservas que fueron hechas por el expresidente Gustavo Petro y reembolsó la totalidad del valor que había sido pagado.</t>
        </is>
      </c>
      <c r="J284" s="38" t="n"/>
      <c r="K284" s="62" t="n"/>
      <c r="L284" s="38" t="n"/>
      <c r="M284" s="62" t="n"/>
      <c r="N284" s="38" t="n"/>
      <c r="O284" s="62" t="n"/>
      <c r="P284" s="38" t="n"/>
      <c r="Q284" s="62" t="n"/>
      <c r="R284" s="38" t="n"/>
      <c r="S284" s="62" t="n"/>
      <c r="T284" s="38" t="n"/>
      <c r="U284" s="62" t="n"/>
      <c r="V284" s="38" t="n"/>
      <c r="W284" s="62" t="n"/>
      <c r="X284" s="38" t="n"/>
      <c r="Y284" s="62" t="n"/>
      <c r="Z284" s="38" t="n"/>
      <c r="AA284" s="62" t="n"/>
      <c r="AB284" s="38" t="n"/>
      <c r="AC284" s="62" t="n"/>
      <c r="AD284" s="38" t="n"/>
      <c r="AE284" s="38" t="n"/>
      <c r="AF284" s="61">
        <f>IF(COUNTIF($B$5:B284,B284)=1,1,0)</f>
        <v/>
      </c>
      <c r="AG284" s="62" t="inlineStr">
        <is>
          <t>https://www.elespectador.com/politica/avianca-confirma-que-cancelo-tiquetes-de-petro-a-mexico-esto-dijo-el-expresidente/</t>
        </is>
      </c>
    </row>
    <row r="285" ht="15" customHeight="1" s="31">
      <c r="A285" s="38" t="inlineStr">
        <is>
          <t>ART_033</t>
        </is>
      </c>
      <c r="B285" s="38" t="inlineStr">
        <is>
          <t>ART_033_S06</t>
        </is>
      </c>
      <c r="C285" s="38" t="inlineStr">
        <is>
          <t>El Espectador</t>
        </is>
      </c>
      <c r="D285" s="38" t="inlineStr">
        <is>
          <t>Relación con Estados Unidos</t>
        </is>
      </c>
      <c r="E285" s="38" t="inlineStr">
        <is>
          <t>Noticia dura</t>
        </is>
      </c>
      <c r="F285" s="38" t="inlineStr">
        <is>
          <t>Fri, 04 Sep 2026 23:58:00 +0000</t>
        </is>
      </c>
      <c r="G285" s="62" t="inlineStr">
        <is>
          <t>Por esta razón, la aerolínea canceló las reservas que fueron hechas por el expresidente Gustavo Petro y reembolsó la totalidad del valor que había sido pagado.</t>
        </is>
      </c>
      <c r="H285" s="62"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I285" s="62" t="n"/>
      <c r="J285" s="38" t="n"/>
      <c r="K285" s="62" t="n"/>
      <c r="L285" s="38" t="n"/>
      <c r="M285" s="62" t="n"/>
      <c r="N285" s="38" t="n"/>
      <c r="O285" s="62" t="n"/>
      <c r="P285" s="38" t="n"/>
      <c r="Q285" s="62" t="n"/>
      <c r="R285" s="38" t="n"/>
      <c r="S285" s="62" t="n"/>
      <c r="T285" s="38" t="n"/>
      <c r="U285" s="62" t="n"/>
      <c r="V285" s="38" t="n"/>
      <c r="W285" s="62" t="n"/>
      <c r="X285" s="38" t="n"/>
      <c r="Y285" s="62" t="n"/>
      <c r="Z285" s="38" t="n"/>
      <c r="AA285" s="62" t="n"/>
      <c r="AB285" s="38" t="n"/>
      <c r="AC285" s="62" t="n"/>
      <c r="AD285" s="38" t="n"/>
      <c r="AE285" s="38" t="n"/>
      <c r="AF285" s="61">
        <f>IF(COUNTIF($B$5:B285,B285)=1,1,0)</f>
        <v/>
      </c>
      <c r="AG285" s="62" t="inlineStr">
        <is>
          <t>https://www.elespectador.com/politica/avianca-confirma-que-cancelo-tiquetes-de-petro-a-mexico-esto-dijo-el-expresidente/</t>
        </is>
      </c>
    </row>
    <row r="286" ht="15" customHeight="1" s="31">
      <c r="A286" s="38" t="inlineStr">
        <is>
          <t>ART_034</t>
        </is>
      </c>
      <c r="B286" s="38" t="inlineStr">
        <is>
          <t>ART_034_S01</t>
        </is>
      </c>
      <c r="C286" s="38" t="inlineStr">
        <is>
          <t>El Espectador</t>
        </is>
      </c>
      <c r="D286" s="38" t="inlineStr">
        <is>
          <t>Seguridad y orden público</t>
        </is>
      </c>
      <c r="E286" s="38" t="inlineStr">
        <is>
          <t>Noticia dura</t>
        </is>
      </c>
      <c r="F286" s="38" t="inlineStr">
        <is>
          <t>Sun, 06 Sep 2026 00:22:17 +0000</t>
        </is>
      </c>
      <c r="G286" s="62" t="inlineStr">
        <is>
          <t>El general (r) Jorge Eduardo Mora, junto con la cúpula militar y de Policía, anunció un nuevo paquete de medidas para reforzar la seguridad y el control territorial en Ocaña y el Catatumbo, tras el ataque terrorista perpetrado por el Eln la noche del pasado 4 de septiembre contra el Cantón Militar El Trapiche, que dejó tres militares muertos.</t>
        </is>
      </c>
      <c r="H286" s="62" t="n"/>
      <c r="I286" s="62" t="inlineStr">
        <is>
          <t>En contexto: Tres soldados mueren en combate tras ataque del Eln con drones en Norte de Santander</t>
        </is>
      </c>
      <c r="J286" s="38" t="n"/>
      <c r="K286" s="62" t="n"/>
      <c r="L286" s="38" t="n"/>
      <c r="M286" s="62" t="n"/>
      <c r="N286" s="38" t="n"/>
      <c r="O286" s="62" t="n"/>
      <c r="P286" s="38" t="n"/>
      <c r="Q286" s="62" t="n"/>
      <c r="R286" s="38" t="n"/>
      <c r="S286" s="62" t="n"/>
      <c r="T286" s="38" t="n"/>
      <c r="U286" s="62" t="n"/>
      <c r="V286" s="38" t="n"/>
      <c r="W286" s="62" t="n"/>
      <c r="X286" s="38" t="n"/>
      <c r="Y286" s="62" t="n"/>
      <c r="Z286" s="38" t="n"/>
      <c r="AA286" s="62" t="n"/>
      <c r="AB286" s="38" t="n"/>
      <c r="AC286" s="62" t="n"/>
      <c r="AD286" s="38" t="n"/>
      <c r="AE286" s="38" t="n"/>
      <c r="AF286" s="61">
        <f>IF(COUNTIF($B$5:B286,B286)=1,1,0)</f>
        <v/>
      </c>
      <c r="AG286" s="62" t="inlineStr">
        <is>
          <t>https://www.elespectador.com/judicial/mindefensa-anuncia-nuevas-medidas-de-seguridad-tras-ataque-con-drones-del-eln-en-ocana/</t>
        </is>
      </c>
    </row>
    <row r="287" ht="15" customHeight="1" s="31">
      <c r="A287" s="38" t="inlineStr">
        <is>
          <t>ART_034</t>
        </is>
      </c>
      <c r="B287" s="38" t="inlineStr">
        <is>
          <t>ART_034_S02</t>
        </is>
      </c>
      <c r="C287" s="38" t="inlineStr">
        <is>
          <t>El Espectador</t>
        </is>
      </c>
      <c r="D287" s="38" t="inlineStr">
        <is>
          <t>Seguridad y orden público</t>
        </is>
      </c>
      <c r="E287" s="38" t="inlineStr">
        <is>
          <t>Noticia dura</t>
        </is>
      </c>
      <c r="F287" s="38" t="inlineStr">
        <is>
          <t>Sun, 06 Sep 2026 00:22:17 +0000</t>
        </is>
      </c>
      <c r="G287" s="62" t="inlineStr">
        <is>
          <t>En contexto: Tres soldados mueren en combate tras ataque del Eln con drones en Norte de Santander</t>
        </is>
      </c>
      <c r="H287" s="62" t="inlineStr">
        <is>
          <t>El general (r) Jorge Eduardo Mora, junto con la cúpula militar y de Policía, anunció un nuevo paquete de medidas para reforzar la seguridad y el control territorial en Ocaña y el Catatumbo, tras el ataque terrorista perpetrado por el Eln la noche del pasado 4 de septiembre contra el Cantón Militar El Trapiche, que dejó tres militares muertos.</t>
        </is>
      </c>
      <c r="I287" s="62" t="inlineStr">
        <is>
          <t>Las decisiones se adoptaron en un consejo de seguridad en el que participaron el gobernador de Norte de Santander y altos mandos militares y policiales de la región.</t>
        </is>
      </c>
      <c r="J287" s="38" t="n"/>
      <c r="K287" s="62" t="n"/>
      <c r="L287" s="38" t="n"/>
      <c r="M287" s="62" t="n"/>
      <c r="N287" s="38" t="n"/>
      <c r="O287" s="62" t="n"/>
      <c r="P287" s="38" t="n"/>
      <c r="Q287" s="62" t="n"/>
      <c r="R287" s="38" t="n"/>
      <c r="S287" s="62" t="n"/>
      <c r="T287" s="38" t="n"/>
      <c r="U287" s="62" t="n"/>
      <c r="V287" s="38" t="n"/>
      <c r="W287" s="62" t="n"/>
      <c r="X287" s="38" t="n"/>
      <c r="Y287" s="62" t="n"/>
      <c r="Z287" s="38" t="n"/>
      <c r="AA287" s="62" t="n"/>
      <c r="AB287" s="38" t="n"/>
      <c r="AC287" s="62" t="n"/>
      <c r="AD287" s="38" t="n"/>
      <c r="AE287" s="38" t="n"/>
      <c r="AF287" s="61">
        <f>IF(COUNTIF($B$5:B287,B287)=1,1,0)</f>
        <v/>
      </c>
      <c r="AG287" s="62" t="inlineStr">
        <is>
          <t>https://www.elespectador.com/judicial/mindefensa-anuncia-nuevas-medidas-de-seguridad-tras-ataque-con-drones-del-eln-en-ocana/</t>
        </is>
      </c>
    </row>
    <row r="288" ht="15" customHeight="1" s="31">
      <c r="A288" s="38" t="inlineStr">
        <is>
          <t>ART_034</t>
        </is>
      </c>
      <c r="B288" s="38" t="inlineStr">
        <is>
          <t>ART_034_S03</t>
        </is>
      </c>
      <c r="C288" s="38" t="inlineStr">
        <is>
          <t>El Espectador</t>
        </is>
      </c>
      <c r="D288" s="38" t="inlineStr">
        <is>
          <t>Seguridad y orden público</t>
        </is>
      </c>
      <c r="E288" s="38" t="inlineStr">
        <is>
          <t>Noticia dura</t>
        </is>
      </c>
      <c r="F288" s="38" t="inlineStr">
        <is>
          <t>Sun, 06 Sep 2026 00:22:17 +0000</t>
        </is>
      </c>
      <c r="G288" s="62" t="inlineStr">
        <is>
          <t>Las decisiones se adoptaron en un consejo de seguridad en el que participaron el gobernador de Norte de Santander y altos mandos militares y policiales de la región.</t>
        </is>
      </c>
      <c r="H288" s="62" t="inlineStr">
        <is>
          <t>En contexto: Tres soldados mueren en combate tras ataque del Eln con drones en Norte de Santander</t>
        </is>
      </c>
      <c r="I288" s="62"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J288" s="38" t="n"/>
      <c r="K288" s="62" t="n"/>
      <c r="L288" s="38" t="n"/>
      <c r="M288" s="62" t="n"/>
      <c r="N288" s="38" t="n"/>
      <c r="O288" s="62" t="n"/>
      <c r="P288" s="38" t="n"/>
      <c r="Q288" s="62" t="n"/>
      <c r="R288" s="38" t="n"/>
      <c r="S288" s="62" t="n"/>
      <c r="T288" s="38" t="n"/>
      <c r="U288" s="62" t="n"/>
      <c r="V288" s="38" t="n"/>
      <c r="W288" s="62" t="n"/>
      <c r="X288" s="38" t="n"/>
      <c r="Y288" s="62" t="n"/>
      <c r="Z288" s="38" t="n"/>
      <c r="AA288" s="62" t="n"/>
      <c r="AB288" s="38" t="n"/>
      <c r="AC288" s="62" t="n"/>
      <c r="AD288" s="38" t="n"/>
      <c r="AE288" s="38" t="n"/>
      <c r="AF288" s="61">
        <f>IF(COUNTIF($B$5:B288,B288)=1,1,0)</f>
        <v/>
      </c>
      <c r="AG288" s="62" t="inlineStr">
        <is>
          <t>https://www.elespectador.com/judicial/mindefensa-anuncia-nuevas-medidas-de-seguridad-tras-ataque-con-drones-del-eln-en-ocana/</t>
        </is>
      </c>
    </row>
    <row r="289" ht="15" customHeight="1" s="31">
      <c r="A289" s="38" t="inlineStr">
        <is>
          <t>ART_034</t>
        </is>
      </c>
      <c r="B289" s="38" t="inlineStr">
        <is>
          <t>ART_034_S04</t>
        </is>
      </c>
      <c r="C289" s="38" t="inlineStr">
        <is>
          <t>El Espectador</t>
        </is>
      </c>
      <c r="D289" s="38" t="inlineStr">
        <is>
          <t>Seguridad y orden público</t>
        </is>
      </c>
      <c r="E289" s="38" t="inlineStr">
        <is>
          <t>Noticia dura</t>
        </is>
      </c>
      <c r="F289" s="38" t="inlineStr">
        <is>
          <t>Sun, 06 Sep 2026 00:22:17 +0000</t>
        </is>
      </c>
      <c r="G289" s="62"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H289" s="62" t="inlineStr">
        <is>
          <t>Las decisiones se adoptaron en un consejo de seguridad en el que participaron el gobernador de Norte de Santander y altos mandos militares y policiales de la región.</t>
        </is>
      </c>
      <c r="I289" s="62" t="inlineStr">
        <is>
          <t>También se dispuso fortalecer el bloqueo y la contención de los corredores utilizados por los grupos armados ilegales para movilizar hombres, armas, explosivos y recursos ilícitos entre el sur del Cesar y Ocaña.</t>
        </is>
      </c>
      <c r="J289" s="38" t="n"/>
      <c r="K289" s="62" t="n"/>
      <c r="L289" s="38" t="n"/>
      <c r="M289" s="62" t="n"/>
      <c r="N289" s="38" t="n"/>
      <c r="O289" s="62" t="n"/>
      <c r="P289" s="38" t="n"/>
      <c r="Q289" s="62" t="n"/>
      <c r="R289" s="38" t="n"/>
      <c r="S289" s="62" t="n"/>
      <c r="T289" s="38" t="n"/>
      <c r="U289" s="62" t="n"/>
      <c r="V289" s="38" t="n"/>
      <c r="W289" s="62" t="n"/>
      <c r="X289" s="38" t="n"/>
      <c r="Y289" s="62" t="n"/>
      <c r="Z289" s="38" t="n"/>
      <c r="AA289" s="62" t="n"/>
      <c r="AB289" s="38" t="n"/>
      <c r="AC289" s="62" t="n"/>
      <c r="AD289" s="38" t="n"/>
      <c r="AE289" s="38" t="n"/>
      <c r="AF289" s="61">
        <f>IF(COUNTIF($B$5:B289,B289)=1,1,0)</f>
        <v/>
      </c>
      <c r="AG289" s="62" t="inlineStr">
        <is>
          <t>https://www.elespectador.com/judicial/mindefensa-anuncia-nuevas-medidas-de-seguridad-tras-ataque-con-drones-del-eln-en-ocana/</t>
        </is>
      </c>
    </row>
    <row r="290" ht="15" customHeight="1" s="31">
      <c r="A290" s="38" t="inlineStr">
        <is>
          <t>ART_034</t>
        </is>
      </c>
      <c r="B290" s="38" t="inlineStr">
        <is>
          <t>ART_034_S05</t>
        </is>
      </c>
      <c r="C290" s="38" t="inlineStr">
        <is>
          <t>El Espectador</t>
        </is>
      </c>
      <c r="D290" s="38" t="inlineStr">
        <is>
          <t>Seguridad y orden público</t>
        </is>
      </c>
      <c r="E290" s="38" t="inlineStr">
        <is>
          <t>Noticia dura</t>
        </is>
      </c>
      <c r="F290" s="38" t="inlineStr">
        <is>
          <t>Sun, 06 Sep 2026 00:22:17 +0000</t>
        </is>
      </c>
      <c r="G290" s="62" t="inlineStr">
        <is>
          <t>También se dispuso fortalecer el bloqueo y la contención de los corredores utilizados por los grupos armados ilegales para movilizar hombres, armas, explosivos y recursos ilícitos entre el sur del Cesar y Ocaña.</t>
        </is>
      </c>
      <c r="H290" s="62"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I290" s="62" t="inlineStr">
        <is>
          <t>Lea: Nuevo juez restringe bombardeos en Guaviare por riesgo a menores reclutados por disidencias</t>
        </is>
      </c>
      <c r="J290" s="38" t="n"/>
      <c r="K290" s="62" t="n"/>
      <c r="L290" s="38" t="n"/>
      <c r="M290" s="62" t="n"/>
      <c r="N290" s="38" t="n"/>
      <c r="O290" s="62" t="n"/>
      <c r="P290" s="38" t="n"/>
      <c r="Q290" s="62" t="n"/>
      <c r="R290" s="38" t="n"/>
      <c r="S290" s="62" t="n"/>
      <c r="T290" s="38" t="n"/>
      <c r="U290" s="62" t="n"/>
      <c r="V290" s="38" t="n"/>
      <c r="W290" s="62" t="n"/>
      <c r="X290" s="38" t="n"/>
      <c r="Y290" s="62" t="n"/>
      <c r="Z290" s="38" t="n"/>
      <c r="AA290" s="62" t="n"/>
      <c r="AB290" s="38" t="n"/>
      <c r="AC290" s="62" t="n"/>
      <c r="AD290" s="38" t="n"/>
      <c r="AE290" s="38" t="n"/>
      <c r="AF290" s="61">
        <f>IF(COUNTIF($B$5:B290,B290)=1,1,0)</f>
        <v/>
      </c>
      <c r="AG290" s="62" t="inlineStr">
        <is>
          <t>https://www.elespectador.com/judicial/mindefensa-anuncia-nuevas-medidas-de-seguridad-tras-ataque-con-drones-del-eln-en-ocana/</t>
        </is>
      </c>
    </row>
    <row r="291" ht="15" customHeight="1" s="31">
      <c r="A291" s="38" t="inlineStr">
        <is>
          <t>ART_034</t>
        </is>
      </c>
      <c r="B291" s="38" t="inlineStr">
        <is>
          <t>ART_034_S06</t>
        </is>
      </c>
      <c r="C291" s="38" t="inlineStr">
        <is>
          <t>El Espectador</t>
        </is>
      </c>
      <c r="D291" s="38" t="inlineStr">
        <is>
          <t>Seguridad y orden público</t>
        </is>
      </c>
      <c r="E291" s="38" t="inlineStr">
        <is>
          <t>Noticia dura</t>
        </is>
      </c>
      <c r="F291" s="38" t="inlineStr">
        <is>
          <t>Sun, 06 Sep 2026 00:22:17 +0000</t>
        </is>
      </c>
      <c r="G291" s="62" t="inlineStr">
        <is>
          <t>Lea: Nuevo juez restringe bombardeos en Guaviare por riesgo a menores reclutados por disidencias</t>
        </is>
      </c>
      <c r="H291" s="62" t="inlineStr">
        <is>
          <t>También se dispuso fortalecer el bloqueo y la contención de los corredores utilizados por los grupos armados ilegales para movilizar hombres, armas, explosivos y recursos ilícitos entre el sur del Cesar y Ocaña.</t>
        </is>
      </c>
      <c r="I291" s="62" t="n"/>
      <c r="J291" s="38" t="n"/>
      <c r="K291" s="62" t="n"/>
      <c r="L291" s="38" t="n"/>
      <c r="M291" s="62" t="n"/>
      <c r="N291" s="38" t="n"/>
      <c r="O291" s="62" t="n"/>
      <c r="P291" s="38" t="n"/>
      <c r="Q291" s="62" t="n"/>
      <c r="R291" s="38" t="n"/>
      <c r="S291" s="62" t="n"/>
      <c r="T291" s="38" t="n"/>
      <c r="U291" s="62" t="n"/>
      <c r="V291" s="38" t="n"/>
      <c r="W291" s="62" t="n"/>
      <c r="X291" s="38" t="n"/>
      <c r="Y291" s="62" t="n"/>
      <c r="Z291" s="38" t="n"/>
      <c r="AA291" s="62" t="n"/>
      <c r="AB291" s="38" t="n"/>
      <c r="AC291" s="62" t="n"/>
      <c r="AD291" s="38" t="n"/>
      <c r="AE291" s="38" t="n"/>
      <c r="AF291" s="61">
        <f>IF(COUNTIF($B$5:B291,B291)=1,1,0)</f>
        <v/>
      </c>
      <c r="AG291" s="62" t="inlineStr">
        <is>
          <t>https://www.elespectador.com/judicial/mindefensa-anuncia-nuevas-medidas-de-seguridad-tras-ataque-con-drones-del-eln-en-ocana/</t>
        </is>
      </c>
    </row>
    <row r="292" ht="15" customHeight="1" s="31">
      <c r="A292" s="38" t="inlineStr">
        <is>
          <t>ART_035</t>
        </is>
      </c>
      <c r="B292" s="38" t="inlineStr">
        <is>
          <t>ART_035_S01</t>
        </is>
      </c>
      <c r="C292" s="38" t="inlineStr">
        <is>
          <t>Infobae Colombia</t>
        </is>
      </c>
      <c r="D292" s="38" t="inlineStr">
        <is>
          <t>Transición de gobierno y relación con la oposición</t>
        </is>
      </c>
      <c r="E292" s="38" t="inlineStr">
        <is>
          <t>Noticia dura</t>
        </is>
      </c>
      <c r="F292" s="38" t="inlineStr">
        <is>
          <t>Sun, 06 Sep 2026 00:24:00 +0000</t>
        </is>
      </c>
      <c r="G292" s="62" t="inlineStr">
        <is>
          <t>El país sigue hablando sobre la muerte de Naín Andrés Pérez Toncel, alias Bendito Menor, cabecilla de las Autodefensas Conquistadoras de la Sierra, que perdió la vida en un operativo de la Policía en Riohacha, donde fue abatido junto con su compañera sentimental y dos escoltas.</t>
        </is>
      </c>
      <c r="H292" s="62" t="n"/>
      <c r="I292" s="62" t="inlineStr">
        <is>
          <t>Un día después del hecho, el cuerpo del líder criminal fue entregado a su familia, después de que Medicina Legal lo tuviera en su poder e hiciera los procedimientos de identificación y el presidente Abelardo de la Espriella lo presentara ante los medios dentro de una bolsa blanca, junto con las otras cuatro bajas.</t>
        </is>
      </c>
      <c r="J292" s="38" t="n"/>
      <c r="K292" s="62" t="n"/>
      <c r="L292" s="38" t="n"/>
      <c r="M292" s="62" t="n"/>
      <c r="N292" s="38" t="n"/>
      <c r="O292" s="62" t="n"/>
      <c r="P292" s="38" t="n"/>
      <c r="Q292" s="62" t="n"/>
      <c r="R292" s="38" t="n"/>
      <c r="S292" s="62" t="n"/>
      <c r="T292" s="38" t="n"/>
      <c r="U292" s="62" t="n"/>
      <c r="V292" s="38" t="n"/>
      <c r="W292" s="62" t="n"/>
      <c r="X292" s="38" t="n"/>
      <c r="Y292" s="62" t="n"/>
      <c r="Z292" s="38" t="n"/>
      <c r="AA292" s="62" t="n"/>
      <c r="AB292" s="38" t="n"/>
      <c r="AC292" s="62" t="n"/>
      <c r="AD292" s="38" t="n"/>
      <c r="AE292" s="38" t="n"/>
      <c r="AF292" s="61">
        <f>IF(COUNTIF($B$5:B292,B292)=1,1,0)</f>
        <v/>
      </c>
      <c r="AG292" s="62" t="inlineStr">
        <is>
          <t>https://www.infobae.com/colombia/2026/09/05/cuerpo-de-bendito-menor-fue-entregado-a-sus-familiares-en-riohacha-asi-fue-el-sepelio-del-lider-criminal/</t>
        </is>
      </c>
    </row>
    <row r="293" ht="15" customHeight="1" s="31">
      <c r="A293" s="38" t="inlineStr">
        <is>
          <t>ART_035</t>
        </is>
      </c>
      <c r="B293" s="38" t="inlineStr">
        <is>
          <t>ART_035_S02</t>
        </is>
      </c>
      <c r="C293" s="38" t="inlineStr">
        <is>
          <t>Infobae Colombia</t>
        </is>
      </c>
      <c r="D293" s="38" t="inlineStr">
        <is>
          <t>Transición de gobierno y relación con la oposición</t>
        </is>
      </c>
      <c r="E293" s="38" t="inlineStr">
        <is>
          <t>Noticia dura</t>
        </is>
      </c>
      <c r="F293" s="38" t="inlineStr">
        <is>
          <t>Sun, 06 Sep 2026 00:24:00 +0000</t>
        </is>
      </c>
      <c r="G293" s="62" t="inlineStr">
        <is>
          <t>Un día después del hecho, el cuerpo del líder criminal fue entregado a su familia, después de que Medicina Legal lo tuviera en su poder e hiciera los procedimientos de identificación y el presidente Abelardo de la Espriella lo presentara ante los medios dentro de una bolsa blanca, junto con las otras cuatro bajas.</t>
        </is>
      </c>
      <c r="H293" s="62" t="inlineStr">
        <is>
          <t>El país sigue hablando sobre la muerte de Naín Andrés Pérez Toncel, alias Bendito Menor, cabecilla de las Autodefensas Conquistadoras de la Sierra, que perdió la vida en un operativo de la Policía en Riohacha, donde fue abatido junto con su compañera sentimental y dos escoltas.</t>
        </is>
      </c>
      <c r="I293" s="62" t="inlineStr">
        <is>
          <t>Por otro lado, las Autodefensas Conquistadoras de la Sierra se pronunciaron por la muerte de Bendito Menor y aseguraron que no habrá ningún acto de retaliación, además de enviar condolencias a sus familiares y seres más cercanos.</t>
        </is>
      </c>
      <c r="J293" s="38" t="n"/>
      <c r="K293" s="62" t="n"/>
      <c r="L293" s="38" t="n"/>
      <c r="M293" s="62" t="n"/>
      <c r="N293" s="38" t="n"/>
      <c r="O293" s="62" t="n"/>
      <c r="P293" s="38" t="n"/>
      <c r="Q293" s="62" t="n"/>
      <c r="R293" s="38" t="n"/>
      <c r="S293" s="62" t="n"/>
      <c r="T293" s="38" t="n"/>
      <c r="U293" s="62" t="n"/>
      <c r="V293" s="38" t="n"/>
      <c r="W293" s="62" t="n"/>
      <c r="X293" s="38" t="n"/>
      <c r="Y293" s="62" t="n"/>
      <c r="Z293" s="38" t="n"/>
      <c r="AA293" s="62" t="n"/>
      <c r="AB293" s="38" t="n"/>
      <c r="AC293" s="62" t="n"/>
      <c r="AD293" s="38" t="n"/>
      <c r="AE293" s="38" t="n"/>
      <c r="AF293" s="61">
        <f>IF(COUNTIF($B$5:B293,B293)=1,1,0)</f>
        <v/>
      </c>
      <c r="AG293" s="62" t="inlineStr">
        <is>
          <t>https://www.infobae.com/colombia/2026/09/05/cuerpo-de-bendito-menor-fue-entregado-a-sus-familiares-en-riohacha-asi-fue-el-sepelio-del-lider-criminal/</t>
        </is>
      </c>
    </row>
    <row r="294" ht="15" customHeight="1" s="31">
      <c r="A294" s="38" t="inlineStr">
        <is>
          <t>ART_035</t>
        </is>
      </c>
      <c r="B294" s="38" t="inlineStr">
        <is>
          <t>ART_035_S03</t>
        </is>
      </c>
      <c r="C294" s="38" t="inlineStr">
        <is>
          <t>Infobae Colombia</t>
        </is>
      </c>
      <c r="D294" s="38" t="inlineStr">
        <is>
          <t>Transición de gobierno y relación con la oposición</t>
        </is>
      </c>
      <c r="E294" s="38" t="inlineStr">
        <is>
          <t>Noticia dura</t>
        </is>
      </c>
      <c r="F294" s="38" t="inlineStr">
        <is>
          <t>Sun, 06 Sep 2026 00:24:00 +0000</t>
        </is>
      </c>
      <c r="G294" s="62" t="inlineStr">
        <is>
          <t>Por otro lado, las Autodefensas Conquistadoras de la Sierra se pronunciaron por la muerte de Bendito Menor y aseguraron que no habrá ningún acto de retaliación, además de enviar condolencias a sus familiares y seres más cercanos.</t>
        </is>
      </c>
      <c r="H294" s="62" t="inlineStr">
        <is>
          <t>Un día después del hecho, el cuerpo del líder criminal fue entregado a su familia, después de que Medicina Legal lo tuviera en su poder e hiciera los procedimientos de identificación y el presidente Abelardo de la Espriella lo presentara ante los medios dentro de una bolsa blanca, junto con las otras cuatro bajas.</t>
        </is>
      </c>
      <c r="I294" s="62" t="inlineStr">
        <is>
          <t>La entrega del cuerpo de ‘Bendito Menor’</t>
        </is>
      </c>
      <c r="J294" s="38" t="n"/>
      <c r="K294" s="62" t="n"/>
      <c r="L294" s="38" t="n"/>
      <c r="M294" s="62" t="n"/>
      <c r="N294" s="38" t="n"/>
      <c r="O294" s="62" t="n"/>
      <c r="P294" s="38" t="n"/>
      <c r="Q294" s="62" t="n"/>
      <c r="R294" s="38" t="n"/>
      <c r="S294" s="62" t="n"/>
      <c r="T294" s="38" t="n"/>
      <c r="U294" s="62" t="n"/>
      <c r="V294" s="38" t="n"/>
      <c r="W294" s="62" t="n"/>
      <c r="X294" s="38" t="n"/>
      <c r="Y294" s="62" t="n"/>
      <c r="Z294" s="38" t="n"/>
      <c r="AA294" s="62" t="n"/>
      <c r="AB294" s="38" t="n"/>
      <c r="AC294" s="62" t="n"/>
      <c r="AD294" s="38" t="n"/>
      <c r="AE294" s="38" t="n"/>
      <c r="AF294" s="61">
        <f>IF(COUNTIF($B$5:B294,B294)=1,1,0)</f>
        <v/>
      </c>
      <c r="AG294" s="62" t="inlineStr">
        <is>
          <t>https://www.infobae.com/colombia/2026/09/05/cuerpo-de-bendito-menor-fue-entregado-a-sus-familiares-en-riohacha-asi-fue-el-sepelio-del-lider-criminal/</t>
        </is>
      </c>
    </row>
    <row r="295" ht="15" customHeight="1" s="31">
      <c r="A295" s="38" t="inlineStr">
        <is>
          <t>ART_035</t>
        </is>
      </c>
      <c r="B295" s="38" t="inlineStr">
        <is>
          <t>ART_035_S04</t>
        </is>
      </c>
      <c r="C295" s="38" t="inlineStr">
        <is>
          <t>Infobae Colombia</t>
        </is>
      </c>
      <c r="D295" s="38" t="inlineStr">
        <is>
          <t>Transición de gobierno y relación con la oposición</t>
        </is>
      </c>
      <c r="E295" s="38" t="inlineStr">
        <is>
          <t>Noticia dura</t>
        </is>
      </c>
      <c r="F295" s="38" t="inlineStr">
        <is>
          <t>Sun, 06 Sep 2026 00:24:00 +0000</t>
        </is>
      </c>
      <c r="G295" s="62" t="inlineStr">
        <is>
          <t>La entrega del cuerpo de ‘Bendito Menor’</t>
        </is>
      </c>
      <c r="H295" s="62" t="inlineStr">
        <is>
          <t>Por otro lado, las Autodefensas Conquistadoras de la Sierra se pronunciaron por la muerte de Bendito Menor y aseguraron que no habrá ningún acto de retaliación, además de enviar condolencias a sus familiares y seres más cercanos.</t>
        </is>
      </c>
      <c r="I295" s="62" t="inlineStr">
        <is>
          <t>La entrega de los cuerpos de Naín Andrés Pérez Toncel, alias Bendito Menor; Rosa Angélica Tarazona “La Bebecita” y otros dos acompañantes, abatidos en un operativo de la Dijín en Riohacha, abrió un nuevo capítulo tras la incursión policial de la madrugada del 4 de septiembre.</t>
        </is>
      </c>
      <c r="J295" s="38" t="n"/>
      <c r="K295" s="62" t="n"/>
      <c r="L295" s="38" t="n"/>
      <c r="M295" s="62" t="n"/>
      <c r="N295" s="38" t="n"/>
      <c r="O295" s="62" t="n"/>
      <c r="P295" s="38" t="n"/>
      <c r="Q295" s="62" t="n"/>
      <c r="R295" s="38" t="n"/>
      <c r="S295" s="62" t="n"/>
      <c r="T295" s="38" t="n"/>
      <c r="U295" s="62" t="n"/>
      <c r="V295" s="38" t="n"/>
      <c r="W295" s="62" t="n"/>
      <c r="X295" s="38" t="n"/>
      <c r="Y295" s="62" t="n"/>
      <c r="Z295" s="38" t="n"/>
      <c r="AA295" s="62" t="n"/>
      <c r="AB295" s="38" t="n"/>
      <c r="AC295" s="62" t="n"/>
      <c r="AD295" s="38" t="n"/>
      <c r="AE295" s="38" t="n"/>
      <c r="AF295" s="61">
        <f>IF(COUNTIF($B$5:B295,B295)=1,1,0)</f>
        <v/>
      </c>
      <c r="AG295" s="62" t="inlineStr">
        <is>
          <t>https://www.infobae.com/colombia/2026/09/05/cuerpo-de-bendito-menor-fue-entregado-a-sus-familiares-en-riohacha-asi-fue-el-sepelio-del-lider-criminal/</t>
        </is>
      </c>
    </row>
    <row r="296" ht="15" customHeight="1" s="31">
      <c r="A296" s="38" t="inlineStr">
        <is>
          <t>ART_035</t>
        </is>
      </c>
      <c r="B296" s="38" t="inlineStr">
        <is>
          <t>ART_035_S05</t>
        </is>
      </c>
      <c r="C296" s="38" t="inlineStr">
        <is>
          <t>Infobae Colombia</t>
        </is>
      </c>
      <c r="D296" s="38" t="inlineStr">
        <is>
          <t>Transición de gobierno y relación con la oposición</t>
        </is>
      </c>
      <c r="E296" s="38" t="inlineStr">
        <is>
          <t>Noticia dura</t>
        </is>
      </c>
      <c r="F296" s="38" t="inlineStr">
        <is>
          <t>Sun, 06 Sep 2026 00:24:00 +0000</t>
        </is>
      </c>
      <c r="G296" s="62" t="inlineStr">
        <is>
          <t>La entrega de los cuerpos de Naín Andrés Pérez Toncel, alias Bendito Menor; Rosa Angélica Tarazona “La Bebecita” y otros dos acompañantes, abatidos en un operativo de la Dijín en Riohacha, abrió un nuevo capítulo tras la incursión policial de la madrugada del 4 de septiembre.</t>
        </is>
      </c>
      <c r="H296" s="62" t="inlineStr">
        <is>
          <t>La entrega del cuerpo de ‘Bendito Menor’</t>
        </is>
      </c>
      <c r="I296" s="62" t="inlineStr">
        <is>
          <t>De acuerdo con Medicina Legal, los cuerpos fueron examinados por equipos forenses de Barranquilla y quedaron habilitados para su entrega a los familiares, una vez mediara la autorización de las autoridades competentes.</t>
        </is>
      </c>
      <c r="J296" s="38" t="n"/>
      <c r="K296" s="62" t="n"/>
      <c r="L296" s="38" t="n"/>
      <c r="M296" s="62" t="n"/>
      <c r="N296" s="38" t="n"/>
      <c r="O296" s="62" t="n"/>
      <c r="P296" s="38" t="n"/>
      <c r="Q296" s="62" t="n"/>
      <c r="R296" s="38" t="n"/>
      <c r="S296" s="62" t="n"/>
      <c r="T296" s="38" t="n"/>
      <c r="U296" s="62" t="n"/>
      <c r="V296" s="38" t="n"/>
      <c r="W296" s="62" t="n"/>
      <c r="X296" s="38" t="n"/>
      <c r="Y296" s="62" t="n"/>
      <c r="Z296" s="38" t="n"/>
      <c r="AA296" s="62" t="n"/>
      <c r="AB296" s="38" t="n"/>
      <c r="AC296" s="62" t="n"/>
      <c r="AD296" s="38" t="n"/>
      <c r="AE296" s="38" t="n"/>
      <c r="AF296" s="61">
        <f>IF(COUNTIF($B$5:B296,B296)=1,1,0)</f>
        <v/>
      </c>
      <c r="AG296" s="62" t="inlineStr">
        <is>
          <t>https://www.infobae.com/colombia/2026/09/05/cuerpo-de-bendito-menor-fue-entregado-a-sus-familiares-en-riohacha-asi-fue-el-sepelio-del-lider-criminal/</t>
        </is>
      </c>
    </row>
    <row r="297" ht="15" customHeight="1" s="31">
      <c r="A297" s="38" t="inlineStr">
        <is>
          <t>ART_035</t>
        </is>
      </c>
      <c r="B297" s="38" t="inlineStr">
        <is>
          <t>ART_035_S06</t>
        </is>
      </c>
      <c r="C297" s="38" t="inlineStr">
        <is>
          <t>Infobae Colombia</t>
        </is>
      </c>
      <c r="D297" s="38" t="inlineStr">
        <is>
          <t>Transición de gobierno y relación con la oposición</t>
        </is>
      </c>
      <c r="E297" s="38" t="inlineStr">
        <is>
          <t>Noticia dura</t>
        </is>
      </c>
      <c r="F297" s="38" t="inlineStr">
        <is>
          <t>Sun, 06 Sep 2026 00:24:00 +0000</t>
        </is>
      </c>
      <c r="G297" s="62" t="inlineStr">
        <is>
          <t>De acuerdo con Medicina Legal, los cuerpos fueron examinados por equipos forenses de Barranquilla y quedaron habilitados para su entrega a los familiares, una vez mediara la autorización de las autoridades competentes.</t>
        </is>
      </c>
      <c r="H297" s="62" t="inlineStr">
        <is>
          <t>La entrega de los cuerpos de Naín Andrés Pérez Toncel, alias Bendito Menor; Rosa Angélica Tarazona “La Bebecita” y otros dos acompañantes, abatidos en un operativo de la Dijín en Riohacha, abrió un nuevo capítulo tras la incursión policial de la madrugada del 4 de septiembre.</t>
        </is>
      </c>
      <c r="I297" s="62" t="n"/>
      <c r="J297" s="38" t="n"/>
      <c r="K297" s="62" t="n"/>
      <c r="L297" s="38" t="n"/>
      <c r="M297" s="62" t="n"/>
      <c r="N297" s="38" t="n"/>
      <c r="O297" s="62" t="n"/>
      <c r="P297" s="38" t="n"/>
      <c r="Q297" s="62" t="n"/>
      <c r="R297" s="38" t="n"/>
      <c r="S297" s="62" t="n"/>
      <c r="T297" s="38" t="n"/>
      <c r="U297" s="62" t="n"/>
      <c r="V297" s="38" t="n"/>
      <c r="W297" s="62" t="n"/>
      <c r="X297" s="38" t="n"/>
      <c r="Y297" s="62" t="n"/>
      <c r="Z297" s="38" t="n"/>
      <c r="AA297" s="62" t="n"/>
      <c r="AB297" s="38" t="n"/>
      <c r="AC297" s="62" t="n"/>
      <c r="AD297" s="38" t="n"/>
      <c r="AE297" s="38" t="n"/>
      <c r="AF297" s="61">
        <f>IF(COUNTIF($B$5:B297,B297)=1,1,0)</f>
        <v/>
      </c>
      <c r="AG297" s="62" t="inlineStr">
        <is>
          <t>https://www.infobae.com/colombia/2026/09/05/cuerpo-de-bendito-menor-fue-entregado-a-sus-familiares-en-riohacha-asi-fue-el-sepelio-del-lider-criminal/</t>
        </is>
      </c>
    </row>
    <row r="298" ht="15" customHeight="1" s="31">
      <c r="A298" s="38" t="inlineStr">
        <is>
          <t>ART_036</t>
        </is>
      </c>
      <c r="B298" s="38" t="inlineStr">
        <is>
          <t>ART_036_S01</t>
        </is>
      </c>
      <c r="C298" s="38" t="inlineStr">
        <is>
          <t>Infobae Colombia</t>
        </is>
      </c>
      <c r="D298" s="38" t="inlineStr">
        <is>
          <t>Seguridad y orden público</t>
        </is>
      </c>
      <c r="E298" s="38" t="inlineStr">
        <is>
          <t>Noticia dura</t>
        </is>
      </c>
      <c r="F298" s="38" t="inlineStr">
        <is>
          <t>Sat, 05 Sep 2026 23:40:04 +0000</t>
        </is>
      </c>
      <c r="G298" s="62" t="inlineStr">
        <is>
          <t>Tras el ataque terrorista que perpetró el Ejército de Liberación Nacional (ELN) el 4 de septiembre contra el Cantón Militar El Trapiche, ubicado en Ocaña, Norte de Santander, se llevó a cabo un consejo de seguridad extraordinario para atender la situación de orden público.</t>
        </is>
      </c>
      <c r="H298" s="62" t="n"/>
      <c r="I298" s="62" t="inlineStr">
        <is>
          <t>El atentado y los combates que se presentaron posteriormente dejaron tres militares asesinados: el capitán Marco David Pirajón Montezuma y los soldados profesionales Joel Alberto Jiménez Jaramillo y Jhon Carlo Marrugo Manjarrez.</t>
        </is>
      </c>
      <c r="J298" s="38" t="n"/>
      <c r="K298" s="62" t="n"/>
      <c r="L298" s="38" t="n"/>
      <c r="M298" s="62" t="n"/>
      <c r="N298" s="38" t="n"/>
      <c r="O298" s="62" t="n"/>
      <c r="P298" s="38" t="n"/>
      <c r="Q298" s="62" t="n"/>
      <c r="R298" s="38" t="n"/>
      <c r="S298" s="62" t="n"/>
      <c r="T298" s="38" t="n"/>
      <c r="U298" s="62" t="n"/>
      <c r="V298" s="38" t="n"/>
      <c r="W298" s="62" t="n"/>
      <c r="X298" s="38" t="n"/>
      <c r="Y298" s="62" t="n"/>
      <c r="Z298" s="38" t="n"/>
      <c r="AA298" s="62" t="n"/>
      <c r="AB298" s="38" t="n"/>
      <c r="AC298" s="62" t="n"/>
      <c r="AD298" s="38" t="n"/>
      <c r="AE298" s="38" t="n"/>
      <c r="AF298" s="61">
        <f>IF(COUNTIF($B$5:B298,B298)=1,1,0)</f>
        <v/>
      </c>
      <c r="AG298" s="62" t="inlineStr">
        <is>
          <t>https://www.infobae.com/colombia/2026/09/05/toman-medidas-para-reforzar-la-seguridad-en-ocana-y-norte-de-santander-tras-atentado-del-eln-activaran-la-campana-militar-y-policial-esparta/</t>
        </is>
      </c>
    </row>
    <row r="299" ht="15" customHeight="1" s="31">
      <c r="A299" s="38" t="inlineStr">
        <is>
          <t>ART_036</t>
        </is>
      </c>
      <c r="B299" s="38" t="inlineStr">
        <is>
          <t>ART_036_S02</t>
        </is>
      </c>
      <c r="C299" s="38" t="inlineStr">
        <is>
          <t>Infobae Colombia</t>
        </is>
      </c>
      <c r="D299" s="38" t="inlineStr">
        <is>
          <t>Seguridad y orden público</t>
        </is>
      </c>
      <c r="E299" s="38" t="inlineStr">
        <is>
          <t>Noticia dura</t>
        </is>
      </c>
      <c r="F299" s="38" t="inlineStr">
        <is>
          <t>Sat, 05 Sep 2026 23:40:04 +0000</t>
        </is>
      </c>
      <c r="G299" s="62" t="inlineStr">
        <is>
          <t>El atentado y los combates que se presentaron posteriormente dejaron tres militares asesinados: el capitán Marco David Pirajón Montezuma y los soldados profesionales Joel Alberto Jiménez Jaramillo y Jhon Carlo Marrugo Manjarrez.</t>
        </is>
      </c>
      <c r="H299" s="62" t="inlineStr">
        <is>
          <t>Tras el ataque terrorista que perpetró el Ejército de Liberación Nacional (ELN) el 4 de septiembre contra el Cantón Militar El Trapiche, ubicado en Ocaña, Norte de Santander, se llevó a cabo un consejo de seguridad extraordinario para atender la situación de orden público.</t>
        </is>
      </c>
      <c r="I299" s="62" t="inlineStr">
        <is>
          <t>Ante la gravedad de estos hechos, se establecieron nuevas medidas para reforzar la seguridad y el control territorial en Ocaña y en la región del Catatumbo.</t>
        </is>
      </c>
      <c r="J299" s="38" t="n"/>
      <c r="K299" s="62" t="n"/>
      <c r="L299" s="38" t="n"/>
      <c r="M299" s="62" t="n"/>
      <c r="N299" s="38" t="n"/>
      <c r="O299" s="62" t="n"/>
      <c r="P299" s="38" t="n"/>
      <c r="Q299" s="62" t="n"/>
      <c r="R299" s="38" t="n"/>
      <c r="S299" s="62" t="n"/>
      <c r="T299" s="38" t="n"/>
      <c r="U299" s="62" t="n"/>
      <c r="V299" s="38" t="n"/>
      <c r="W299" s="62" t="n"/>
      <c r="X299" s="38" t="n"/>
      <c r="Y299" s="62" t="n"/>
      <c r="Z299" s="38" t="n"/>
      <c r="AA299" s="62" t="n"/>
      <c r="AB299" s="38" t="n"/>
      <c r="AC299" s="62" t="n"/>
      <c r="AD299" s="38" t="n"/>
      <c r="AE299" s="38" t="n"/>
      <c r="AF299" s="61">
        <f>IF(COUNTIF($B$5:B299,B299)=1,1,0)</f>
        <v/>
      </c>
      <c r="AG299" s="62" t="inlineStr">
        <is>
          <t>https://www.infobae.com/colombia/2026/09/05/toman-medidas-para-reforzar-la-seguridad-en-ocana-y-norte-de-santander-tras-atentado-del-eln-activaran-la-campana-militar-y-policial-esparta/</t>
        </is>
      </c>
    </row>
    <row r="300" ht="15" customHeight="1" s="31">
      <c r="A300" s="38" t="inlineStr">
        <is>
          <t>ART_036</t>
        </is>
      </c>
      <c r="B300" s="38" t="inlineStr">
        <is>
          <t>ART_036_S03</t>
        </is>
      </c>
      <c r="C300" s="38" t="inlineStr">
        <is>
          <t>Infobae Colombia</t>
        </is>
      </c>
      <c r="D300" s="38" t="inlineStr">
        <is>
          <t>Seguridad y orden público</t>
        </is>
      </c>
      <c r="E300" s="38" t="inlineStr">
        <is>
          <t>Noticia dura</t>
        </is>
      </c>
      <c r="F300" s="38" t="inlineStr">
        <is>
          <t>Sat, 05 Sep 2026 23:40:04 +0000</t>
        </is>
      </c>
      <c r="G300" s="62" t="inlineStr">
        <is>
          <t>Ante la gravedad de estos hechos, se establecieron nuevas medidas para reforzar la seguridad y el control territorial en Ocaña y en la región del Catatumbo.</t>
        </is>
      </c>
      <c r="H300" s="62" t="inlineStr">
        <is>
          <t>El atentado y los combates que se presentaron posteriormente dejaron tres militares asesinados: el capitán Marco David Pirajón Montezuma y los soldados profesionales Joel Alberto Jiménez Jaramillo y Jhon Carlo Marrugo Manjarrez.</t>
        </is>
      </c>
      <c r="I300" s="62"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J300" s="38" t="n"/>
      <c r="K300" s="62" t="n"/>
      <c r="L300" s="38" t="n"/>
      <c r="M300" s="62" t="n"/>
      <c r="N300" s="38" t="n"/>
      <c r="O300" s="62" t="n"/>
      <c r="P300" s="38" t="n"/>
      <c r="Q300" s="62" t="n"/>
      <c r="R300" s="38" t="n"/>
      <c r="S300" s="62" t="n"/>
      <c r="T300" s="38" t="n"/>
      <c r="U300" s="62" t="n"/>
      <c r="V300" s="38" t="n"/>
      <c r="W300" s="62" t="n"/>
      <c r="X300" s="38" t="n"/>
      <c r="Y300" s="62" t="n"/>
      <c r="Z300" s="38" t="n"/>
      <c r="AA300" s="62" t="n"/>
      <c r="AB300" s="38" t="n"/>
      <c r="AC300" s="62" t="n"/>
      <c r="AD300" s="38" t="n"/>
      <c r="AE300" s="38" t="n"/>
      <c r="AF300" s="61">
        <f>IF(COUNTIF($B$5:B300,B300)=1,1,0)</f>
        <v/>
      </c>
      <c r="AG300" s="62" t="inlineStr">
        <is>
          <t>https://www.infobae.com/colombia/2026/09/05/toman-medidas-para-reforzar-la-seguridad-en-ocana-y-norte-de-santander-tras-atentado-del-eln-activaran-la-campana-militar-y-policial-esparta/</t>
        </is>
      </c>
    </row>
    <row r="301" ht="15" customHeight="1" s="31">
      <c r="A301" s="38" t="inlineStr">
        <is>
          <t>ART_036</t>
        </is>
      </c>
      <c r="B301" s="38" t="inlineStr">
        <is>
          <t>ART_036_S04</t>
        </is>
      </c>
      <c r="C301" s="38" t="inlineStr">
        <is>
          <t>Infobae Colombia</t>
        </is>
      </c>
      <c r="D301" s="38" t="inlineStr">
        <is>
          <t>Seguridad y orden público</t>
        </is>
      </c>
      <c r="E301" s="38" t="inlineStr">
        <is>
          <t>Noticia dura</t>
        </is>
      </c>
      <c r="F301" s="38" t="inlineStr">
        <is>
          <t>Sat, 05 Sep 2026 23:40:04 +0000</t>
        </is>
      </c>
      <c r="G301" s="62"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H301" s="62" t="inlineStr">
        <is>
          <t>Ante la gravedad de estos hechos, se establecieron nuevas medidas para reforzar la seguridad y el control territorial en Ocaña y en la región del Catatumbo.</t>
        </is>
      </c>
      <c r="I301" s="62" t="inlineStr">
        <is>
          <t>“Se reforzarán los corredores de movilidad ilegal, las capacidades de inteligencia y la coordinación con la @FiscaliaCol para identificar, capturar y judicializar a los responsables.</t>
        </is>
      </c>
      <c r="J301" s="38" t="n"/>
      <c r="K301" s="62" t="n"/>
      <c r="L301" s="38" t="n"/>
      <c r="M301" s="62" t="n"/>
      <c r="N301" s="38" t="n"/>
      <c r="O301" s="62" t="n"/>
      <c r="P301" s="38" t="n"/>
      <c r="Q301" s="62" t="n"/>
      <c r="R301" s="38" t="n"/>
      <c r="S301" s="62" t="n"/>
      <c r="T301" s="38" t="n"/>
      <c r="U301" s="62" t="n"/>
      <c r="V301" s="38" t="n"/>
      <c r="W301" s="62" t="n"/>
      <c r="X301" s="38" t="n"/>
      <c r="Y301" s="62" t="n"/>
      <c r="Z301" s="38" t="n"/>
      <c r="AA301" s="62" t="n"/>
      <c r="AB301" s="38" t="n"/>
      <c r="AC301" s="62" t="n"/>
      <c r="AD301" s="38" t="n"/>
      <c r="AE301" s="38" t="n"/>
      <c r="AF301" s="61">
        <f>IF(COUNTIF($B$5:B301,B301)=1,1,0)</f>
        <v/>
      </c>
      <c r="AG301" s="62" t="inlineStr">
        <is>
          <t>https://www.infobae.com/colombia/2026/09/05/toman-medidas-para-reforzar-la-seguridad-en-ocana-y-norte-de-santander-tras-atentado-del-eln-activaran-la-campana-militar-y-policial-esparta/</t>
        </is>
      </c>
    </row>
    <row r="302" ht="15" customHeight="1" s="31">
      <c r="A302" s="38" t="inlineStr">
        <is>
          <t>ART_036</t>
        </is>
      </c>
      <c r="B302" s="38" t="inlineStr">
        <is>
          <t>ART_036_S05</t>
        </is>
      </c>
      <c r="C302" s="38" t="inlineStr">
        <is>
          <t>Infobae Colombia</t>
        </is>
      </c>
      <c r="D302" s="38" t="inlineStr">
        <is>
          <t>Seguridad y orden público</t>
        </is>
      </c>
      <c r="E302" s="38" t="inlineStr">
        <is>
          <t>Noticia dura</t>
        </is>
      </c>
      <c r="F302" s="38" t="inlineStr">
        <is>
          <t>Sat, 05 Sep 2026 23:40:04 +0000</t>
        </is>
      </c>
      <c r="G302" s="62" t="inlineStr">
        <is>
          <t>“Se reforzarán los corredores de movilidad ilegal, las capacidades de inteligencia y la coordinación con la @FiscaliaCol para identificar, capturar y judicializar a los responsables.</t>
        </is>
      </c>
      <c r="H302" s="62"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I302" s="62" t="inlineStr">
        <is>
          <t>Las @FuerzasMilCol y la @PoliciaColombia mantienen desplegadas todas sus capacidades para proteger a la población y enfrentar con contundencia a quienes atenten contra la seguridad del #Catatumbo”, indicaron las Fuerzas Militares en X.</t>
        </is>
      </c>
      <c r="J302" s="38" t="n"/>
      <c r="K302" s="62" t="n"/>
      <c r="L302" s="38" t="n"/>
      <c r="M302" s="62" t="n"/>
      <c r="N302" s="38" t="n"/>
      <c r="O302" s="62" t="n"/>
      <c r="P302" s="38" t="n"/>
      <c r="Q302" s="62" t="n"/>
      <c r="R302" s="38" t="n"/>
      <c r="S302" s="62" t="n"/>
      <c r="T302" s="38" t="n"/>
      <c r="U302" s="62" t="n"/>
      <c r="V302" s="38" t="n"/>
      <c r="W302" s="62" t="n"/>
      <c r="X302" s="38" t="n"/>
      <c r="Y302" s="62" t="n"/>
      <c r="Z302" s="38" t="n"/>
      <c r="AA302" s="62" t="n"/>
      <c r="AB302" s="38" t="n"/>
      <c r="AC302" s="62" t="n"/>
      <c r="AD302" s="38" t="n"/>
      <c r="AE302" s="38" t="n"/>
      <c r="AF302" s="61">
        <f>IF(COUNTIF($B$5:B302,B302)=1,1,0)</f>
        <v/>
      </c>
      <c r="AG302" s="62" t="inlineStr">
        <is>
          <t>https://www.infobae.com/colombia/2026/09/05/toman-medidas-para-reforzar-la-seguridad-en-ocana-y-norte-de-santander-tras-atentado-del-eln-activaran-la-campana-militar-y-policial-esparta/</t>
        </is>
      </c>
    </row>
    <row r="303" ht="15" customHeight="1" s="31">
      <c r="A303" s="38" t="inlineStr">
        <is>
          <t>ART_036</t>
        </is>
      </c>
      <c r="B303" s="38" t="inlineStr">
        <is>
          <t>ART_036_S06</t>
        </is>
      </c>
      <c r="C303" s="38" t="inlineStr">
        <is>
          <t>Infobae Colombia</t>
        </is>
      </c>
      <c r="D303" s="38" t="inlineStr">
        <is>
          <t>Seguridad y orden público</t>
        </is>
      </c>
      <c r="E303" s="38" t="inlineStr">
        <is>
          <t>Noticia dura</t>
        </is>
      </c>
      <c r="F303" s="38" t="inlineStr">
        <is>
          <t>Sat, 05 Sep 2026 23:40:04 +0000</t>
        </is>
      </c>
      <c r="G303" s="62" t="inlineStr">
        <is>
          <t>Las @FuerzasMilCol y la @PoliciaColombia mantienen desplegadas todas sus capacidades para proteger a la población y enfrentar con contundencia a quienes atenten contra la seguridad del #Catatumbo”, indicaron las Fuerzas Militares en X.</t>
        </is>
      </c>
      <c r="H303" s="62" t="inlineStr">
        <is>
          <t>“Se reforzarán los corredores de movilidad ilegal, las capacidades de inteligencia y la coordinación con la @FiscaliaCol para identificar, capturar y judicializar a los responsables.</t>
        </is>
      </c>
      <c r="I303" s="62" t="n"/>
      <c r="J303" s="38" t="n"/>
      <c r="K303" s="62" t="n"/>
      <c r="L303" s="38" t="n"/>
      <c r="M303" s="62" t="n"/>
      <c r="N303" s="38" t="n"/>
      <c r="O303" s="62" t="n"/>
      <c r="P303" s="38" t="n"/>
      <c r="Q303" s="62" t="n"/>
      <c r="R303" s="38" t="n"/>
      <c r="S303" s="62" t="n"/>
      <c r="T303" s="38" t="n"/>
      <c r="U303" s="62" t="n"/>
      <c r="V303" s="38" t="n"/>
      <c r="W303" s="62" t="n"/>
      <c r="X303" s="38" t="n"/>
      <c r="Y303" s="62" t="n"/>
      <c r="Z303" s="38" t="n"/>
      <c r="AA303" s="62" t="n"/>
      <c r="AB303" s="38" t="n"/>
      <c r="AC303" s="62" t="n"/>
      <c r="AD303" s="38" t="n"/>
      <c r="AE303" s="38" t="n"/>
      <c r="AF303" s="61">
        <f>IF(COUNTIF($B$5:B303,B303)=1,1,0)</f>
        <v/>
      </c>
      <c r="AG303" s="62" t="inlineStr">
        <is>
          <t>https://www.infobae.com/colombia/2026/09/05/toman-medidas-para-reforzar-la-seguridad-en-ocana-y-norte-de-santander-tras-atentado-del-eln-activaran-la-campana-militar-y-policial-esparta/</t>
        </is>
      </c>
    </row>
    <row r="304" ht="15" customHeight="1" s="31">
      <c r="A304" s="38" t="inlineStr">
        <is>
          <t>ART_037</t>
        </is>
      </c>
      <c r="B304" s="38" t="inlineStr">
        <is>
          <t>ART_037_S01</t>
        </is>
      </c>
      <c r="C304" s="38" t="inlineStr">
        <is>
          <t>El Espectador</t>
        </is>
      </c>
      <c r="D304" s="38" t="inlineStr">
        <is>
          <t>Seguridad y orden público</t>
        </is>
      </c>
      <c r="E304" s="38" t="inlineStr">
        <is>
          <t>Noticia dura</t>
        </is>
      </c>
      <c r="F304" s="38" t="inlineStr">
        <is>
          <t>Mon, 29 Jun 2026 18:35:06 +0000</t>
        </is>
      </c>
      <c r="G304" s="62" t="inlineStr">
        <is>
          <t>La expansión de las Autodefensas Conquistadoras de la Sierra Nevada (ACSN) hacia Maicao está modificando el mapa del conflicto armado en La Guajira.</t>
        </is>
      </c>
      <c r="H304" s="62" t="n"/>
      <c r="I304" s="62" t="inlineStr">
        <is>
          <t>Esa es la principal conclusión de la Alerta Temprana de Inminencia 013 de 2026, emitida por la Defensoría del Pueblo el pasado 17 de junio, pero divulgada este lunes, en la que advierte que el municipio fronterizo enfrenta un riesgo creciente de confrontaciones entre grupos armados ilegales y de nuevas afectaciones contra la población civil.</t>
        </is>
      </c>
      <c r="J304" s="38" t="n"/>
      <c r="K304" s="62" t="n"/>
      <c r="L304" s="38" t="n"/>
      <c r="M304" s="62" t="n"/>
      <c r="N304" s="38" t="n"/>
      <c r="O304" s="62" t="n"/>
      <c r="P304" s="38" t="n"/>
      <c r="Q304" s="62" t="n"/>
      <c r="R304" s="38" t="n"/>
      <c r="S304" s="62" t="n"/>
      <c r="T304" s="38" t="n"/>
      <c r="U304" s="62" t="n"/>
      <c r="V304" s="38" t="n"/>
      <c r="W304" s="62" t="n"/>
      <c r="X304" s="38" t="n"/>
      <c r="Y304" s="62" t="n"/>
      <c r="Z304" s="38" t="n"/>
      <c r="AA304" s="62" t="n"/>
      <c r="AB304" s="38" t="n"/>
      <c r="AC304" s="62" t="n"/>
      <c r="AD304" s="38" t="n"/>
      <c r="AE304" s="38" t="n"/>
      <c r="AF304" s="61">
        <f>IF(COUNTIF($B$5:B304,B304)=1,1,0)</f>
        <v/>
      </c>
      <c r="AG304" s="62" t="inlineStr">
        <is>
          <t>https://www.elespectador.com/colombia-20/paz-y-memoria/alerta-por-expansion-de-autodefensas-conquistadoras-y-guerra-con-eln-y-disidencias-en-maicao-y-la-guajira-segun-defensoria/</t>
        </is>
      </c>
    </row>
    <row r="305" ht="15" customHeight="1" s="31">
      <c r="A305" s="38" t="inlineStr">
        <is>
          <t>ART_037</t>
        </is>
      </c>
      <c r="B305" s="38" t="inlineStr">
        <is>
          <t>ART_037_S02</t>
        </is>
      </c>
      <c r="C305" s="38" t="inlineStr">
        <is>
          <t>El Espectador</t>
        </is>
      </c>
      <c r="D305" s="38" t="inlineStr">
        <is>
          <t>Seguridad y orden público</t>
        </is>
      </c>
      <c r="E305" s="38" t="inlineStr">
        <is>
          <t>Noticia dura</t>
        </is>
      </c>
      <c r="F305" s="38" t="inlineStr">
        <is>
          <t>Mon, 29 Jun 2026 18:35:06 +0000</t>
        </is>
      </c>
      <c r="G305" s="62" t="inlineStr">
        <is>
          <t>Esa es la principal conclusión de la Alerta Temprana de Inminencia 013 de 2026, emitida por la Defensoría del Pueblo el pasado 17 de junio, pero divulgada este lunes, en la que advierte que el municipio fronterizo enfrenta un riesgo creciente de confrontaciones entre grupos armados ilegales y de nuevas afectaciones contra la población civil.</t>
        </is>
      </c>
      <c r="H305" s="62" t="inlineStr">
        <is>
          <t>La expansión de las Autodefensas Conquistadoras de la Sierra Nevada (ACSN) hacia Maicao está modificando el mapa del conflicto armado en La Guajira.</t>
        </is>
      </c>
      <c r="I305" s="62" t="inlineStr">
        <is>
          <t>En Maicao confluyen el Ejército de Liberación Nacional (ELN), las disidencias de las FARC agrupadas en la Segunda Marquetalia, las ACSN y varias estructuras de criminalidad organizada, tanto locales como transnacionales, que disputan rentas ilegales derivadas de la extorsión, el narcotráfico, el contrabando y el control de pasos fronterizos.</t>
        </is>
      </c>
      <c r="J305" s="38" t="n"/>
      <c r="K305" s="62" t="n"/>
      <c r="L305" s="38" t="n"/>
      <c r="M305" s="62" t="n"/>
      <c r="N305" s="38" t="n"/>
      <c r="O305" s="62" t="n"/>
      <c r="P305" s="38" t="n"/>
      <c r="Q305" s="62" t="n"/>
      <c r="R305" s="38" t="n"/>
      <c r="S305" s="62" t="n"/>
      <c r="T305" s="38" t="n"/>
      <c r="U305" s="62" t="n"/>
      <c r="V305" s="38" t="n"/>
      <c r="W305" s="62" t="n"/>
      <c r="X305" s="38" t="n"/>
      <c r="Y305" s="62" t="n"/>
      <c r="Z305" s="38" t="n"/>
      <c r="AA305" s="62" t="n"/>
      <c r="AB305" s="38" t="n"/>
      <c r="AC305" s="62" t="n"/>
      <c r="AD305" s="38" t="n"/>
      <c r="AE305" s="38" t="n"/>
      <c r="AF305" s="61">
        <f>IF(COUNTIF($B$5:B305,B305)=1,1,0)</f>
        <v/>
      </c>
      <c r="AG305" s="62" t="inlineStr">
        <is>
          <t>https://www.elespectador.com/colombia-20/paz-y-memoria/alerta-por-expansion-de-autodefensas-conquistadoras-y-guerra-con-eln-y-disidencias-en-maicao-y-la-guajira-segun-defensoria/</t>
        </is>
      </c>
    </row>
    <row r="306" ht="15" customHeight="1" s="31">
      <c r="A306" s="38" t="inlineStr">
        <is>
          <t>ART_037</t>
        </is>
      </c>
      <c r="B306" s="38" t="inlineStr">
        <is>
          <t>ART_037_S03</t>
        </is>
      </c>
      <c r="C306" s="38" t="inlineStr">
        <is>
          <t>El Espectador</t>
        </is>
      </c>
      <c r="D306" s="38" t="inlineStr">
        <is>
          <t>Seguridad y orden público</t>
        </is>
      </c>
      <c r="E306" s="38" t="inlineStr">
        <is>
          <t>Noticia dura</t>
        </is>
      </c>
      <c r="F306" s="38" t="inlineStr">
        <is>
          <t>Mon, 29 Jun 2026 18:35:06 +0000</t>
        </is>
      </c>
      <c r="G306" s="62" t="inlineStr">
        <is>
          <t>En Maicao confluyen el Ejército de Liberación Nacional (ELN), las disidencias de las FARC agrupadas en la Segunda Marquetalia, las ACSN y varias estructuras de criminalidad organizada, tanto locales como transnacionales, que disputan rentas ilegales derivadas de la extorsión, el narcotráfico, el contrabando y el control de pasos fronterizos.</t>
        </is>
      </c>
      <c r="H306" s="62" t="inlineStr">
        <is>
          <t>Esa es la principal conclusión de la Alerta Temprana de Inminencia 013 de 2026, emitida por la Defensoría del Pueblo el pasado 17 de junio, pero divulgada este lunes, en la que advierte que el municipio fronterizo enfrenta un riesgo creciente de confrontaciones entre grupos armados ilegales y de nuevas afectaciones contra la población civil.</t>
        </is>
      </c>
      <c r="I306" s="62" t="inlineStr">
        <is>
          <t>Según el documento, “la pretensión de consolidación de las Autodefensas Conquistadoras de la Sierra Nevada, la presencia del ELN y de las disidencias de las FARC-Segunda Marquetalia, así como el accionar de estructuras de criminalidad organizada, tanto transnacional como local, configuran un escenario de alto riesgo para la población civil”.</t>
        </is>
      </c>
      <c r="J306" s="38" t="n"/>
      <c r="K306" s="62" t="n"/>
      <c r="L306" s="38" t="n"/>
      <c r="M306" s="62" t="n"/>
      <c r="N306" s="38" t="n"/>
      <c r="O306" s="62" t="n"/>
      <c r="P306" s="38" t="n"/>
      <c r="Q306" s="62" t="n"/>
      <c r="R306" s="38" t="n"/>
      <c r="S306" s="62" t="n"/>
      <c r="T306" s="38" t="n"/>
      <c r="U306" s="62" t="n"/>
      <c r="V306" s="38" t="n"/>
      <c r="W306" s="62" t="n"/>
      <c r="X306" s="38" t="n"/>
      <c r="Y306" s="62" t="n"/>
      <c r="Z306" s="38" t="n"/>
      <c r="AA306" s="62" t="n"/>
      <c r="AB306" s="38" t="n"/>
      <c r="AC306" s="62" t="n"/>
      <c r="AD306" s="38" t="n"/>
      <c r="AE306" s="38" t="n"/>
      <c r="AF306" s="61">
        <f>IF(COUNTIF($B$5:B306,B306)=1,1,0)</f>
        <v/>
      </c>
      <c r="AG306" s="62" t="inlineStr">
        <is>
          <t>https://www.elespectador.com/colombia-20/paz-y-memoria/alerta-por-expansion-de-autodefensas-conquistadoras-y-guerra-con-eln-y-disidencias-en-maicao-y-la-guajira-segun-defensoria/</t>
        </is>
      </c>
    </row>
    <row r="307" ht="15" customHeight="1" s="31">
      <c r="A307" s="38" t="inlineStr">
        <is>
          <t>ART_037</t>
        </is>
      </c>
      <c r="B307" s="38" t="inlineStr">
        <is>
          <t>ART_037_S04</t>
        </is>
      </c>
      <c r="C307" s="38" t="inlineStr">
        <is>
          <t>El Espectador</t>
        </is>
      </c>
      <c r="D307" s="38" t="inlineStr">
        <is>
          <t>Seguridad y orden público</t>
        </is>
      </c>
      <c r="E307" s="38" t="inlineStr">
        <is>
          <t>Noticia dura</t>
        </is>
      </c>
      <c r="F307" s="38" t="inlineStr">
        <is>
          <t>Mon, 29 Jun 2026 18:35:06 +0000</t>
        </is>
      </c>
      <c r="G307" s="62" t="inlineStr">
        <is>
          <t>Según el documento, “la pretensión de consolidación de las Autodefensas Conquistadoras de la Sierra Nevada, la presencia del ELN y de las disidencias de las FARC-Segunda Marquetalia, así como el accionar de estructuras de criminalidad organizada, tanto transnacional como local, configuran un escenario de alto riesgo para la población civil”.</t>
        </is>
      </c>
      <c r="H307" s="62" t="inlineStr">
        <is>
          <t>En Maicao confluyen el Ejército de Liberación Nacional (ELN), las disidencias de las FARC agrupadas en la Segunda Marquetalia, las ACSN y varias estructuras de criminalidad organizada, tanto locales como transnacionales, que disputan rentas ilegales derivadas de la extorsión, el narcotráfico, el contrabando y el control de pasos fronterizos.</t>
        </is>
      </c>
      <c r="I307" s="62" t="inlineStr">
        <is>
          <t>Para la Defensoría, el principal cambio en el escenario de seguridad es el proceso de expansión territorial de las ACSN, un grupo que hasta hace pocos años concentraba su presencia en la Sierra Nevada de Santa Marta y que ahora busca consolidar su influencia en uno de los corredores fronterizos más estratégicos del Caribe.</t>
        </is>
      </c>
      <c r="J307" s="38" t="n"/>
      <c r="K307" s="62" t="n"/>
      <c r="L307" s="38" t="n"/>
      <c r="M307" s="62" t="n"/>
      <c r="N307" s="38" t="n"/>
      <c r="O307" s="62" t="n"/>
      <c r="P307" s="38" t="n"/>
      <c r="Q307" s="62" t="n"/>
      <c r="R307" s="38" t="n"/>
      <c r="S307" s="62" t="n"/>
      <c r="T307" s="38" t="n"/>
      <c r="U307" s="62" t="n"/>
      <c r="V307" s="38" t="n"/>
      <c r="W307" s="62" t="n"/>
      <c r="X307" s="38" t="n"/>
      <c r="Y307" s="62" t="n"/>
      <c r="Z307" s="38" t="n"/>
      <c r="AA307" s="62" t="n"/>
      <c r="AB307" s="38" t="n"/>
      <c r="AC307" s="62" t="n"/>
      <c r="AD307" s="38" t="n"/>
      <c r="AE307" s="38" t="n"/>
      <c r="AF307" s="61">
        <f>IF(COUNTIF($B$5:B307,B307)=1,1,0)</f>
        <v/>
      </c>
      <c r="AG307" s="62" t="inlineStr">
        <is>
          <t>https://www.elespectador.com/colombia-20/paz-y-memoria/alerta-por-expansion-de-autodefensas-conquistadoras-y-guerra-con-eln-y-disidencias-en-maicao-y-la-guajira-segun-defensoria/</t>
        </is>
      </c>
    </row>
    <row r="308" ht="15" customHeight="1" s="31">
      <c r="A308" s="38" t="inlineStr">
        <is>
          <t>ART_037</t>
        </is>
      </c>
      <c r="B308" s="38" t="inlineStr">
        <is>
          <t>ART_037_S05</t>
        </is>
      </c>
      <c r="C308" s="38" t="inlineStr">
        <is>
          <t>El Espectador</t>
        </is>
      </c>
      <c r="D308" s="38" t="inlineStr">
        <is>
          <t>Seguridad y orden público</t>
        </is>
      </c>
      <c r="E308" s="38" t="inlineStr">
        <is>
          <t>Noticia dura</t>
        </is>
      </c>
      <c r="F308" s="38" t="inlineStr">
        <is>
          <t>Mon, 29 Jun 2026 18:35:06 +0000</t>
        </is>
      </c>
      <c r="G308" s="62" t="inlineStr">
        <is>
          <t>Para la Defensoría, el principal cambio en el escenario de seguridad es el proceso de expansión territorial de las ACSN, un grupo que hasta hace pocos años concentraba su presencia en la Sierra Nevada de Santa Marta y que ahora busca consolidar su influencia en uno de los corredores fronterizos más estratégicos del Caribe.</t>
        </is>
      </c>
      <c r="H308" s="62" t="inlineStr">
        <is>
          <t>Según el documento, “la pretensión de consolidación de las Autodefensas Conquistadoras de la Sierra Nevada, la presencia del ELN y de las disidencias de las FARC-Segunda Marquetalia, así como el accionar de estructuras de criminalidad organizada, tanto transnacional como local, configuran un escenario de alto riesgo para la población civil”.</t>
        </is>
      </c>
      <c r="I308" s="62" t="inlineStr">
        <is>
          <t>Las Autodefensas Conquistadoras son parte de los grupos que están en la paz total de Gustavo Petro, pero esa mesa no ha tenido ningún avance.</t>
        </is>
      </c>
      <c r="J308" s="38" t="n"/>
      <c r="K308" s="62" t="n"/>
      <c r="L308" s="38" t="n"/>
      <c r="M308" s="62" t="n"/>
      <c r="N308" s="38" t="n"/>
      <c r="O308" s="62" t="n"/>
      <c r="P308" s="38" t="n"/>
      <c r="Q308" s="62" t="n"/>
      <c r="R308" s="38" t="n"/>
      <c r="S308" s="62" t="n"/>
      <c r="T308" s="38" t="n"/>
      <c r="U308" s="62" t="n"/>
      <c r="V308" s="38" t="n"/>
      <c r="W308" s="62" t="n"/>
      <c r="X308" s="38" t="n"/>
      <c r="Y308" s="62" t="n"/>
      <c r="Z308" s="38" t="n"/>
      <c r="AA308" s="62" t="n"/>
      <c r="AB308" s="38" t="n"/>
      <c r="AC308" s="62" t="n"/>
      <c r="AD308" s="38" t="n"/>
      <c r="AE308" s="38" t="n"/>
      <c r="AF308" s="61">
        <f>IF(COUNTIF($B$5:B308,B308)=1,1,0)</f>
        <v/>
      </c>
      <c r="AG308" s="62" t="inlineStr">
        <is>
          <t>https://www.elespectador.com/colombia-20/paz-y-memoria/alerta-por-expansion-de-autodefensas-conquistadoras-y-guerra-con-eln-y-disidencias-en-maicao-y-la-guajira-segun-defensoria/</t>
        </is>
      </c>
    </row>
    <row r="309" ht="15" customHeight="1" s="31">
      <c r="A309" s="38" t="inlineStr">
        <is>
          <t>ART_037</t>
        </is>
      </c>
      <c r="B309" s="38" t="inlineStr">
        <is>
          <t>ART_037_S06</t>
        </is>
      </c>
      <c r="C309" s="38" t="inlineStr">
        <is>
          <t>El Espectador</t>
        </is>
      </c>
      <c r="D309" s="38" t="inlineStr">
        <is>
          <t>Seguridad y orden público</t>
        </is>
      </c>
      <c r="E309" s="38" t="inlineStr">
        <is>
          <t>Noticia dura</t>
        </is>
      </c>
      <c r="F309" s="38" t="inlineStr">
        <is>
          <t>Mon, 29 Jun 2026 18:35:06 +0000</t>
        </is>
      </c>
      <c r="G309" s="62" t="inlineStr">
        <is>
          <t>Las Autodefensas Conquistadoras son parte de los grupos que están en la paz total de Gustavo Petro, pero esa mesa no ha tenido ningún avance.</t>
        </is>
      </c>
      <c r="H309" s="62" t="inlineStr">
        <is>
          <t>Para la Defensoría, el principal cambio en el escenario de seguridad es el proceso de expansión territorial de las ACSN, un grupo que hasta hace pocos años concentraba su presencia en la Sierra Nevada de Santa Marta y que ahora busca consolidar su influencia en uno de los corredores fronterizos más estratégicos del Caribe.</t>
        </is>
      </c>
      <c r="I309" s="62" t="inlineStr">
        <is>
          <t>Según la alerta, las ACSN han fortalecido su presencia en el casco urbano y en corregimientos como Carraipía y Paraguachón, en desarrollo de una estrategia para controlar corredores de movilidad y economías ilícitas asociadas a la frontera con Venezuela.</t>
        </is>
      </c>
      <c r="J309" s="38" t="n"/>
      <c r="K309" s="62" t="n"/>
      <c r="L309" s="38" t="n"/>
      <c r="M309" s="62" t="n"/>
      <c r="N309" s="38" t="n"/>
      <c r="O309" s="62" t="n"/>
      <c r="P309" s="38" t="n"/>
      <c r="Q309" s="62" t="n"/>
      <c r="R309" s="38" t="n"/>
      <c r="S309" s="62" t="n"/>
      <c r="T309" s="38" t="n"/>
      <c r="U309" s="62" t="n"/>
      <c r="V309" s="38" t="n"/>
      <c r="W309" s="62" t="n"/>
      <c r="X309" s="38" t="n"/>
      <c r="Y309" s="62" t="n"/>
      <c r="Z309" s="38" t="n"/>
      <c r="AA309" s="62" t="n"/>
      <c r="AB309" s="38" t="n"/>
      <c r="AC309" s="62" t="n"/>
      <c r="AD309" s="38" t="n"/>
      <c r="AE309" s="38" t="n"/>
      <c r="AF309" s="61">
        <f>IF(COUNTIF($B$5:B309,B309)=1,1,0)</f>
        <v/>
      </c>
      <c r="AG309" s="62" t="inlineStr">
        <is>
          <t>https://www.elespectador.com/colombia-20/paz-y-memoria/alerta-por-expansion-de-autodefensas-conquistadoras-y-guerra-con-eln-y-disidencias-en-maicao-y-la-guajira-segun-defensoria/</t>
        </is>
      </c>
    </row>
    <row r="310" ht="15" customHeight="1" s="31">
      <c r="A310" s="38" t="inlineStr">
        <is>
          <t>ART_037</t>
        </is>
      </c>
      <c r="B310" s="38" t="inlineStr">
        <is>
          <t>ART_037_S07</t>
        </is>
      </c>
      <c r="C310" s="38" t="inlineStr">
        <is>
          <t>El Espectador</t>
        </is>
      </c>
      <c r="D310" s="38" t="inlineStr">
        <is>
          <t>Seguridad y orden público</t>
        </is>
      </c>
      <c r="E310" s="38" t="inlineStr">
        <is>
          <t>Noticia dura</t>
        </is>
      </c>
      <c r="F310" s="38" t="inlineStr">
        <is>
          <t>Mon, 29 Jun 2026 18:35:06 +0000</t>
        </is>
      </c>
      <c r="G310" s="62" t="inlineStr">
        <is>
          <t>Según la alerta, las ACSN han fortalecido su presencia en el casco urbano y en corregimientos como Carraipía y Paraguachón, en desarrollo de una estrategia para controlar corredores de movilidad y economías ilícitas asociadas a la frontera con Venezuela.</t>
        </is>
      </c>
      <c r="H310" s="62" t="inlineStr">
        <is>
          <t>Las Autodefensas Conquistadoras son parte de los grupos que están en la paz total de Gustavo Petro, pero esa mesa no ha tenido ningún avance.</t>
        </is>
      </c>
      <c r="I310" s="62" t="inlineStr">
        <is>
          <t>“La incursión de las ACSN en territorios donde otros actores mantienen presencia e influencia incrementa las tensiones y eleva la probabilidad de confrontaciones armadas”, advierte la Defensoría, que también alerta sobre un posible aumento de homicidios, secuestros, amenazas, extorsiones y restricciones a la movilidad de la población civil.</t>
        </is>
      </c>
      <c r="J310" s="38" t="n"/>
      <c r="K310" s="62" t="n"/>
      <c r="L310" s="38" t="n"/>
      <c r="M310" s="62" t="n"/>
      <c r="N310" s="38" t="n"/>
      <c r="O310" s="62" t="n"/>
      <c r="P310" s="38" t="n"/>
      <c r="Q310" s="62" t="n"/>
      <c r="R310" s="38" t="n"/>
      <c r="S310" s="62" t="n"/>
      <c r="T310" s="38" t="n"/>
      <c r="U310" s="62" t="n"/>
      <c r="V310" s="38" t="n"/>
      <c r="W310" s="62" t="n"/>
      <c r="X310" s="38" t="n"/>
      <c r="Y310" s="62" t="n"/>
      <c r="Z310" s="38" t="n"/>
      <c r="AA310" s="62" t="n"/>
      <c r="AB310" s="38" t="n"/>
      <c r="AC310" s="62" t="n"/>
      <c r="AD310" s="38" t="n"/>
      <c r="AE310" s="38" t="n"/>
      <c r="AF310" s="61">
        <f>IF(COUNTIF($B$5:B310,B310)=1,1,0)</f>
        <v/>
      </c>
      <c r="AG310" s="62" t="inlineStr">
        <is>
          <t>https://www.elespectador.com/colombia-20/paz-y-memoria/alerta-por-expansion-de-autodefensas-conquistadoras-y-guerra-con-eln-y-disidencias-en-maicao-y-la-guajira-segun-defensoria/</t>
        </is>
      </c>
    </row>
    <row r="311" ht="15" customHeight="1" s="31">
      <c r="A311" s="38" t="inlineStr">
        <is>
          <t>ART_037</t>
        </is>
      </c>
      <c r="B311" s="38" t="inlineStr">
        <is>
          <t>ART_037_S08</t>
        </is>
      </c>
      <c r="C311" s="38" t="inlineStr">
        <is>
          <t>El Espectador</t>
        </is>
      </c>
      <c r="D311" s="38" t="inlineStr">
        <is>
          <t>Seguridad y orden público</t>
        </is>
      </c>
      <c r="E311" s="38" t="inlineStr">
        <is>
          <t>Noticia dura</t>
        </is>
      </c>
      <c r="F311" s="38" t="inlineStr">
        <is>
          <t>Mon, 29 Jun 2026 18:35:06 +0000</t>
        </is>
      </c>
      <c r="G311" s="62" t="inlineStr">
        <is>
          <t>“La incursión de las ACSN en territorios donde otros actores mantienen presencia e influencia incrementa las tensiones y eleva la probabilidad de confrontaciones armadas”, advierte la Defensoría, que también alerta sobre un posible aumento de homicidios, secuestros, amenazas, extorsiones y restricciones a la movilidad de la población civil.</t>
        </is>
      </c>
      <c r="H311" s="62" t="inlineStr">
        <is>
          <t>Según la alerta, las ACSN han fortalecido su presencia en el casco urbano y en corregimientos como Carraipía y Paraguachón, en desarrollo de una estrategia para controlar corredores de movilidad y economías ilícitas asociadas a la frontera con Venezuela.</t>
        </is>
      </c>
      <c r="I311" s="62" t="inlineStr">
        <is>
          <t>El organismo identifica cuatro dinámicas que hoy explican el riesgo en el municipio.</t>
        </is>
      </c>
      <c r="J311" s="38" t="n"/>
      <c r="K311" s="62" t="n"/>
      <c r="L311" s="38" t="n"/>
      <c r="M311" s="62" t="n"/>
      <c r="N311" s="38" t="n"/>
      <c r="O311" s="62" t="n"/>
      <c r="P311" s="38" t="n"/>
      <c r="Q311" s="62" t="n"/>
      <c r="R311" s="38" t="n"/>
      <c r="S311" s="62" t="n"/>
      <c r="T311" s="38" t="n"/>
      <c r="U311" s="62" t="n"/>
      <c r="V311" s="38" t="n"/>
      <c r="W311" s="62" t="n"/>
      <c r="X311" s="38" t="n"/>
      <c r="Y311" s="62" t="n"/>
      <c r="Z311" s="38" t="n"/>
      <c r="AA311" s="62" t="n"/>
      <c r="AB311" s="38" t="n"/>
      <c r="AC311" s="62" t="n"/>
      <c r="AD311" s="38" t="n"/>
      <c r="AE311" s="38" t="n"/>
      <c r="AF311" s="61">
        <f>IF(COUNTIF($B$5:B311,B311)=1,1,0)</f>
        <v/>
      </c>
      <c r="AG311" s="62" t="inlineStr">
        <is>
          <t>https://www.elespectador.com/colombia-20/paz-y-memoria/alerta-por-expansion-de-autodefensas-conquistadoras-y-guerra-con-eln-y-disidencias-en-maicao-y-la-guajira-segun-defensoria/</t>
        </is>
      </c>
    </row>
    <row r="312" ht="15" customHeight="1" s="31">
      <c r="A312" s="38" t="inlineStr">
        <is>
          <t>ART_037</t>
        </is>
      </c>
      <c r="B312" s="38" t="inlineStr">
        <is>
          <t>ART_037_S09</t>
        </is>
      </c>
      <c r="C312" s="38" t="inlineStr">
        <is>
          <t>El Espectador</t>
        </is>
      </c>
      <c r="D312" s="38" t="inlineStr">
        <is>
          <t>Seguridad y orden público</t>
        </is>
      </c>
      <c r="E312" s="38" t="inlineStr">
        <is>
          <t>Noticia dura</t>
        </is>
      </c>
      <c r="F312" s="38" t="inlineStr">
        <is>
          <t>Mon, 29 Jun 2026 18:35:06 +0000</t>
        </is>
      </c>
      <c r="G312" s="62" t="inlineStr">
        <is>
          <t>El organismo identifica cuatro dinámicas que hoy explican el riesgo en el municipio.</t>
        </is>
      </c>
      <c r="H312" s="62" t="inlineStr">
        <is>
          <t>“La incursión de las ACSN en territorios donde otros actores mantienen presencia e influencia incrementa las tensiones y eleva la probabilidad de confrontaciones armadas”, advierte la Defensoría, que también alerta sobre un posible aumento de homicidios, secuestros, amenazas, extorsiones y restricciones a la movilidad de la población civil.</t>
        </is>
      </c>
      <c r="I312" s="62" t="inlineStr">
        <is>
          <t>La primera corresponde al control histórico que ejerce el ELN sobre los corregimientos de Carraipía y La Majayura.</t>
        </is>
      </c>
      <c r="J312" s="38" t="n"/>
      <c r="K312" s="62" t="n"/>
      <c r="L312" s="38" t="n"/>
      <c r="M312" s="62" t="n"/>
      <c r="N312" s="38" t="n"/>
      <c r="O312" s="62" t="n"/>
      <c r="P312" s="38" t="n"/>
      <c r="Q312" s="62" t="n"/>
      <c r="R312" s="38" t="n"/>
      <c r="S312" s="62" t="n"/>
      <c r="T312" s="38" t="n"/>
      <c r="U312" s="62" t="n"/>
      <c r="V312" s="38" t="n"/>
      <c r="W312" s="62" t="n"/>
      <c r="X312" s="38" t="n"/>
      <c r="Y312" s="62" t="n"/>
      <c r="Z312" s="38" t="n"/>
      <c r="AA312" s="62" t="n"/>
      <c r="AB312" s="38" t="n"/>
      <c r="AC312" s="62" t="n"/>
      <c r="AD312" s="38" t="n"/>
      <c r="AE312" s="38" t="n"/>
      <c r="AF312" s="61">
        <f>IF(COUNTIF($B$5:B312,B312)=1,1,0)</f>
        <v/>
      </c>
      <c r="AG312" s="62" t="inlineStr">
        <is>
          <t>https://www.elespectador.com/colombia-20/paz-y-memoria/alerta-por-expansion-de-autodefensas-conquistadoras-y-guerra-con-eln-y-disidencias-en-maicao-y-la-guajira-segun-defensoria/</t>
        </is>
      </c>
    </row>
    <row r="313" ht="15" customHeight="1" s="31">
      <c r="A313" s="38" t="inlineStr">
        <is>
          <t>ART_037</t>
        </is>
      </c>
      <c r="B313" s="38" t="inlineStr">
        <is>
          <t>ART_037_S10</t>
        </is>
      </c>
      <c r="C313" s="38" t="inlineStr">
        <is>
          <t>El Espectador</t>
        </is>
      </c>
      <c r="D313" s="38" t="inlineStr">
        <is>
          <t>Seguridad y orden público</t>
        </is>
      </c>
      <c r="E313" s="38" t="inlineStr">
        <is>
          <t>Noticia dura</t>
        </is>
      </c>
      <c r="F313" s="38" t="inlineStr">
        <is>
          <t>Mon, 29 Jun 2026 18:35:06 +0000</t>
        </is>
      </c>
      <c r="G313" s="62" t="inlineStr">
        <is>
          <t>La primera corresponde al control histórico que ejerce el ELN sobre los corregimientos de Carraipía y La Majayura.</t>
        </is>
      </c>
      <c r="H313" s="62" t="inlineStr">
        <is>
          <t>El organismo identifica cuatro dinámicas que hoy explican el riesgo en el municipio.</t>
        </is>
      </c>
      <c r="I313" s="62" t="inlineStr">
        <is>
          <t>La segunda ocurre en Paraguachón, donde esa guerrilla y la Segunda Marquetalia mantienen una coexistencia alrededor de los principales pasos ilegales hacia Venezuela, sin enfrentamientos abiertos, pero sí mediante mecanismos de regulación y control sobre las comunidades.</t>
        </is>
      </c>
      <c r="J313" s="38" t="n"/>
      <c r="K313" s="62" t="n"/>
      <c r="L313" s="38" t="n"/>
      <c r="M313" s="62" t="n"/>
      <c r="N313" s="38" t="n"/>
      <c r="O313" s="62" t="n"/>
      <c r="P313" s="38" t="n"/>
      <c r="Q313" s="62" t="n"/>
      <c r="R313" s="38" t="n"/>
      <c r="S313" s="62" t="n"/>
      <c r="T313" s="38" t="n"/>
      <c r="U313" s="62" t="n"/>
      <c r="V313" s="38" t="n"/>
      <c r="W313" s="62" t="n"/>
      <c r="X313" s="38" t="n"/>
      <c r="Y313" s="62" t="n"/>
      <c r="Z313" s="38" t="n"/>
      <c r="AA313" s="62" t="n"/>
      <c r="AB313" s="38" t="n"/>
      <c r="AC313" s="62" t="n"/>
      <c r="AD313" s="38" t="n"/>
      <c r="AE313" s="38" t="n"/>
      <c r="AF313" s="61">
        <f>IF(COUNTIF($B$5:B313,B313)=1,1,0)</f>
        <v/>
      </c>
      <c r="AG313" s="62" t="inlineStr">
        <is>
          <t>https://www.elespectador.com/colombia-20/paz-y-memoria/alerta-por-expansion-de-autodefensas-conquistadoras-y-guerra-con-eln-y-disidencias-en-maicao-y-la-guajira-segun-defensoria/</t>
        </is>
      </c>
    </row>
    <row r="314" ht="15" customHeight="1" s="31">
      <c r="A314" s="38" t="inlineStr">
        <is>
          <t>ART_037</t>
        </is>
      </c>
      <c r="B314" s="38" t="inlineStr">
        <is>
          <t>ART_037_S11</t>
        </is>
      </c>
      <c r="C314" s="38" t="inlineStr">
        <is>
          <t>El Espectador</t>
        </is>
      </c>
      <c r="D314" s="38" t="inlineStr">
        <is>
          <t>Seguridad y orden público</t>
        </is>
      </c>
      <c r="E314" s="38" t="inlineStr">
        <is>
          <t>Noticia dura</t>
        </is>
      </c>
      <c r="F314" s="38" t="inlineStr">
        <is>
          <t>Mon, 29 Jun 2026 18:35:06 +0000</t>
        </is>
      </c>
      <c r="G314" s="62" t="inlineStr">
        <is>
          <t>La segunda ocurre en Paraguachón, donde esa guerrilla y la Segunda Marquetalia mantienen una coexistencia alrededor de los principales pasos ilegales hacia Venezuela, sin enfrentamientos abiertos, pero sí mediante mecanismos de regulación y control sobre las comunidades.</t>
        </is>
      </c>
      <c r="H314" s="62" t="inlineStr">
        <is>
          <t>La primera corresponde al control histórico que ejerce el ELN sobre los corregimientos de Carraipía y La Majayura.</t>
        </is>
      </c>
      <c r="I314" s="62" t="inlineStr">
        <is>
          <t>La tercera dinámica se desarrolla en el casco urbano, donde organizaciones como Los Rafita, Los Payasos y La Banda del Oso disputan el control de economías ilegales y sectores estratégicos del municipio.</t>
        </is>
      </c>
      <c r="J314" s="38" t="n"/>
      <c r="K314" s="62" t="n"/>
      <c r="L314" s="38" t="n"/>
      <c r="M314" s="62" t="n"/>
      <c r="N314" s="38" t="n"/>
      <c r="O314" s="62" t="n"/>
      <c r="P314" s="38" t="n"/>
      <c r="Q314" s="62" t="n"/>
      <c r="R314" s="38" t="n"/>
      <c r="S314" s="62" t="n"/>
      <c r="T314" s="38" t="n"/>
      <c r="U314" s="62" t="n"/>
      <c r="V314" s="38" t="n"/>
      <c r="W314" s="62" t="n"/>
      <c r="X314" s="38" t="n"/>
      <c r="Y314" s="62" t="n"/>
      <c r="Z314" s="38" t="n"/>
      <c r="AA314" s="62" t="n"/>
      <c r="AB314" s="38" t="n"/>
      <c r="AC314" s="62" t="n"/>
      <c r="AD314" s="38" t="n"/>
      <c r="AE314" s="38" t="n"/>
      <c r="AF314" s="61">
        <f>IF(COUNTIF($B$5:B314,B314)=1,1,0)</f>
        <v/>
      </c>
      <c r="AG314" s="62" t="inlineStr">
        <is>
          <t>https://www.elespectador.com/colombia-20/paz-y-memoria/alerta-por-expansion-de-autodefensas-conquistadoras-y-guerra-con-eln-y-disidencias-en-maicao-y-la-guajira-segun-defensoria/</t>
        </is>
      </c>
    </row>
    <row r="315" ht="15" customHeight="1" s="31">
      <c r="A315" s="38" t="inlineStr">
        <is>
          <t>ART_037</t>
        </is>
      </c>
      <c r="B315" s="38" t="inlineStr">
        <is>
          <t>ART_037_S12</t>
        </is>
      </c>
      <c r="C315" s="38" t="inlineStr">
        <is>
          <t>El Espectador</t>
        </is>
      </c>
      <c r="D315" s="38" t="inlineStr">
        <is>
          <t>Seguridad y orden público</t>
        </is>
      </c>
      <c r="E315" s="38" t="inlineStr">
        <is>
          <t>Noticia dura</t>
        </is>
      </c>
      <c r="F315" s="38" t="inlineStr">
        <is>
          <t>Mon, 29 Jun 2026 18:35:06 +0000</t>
        </is>
      </c>
      <c r="G315" s="62" t="inlineStr">
        <is>
          <t>La tercera dinámica se desarrolla en el casco urbano, donde organizaciones como Los Rafita, Los Payasos y La Banda del Oso disputan el control de economías ilegales y sectores estratégicos del municipio.</t>
        </is>
      </c>
      <c r="H315" s="62" t="inlineStr">
        <is>
          <t>La segunda ocurre en Paraguachón, donde esa guerrilla y la Segunda Marquetalia mantienen una coexistencia alrededor de los principales pasos ilegales hacia Venezuela, sin enfrentamientos abiertos, pero sí mediante mecanismos de regulación y control sobre las comunidades.</t>
        </is>
      </c>
      <c r="I315" s="62" t="n"/>
      <c r="J315" s="38" t="n"/>
      <c r="K315" s="62" t="n"/>
      <c r="L315" s="38" t="n"/>
      <c r="M315" s="62" t="n"/>
      <c r="N315" s="38" t="n"/>
      <c r="O315" s="62" t="n"/>
      <c r="P315" s="38" t="n"/>
      <c r="Q315" s="62" t="n"/>
      <c r="R315" s="38" t="n"/>
      <c r="S315" s="62" t="n"/>
      <c r="T315" s="38" t="n"/>
      <c r="U315" s="62" t="n"/>
      <c r="V315" s="38" t="n"/>
      <c r="W315" s="62" t="n"/>
      <c r="X315" s="38" t="n"/>
      <c r="Y315" s="62" t="n"/>
      <c r="Z315" s="38" t="n"/>
      <c r="AA315" s="62" t="n"/>
      <c r="AB315" s="38" t="n"/>
      <c r="AC315" s="62" t="n"/>
      <c r="AD315" s="38" t="n"/>
      <c r="AE315" s="38" t="n"/>
      <c r="AF315" s="61">
        <f>IF(COUNTIF($B$5:B315,B315)=1,1,0)</f>
        <v/>
      </c>
      <c r="AG315" s="62" t="inlineStr">
        <is>
          <t>https://www.elespectador.com/colombia-20/paz-y-memoria/alerta-por-expansion-de-autodefensas-conquistadoras-y-guerra-con-eln-y-disidencias-en-maicao-y-la-guajira-segun-defensoria/</t>
        </is>
      </c>
    </row>
    <row r="316" ht="15" customHeight="1" s="31">
      <c r="A316" s="38" t="inlineStr">
        <is>
          <t>ART_038</t>
        </is>
      </c>
      <c r="B316" s="38" t="inlineStr">
        <is>
          <t>ART_038_S01</t>
        </is>
      </c>
      <c r="C316" s="38" t="inlineStr">
        <is>
          <t>El Espectador</t>
        </is>
      </c>
      <c r="D316" s="38" t="inlineStr">
        <is>
          <t>Seguridad y orden público</t>
        </is>
      </c>
      <c r="E316" s="38" t="inlineStr">
        <is>
          <t>Noticia dura</t>
        </is>
      </c>
      <c r="F316" s="38" t="inlineStr">
        <is>
          <t>2024-08-06T18:06:44-05:00</t>
        </is>
      </c>
      <c r="G316" s="62" t="inlineStr">
        <is>
          <t>A través de un comunicado, el Ejército de Liberación Nacional (ELN) dio este martes un ultimátum al Gobierno para publicar el decreto que elimina a esa guerrilla de la lista de Grupos Armados Organizados (GAO) y así poder reanudar la mesa de diálogos.</t>
        </is>
      </c>
      <c r="H316" s="62" t="n"/>
      <c r="I316" s="62" t="inlineStr">
        <is>
          <t>“El Decreto Presidencial para retirar al ELN de la lista de los GAOs debería haberse emitido en junio de 2023, jamás hemos recibido explicación alguna de las razones de no haberlo hecho.</t>
        </is>
      </c>
      <c r="J316" s="38" t="n"/>
      <c r="K316" s="62" t="n"/>
      <c r="L316" s="38" t="n"/>
      <c r="M316" s="62" t="n"/>
      <c r="N316" s="38" t="n"/>
      <c r="O316" s="62" t="n"/>
      <c r="P316" s="38" t="n"/>
      <c r="Q316" s="62" t="n"/>
      <c r="R316" s="38" t="n"/>
      <c r="S316" s="62" t="n"/>
      <c r="T316" s="38" t="n"/>
      <c r="U316" s="62" t="n"/>
      <c r="V316" s="38" t="n"/>
      <c r="W316" s="62" t="n"/>
      <c r="X316" s="38" t="n"/>
      <c r="Y316" s="62" t="n"/>
      <c r="Z316" s="38" t="n"/>
      <c r="AA316" s="62" t="n"/>
      <c r="AB316" s="38" t="n"/>
      <c r="AC316" s="62" t="n"/>
      <c r="AD316" s="38" t="n"/>
      <c r="AE316" s="38" t="n"/>
      <c r="AF316" s="61">
        <f>IF(COUNTIF($B$5:B316,B316)=1,1,0)</f>
        <v/>
      </c>
      <c r="AG316" s="62" t="inlineStr">
        <is>
          <t>https://www.elespectador.com/colombia-20/paz-y-memoria/eln-da-la-gobierno-hasta-el-23-de-agosto-para-publicar-decreto-que-la-elimina-de-lista-grupo-armados-organizados/</t>
        </is>
      </c>
    </row>
    <row r="317" ht="15" customHeight="1" s="31">
      <c r="A317" s="38" t="inlineStr">
        <is>
          <t>ART_038</t>
        </is>
      </c>
      <c r="B317" s="38" t="inlineStr">
        <is>
          <t>ART_038_S02</t>
        </is>
      </c>
      <c r="C317" s="38" t="inlineStr">
        <is>
          <t>El Espectador</t>
        </is>
      </c>
      <c r="D317" s="38" t="inlineStr">
        <is>
          <t>Seguridad y orden público</t>
        </is>
      </c>
      <c r="E317" s="38" t="inlineStr">
        <is>
          <t>Noticia dura</t>
        </is>
      </c>
      <c r="F317" s="38" t="inlineStr">
        <is>
          <t>2024-08-06T18:06:44-05:00</t>
        </is>
      </c>
      <c r="G317" s="62" t="inlineStr">
        <is>
          <t>“El Decreto Presidencial para retirar al ELN de la lista de los GAOs debería haberse emitido en junio de 2023, jamás hemos recibido explicación alguna de las razones de no haberlo hecho.</t>
        </is>
      </c>
      <c r="H317" s="62" t="inlineStr">
        <is>
          <t>A través de un comunicado, el Ejército de Liberación Nacional (ELN) dio este martes un ultimátum al Gobierno para publicar el decreto que elimina a esa guerrilla de la lista de Grupos Armados Organizados (GAO) y así poder reanudar la mesa de diálogos.</t>
        </is>
      </c>
      <c r="I317" s="62" t="n"/>
      <c r="J317" s="38" t="n"/>
      <c r="K317" s="62" t="n"/>
      <c r="L317" s="38" t="n"/>
      <c r="M317" s="62" t="n"/>
      <c r="N317" s="38" t="n"/>
      <c r="O317" s="62" t="n"/>
      <c r="P317" s="38" t="n"/>
      <c r="Q317" s="62" t="n"/>
      <c r="R317" s="38" t="n"/>
      <c r="S317" s="62" t="n"/>
      <c r="T317" s="38" t="n"/>
      <c r="U317" s="62" t="n"/>
      <c r="V317" s="38" t="n"/>
      <c r="W317" s="62" t="n"/>
      <c r="X317" s="38" t="n"/>
      <c r="Y317" s="62" t="n"/>
      <c r="Z317" s="38" t="n"/>
      <c r="AA317" s="62" t="n"/>
      <c r="AB317" s="38" t="n"/>
      <c r="AC317" s="62" t="n"/>
      <c r="AD317" s="38" t="n"/>
      <c r="AE317" s="38" t="n"/>
      <c r="AF317" s="61">
        <f>IF(COUNTIF($B$5:B317,B317)=1,1,0)</f>
        <v/>
      </c>
      <c r="AG317" s="62" t="inlineStr">
        <is>
          <t>https://www.elespectador.com/colombia-20/paz-y-memoria/eln-da-la-gobierno-hasta-el-23-de-agosto-para-publicar-decreto-que-la-elimina-de-lista-grupo-armados-organizados/</t>
        </is>
      </c>
    </row>
    <row r="318" ht="15" customHeight="1" s="31">
      <c r="A318" s="38" t="inlineStr">
        <is>
          <t>ART_039</t>
        </is>
      </c>
      <c r="B318" s="38" t="inlineStr">
        <is>
          <t>ART_039_S01</t>
        </is>
      </c>
      <c r="C318" s="38" t="inlineStr">
        <is>
          <t>El Tiempo</t>
        </is>
      </c>
      <c r="D318" s="38" t="inlineStr">
        <is>
          <t>Respuesta a la emergencia del terremoto</t>
        </is>
      </c>
      <c r="E318" s="38" t="inlineStr">
        <is>
          <t>Noticia dura</t>
        </is>
      </c>
      <c r="F318" s="38" t="inlineStr">
        <is>
          <t>2026-09-05T21:05:00-05:00</t>
        </is>
      </c>
      <c r="G318" s="62" t="inlineStr">
        <is>
          <t>Al gobierno de Abelardo De La Espriella le quedan pocos días para superar la primera gran prueba de su nuevo Presupuesto General de la Nación (PGN) para el 2027.</t>
        </is>
      </c>
      <c r="H318" s="62" t="n"/>
      <c r="I318" s="62" t="n"/>
      <c r="J318" s="38" t="n"/>
      <c r="K318" s="62" t="n"/>
      <c r="L318" s="38" t="n"/>
      <c r="M318" s="62" t="n"/>
      <c r="N318" s="38" t="n"/>
      <c r="O318" s="62" t="n"/>
      <c r="P318" s="38" t="n"/>
      <c r="Q318" s="62" t="n"/>
      <c r="R318" s="38" t="n"/>
      <c r="S318" s="62" t="n"/>
      <c r="T318" s="38" t="n"/>
      <c r="U318" s="62" t="n"/>
      <c r="V318" s="38" t="n"/>
      <c r="W318" s="62" t="n"/>
      <c r="X318" s="38" t="n"/>
      <c r="Y318" s="62" t="n"/>
      <c r="Z318" s="38" t="n"/>
      <c r="AA318" s="62" t="n"/>
      <c r="AB318" s="38" t="n"/>
      <c r="AC318" s="62" t="n"/>
      <c r="AD318" s="38" t="n"/>
      <c r="AE318" s="38" t="n"/>
      <c r="AF318" s="61">
        <f>IF(COUNTIF($B$5:B318,B318)=1,1,0)</f>
        <v/>
      </c>
      <c r="AG318" s="62" t="inlineStr">
        <is>
          <t>https://www.eltiempo.com/economia/sectores/carrera-contra-el-reloj-del-gobierno-para-sacar-adelante-presupuesto-de-634-9-billones-estos-son-los-obstaculos-3583762</t>
        </is>
      </c>
    </row>
    <row r="319" ht="15" customHeight="1" s="31">
      <c r="A319" s="38" t="inlineStr">
        <is>
          <t>ART_040</t>
        </is>
      </c>
      <c r="B319" s="38" t="inlineStr">
        <is>
          <t>ART_040_S01</t>
        </is>
      </c>
      <c r="C319" s="38" t="inlineStr">
        <is>
          <t>La Silla Vacía</t>
        </is>
      </c>
      <c r="D319" s="38" t="inlineStr">
        <is>
          <t>Respuesta a la emergencia del terremoto</t>
        </is>
      </c>
      <c r="E319" s="38" t="inlineStr">
        <is>
          <t>Opinión-análisis</t>
        </is>
      </c>
      <c r="F319" s="38" t="inlineStr">
        <is>
          <t>Sat, 05 Sep 2026 23:48:18 +0000</t>
        </is>
      </c>
      <c r="G319" s="62" t="inlineStr">
        <is>
          <t>“Patria Milagro” es la expresión escogida por el presidente Abelardo de la Espriella para identificar su proyecto de gobierno.</t>
        </is>
      </c>
      <c r="H319" s="62" t="n"/>
      <c r="I319" s="62" t="n"/>
      <c r="J319" s="38" t="n"/>
      <c r="K319" s="62" t="n"/>
      <c r="L319" s="38" t="n"/>
      <c r="M319" s="62" t="n"/>
      <c r="N319" s="38" t="n"/>
      <c r="O319" s="62" t="n"/>
      <c r="P319" s="38" t="n"/>
      <c r="Q319" s="62" t="n"/>
      <c r="R319" s="38" t="n"/>
      <c r="S319" s="62" t="n"/>
      <c r="T319" s="38" t="n"/>
      <c r="U319" s="62" t="n"/>
      <c r="V319" s="38" t="n"/>
      <c r="W319" s="62" t="n"/>
      <c r="X319" s="38" t="n"/>
      <c r="Y319" s="62" t="n"/>
      <c r="Z319" s="38" t="n"/>
      <c r="AA319" s="62" t="n"/>
      <c r="AB319" s="38" t="n"/>
      <c r="AC319" s="62" t="n"/>
      <c r="AD319" s="38" t="n"/>
      <c r="AE319" s="38" t="n"/>
      <c r="AF319" s="61">
        <f>IF(COUNTIF($B$5:B319,B319)=1,1,0)</f>
        <v/>
      </c>
      <c r="AG319" s="62" t="inlineStr">
        <is>
          <t>https://www.lasillavacia.com/red-de-expertos/dios-proveera-sobre-la-idea-de-una-patria-milagro/</t>
        </is>
      </c>
    </row>
    <row r="320" ht="15" customHeight="1" s="31">
      <c r="A320" s="38" t="inlineStr">
        <is>
          <t>ART_041</t>
        </is>
      </c>
      <c r="B320" s="38" t="inlineStr">
        <is>
          <t>ART_041_S01</t>
        </is>
      </c>
      <c r="C320" s="38" t="inlineStr">
        <is>
          <t>La Silla Vacía</t>
        </is>
      </c>
      <c r="D320" s="38" t="inlineStr">
        <is>
          <t>Transición de gobierno y relación con la oposición</t>
        </is>
      </c>
      <c r="E320" s="38" t="inlineStr">
        <is>
          <t>Opinión-análisis</t>
        </is>
      </c>
      <c r="F320" s="38" t="inlineStr">
        <is>
          <t>Sat, 05 Sep 2026 19:00:00 +0000</t>
        </is>
      </c>
      <c r="G320" s="62" t="inlineStr">
        <is>
          <t>Durante la última semana causó revuelo la noticia divulgada por Caracol Radio, señalando la existencia de presuntas actas que develaban que el presidente De la Espriella habría ordenado a sus ministros no conceder ruedas de prensa ni entrevistas a medios de comunicación que no fueran ‘amigos’, salvo para temas estratégicos o con previa autorización.</t>
        </is>
      </c>
      <c r="H320" s="62" t="n"/>
      <c r="I320" s="62" t="n"/>
      <c r="J320" s="38" t="n"/>
      <c r="K320" s="62" t="n"/>
      <c r="L320" s="38" t="n"/>
      <c r="M320" s="62" t="n"/>
      <c r="N320" s="38" t="n"/>
      <c r="O320" s="62" t="n"/>
      <c r="P320" s="38" t="n"/>
      <c r="Q320" s="62" t="n"/>
      <c r="R320" s="38" t="n"/>
      <c r="S320" s="62" t="n"/>
      <c r="T320" s="38" t="n"/>
      <c r="U320" s="62" t="n"/>
      <c r="V320" s="38" t="n"/>
      <c r="W320" s="62" t="n"/>
      <c r="X320" s="38" t="n"/>
      <c r="Y320" s="62" t="n"/>
      <c r="Z320" s="38" t="n"/>
      <c r="AA320" s="62" t="n"/>
      <c r="AB320" s="38" t="n"/>
      <c r="AC320" s="62" t="n"/>
      <c r="AD320" s="38" t="n"/>
      <c r="AE320" s="38" t="n"/>
      <c r="AF320" s="61">
        <f>IF(COUNTIF($B$5:B320,B320)=1,1,0)</f>
        <v/>
      </c>
      <c r="AG320" s="62" t="inlineStr">
        <is>
          <t>https://www.lasillavacia.com/red-de-expertos/red-social/la-informacion-publica-no-se-restringe-a-medios-amigos/</t>
        </is>
      </c>
    </row>
    <row r="321" ht="15" customHeight="1" s="31">
      <c r="A321" s="38" t="inlineStr">
        <is>
          <t>ART_042</t>
        </is>
      </c>
      <c r="B321" s="38" t="inlineStr">
        <is>
          <t>ART_042_S01</t>
        </is>
      </c>
      <c r="C321" s="38" t="inlineStr">
        <is>
          <t>La Silla Vacía</t>
        </is>
      </c>
      <c r="D321" s="38" t="inlineStr">
        <is>
          <t>Seguridad y orden público</t>
        </is>
      </c>
      <c r="E321" s="38" t="inlineStr">
        <is>
          <t>Opinión-análisis</t>
        </is>
      </c>
      <c r="F321" s="38" t="inlineStr">
        <is>
          <t>Sat, 05 Sep 2026 16:33:03 +0000</t>
        </is>
      </c>
      <c r="G321" s="62" t="inlineStr">
        <is>
          <t>Todo lo que necesita saber sobre el poder, la deforestación y la biodiversidad en la región amazónica está en la Silla Amazonía .</t>
        </is>
      </c>
      <c r="H321" s="62" t="n"/>
      <c r="I321" s="62" t="n"/>
      <c r="J321" s="38" t="n"/>
      <c r="K321" s="62" t="n"/>
      <c r="L321" s="38" t="n"/>
      <c r="M321" s="62" t="n"/>
      <c r="N321" s="38" t="n"/>
      <c r="O321" s="62" t="n"/>
      <c r="P321" s="38" t="n"/>
      <c r="Q321" s="62" t="n"/>
      <c r="R321" s="38" t="n"/>
      <c r="S321" s="62" t="n"/>
      <c r="T321" s="38" t="n"/>
      <c r="U321" s="62" t="n"/>
      <c r="V321" s="38" t="n"/>
      <c r="W321" s="62" t="n"/>
      <c r="X321" s="38" t="n"/>
      <c r="Y321" s="62" t="n"/>
      <c r="Z321" s="38" t="n"/>
      <c r="AA321" s="62" t="n"/>
      <c r="AB321" s="38" t="n"/>
      <c r="AC321" s="62" t="n"/>
      <c r="AD321" s="38" t="n"/>
      <c r="AE321" s="38" t="n"/>
      <c r="AF321" s="61">
        <f>IF(COUNTIF($B$5:B321,B321)=1,1,0)</f>
        <v/>
      </c>
      <c r="AG321" s="62" t="inlineStr">
        <is>
          <t>https://www.lasillavacia.com/opinion/operaciones-sin-seguridad/</t>
        </is>
      </c>
    </row>
    <row r="322" ht="15" customHeight="1" s="31">
      <c r="A322" s="38" t="inlineStr">
        <is>
          <t>ART_043</t>
        </is>
      </c>
      <c r="B322" s="38" t="inlineStr">
        <is>
          <t>ART_043_S01</t>
        </is>
      </c>
      <c r="C322" s="38" t="inlineStr">
        <is>
          <t>La Silla Vacía</t>
        </is>
      </c>
      <c r="D322" s="38" t="inlineStr">
        <is>
          <t>Reformas sociales en disputa (pensional/tributaria)</t>
        </is>
      </c>
      <c r="E322" s="38" t="inlineStr">
        <is>
          <t>Opinión-análisis</t>
        </is>
      </c>
      <c r="F322" s="38" t="inlineStr">
        <is>
          <t>Mon, 31 Aug 2026 18:10:17 +0000</t>
        </is>
      </c>
      <c r="G322" s="62" t="inlineStr">
        <is>
          <t>Tras mantener suspendida su entrada en vigor cerca de dos años, la Corte Constitucional declaró exequible el grueso de la Ley 2381 de 2024 y difirió su vigencia al 1.º de abril de 2027.</t>
        </is>
      </c>
      <c r="H322" s="62" t="n"/>
      <c r="I322" s="62" t="n"/>
      <c r="J322" s="38" t="n"/>
      <c r="K322" s="62" t="n"/>
      <c r="L322" s="38" t="n"/>
      <c r="M322" s="62" t="n"/>
      <c r="N322" s="38" t="n"/>
      <c r="O322" s="62" t="n"/>
      <c r="P322" s="38" t="n"/>
      <c r="Q322" s="62" t="n"/>
      <c r="R322" s="38" t="n"/>
      <c r="S322" s="62" t="n"/>
      <c r="T322" s="38" t="n"/>
      <c r="U322" s="62" t="n"/>
      <c r="V322" s="38" t="n"/>
      <c r="W322" s="62" t="n"/>
      <c r="X322" s="38" t="n"/>
      <c r="Y322" s="62" t="n"/>
      <c r="Z322" s="38" t="n"/>
      <c r="AA322" s="62" t="n"/>
      <c r="AB322" s="38" t="n"/>
      <c r="AC322" s="62" t="n"/>
      <c r="AD322" s="38" t="n"/>
      <c r="AE322" s="38" t="n"/>
      <c r="AF322" s="61">
        <f>IF(COUNTIF($B$5:B322,B322)=1,1,0)</f>
        <v/>
      </c>
      <c r="AG322" s="62" t="inlineStr">
        <is>
          <t>https://www.lasillavacia.com/red-de-expertos/red-de-derecho-constitucional/ganadores-y-perdedores-de-la-reforma-pensional/</t>
        </is>
      </c>
    </row>
    <row r="323" ht="15" customHeight="1" s="31">
      <c r="A323" s="38" t="inlineStr">
        <is>
          <t>ART_044</t>
        </is>
      </c>
      <c r="B323" s="38" t="inlineStr">
        <is>
          <t>ART_044_S01</t>
        </is>
      </c>
      <c r="C323" s="38" t="inlineStr">
        <is>
          <t>La Silla Vacía</t>
        </is>
      </c>
      <c r="D323" s="38" t="inlineStr">
        <is>
          <t>Relación con Estados Unidos</t>
        </is>
      </c>
      <c r="E323" s="38" t="inlineStr">
        <is>
          <t>Opinión-análisis</t>
        </is>
      </c>
      <c r="F323" s="38" t="inlineStr">
        <is>
          <t>2025-04-05T05:05:00+00:00</t>
        </is>
      </c>
      <c r="G323" s="62" t="inlineStr">
        <is>
          <t>Se ha dicho que los aranceles del 10 % impuestos por Trump a Colombia tienen algunos efectos positivos y que el país salió relativamente bien librado.</t>
        </is>
      </c>
      <c r="H323" s="62" t="n"/>
      <c r="I323" s="62" t="n"/>
      <c r="J323" s="38" t="n"/>
      <c r="K323" s="62" t="n"/>
      <c r="L323" s="38" t="n"/>
      <c r="M323" s="62" t="n"/>
      <c r="N323" s="38" t="n"/>
      <c r="O323" s="62" t="n"/>
      <c r="P323" s="38" t="n"/>
      <c r="Q323" s="62" t="n"/>
      <c r="R323" s="38" t="n"/>
      <c r="S323" s="62" t="n"/>
      <c r="T323" s="38" t="n"/>
      <c r="U323" s="62" t="n"/>
      <c r="V323" s="38" t="n"/>
      <c r="W323" s="62" t="n"/>
      <c r="X323" s="38" t="n"/>
      <c r="Y323" s="62" t="n"/>
      <c r="Z323" s="38" t="n"/>
      <c r="AA323" s="62" t="n"/>
      <c r="AB323" s="38" t="n"/>
      <c r="AC323" s="62" t="n"/>
      <c r="AD323" s="38" t="n"/>
      <c r="AE323" s="38" t="n"/>
      <c r="AF323" s="61">
        <f>IF(COUNTIF($B$5:B323,B323)=1,1,0)</f>
        <v/>
      </c>
      <c r="AG323" s="62" t="inlineStr">
        <is>
          <t>https://www.lasillavacia.com/red-de-expertos/red-social/colombia-no-sale-tan-bien-librada-con-los-nuevos-aranceles-de-trump/</t>
        </is>
      </c>
    </row>
    <row r="324" ht="15" customHeight="1" s="31">
      <c r="A324" s="38" t="inlineStr">
        <is>
          <t>ART_045</t>
        </is>
      </c>
      <c r="B324" s="38" t="inlineStr">
        <is>
          <t>ART_045_S01</t>
        </is>
      </c>
      <c r="C324" s="38" t="inlineStr">
        <is>
          <t>La Silla Vacía</t>
        </is>
      </c>
      <c r="D324" s="38" t="inlineStr">
        <is>
          <t>Reformas sociales en disputa (pensional/tributaria)</t>
        </is>
      </c>
      <c r="E324" s="38" t="inlineStr">
        <is>
          <t>Opinión-análisis</t>
        </is>
      </c>
      <c r="F324" s="38" t="inlineStr">
        <is>
          <t>Thu, 27 Aug 2026 13:00:00 +0000</t>
        </is>
      </c>
      <c r="G324" s="62" t="inlineStr">
        <is>
          <t>La reforma pensional colombiana dejó de ser solamente una discusión sobre el futuro de los trabajadores y se convirtió también en un asunto de economía de empresa.</t>
        </is>
      </c>
      <c r="H324" s="62" t="n"/>
      <c r="I324" s="62" t="n"/>
      <c r="J324" s="38" t="n"/>
      <c r="K324" s="62" t="n"/>
      <c r="L324" s="38" t="n"/>
      <c r="M324" s="62" t="n"/>
      <c r="N324" s="38" t="n"/>
      <c r="O324" s="62" t="n"/>
      <c r="P324" s="38" t="n"/>
      <c r="Q324" s="62" t="n"/>
      <c r="R324" s="38" t="n"/>
      <c r="S324" s="62" t="n"/>
      <c r="T324" s="38" t="n"/>
      <c r="U324" s="62" t="n"/>
      <c r="V324" s="38" t="n"/>
      <c r="W324" s="62" t="n"/>
      <c r="X324" s="38" t="n"/>
      <c r="Y324" s="62" t="n"/>
      <c r="Z324" s="38" t="n"/>
      <c r="AA324" s="62" t="n"/>
      <c r="AB324" s="38" t="n"/>
      <c r="AC324" s="62" t="n"/>
      <c r="AD324" s="38" t="n"/>
      <c r="AE324" s="38" t="n"/>
      <c r="AF324" s="61">
        <f>IF(COUNTIF($B$5:B324,B324)=1,1,0)</f>
        <v/>
      </c>
      <c r="AG324" s="62" t="inlineStr">
        <is>
          <t>https://www.lasillavacia.com/red-de-expertos/red-social/pension-un-reto-economico-y-empresarial/</t>
        </is>
      </c>
    </row>
    <row r="325" ht="15" customHeight="1" s="31">
      <c r="A325" s="38" t="inlineStr">
        <is>
          <t>ART_046</t>
        </is>
      </c>
      <c r="B325" s="38" t="inlineStr">
        <is>
          <t>ART_046_S01</t>
        </is>
      </c>
      <c r="C325" s="38" t="inlineStr">
        <is>
          <t>La Silla Vacía</t>
        </is>
      </c>
      <c r="D325" s="38" t="inlineStr">
        <is>
          <t>Seguridad y orden público</t>
        </is>
      </c>
      <c r="E325" s="38" t="inlineStr">
        <is>
          <t>Opinión-análisis</t>
        </is>
      </c>
      <c r="F325" s="38" t="inlineStr">
        <is>
          <t>Tue, 23 Jun 2026 20:03:13 +0000</t>
        </is>
      </c>
      <c r="G325" s="62" t="inlineStr">
        <is>
          <t>El politólogo Guillermo O’Donnell advirtió que la democracia no se agota en las elecciones porque exige también que el Estado garantice el imperio de la ley en todo el territorio y que los ciudadanos puedan ejercer sus derechos sin coacción.</t>
        </is>
      </c>
      <c r="H325" s="62" t="n"/>
      <c r="I325" s="62" t="n"/>
      <c r="J325" s="38" t="n"/>
      <c r="K325" s="62" t="n"/>
      <c r="L325" s="38" t="n"/>
      <c r="M325" s="62" t="n"/>
      <c r="N325" s="38" t="n"/>
      <c r="O325" s="62" t="n"/>
      <c r="P325" s="38" t="n"/>
      <c r="Q325" s="62" t="n"/>
      <c r="R325" s="38" t="n"/>
      <c r="S325" s="62" t="n"/>
      <c r="T325" s="38" t="n"/>
      <c r="U325" s="62" t="n"/>
      <c r="V325" s="38" t="n"/>
      <c r="W325" s="62" t="n"/>
      <c r="X325" s="38" t="n"/>
      <c r="Y325" s="62" t="n"/>
      <c r="Z325" s="38" t="n"/>
      <c r="AA325" s="62" t="n"/>
      <c r="AB325" s="38" t="n"/>
      <c r="AC325" s="62" t="n"/>
      <c r="AD325" s="38" t="n"/>
      <c r="AE325" s="38" t="n"/>
      <c r="AF325" s="61">
        <f>IF(COUNTIF($B$5:B325,B325)=1,1,0)</f>
        <v/>
      </c>
      <c r="AG325" s="62" t="inlineStr">
        <is>
          <t>https://www.lasillavacia.com/red-de-expertos/red-de-la-paz/elecciones-y-crimen-organizado-una-reflexion-academica/</t>
        </is>
      </c>
    </row>
    <row r="326" ht="15" customHeight="1" s="31">
      <c r="A326" s="38" t="inlineStr">
        <is>
          <t>ART_047</t>
        </is>
      </c>
      <c r="B326" s="38" t="inlineStr">
        <is>
          <t>ART_047_S01</t>
        </is>
      </c>
      <c r="C326" s="38" t="inlineStr">
        <is>
          <t>La Silla Vacía</t>
        </is>
      </c>
      <c r="D326" s="38" t="inlineStr">
        <is>
          <t>Relación con Estados Unidos</t>
        </is>
      </c>
      <c r="E326" s="38" t="inlineStr">
        <is>
          <t>Opinión-análisis</t>
        </is>
      </c>
      <c r="F326" s="38" t="inlineStr">
        <is>
          <t>2025-03-24T15:29:59+00:00</t>
        </is>
      </c>
      <c r="G326" s="62" t="inlineStr">
        <is>
          <t>La guerra comercial que ha desatado el presidente Trump en varias zonas del planeta tiene a todos los países en alerta, debido a los posibles efectos negativos que esta puede generar en sus economías.</t>
        </is>
      </c>
      <c r="H326" s="62" t="n"/>
      <c r="I326" s="62" t="n"/>
      <c r="J326" s="38" t="n"/>
      <c r="K326" s="62" t="n"/>
      <c r="L326" s="38" t="n"/>
      <c r="M326" s="62" t="n"/>
      <c r="N326" s="38" t="n"/>
      <c r="O326" s="62" t="n"/>
      <c r="P326" s="38" t="n"/>
      <c r="Q326" s="62" t="n"/>
      <c r="R326" s="38" t="n"/>
      <c r="S326" s="62" t="n"/>
      <c r="T326" s="38" t="n"/>
      <c r="U326" s="62" t="n"/>
      <c r="V326" s="38" t="n"/>
      <c r="W326" s="62" t="n"/>
      <c r="X326" s="38" t="n"/>
      <c r="Y326" s="62" t="n"/>
      <c r="Z326" s="38" t="n"/>
      <c r="AA326" s="62" t="n"/>
      <c r="AB326" s="38" t="n"/>
      <c r="AC326" s="62" t="n"/>
      <c r="AD326" s="38" t="n"/>
      <c r="AE326" s="38" t="n"/>
      <c r="AF326" s="61">
        <f>IF(COUNTIF($B$5:B326,B326)=1,1,0)</f>
        <v/>
      </c>
      <c r="AG326" s="62" t="inlineStr">
        <is>
          <t>https://www.lasillavacia.com/red-de-expertos/red-social/guerra-comercial-de-trump-oportunidad-para-colombia/</t>
        </is>
      </c>
    </row>
    <row r="327" ht="15" customHeight="1" s="31">
      <c r="A327" s="38" t="inlineStr">
        <is>
          <t>ART_048</t>
        </is>
      </c>
      <c r="B327" s="38" t="inlineStr">
        <is>
          <t>ART_048_S01</t>
        </is>
      </c>
      <c r="C327" s="38" t="inlineStr">
        <is>
          <t>Infobae Colombia</t>
        </is>
      </c>
      <c r="D327" s="38" t="inlineStr">
        <is>
          <t>Relación con Estados Unidos</t>
        </is>
      </c>
      <c r="E327" s="38" t="inlineStr">
        <is>
          <t>Noticia dura</t>
        </is>
      </c>
      <c r="F327" s="38" t="inlineStr">
        <is>
          <t>2026-09-04T01:02:46Z</t>
        </is>
      </c>
      <c r="G327" s="62" t="inlineStr">
        <is>
          <t>Estados Unidos está cada vez más cerca de desmontar el arancel de 12,5% que aplica a productos colombianos.</t>
        </is>
      </c>
      <c r="H327" s="62" t="n"/>
      <c r="I327" s="62" t="inlineStr">
        <is>
          <t>La medida podría concretarse en los próximos días, según anticipó el presidente de la Asociación Nacional de Comercio Exterior (Analdex), Javier Díaz, debido a la publicación para comentarios de un decreto regulatorio sobre bienes fabricados con trabajo forzoso.</t>
        </is>
      </c>
      <c r="J327" s="38" t="n"/>
      <c r="K327" s="62" t="n"/>
      <c r="L327" s="38" t="n"/>
      <c r="M327" s="62" t="n"/>
      <c r="N327" s="38" t="n"/>
      <c r="O327" s="62" t="n"/>
      <c r="P327" s="38" t="n"/>
      <c r="Q327" s="62" t="n"/>
      <c r="R327" s="38" t="n"/>
      <c r="S327" s="62" t="n"/>
      <c r="T327" s="38" t="n"/>
      <c r="U327" s="62" t="n"/>
      <c r="V327" s="38" t="n"/>
      <c r="W327" s="62" t="n"/>
      <c r="X327" s="38" t="n"/>
      <c r="Y327" s="62" t="n"/>
      <c r="Z327" s="38" t="n"/>
      <c r="AA327" s="62" t="n"/>
      <c r="AB327" s="38" t="n"/>
      <c r="AC327" s="62" t="n"/>
      <c r="AD327" s="38" t="n"/>
      <c r="AE327" s="38" t="n"/>
      <c r="AF327" s="61">
        <f>IF(COUNTIF($B$5:B327,B327)=1,1,0)</f>
        <v/>
      </c>
      <c r="AG327" s="62" t="inlineStr">
        <is>
          <t>https://www.infobae.com/colombia/2026/09/04/arancel-que-impuso-estados-unidos-a-productos-colombianos-podria-ser-eliminado-dentro-de-poco-exportadores-revelaron-posible-fecha/</t>
        </is>
      </c>
    </row>
    <row r="328" ht="15" customHeight="1" s="31">
      <c r="A328" s="38" t="inlineStr">
        <is>
          <t>ART_048</t>
        </is>
      </c>
      <c r="B328" s="38" t="inlineStr">
        <is>
          <t>ART_048_S02</t>
        </is>
      </c>
      <c r="C328" s="38" t="inlineStr">
        <is>
          <t>Infobae Colombia</t>
        </is>
      </c>
      <c r="D328" s="38" t="inlineStr">
        <is>
          <t>Relación con Estados Unidos</t>
        </is>
      </c>
      <c r="E328" s="38" t="inlineStr">
        <is>
          <t>Noticia dura</t>
        </is>
      </c>
      <c r="F328" s="38" t="inlineStr">
        <is>
          <t>2026-09-04T01:02:46Z</t>
        </is>
      </c>
      <c r="G328" s="62" t="inlineStr">
        <is>
          <t>La medida podría concretarse en los próximos días, según anticipó el presidente de la Asociación Nacional de Comercio Exterior (Analdex), Javier Díaz, debido a la publicación para comentarios de un decreto regulatorio sobre bienes fabricados con trabajo forzoso.</t>
        </is>
      </c>
      <c r="H328" s="62" t="inlineStr">
        <is>
          <t>Estados Unidos está cada vez más cerca de desmontar el arancel de 12,5% que aplica a productos colombianos.</t>
        </is>
      </c>
      <c r="I328" s="62" t="inlineStr">
        <is>
          <t>Así las cosas, el país norteamericano podría bajar a 0% ese gravamen con el que le exigía a Colombia que adoptara un instrumento jurídico para impedir el ingreso de productos, materias primas e insumos elaborados con ese tipo de trabajo en otros países.</t>
        </is>
      </c>
      <c r="J328" s="38" t="n"/>
      <c r="K328" s="62" t="n"/>
      <c r="L328" s="38" t="n"/>
      <c r="M328" s="62" t="n"/>
      <c r="N328" s="38" t="n"/>
      <c r="O328" s="62" t="n"/>
      <c r="P328" s="38" t="n"/>
      <c r="Q328" s="62" t="n"/>
      <c r="R328" s="38" t="n"/>
      <c r="S328" s="62" t="n"/>
      <c r="T328" s="38" t="n"/>
      <c r="U328" s="62" t="n"/>
      <c r="V328" s="38" t="n"/>
      <c r="W328" s="62" t="n"/>
      <c r="X328" s="38" t="n"/>
      <c r="Y328" s="62" t="n"/>
      <c r="Z328" s="38" t="n"/>
      <c r="AA328" s="62" t="n"/>
      <c r="AB328" s="38" t="n"/>
      <c r="AC328" s="62" t="n"/>
      <c r="AD328" s="38" t="n"/>
      <c r="AE328" s="38" t="n"/>
      <c r="AF328" s="61">
        <f>IF(COUNTIF($B$5:B328,B328)=1,1,0)</f>
        <v/>
      </c>
      <c r="AG328" s="62" t="inlineStr">
        <is>
          <t>https://www.infobae.com/colombia/2026/09/04/arancel-que-impuso-estados-unidos-a-productos-colombianos-podria-ser-eliminado-dentro-de-poco-exportadores-revelaron-posible-fecha/</t>
        </is>
      </c>
    </row>
    <row r="329" ht="15" customHeight="1" s="31">
      <c r="A329" s="38" t="inlineStr">
        <is>
          <t>ART_048</t>
        </is>
      </c>
      <c r="B329" s="38" t="inlineStr">
        <is>
          <t>ART_048_S03</t>
        </is>
      </c>
      <c r="C329" s="38" t="inlineStr">
        <is>
          <t>Infobae Colombia</t>
        </is>
      </c>
      <c r="D329" s="38" t="inlineStr">
        <is>
          <t>Relación con Estados Unidos</t>
        </is>
      </c>
      <c r="E329" s="38" t="inlineStr">
        <is>
          <t>Noticia dura</t>
        </is>
      </c>
      <c r="F329" s="38" t="inlineStr">
        <is>
          <t>2026-09-04T01:02:46Z</t>
        </is>
      </c>
      <c r="G329" s="62" t="inlineStr">
        <is>
          <t>Así las cosas, el país norteamericano podría bajar a 0% ese gravamen con el que le exigía a Colombia que adoptara un instrumento jurídico para impedir el ingreso de productos, materias primas e insumos elaborados con ese tipo de trabajo en otros países.</t>
        </is>
      </c>
      <c r="H329" s="62" t="inlineStr">
        <is>
          <t>La medida podría concretarse en los próximos días, según anticipó el presidente de la Asociación Nacional de Comercio Exterior (Analdex), Javier Díaz, debido a la publicación para comentarios de un decreto regulatorio sobre bienes fabricados con trabajo forzoso.</t>
        </is>
      </c>
      <c r="I329" s="62" t="inlineStr">
        <is>
          <t>Según Díaz, la eliminación de este aliviaría a 1.751 empresas, sobre todo en sectores intensivos en mano de obra.</t>
        </is>
      </c>
      <c r="J329" s="38" t="n"/>
      <c r="K329" s="62" t="n"/>
      <c r="L329" s="38" t="n"/>
      <c r="M329" s="62" t="n"/>
      <c r="N329" s="38" t="n"/>
      <c r="O329" s="62" t="n"/>
      <c r="P329" s="38" t="n"/>
      <c r="Q329" s="62" t="n"/>
      <c r="R329" s="38" t="n"/>
      <c r="S329" s="62" t="n"/>
      <c r="T329" s="38" t="n"/>
      <c r="U329" s="62" t="n"/>
      <c r="V329" s="38" t="n"/>
      <c r="W329" s="62" t="n"/>
      <c r="X329" s="38" t="n"/>
      <c r="Y329" s="62" t="n"/>
      <c r="Z329" s="38" t="n"/>
      <c r="AA329" s="62" t="n"/>
      <c r="AB329" s="38" t="n"/>
      <c r="AC329" s="62" t="n"/>
      <c r="AD329" s="38" t="n"/>
      <c r="AE329" s="38" t="n"/>
      <c r="AF329" s="61">
        <f>IF(COUNTIF($B$5:B329,B329)=1,1,0)</f>
        <v/>
      </c>
      <c r="AG329" s="62" t="inlineStr">
        <is>
          <t>https://www.infobae.com/colombia/2026/09/04/arancel-que-impuso-estados-unidos-a-productos-colombianos-podria-ser-eliminado-dentro-de-poco-exportadores-revelaron-posible-fecha/</t>
        </is>
      </c>
    </row>
    <row r="330" ht="15" customHeight="1" s="31">
      <c r="A330" s="38" t="inlineStr">
        <is>
          <t>ART_048</t>
        </is>
      </c>
      <c r="B330" s="38" t="inlineStr">
        <is>
          <t>ART_048_S04</t>
        </is>
      </c>
      <c r="C330" s="38" t="inlineStr">
        <is>
          <t>Infobae Colombia</t>
        </is>
      </c>
      <c r="D330" s="38" t="inlineStr">
        <is>
          <t>Relación con Estados Unidos</t>
        </is>
      </c>
      <c r="E330" s="38" t="inlineStr">
        <is>
          <t>Noticia dura</t>
        </is>
      </c>
      <c r="F330" s="38" t="inlineStr">
        <is>
          <t>2026-09-04T01:02:46Z</t>
        </is>
      </c>
      <c r="G330" s="62" t="inlineStr">
        <is>
          <t>Según Díaz, la eliminación de este aliviaría a 1.751 empresas, sobre todo en sectores intensivos en mano de obra.</t>
        </is>
      </c>
      <c r="H330" s="62" t="inlineStr">
        <is>
          <t>Así las cosas, el país norteamericano podría bajar a 0% ese gravamen con el que le exigía a Colombia que adoptara un instrumento jurídico para impedir el ingreso de productos, materias primas e insumos elaborados con ese tipo de trabajo en otros países.</t>
        </is>
      </c>
      <c r="I330" s="62" t="inlineStr">
        <is>
          <t>Dijo en el 38° Congreso Nacional de Exportadores que “la información que tengo es que ese arancel del 12,5% podría bajar a cero”.</t>
        </is>
      </c>
      <c r="J330" s="38" t="n"/>
      <c r="K330" s="62" t="n"/>
      <c r="L330" s="38" t="n"/>
      <c r="M330" s="62" t="n"/>
      <c r="N330" s="38" t="n"/>
      <c r="O330" s="62" t="n"/>
      <c r="P330" s="38" t="n"/>
      <c r="Q330" s="62" t="n"/>
      <c r="R330" s="38" t="n"/>
      <c r="S330" s="62" t="n"/>
      <c r="T330" s="38" t="n"/>
      <c r="U330" s="62" t="n"/>
      <c r="V330" s="38" t="n"/>
      <c r="W330" s="62" t="n"/>
      <c r="X330" s="38" t="n"/>
      <c r="Y330" s="62" t="n"/>
      <c r="Z330" s="38" t="n"/>
      <c r="AA330" s="62" t="n"/>
      <c r="AB330" s="38" t="n"/>
      <c r="AC330" s="62" t="n"/>
      <c r="AD330" s="38" t="n"/>
      <c r="AE330" s="38" t="n"/>
      <c r="AF330" s="61">
        <f>IF(COUNTIF($B$5:B330,B330)=1,1,0)</f>
        <v/>
      </c>
      <c r="AG330" s="62" t="inlineStr">
        <is>
          <t>https://www.infobae.com/colombia/2026/09/04/arancel-que-impuso-estados-unidos-a-productos-colombianos-podria-ser-eliminado-dentro-de-poco-exportadores-revelaron-posible-fecha/</t>
        </is>
      </c>
    </row>
    <row r="331" ht="15" customHeight="1" s="31">
      <c r="A331" s="38" t="inlineStr">
        <is>
          <t>ART_048</t>
        </is>
      </c>
      <c r="B331" s="38" t="inlineStr">
        <is>
          <t>ART_048_S05</t>
        </is>
      </c>
      <c r="C331" s="38" t="inlineStr">
        <is>
          <t>Infobae Colombia</t>
        </is>
      </c>
      <c r="D331" s="38" t="inlineStr">
        <is>
          <t>Relación con Estados Unidos</t>
        </is>
      </c>
      <c r="E331" s="38" t="inlineStr">
        <is>
          <t>Noticia dura</t>
        </is>
      </c>
      <c r="F331" s="38" t="inlineStr">
        <is>
          <t>2026-09-04T01:02:46Z</t>
        </is>
      </c>
      <c r="G331" s="62" t="inlineStr">
        <is>
          <t>Dijo en el 38° Congreso Nacional de Exportadores que “la información que tengo es que ese arancel del 12,5% podría bajar a cero”.</t>
        </is>
      </c>
      <c r="H331" s="62" t="inlineStr">
        <is>
          <t>Según Díaz, la eliminación de este aliviaría a 1.751 empresas, sobre todo en sectores intensivos en mano de obra.</t>
        </is>
      </c>
      <c r="I331" s="62" t="inlineStr">
        <is>
          <t>Además, añadió que las conversaciones con Washington comenzaron incluso antes de la posesión del gobierno de Abelardo de la Espriella.</t>
        </is>
      </c>
      <c r="J331" s="38" t="n"/>
      <c r="K331" s="62" t="n"/>
      <c r="L331" s="38" t="n"/>
      <c r="M331" s="62" t="n"/>
      <c r="N331" s="38" t="n"/>
      <c r="O331" s="62" t="n"/>
      <c r="P331" s="38" t="n"/>
      <c r="Q331" s="62" t="n"/>
      <c r="R331" s="38" t="n"/>
      <c r="S331" s="62" t="n"/>
      <c r="T331" s="38" t="n"/>
      <c r="U331" s="62" t="n"/>
      <c r="V331" s="38" t="n"/>
      <c r="W331" s="62" t="n"/>
      <c r="X331" s="38" t="n"/>
      <c r="Y331" s="62" t="n"/>
      <c r="Z331" s="38" t="n"/>
      <c r="AA331" s="62" t="n"/>
      <c r="AB331" s="38" t="n"/>
      <c r="AC331" s="62" t="n"/>
      <c r="AD331" s="38" t="n"/>
      <c r="AE331" s="38" t="n"/>
      <c r="AF331" s="61">
        <f>IF(COUNTIF($B$5:B331,B331)=1,1,0)</f>
        <v/>
      </c>
      <c r="AG331" s="62" t="inlineStr">
        <is>
          <t>https://www.infobae.com/colombia/2026/09/04/arancel-que-impuso-estados-unidos-a-productos-colombianos-podria-ser-eliminado-dentro-de-poco-exportadores-revelaron-posible-fecha/</t>
        </is>
      </c>
    </row>
    <row r="332" ht="15" customHeight="1" s="31">
      <c r="A332" s="38" t="inlineStr">
        <is>
          <t>ART_048</t>
        </is>
      </c>
      <c r="B332" s="38" t="inlineStr">
        <is>
          <t>ART_048_S06</t>
        </is>
      </c>
      <c r="C332" s="38" t="inlineStr">
        <is>
          <t>Infobae Colombia</t>
        </is>
      </c>
      <c r="D332" s="38" t="inlineStr">
        <is>
          <t>Relación con Estados Unidos</t>
        </is>
      </c>
      <c r="E332" s="38" t="inlineStr">
        <is>
          <t>Noticia dura</t>
        </is>
      </c>
      <c r="F332" s="38" t="inlineStr">
        <is>
          <t>2026-09-04T01:02:46Z</t>
        </is>
      </c>
      <c r="G332" s="62" t="inlineStr">
        <is>
          <t>Además, añadió que las conversaciones con Washington comenzaron incluso antes de la posesión del gobierno de Abelardo de la Espriella.</t>
        </is>
      </c>
      <c r="H332" s="62" t="inlineStr">
        <is>
          <t>Dijo en el 38° Congreso Nacional de Exportadores que “la información que tengo es que ese arancel del 12,5% podría bajar a cero”.</t>
        </is>
      </c>
      <c r="I332" s="62" t="inlineStr">
        <is>
          <t>El dirigente anotó que desde hace meses la Casa Blanca había mostrado interés en dar a Colombia un trato preferencial.</t>
        </is>
      </c>
      <c r="J332" s="38" t="n"/>
      <c r="K332" s="62" t="n"/>
      <c r="L332" s="38" t="n"/>
      <c r="M332" s="62" t="n"/>
      <c r="N332" s="38" t="n"/>
      <c r="O332" s="62" t="n"/>
      <c r="P332" s="38" t="n"/>
      <c r="Q332" s="62" t="n"/>
      <c r="R332" s="38" t="n"/>
      <c r="S332" s="62" t="n"/>
      <c r="T332" s="38" t="n"/>
      <c r="U332" s="62" t="n"/>
      <c r="V332" s="38" t="n"/>
      <c r="W332" s="62" t="n"/>
      <c r="X332" s="38" t="n"/>
      <c r="Y332" s="62" t="n"/>
      <c r="Z332" s="38" t="n"/>
      <c r="AA332" s="62" t="n"/>
      <c r="AB332" s="38" t="n"/>
      <c r="AC332" s="62" t="n"/>
      <c r="AD332" s="38" t="n"/>
      <c r="AE332" s="38" t="n"/>
      <c r="AF332" s="61">
        <f>IF(COUNTIF($B$5:B332,B332)=1,1,0)</f>
        <v/>
      </c>
      <c r="AG332" s="62" t="inlineStr">
        <is>
          <t>https://www.infobae.com/colombia/2026/09/04/arancel-que-impuso-estados-unidos-a-productos-colombianos-podria-ser-eliminado-dentro-de-poco-exportadores-revelaron-posible-fecha/</t>
        </is>
      </c>
    </row>
    <row r="333" ht="15" customHeight="1" s="31">
      <c r="A333" s="38" t="inlineStr">
        <is>
          <t>ART_048</t>
        </is>
      </c>
      <c r="B333" s="38" t="inlineStr">
        <is>
          <t>ART_048_S07</t>
        </is>
      </c>
      <c r="C333" s="38" t="inlineStr">
        <is>
          <t>Infobae Colombia</t>
        </is>
      </c>
      <c r="D333" s="38" t="inlineStr">
        <is>
          <t>Relación con Estados Unidos</t>
        </is>
      </c>
      <c r="E333" s="38" t="inlineStr">
        <is>
          <t>Noticia dura</t>
        </is>
      </c>
      <c r="F333" s="38" t="inlineStr">
        <is>
          <t>2026-09-04T01:02:46Z</t>
        </is>
      </c>
      <c r="G333" s="62" t="inlineStr">
        <is>
          <t>El dirigente anotó que desde hace meses la Casa Blanca había mostrado interés en dar a Colombia un trato preferencial.</t>
        </is>
      </c>
      <c r="H333" s="62" t="inlineStr">
        <is>
          <t>Además, añadió que las conversaciones con Washington comenzaron incluso antes de la posesión del gobierno de Abelardo de la Espriella.</t>
        </is>
      </c>
      <c r="I333" s="62" t="inlineStr">
        <is>
          <t>De igual forma, explicó que la disposición partía de que en el país no hay prácticas directas de trabajo forzoso, aunque Estados Unidos pedía una regla local que cerrara el paso a bienes producidos bajo esas condiciones.</t>
        </is>
      </c>
      <c r="J333" s="38" t="n"/>
      <c r="K333" s="62" t="n"/>
      <c r="L333" s="38" t="n"/>
      <c r="M333" s="62" t="n"/>
      <c r="N333" s="38" t="n"/>
      <c r="O333" s="62" t="n"/>
      <c r="P333" s="38" t="n"/>
      <c r="Q333" s="62" t="n"/>
      <c r="R333" s="38" t="n"/>
      <c r="S333" s="62" t="n"/>
      <c r="T333" s="38" t="n"/>
      <c r="U333" s="62" t="n"/>
      <c r="V333" s="38" t="n"/>
      <c r="W333" s="62" t="n"/>
      <c r="X333" s="38" t="n"/>
      <c r="Y333" s="62" t="n"/>
      <c r="Z333" s="38" t="n"/>
      <c r="AA333" s="62" t="n"/>
      <c r="AB333" s="38" t="n"/>
      <c r="AC333" s="62" t="n"/>
      <c r="AD333" s="38" t="n"/>
      <c r="AE333" s="38" t="n"/>
      <c r="AF333" s="61">
        <f>IF(COUNTIF($B$5:B333,B333)=1,1,0)</f>
        <v/>
      </c>
      <c r="AG333" s="62" t="inlineStr">
        <is>
          <t>https://www.infobae.com/colombia/2026/09/04/arancel-que-impuso-estados-unidos-a-productos-colombianos-podria-ser-eliminado-dentro-de-poco-exportadores-revelaron-posible-fecha/</t>
        </is>
      </c>
    </row>
    <row r="334" ht="15" customHeight="1" s="31">
      <c r="A334" s="38" t="inlineStr">
        <is>
          <t>ART_048</t>
        </is>
      </c>
      <c r="B334" s="38" t="inlineStr">
        <is>
          <t>ART_048_S08</t>
        </is>
      </c>
      <c r="C334" s="38" t="inlineStr">
        <is>
          <t>Infobae Colombia</t>
        </is>
      </c>
      <c r="D334" s="38" t="inlineStr">
        <is>
          <t>Relación con Estados Unidos</t>
        </is>
      </c>
      <c r="E334" s="38" t="inlineStr">
        <is>
          <t>Noticia dura</t>
        </is>
      </c>
      <c r="F334" s="38" t="inlineStr">
        <is>
          <t>2026-09-04T01:02:46Z</t>
        </is>
      </c>
      <c r="G334" s="62" t="inlineStr">
        <is>
          <t>De igual forma, explicó que la disposición partía de que en el país no hay prácticas directas de trabajo forzoso, aunque Estados Unidos pedía una regla local que cerrara el paso a bienes producidos bajo esas condiciones.</t>
        </is>
      </c>
      <c r="H334" s="62" t="inlineStr">
        <is>
          <t>El dirigente anotó que desde hace meses la Casa Blanca había mostrado interés en dar a Colombia un trato preferencial.</t>
        </is>
      </c>
      <c r="I334" s="62" t="inlineStr">
        <is>
          <t>Condiciones para desmontar el gravamen</t>
        </is>
      </c>
      <c r="J334" s="38" t="n"/>
      <c r="K334" s="62" t="n"/>
      <c r="L334" s="38" t="n"/>
      <c r="M334" s="62" t="n"/>
      <c r="N334" s="38" t="n"/>
      <c r="O334" s="62" t="n"/>
      <c r="P334" s="38" t="n"/>
      <c r="Q334" s="62" t="n"/>
      <c r="R334" s="38" t="n"/>
      <c r="S334" s="62" t="n"/>
      <c r="T334" s="38" t="n"/>
      <c r="U334" s="62" t="n"/>
      <c r="V334" s="38" t="n"/>
      <c r="W334" s="62" t="n"/>
      <c r="X334" s="38" t="n"/>
      <c r="Y334" s="62" t="n"/>
      <c r="Z334" s="38" t="n"/>
      <c r="AA334" s="62" t="n"/>
      <c r="AB334" s="38" t="n"/>
      <c r="AC334" s="62" t="n"/>
      <c r="AD334" s="38" t="n"/>
      <c r="AE334" s="38" t="n"/>
      <c r="AF334" s="61">
        <f>IF(COUNTIF($B$5:B334,B334)=1,1,0)</f>
        <v/>
      </c>
      <c r="AG334" s="62" t="inlineStr">
        <is>
          <t>https://www.infobae.com/colombia/2026/09/04/arancel-que-impuso-estados-unidos-a-productos-colombianos-podria-ser-eliminado-dentro-de-poco-exportadores-revelaron-posible-fecha/</t>
        </is>
      </c>
    </row>
    <row r="335" ht="15" customHeight="1" s="31">
      <c r="A335" s="38" t="inlineStr">
        <is>
          <t>ART_048</t>
        </is>
      </c>
      <c r="B335" s="38" t="inlineStr">
        <is>
          <t>ART_048_S09</t>
        </is>
      </c>
      <c r="C335" s="38" t="inlineStr">
        <is>
          <t>Infobae Colombia</t>
        </is>
      </c>
      <c r="D335" s="38" t="inlineStr">
        <is>
          <t>Relación con Estados Unidos</t>
        </is>
      </c>
      <c r="E335" s="38" t="inlineStr">
        <is>
          <t>Noticia dura</t>
        </is>
      </c>
      <c r="F335" s="38" t="inlineStr">
        <is>
          <t>2026-09-04T01:02:46Z</t>
        </is>
      </c>
      <c r="G335" s="62" t="inlineStr">
        <is>
          <t>Condiciones para desmontar el gravamen</t>
        </is>
      </c>
      <c r="H335" s="62" t="inlineStr">
        <is>
          <t>De igual forma, explicó que la disposición partía de que en el país no hay prácticas directas de trabajo forzoso, aunque Estados Unidos pedía una regla local que cerrara el paso a bienes producidos bajo esas condiciones.</t>
        </is>
      </c>
      <c r="I335" s="62" t="inlineStr">
        <is>
          <t>Sobre ese punto, el líder gremial afirmó que “Colombia necesitaba sacar un instrumento jurídico que garantizara que productos, materias primas e insumos producidos en países con trabajo forzoso no entraran a territorio colombiano.</t>
        </is>
      </c>
      <c r="J335" s="38" t="n"/>
      <c r="K335" s="62" t="n"/>
      <c r="L335" s="38" t="n"/>
      <c r="M335" s="62" t="n"/>
      <c r="N335" s="38" t="n"/>
      <c r="O335" s="62" t="n"/>
      <c r="P335" s="38" t="n"/>
      <c r="Q335" s="62" t="n"/>
      <c r="R335" s="38" t="n"/>
      <c r="S335" s="62" t="n"/>
      <c r="T335" s="38" t="n"/>
      <c r="U335" s="62" t="n"/>
      <c r="V335" s="38" t="n"/>
      <c r="W335" s="62" t="n"/>
      <c r="X335" s="38" t="n"/>
      <c r="Y335" s="62" t="n"/>
      <c r="Z335" s="38" t="n"/>
      <c r="AA335" s="62" t="n"/>
      <c r="AB335" s="38" t="n"/>
      <c r="AC335" s="62" t="n"/>
      <c r="AD335" s="38" t="n"/>
      <c r="AE335" s="38" t="n"/>
      <c r="AF335" s="61">
        <f>IF(COUNTIF($B$5:B335,B335)=1,1,0)</f>
        <v/>
      </c>
      <c r="AG335" s="62" t="inlineStr">
        <is>
          <t>https://www.infobae.com/colombia/2026/09/04/arancel-que-impuso-estados-unidos-a-productos-colombianos-podria-ser-eliminado-dentro-de-poco-exportadores-revelaron-posible-fecha/</t>
        </is>
      </c>
    </row>
    <row r="336" ht="15" customHeight="1" s="31">
      <c r="A336" s="38" t="inlineStr">
        <is>
          <t>ART_048</t>
        </is>
      </c>
      <c r="B336" s="38" t="inlineStr">
        <is>
          <t>ART_048_S10</t>
        </is>
      </c>
      <c r="C336" s="38" t="inlineStr">
        <is>
          <t>Infobae Colombia</t>
        </is>
      </c>
      <c r="D336" s="38" t="inlineStr">
        <is>
          <t>Relación con Estados Unidos</t>
        </is>
      </c>
      <c r="E336" s="38" t="inlineStr">
        <is>
          <t>Noticia dura</t>
        </is>
      </c>
      <c r="F336" s="38" t="inlineStr">
        <is>
          <t>2026-09-04T01:02:46Z</t>
        </is>
      </c>
      <c r="G336" s="62" t="inlineStr">
        <is>
          <t>Sobre ese punto, el líder gremial afirmó que “Colombia necesitaba sacar un instrumento jurídico que garantizara que productos, materias primas e insumos producidos en países con trabajo forzoso no entraran a territorio colombiano.</t>
        </is>
      </c>
      <c r="H336" s="62" t="inlineStr">
        <is>
          <t>Condiciones para desmontar el gravamen</t>
        </is>
      </c>
      <c r="I336" s="62" t="inlineStr">
        <is>
          <t>También dejó claro que ”no es una prohibición absoluta, sino un sistema de gestión del riesgo”.</t>
        </is>
      </c>
      <c r="J336" s="38" t="n"/>
      <c r="K336" s="62" t="n"/>
      <c r="L336" s="38" t="n"/>
      <c r="M336" s="62" t="n"/>
      <c r="N336" s="38" t="n"/>
      <c r="O336" s="62" t="n"/>
      <c r="P336" s="38" t="n"/>
      <c r="Q336" s="62" t="n"/>
      <c r="R336" s="38" t="n"/>
      <c r="S336" s="62" t="n"/>
      <c r="T336" s="38" t="n"/>
      <c r="U336" s="62" t="n"/>
      <c r="V336" s="38" t="n"/>
      <c r="W336" s="62" t="n"/>
      <c r="X336" s="38" t="n"/>
      <c r="Y336" s="62" t="n"/>
      <c r="Z336" s="38" t="n"/>
      <c r="AA336" s="62" t="n"/>
      <c r="AB336" s="38" t="n"/>
      <c r="AC336" s="62" t="n"/>
      <c r="AD336" s="38" t="n"/>
      <c r="AE336" s="38" t="n"/>
      <c r="AF336" s="61">
        <f>IF(COUNTIF($B$5:B336,B336)=1,1,0)</f>
        <v/>
      </c>
      <c r="AG336" s="62" t="inlineStr">
        <is>
          <t>https://www.infobae.com/colombia/2026/09/04/arancel-que-impuso-estados-unidos-a-productos-colombianos-podria-ser-eliminado-dentro-de-poco-exportadores-revelaron-posible-fecha/</t>
        </is>
      </c>
    </row>
    <row r="337" ht="15" customHeight="1" s="31">
      <c r="A337" s="38" t="inlineStr">
        <is>
          <t>ART_048</t>
        </is>
      </c>
      <c r="B337" s="38" t="inlineStr">
        <is>
          <t>ART_048_S11</t>
        </is>
      </c>
      <c r="C337" s="38" t="inlineStr">
        <is>
          <t>Infobae Colombia</t>
        </is>
      </c>
      <c r="D337" s="38" t="inlineStr">
        <is>
          <t>Relación con Estados Unidos</t>
        </is>
      </c>
      <c r="E337" s="38" t="inlineStr">
        <is>
          <t>Noticia dura</t>
        </is>
      </c>
      <c r="F337" s="38" t="inlineStr">
        <is>
          <t>2026-09-04T01:02:46Z</t>
        </is>
      </c>
      <c r="G337" s="62" t="inlineStr">
        <is>
          <t>También dejó claro que ”no es una prohibición absoluta, sino un sistema de gestión del riesgo”.</t>
        </is>
      </c>
      <c r="H337" s="62" t="inlineStr">
        <is>
          <t>Sobre ese punto, el líder gremial afirmó que “Colombia necesitaba sacar un instrumento jurídico que garantizara que productos, materias primas e insumos producidos en países con trabajo forzoso no entraran a territorio colombiano.</t>
        </is>
      </c>
      <c r="I337" s="62" t="inlineStr">
        <is>
          <t>Por eso, cuestionó que ese marco no se hubiera expedido durante el gobierno de Gustavo Petro.</t>
        </is>
      </c>
      <c r="J337" s="38" t="n"/>
      <c r="K337" s="62" t="n"/>
      <c r="L337" s="38" t="n"/>
      <c r="M337" s="62" t="n"/>
      <c r="N337" s="38" t="n"/>
      <c r="O337" s="62" t="n"/>
      <c r="P337" s="38" t="n"/>
      <c r="Q337" s="62" t="n"/>
      <c r="R337" s="38" t="n"/>
      <c r="S337" s="62" t="n"/>
      <c r="T337" s="38" t="n"/>
      <c r="U337" s="62" t="n"/>
      <c r="V337" s="38" t="n"/>
      <c r="W337" s="62" t="n"/>
      <c r="X337" s="38" t="n"/>
      <c r="Y337" s="62" t="n"/>
      <c r="Z337" s="38" t="n"/>
      <c r="AA337" s="62" t="n"/>
      <c r="AB337" s="38" t="n"/>
      <c r="AC337" s="62" t="n"/>
      <c r="AD337" s="38" t="n"/>
      <c r="AE337" s="38" t="n"/>
      <c r="AF337" s="61">
        <f>IF(COUNTIF($B$5:B337,B337)=1,1,0)</f>
        <v/>
      </c>
      <c r="AG337" s="62" t="inlineStr">
        <is>
          <t>https://www.infobae.com/colombia/2026/09/04/arancel-que-impuso-estados-unidos-a-productos-colombianos-podria-ser-eliminado-dentro-de-poco-exportadores-revelaron-posible-fecha/</t>
        </is>
      </c>
    </row>
    <row r="338" ht="15" customHeight="1" s="31">
      <c r="A338" s="38" t="inlineStr">
        <is>
          <t>ART_048</t>
        </is>
      </c>
      <c r="B338" s="38" t="inlineStr">
        <is>
          <t>ART_048_S12</t>
        </is>
      </c>
      <c r="C338" s="38" t="inlineStr">
        <is>
          <t>Infobae Colombia</t>
        </is>
      </c>
      <c r="D338" s="38" t="inlineStr">
        <is>
          <t>Relación con Estados Unidos</t>
        </is>
      </c>
      <c r="E338" s="38" t="inlineStr">
        <is>
          <t>Noticia dura</t>
        </is>
      </c>
      <c r="F338" s="38" t="inlineStr">
        <is>
          <t>2026-09-04T01:02:46Z</t>
        </is>
      </c>
      <c r="G338" s="62" t="inlineStr">
        <is>
          <t>Por eso, cuestionó que ese marco no se hubiera expedido durante el gobierno de Gustavo Petro.</t>
        </is>
      </c>
      <c r="H338" s="62" t="inlineStr">
        <is>
          <t>También dejó claro que ”no es una prohibición absoluta, sino un sistema de gestión del riesgo”.</t>
        </is>
      </c>
      <c r="I338" s="62" t="n"/>
      <c r="J338" s="38" t="n"/>
      <c r="K338" s="62" t="n"/>
      <c r="L338" s="38" t="n"/>
      <c r="M338" s="62" t="n"/>
      <c r="N338" s="38" t="n"/>
      <c r="O338" s="62" t="n"/>
      <c r="P338" s="38" t="n"/>
      <c r="Q338" s="62" t="n"/>
      <c r="R338" s="38" t="n"/>
      <c r="S338" s="62" t="n"/>
      <c r="T338" s="38" t="n"/>
      <c r="U338" s="62" t="n"/>
      <c r="V338" s="38" t="n"/>
      <c r="W338" s="62" t="n"/>
      <c r="X338" s="38" t="n"/>
      <c r="Y338" s="62" t="n"/>
      <c r="Z338" s="38" t="n"/>
      <c r="AA338" s="62" t="n"/>
      <c r="AB338" s="38" t="n"/>
      <c r="AC338" s="62" t="n"/>
      <c r="AD338" s="38" t="n"/>
      <c r="AE338" s="38" t="n"/>
      <c r="AF338" s="61">
        <f>IF(COUNTIF($B$5:B338,B338)=1,1,0)</f>
        <v/>
      </c>
      <c r="AG338" s="62" t="inlineStr">
        <is>
          <t>https://www.infobae.com/colombia/2026/09/04/arancel-que-impuso-estados-unidos-a-productos-colombianos-podria-ser-eliminado-dentro-de-poco-exportadores-revelaron-posible-fecha/</t>
        </is>
      </c>
    </row>
    <row r="339" ht="15" customHeight="1" s="31">
      <c r="A339" s="38" t="inlineStr">
        <is>
          <t>ART_049</t>
        </is>
      </c>
      <c r="B339" s="38" t="inlineStr">
        <is>
          <t>ART_049_S01</t>
        </is>
      </c>
      <c r="C339" s="38" t="inlineStr">
        <is>
          <t>Infobae Colombia</t>
        </is>
      </c>
      <c r="D339" s="38" t="inlineStr">
        <is>
          <t>Relación con Estados Unidos</t>
        </is>
      </c>
      <c r="E339" s="38" t="inlineStr">
        <is>
          <t>Noticia dura</t>
        </is>
      </c>
      <c r="F339" s="38" t="inlineStr">
        <is>
          <t>2026-08-04T18:45:15Z</t>
        </is>
      </c>
      <c r="G339" s="62" t="inlineStr">
        <is>
          <t>El director de la Dirección de Impuestos y Aduanas Nacionales (Dian) Carlos Betancourt sostuvo que el aumento de aranceles de Estados Unidos a Colombia, que pasó de 10% a 12,5%, fue una decisión unilateral del gobierno de Donald Trump y no una consecuencia de incumplimientos del Estado colombiano, en un contexto marcado por la guerra comercial con China, la estrategia de Washington para fortalecer sus exportaciones y factores geopolíticos.</t>
        </is>
      </c>
      <c r="H339" s="62" t="n"/>
      <c r="I339" s="62" t="n"/>
      <c r="J339" s="38" t="n"/>
      <c r="K339" s="62" t="n"/>
      <c r="L339" s="38" t="n"/>
      <c r="M339" s="62" t="n"/>
      <c r="N339" s="38" t="n"/>
      <c r="O339" s="62" t="n"/>
      <c r="P339" s="38" t="n"/>
      <c r="Q339" s="62" t="n"/>
      <c r="R339" s="38" t="n"/>
      <c r="S339" s="62" t="n"/>
      <c r="T339" s="38" t="n"/>
      <c r="U339" s="62" t="n"/>
      <c r="V339" s="38" t="n"/>
      <c r="W339" s="62" t="n"/>
      <c r="X339" s="38" t="n"/>
      <c r="Y339" s="62" t="n"/>
      <c r="Z339" s="38" t="n"/>
      <c r="AA339" s="62" t="n"/>
      <c r="AB339" s="38" t="n"/>
      <c r="AC339" s="62" t="n"/>
      <c r="AD339" s="38" t="n"/>
      <c r="AE339" s="38" t="n"/>
      <c r="AF339" s="61">
        <f>IF(COUNTIF($B$5:B339,B339)=1,1,0)</f>
        <v/>
      </c>
      <c r="AG339" s="62" t="inlineStr">
        <is>
          <t>https://www.infobae.com/colombia/2026/08/04/el-director-de-la-dian-atribuyo-a-donald-trump-la-subida-de-aranceles-de-estados-unidos-a-colombia-es-una-decision-unilateral/</t>
        </is>
      </c>
    </row>
    <row r="340" ht="15" customHeight="1" s="31">
      <c r="A340" s="38" t="inlineStr">
        <is>
          <t>ART_050</t>
        </is>
      </c>
      <c r="B340" s="38" t="inlineStr">
        <is>
          <t>ART_050_S01</t>
        </is>
      </c>
      <c r="C340" s="38" t="inlineStr">
        <is>
          <t>Infobae Colombia</t>
        </is>
      </c>
      <c r="D340" s="38" t="inlineStr">
        <is>
          <t>Respuesta a la emergencia del terremoto</t>
        </is>
      </c>
      <c r="E340" s="38" t="inlineStr">
        <is>
          <t>Noticia dura</t>
        </is>
      </c>
      <c r="F340" s="38" t="inlineStr">
        <is>
          <t>2026-09-03T09:23:57Z</t>
        </is>
      </c>
      <c r="G340" s="62" t="inlineStr">
        <is>
          <t>La gobernadora del Valle del Cauca, Dilian Francisca Toro, anunció el inicio de la reconstrucción de 12.500 viviendas y 10 colegios afectados por el terremoto del pasado 10 de agosto, una emergencia que dejó fuertes daños en infraestructura educativa, hospitalaria, productiva y habitacional en el departamento.</t>
        </is>
      </c>
      <c r="H340" s="62" t="n"/>
      <c r="I340" s="62" t="inlineStr">
        <is>
          <t>De acuerdo con la información publicada por Blu Radio, la mandataria entregó un nuevo balance sobre el avance de la recuperación y confirmó que el plan incluye tanto viviendas nuevas como procesos de mejoramiento para familias damnificadas.</t>
        </is>
      </c>
      <c r="J340" s="38" t="n"/>
      <c r="K340" s="62" t="n"/>
      <c r="L340" s="38" t="n"/>
      <c r="M340" s="62" t="n"/>
      <c r="N340" s="38" t="n"/>
      <c r="O340" s="62" t="n"/>
      <c r="P340" s="38" t="n"/>
      <c r="Q340" s="62" t="n"/>
      <c r="R340" s="38" t="n"/>
      <c r="S340" s="62" t="n"/>
      <c r="T340" s="38" t="n"/>
      <c r="U340" s="62" t="n"/>
      <c r="V340" s="38" t="n"/>
      <c r="W340" s="62" t="n"/>
      <c r="X340" s="38" t="n"/>
      <c r="Y340" s="62" t="n"/>
      <c r="Z340" s="38" t="n"/>
      <c r="AA340" s="62" t="n"/>
      <c r="AB340" s="38" t="n"/>
      <c r="AC340" s="62" t="n"/>
      <c r="AD340" s="38" t="n"/>
      <c r="AE340" s="38" t="n"/>
      <c r="AF340" s="61">
        <f>IF(COUNTIF($B$5:B340,B340)=1,1,0)</f>
        <v/>
      </c>
      <c r="AG340" s="62" t="inlineStr">
        <is>
          <t>https://www.infobae.com/colombia/2026/09/03/valle-inicia-reconstruccion-de-12500-viviendas-y-10-colegios-tras-danos-por-terremoto/</t>
        </is>
      </c>
    </row>
    <row r="341" ht="15" customHeight="1" s="31">
      <c r="A341" s="38" t="inlineStr">
        <is>
          <t>ART_050</t>
        </is>
      </c>
      <c r="B341" s="38" t="inlineStr">
        <is>
          <t>ART_050_S02</t>
        </is>
      </c>
      <c r="C341" s="38" t="inlineStr">
        <is>
          <t>Infobae Colombia</t>
        </is>
      </c>
      <c r="D341" s="38" t="inlineStr">
        <is>
          <t>Respuesta a la emergencia del terremoto</t>
        </is>
      </c>
      <c r="E341" s="38" t="inlineStr">
        <is>
          <t>Noticia dura</t>
        </is>
      </c>
      <c r="F341" s="38" t="inlineStr">
        <is>
          <t>2026-09-03T09:23:57Z</t>
        </is>
      </c>
      <c r="G341" s="62" t="inlineStr">
        <is>
          <t>De acuerdo con la información publicada por Blu Radio, la mandataria entregó un nuevo balance sobre el avance de la recuperación y confirmó que el plan incluye tanto viviendas nuevas como procesos de mejoramiento para familias damnificadas.</t>
        </is>
      </c>
      <c r="H341" s="62" t="inlineStr">
        <is>
          <t>La gobernadora del Valle del Cauca, Dilian Francisca Toro, anunció el inicio de la reconstrucción de 12.500 viviendas y 10 colegios afectados por el terremoto del pasado 10 de agosto, una emergencia que dejó fuertes daños en infraestructura educativa, hospitalaria, productiva y habitacional en el departamento.</t>
        </is>
      </c>
      <c r="I341" s="62" t="inlineStr">
        <is>
          <t>El anuncio llega después de que el departamento reportara 72.000 viviendas averiadas y cerca de 20.000 colapsadas por el sismo.</t>
        </is>
      </c>
      <c r="J341" s="38" t="n"/>
      <c r="K341" s="62" t="n"/>
      <c r="L341" s="38" t="n"/>
      <c r="M341" s="62" t="n"/>
      <c r="N341" s="38" t="n"/>
      <c r="O341" s="62" t="n"/>
      <c r="P341" s="38" t="n"/>
      <c r="Q341" s="62" t="n"/>
      <c r="R341" s="38" t="n"/>
      <c r="S341" s="62" t="n"/>
      <c r="T341" s="38" t="n"/>
      <c r="U341" s="62" t="n"/>
      <c r="V341" s="38" t="n"/>
      <c r="W341" s="62" t="n"/>
      <c r="X341" s="38" t="n"/>
      <c r="Y341" s="62" t="n"/>
      <c r="Z341" s="38" t="n"/>
      <c r="AA341" s="62" t="n"/>
      <c r="AB341" s="38" t="n"/>
      <c r="AC341" s="62" t="n"/>
      <c r="AD341" s="38" t="n"/>
      <c r="AE341" s="38" t="n"/>
      <c r="AF341" s="61">
        <f>IF(COUNTIF($B$5:B341,B341)=1,1,0)</f>
        <v/>
      </c>
      <c r="AG341" s="62" t="inlineStr">
        <is>
          <t>https://www.infobae.com/colombia/2026/09/03/valle-inicia-reconstruccion-de-12500-viviendas-y-10-colegios-tras-danos-por-terremoto/</t>
        </is>
      </c>
    </row>
    <row r="342" ht="15" customHeight="1" s="31">
      <c r="A342" s="38" t="inlineStr">
        <is>
          <t>ART_050</t>
        </is>
      </c>
      <c r="B342" s="38" t="inlineStr">
        <is>
          <t>ART_050_S03</t>
        </is>
      </c>
      <c r="C342" s="38" t="inlineStr">
        <is>
          <t>Infobae Colombia</t>
        </is>
      </c>
      <c r="D342" s="38" t="inlineStr">
        <is>
          <t>Respuesta a la emergencia del terremoto</t>
        </is>
      </c>
      <c r="E342" s="38" t="inlineStr">
        <is>
          <t>Noticia dura</t>
        </is>
      </c>
      <c r="F342" s="38" t="inlineStr">
        <is>
          <t>2026-09-03T09:23:57Z</t>
        </is>
      </c>
      <c r="G342" s="62" t="inlineStr">
        <is>
          <t>El anuncio llega después de que el departamento reportara 72.000 viviendas averiadas y cerca de 20.000 colapsadas por el sismo.</t>
        </is>
      </c>
      <c r="H342" s="62" t="inlineStr">
        <is>
          <t>De acuerdo con la información publicada por Blu Radio, la mandataria entregó un nuevo balance sobre el avance de la recuperación y confirmó que el plan incluye tanto viviendas nuevas como procesos de mejoramiento para familias damnificadas.</t>
        </is>
      </c>
      <c r="I342" s="62" t="inlineStr">
        <is>
          <t>“Tenemos 220 colegios, 2 hospitales que también colapsaron, más el Hospital Universitario del Valle.</t>
        </is>
      </c>
      <c r="J342" s="38" t="n"/>
      <c r="K342" s="62" t="n"/>
      <c r="L342" s="38" t="n"/>
      <c r="M342" s="62" t="n"/>
      <c r="N342" s="38" t="n"/>
      <c r="O342" s="62" t="n"/>
      <c r="P342" s="38" t="n"/>
      <c r="Q342" s="62" t="n"/>
      <c r="R342" s="38" t="n"/>
      <c r="S342" s="62" t="n"/>
      <c r="T342" s="38" t="n"/>
      <c r="U342" s="62" t="n"/>
      <c r="V342" s="38" t="n"/>
      <c r="W342" s="62" t="n"/>
      <c r="X342" s="38" t="n"/>
      <c r="Y342" s="62" t="n"/>
      <c r="Z342" s="38" t="n"/>
      <c r="AA342" s="62" t="n"/>
      <c r="AB342" s="38" t="n"/>
      <c r="AC342" s="62" t="n"/>
      <c r="AD342" s="38" t="n"/>
      <c r="AE342" s="38" t="n"/>
      <c r="AF342" s="61">
        <f>IF(COUNTIF($B$5:B342,B342)=1,1,0)</f>
        <v/>
      </c>
      <c r="AG342" s="62" t="inlineStr">
        <is>
          <t>https://www.infobae.com/colombia/2026/09/03/valle-inicia-reconstruccion-de-12500-viviendas-y-10-colegios-tras-danos-por-terremoto/</t>
        </is>
      </c>
    </row>
    <row r="343" ht="15" customHeight="1" s="31">
      <c r="A343" s="38" t="inlineStr">
        <is>
          <t>ART_050</t>
        </is>
      </c>
      <c r="B343" s="38" t="inlineStr">
        <is>
          <t>ART_050_S04</t>
        </is>
      </c>
      <c r="C343" s="38" t="inlineStr">
        <is>
          <t>Infobae Colombia</t>
        </is>
      </c>
      <c r="D343" s="38" t="inlineStr">
        <is>
          <t>Respuesta a la emergencia del terremoto</t>
        </is>
      </c>
      <c r="E343" s="38" t="inlineStr">
        <is>
          <t>Noticia dura</t>
        </is>
      </c>
      <c r="F343" s="38" t="inlineStr">
        <is>
          <t>2026-09-03T09:23:57Z</t>
        </is>
      </c>
      <c r="G343" s="62" t="inlineStr">
        <is>
          <t>“Tenemos 220 colegios, 2 hospitales que también colapsaron, más el Hospital Universitario del Valle.</t>
        </is>
      </c>
      <c r="H343" s="62" t="inlineStr">
        <is>
          <t>El anuncio llega después de que el departamento reportara 72.000 viviendas averiadas y cerca de 20.000 colapsadas por el sismo.</t>
        </is>
      </c>
      <c r="I343" s="62" t="inlineStr">
        <is>
          <t>También estamos en la reconstrucción de colegios.</t>
        </is>
      </c>
      <c r="J343" s="38" t="n"/>
      <c r="K343" s="62" t="n"/>
      <c r="L343" s="38" t="n"/>
      <c r="M343" s="62" t="n"/>
      <c r="N343" s="38" t="n"/>
      <c r="O343" s="62" t="n"/>
      <c r="P343" s="38" t="n"/>
      <c r="Q343" s="62" t="n"/>
      <c r="R343" s="38" t="n"/>
      <c r="S343" s="62" t="n"/>
      <c r="T343" s="38" t="n"/>
      <c r="U343" s="62" t="n"/>
      <c r="V343" s="38" t="n"/>
      <c r="W343" s="62" t="n"/>
      <c r="X343" s="38" t="n"/>
      <c r="Y343" s="62" t="n"/>
      <c r="Z343" s="38" t="n"/>
      <c r="AA343" s="62" t="n"/>
      <c r="AB343" s="38" t="n"/>
      <c r="AC343" s="62" t="n"/>
      <c r="AD343" s="38" t="n"/>
      <c r="AE343" s="38" t="n"/>
      <c r="AF343" s="61">
        <f>IF(COUNTIF($B$5:B343,B343)=1,1,0)</f>
        <v/>
      </c>
      <c r="AG343" s="62" t="inlineStr">
        <is>
          <t>https://www.infobae.com/colombia/2026/09/03/valle-inicia-reconstruccion-de-12500-viviendas-y-10-colegios-tras-danos-por-terremoto/</t>
        </is>
      </c>
    </row>
    <row r="344" ht="15" customHeight="1" s="31">
      <c r="A344" s="38" t="inlineStr">
        <is>
          <t>ART_050</t>
        </is>
      </c>
      <c r="B344" s="38" t="inlineStr">
        <is>
          <t>ART_050_S05</t>
        </is>
      </c>
      <c r="C344" s="38" t="inlineStr">
        <is>
          <t>Infobae Colombia</t>
        </is>
      </c>
      <c r="D344" s="38" t="inlineStr">
        <is>
          <t>Respuesta a la emergencia del terremoto</t>
        </is>
      </c>
      <c r="E344" s="38" t="inlineStr">
        <is>
          <t>Noticia dura</t>
        </is>
      </c>
      <c r="F344" s="38" t="inlineStr">
        <is>
          <t>2026-09-03T09:23:57Z</t>
        </is>
      </c>
      <c r="G344" s="62" t="inlineStr">
        <is>
          <t>También estamos en la reconstrucción de colegios.</t>
        </is>
      </c>
      <c r="H344" s="62" t="inlineStr">
        <is>
          <t>“Tenemos 220 colegios, 2 hospitales que también colapsaron, más el Hospital Universitario del Valle.</t>
        </is>
      </c>
      <c r="I344" s="62" t="inlineStr">
        <is>
          <t>Vamos a arrancar con 9 colegios acá, un colegio en Buenaventura, y ya arrancamos con 12.500 viviendas nuevas y mejoramientos de vivienda en el departamento”, afirmó Toro.</t>
        </is>
      </c>
      <c r="J344" s="38" t="n"/>
      <c r="K344" s="62" t="n"/>
      <c r="L344" s="38" t="n"/>
      <c r="M344" s="62" t="n"/>
      <c r="N344" s="38" t="n"/>
      <c r="O344" s="62" t="n"/>
      <c r="P344" s="38" t="n"/>
      <c r="Q344" s="62" t="n"/>
      <c r="R344" s="38" t="n"/>
      <c r="S344" s="62" t="n"/>
      <c r="T344" s="38" t="n"/>
      <c r="U344" s="62" t="n"/>
      <c r="V344" s="38" t="n"/>
      <c r="W344" s="62" t="n"/>
      <c r="X344" s="38" t="n"/>
      <c r="Y344" s="62" t="n"/>
      <c r="Z344" s="38" t="n"/>
      <c r="AA344" s="62" t="n"/>
      <c r="AB344" s="38" t="n"/>
      <c r="AC344" s="62" t="n"/>
      <c r="AD344" s="38" t="n"/>
      <c r="AE344" s="38" t="n"/>
      <c r="AF344" s="61">
        <f>IF(COUNTIF($B$5:B344,B344)=1,1,0)</f>
        <v/>
      </c>
      <c r="AG344" s="62" t="inlineStr">
        <is>
          <t>https://www.infobae.com/colombia/2026/09/03/valle-inicia-reconstruccion-de-12500-viviendas-y-10-colegios-tras-danos-por-terremoto/</t>
        </is>
      </c>
    </row>
    <row r="345" ht="15" customHeight="1" s="31">
      <c r="A345" s="38" t="inlineStr">
        <is>
          <t>ART_050</t>
        </is>
      </c>
      <c r="B345" s="38" t="inlineStr">
        <is>
          <t>ART_050_S06</t>
        </is>
      </c>
      <c r="C345" s="38" t="inlineStr">
        <is>
          <t>Infobae Colombia</t>
        </is>
      </c>
      <c r="D345" s="38" t="inlineStr">
        <is>
          <t>Respuesta a la emergencia del terremoto</t>
        </is>
      </c>
      <c r="E345" s="38" t="inlineStr">
        <is>
          <t>Noticia dura</t>
        </is>
      </c>
      <c r="F345" s="38" t="inlineStr">
        <is>
          <t>2026-09-03T09:23:57Z</t>
        </is>
      </c>
      <c r="G345" s="62" t="inlineStr">
        <is>
          <t>Vamos a arrancar con 9 colegios acá, un colegio en Buenaventura, y ya arrancamos con 12.500 viviendas nuevas y mejoramientos de vivienda en el departamento”, afirmó Toro.</t>
        </is>
      </c>
      <c r="H345" s="62" t="inlineStr">
        <is>
          <t>También estamos en la reconstrucción de colegios.</t>
        </is>
      </c>
      <c r="I345" s="62" t="n"/>
      <c r="J345" s="38" t="n"/>
      <c r="K345" s="62" t="n"/>
      <c r="L345" s="38" t="n"/>
      <c r="M345" s="62" t="n"/>
      <c r="N345" s="38" t="n"/>
      <c r="O345" s="62" t="n"/>
      <c r="P345" s="38" t="n"/>
      <c r="Q345" s="62" t="n"/>
      <c r="R345" s="38" t="n"/>
      <c r="S345" s="62" t="n"/>
      <c r="T345" s="38" t="n"/>
      <c r="U345" s="62" t="n"/>
      <c r="V345" s="38" t="n"/>
      <c r="W345" s="62" t="n"/>
      <c r="X345" s="38" t="n"/>
      <c r="Y345" s="62" t="n"/>
      <c r="Z345" s="38" t="n"/>
      <c r="AA345" s="62" t="n"/>
      <c r="AB345" s="38" t="n"/>
      <c r="AC345" s="62" t="n"/>
      <c r="AD345" s="38" t="n"/>
      <c r="AE345" s="38" t="n"/>
      <c r="AF345" s="61">
        <f>IF(COUNTIF($B$5:B345,B345)=1,1,0)</f>
        <v/>
      </c>
      <c r="AG345" s="62" t="inlineStr">
        <is>
          <t>https://www.infobae.com/colombia/2026/09/03/valle-inicia-reconstruccion-de-12500-viviendas-y-10-colegios-tras-danos-por-terremoto/</t>
        </is>
      </c>
    </row>
    <row r="346" ht="15" customHeight="1" s="31">
      <c r="A346" s="38" t="inlineStr">
        <is>
          <t>ART_051</t>
        </is>
      </c>
      <c r="B346" s="38" t="inlineStr">
        <is>
          <t>ART_051_S01</t>
        </is>
      </c>
      <c r="C346" s="38" t="inlineStr">
        <is>
          <t>Infobae Colombia</t>
        </is>
      </c>
      <c r="D346" s="38" t="inlineStr">
        <is>
          <t>Reformas sociales en disputa (pensional/tributaria)</t>
        </is>
      </c>
      <c r="E346" s="38" t="inlineStr">
        <is>
          <t>Noticia dura</t>
        </is>
      </c>
      <c r="F346" s="38" t="inlineStr">
        <is>
          <t>2026-08-26T12:30:26Z</t>
        </is>
      </c>
      <c r="G346" s="62" t="inlineStr">
        <is>
          <t>El 25 de agosto de 2026, la Corte Constitucional avaló la reforma pensional y dejó en pie su estructura central, aunque devolvió nueve artículos al Congreso para corregir vicios de trámite; si ese ajuste supera la revisión final del tribunal, la Ley 2381 entrará en vigencia el 1 de abril de 2027.</t>
        </is>
      </c>
      <c r="H346" s="62" t="n"/>
      <c r="I346" s="62" t="inlineStr">
        <is>
          <t>La decisión preservó más del 90% del articulado y mantuvo, entre otros puntos, el artículo 76, que abrió la llamada “ventana de oportunidad” para cambiar de régimen.</t>
        </is>
      </c>
      <c r="J346" s="38" t="n"/>
      <c r="K346" s="62" t="n"/>
      <c r="L346" s="38" t="n"/>
      <c r="M346" s="62" t="n"/>
      <c r="N346" s="38" t="n"/>
      <c r="O346" s="62" t="n"/>
      <c r="P346" s="38" t="n"/>
      <c r="Q346" s="62" t="n"/>
      <c r="R346" s="38" t="n"/>
      <c r="S346" s="62" t="n"/>
      <c r="T346" s="38" t="n"/>
      <c r="U346" s="62" t="n"/>
      <c r="V346" s="38" t="n"/>
      <c r="W346" s="62" t="n"/>
      <c r="X346" s="38" t="n"/>
      <c r="Y346" s="62" t="n"/>
      <c r="Z346" s="38" t="n"/>
      <c r="AA346" s="62" t="n"/>
      <c r="AB346" s="38" t="n"/>
      <c r="AC346" s="62" t="n"/>
      <c r="AD346" s="38" t="n"/>
      <c r="AE346" s="38" t="n"/>
      <c r="AF346" s="61">
        <f>IF(COUNTIF($B$5:B346,B346)=1,1,0)</f>
        <v/>
      </c>
      <c r="AG346" s="62" t="inlineStr">
        <is>
          <t>https://www.infobae.com/colombia/2026/08/26/gustavo-petro-destaco-la-aprobacion-de-su-reforma-pensional-por-parte-de-la-corte-constitucional-un-triunfo-del-pueblo-trabajador/</t>
        </is>
      </c>
    </row>
    <row r="347" ht="15" customHeight="1" s="31">
      <c r="A347" s="38" t="inlineStr">
        <is>
          <t>ART_051</t>
        </is>
      </c>
      <c r="B347" s="38" t="inlineStr">
        <is>
          <t>ART_051_S02</t>
        </is>
      </c>
      <c r="C347" s="38" t="inlineStr">
        <is>
          <t>Infobae Colombia</t>
        </is>
      </c>
      <c r="D347" s="38" t="inlineStr">
        <is>
          <t>Reformas sociales en disputa (pensional/tributaria)</t>
        </is>
      </c>
      <c r="E347" s="38" t="inlineStr">
        <is>
          <t>Noticia dura</t>
        </is>
      </c>
      <c r="F347" s="38" t="inlineStr">
        <is>
          <t>2026-08-26T12:30:26Z</t>
        </is>
      </c>
      <c r="G347" s="62" t="inlineStr">
        <is>
          <t>La decisión preservó más del 90% del articulado y mantuvo, entre otros puntos, el artículo 76, que abrió la llamada “ventana de oportunidad” para cambiar de régimen.</t>
        </is>
      </c>
      <c r="H347" s="62" t="inlineStr">
        <is>
          <t>El 25 de agosto de 2026, la Corte Constitucional avaló la reforma pensional y dejó en pie su estructura central, aunque devolvió nueve artículos al Congreso para corregir vicios de trámite; si ese ajuste supera la revisión final del tribunal, la Ley 2381 entrará en vigencia el 1 de abril de 2027.</t>
        </is>
      </c>
      <c r="I347" s="62" t="inlineStr">
        <is>
          <t>Ese mecanismo cobija a más de 150.000 afiliados que se trasladaron desde 2024 hasta el 16 de julio pasado.</t>
        </is>
      </c>
      <c r="J347" s="38" t="n"/>
      <c r="K347" s="62" t="n"/>
      <c r="L347" s="38" t="n"/>
      <c r="M347" s="62" t="n"/>
      <c r="N347" s="38" t="n"/>
      <c r="O347" s="62" t="n"/>
      <c r="P347" s="38" t="n"/>
      <c r="Q347" s="62" t="n"/>
      <c r="R347" s="38" t="n"/>
      <c r="S347" s="62" t="n"/>
      <c r="T347" s="38" t="n"/>
      <c r="U347" s="62" t="n"/>
      <c r="V347" s="38" t="n"/>
      <c r="W347" s="62" t="n"/>
      <c r="X347" s="38" t="n"/>
      <c r="Y347" s="62" t="n"/>
      <c r="Z347" s="38" t="n"/>
      <c r="AA347" s="62" t="n"/>
      <c r="AB347" s="38" t="n"/>
      <c r="AC347" s="62" t="n"/>
      <c r="AD347" s="38" t="n"/>
      <c r="AE347" s="38" t="n"/>
      <c r="AF347" s="61">
        <f>IF(COUNTIF($B$5:B347,B347)=1,1,0)</f>
        <v/>
      </c>
      <c r="AG347" s="62" t="inlineStr">
        <is>
          <t>https://www.infobae.com/colombia/2026/08/26/gustavo-petro-destaco-la-aprobacion-de-su-reforma-pensional-por-parte-de-la-corte-constitucional-un-triunfo-del-pueblo-trabajador/</t>
        </is>
      </c>
    </row>
    <row r="348" ht="15" customHeight="1" s="31">
      <c r="A348" s="38" t="inlineStr">
        <is>
          <t>ART_051</t>
        </is>
      </c>
      <c r="B348" s="38" t="inlineStr">
        <is>
          <t>ART_051_S03</t>
        </is>
      </c>
      <c r="C348" s="38" t="inlineStr">
        <is>
          <t>Infobae Colombia</t>
        </is>
      </c>
      <c r="D348" s="38" t="inlineStr">
        <is>
          <t>Reformas sociales en disputa (pensional/tributaria)</t>
        </is>
      </c>
      <c r="E348" s="38" t="inlineStr">
        <is>
          <t>Noticia dura</t>
        </is>
      </c>
      <c r="F348" s="38" t="inlineStr">
        <is>
          <t>2026-08-26T12:30:26Z</t>
        </is>
      </c>
      <c r="G348" s="62" t="inlineStr">
        <is>
          <t>Ese mecanismo cobija a más de 150.000 afiliados que se trasladaron desde 2024 hasta el 16 de julio pasado.</t>
        </is>
      </c>
      <c r="H348" s="62" t="inlineStr">
        <is>
          <t>La decisión preservó más del 90% del articulado y mantuvo, entre otros puntos, el artículo 76, que abrió la llamada “ventana de oportunidad” para cambiar de régimen.</t>
        </is>
      </c>
      <c r="I348" s="62" t="inlineStr">
        <is>
          <t>La Cámara de Representantes tendrá 30 días contados desde la notificación de la sentencia, y no desde la comunicación, para subsanar los apartados objetados.</t>
        </is>
      </c>
      <c r="J348" s="38" t="n"/>
      <c r="K348" s="62" t="n"/>
      <c r="L348" s="38" t="n"/>
      <c r="M348" s="62" t="n"/>
      <c r="N348" s="38" t="n"/>
      <c r="O348" s="62" t="n"/>
      <c r="P348" s="38" t="n"/>
      <c r="Q348" s="62" t="n"/>
      <c r="R348" s="38" t="n"/>
      <c r="S348" s="62" t="n"/>
      <c r="T348" s="38" t="n"/>
      <c r="U348" s="62" t="n"/>
      <c r="V348" s="38" t="n"/>
      <c r="W348" s="62" t="n"/>
      <c r="X348" s="38" t="n"/>
      <c r="Y348" s="62" t="n"/>
      <c r="Z348" s="38" t="n"/>
      <c r="AA348" s="62" t="n"/>
      <c r="AB348" s="38" t="n"/>
      <c r="AC348" s="62" t="n"/>
      <c r="AD348" s="38" t="n"/>
      <c r="AE348" s="38" t="n"/>
      <c r="AF348" s="61">
        <f>IF(COUNTIF($B$5:B348,B348)=1,1,0)</f>
        <v/>
      </c>
      <c r="AG348" s="62" t="inlineStr">
        <is>
          <t>https://www.infobae.com/colombia/2026/08/26/gustavo-petro-destaco-la-aprobacion-de-su-reforma-pensional-por-parte-de-la-corte-constitucional-un-triunfo-del-pueblo-trabajador/</t>
        </is>
      </c>
    </row>
    <row r="349" ht="15" customHeight="1" s="31">
      <c r="A349" s="38" t="inlineStr">
        <is>
          <t>ART_051</t>
        </is>
      </c>
      <c r="B349" s="38" t="inlineStr">
        <is>
          <t>ART_051_S04</t>
        </is>
      </c>
      <c r="C349" s="38" t="inlineStr">
        <is>
          <t>Infobae Colombia</t>
        </is>
      </c>
      <c r="D349" s="38" t="inlineStr">
        <is>
          <t>Reformas sociales en disputa (pensional/tributaria)</t>
        </is>
      </c>
      <c r="E349" s="38" t="inlineStr">
        <is>
          <t>Noticia dura</t>
        </is>
      </c>
      <c r="F349" s="38" t="inlineStr">
        <is>
          <t>2026-08-26T12:30:26Z</t>
        </is>
      </c>
      <c r="G349" s="62" t="inlineStr">
        <is>
          <t>La Cámara de Representantes tendrá 30 días contados desde la notificación de la sentencia, y no desde la comunicación, para subsanar los apartados objetados.</t>
        </is>
      </c>
      <c r="H349" s="62" t="inlineStr">
        <is>
          <t>Ese mecanismo cobija a más de 150.000 afiliados que se trasladaron desde 2024 hasta el 16 de julio pasado.</t>
        </is>
      </c>
      <c r="I349" s="62" t="inlineStr">
        <is>
          <t>Después, el presidente de la corporación deberá remitir un informe sobre el cumplimiento de la orden y el máximo órgano de la Rama Judicial tendrá la decisión definitiva sobre la legalidad de esos artículos.</t>
        </is>
      </c>
      <c r="J349" s="38" t="n"/>
      <c r="K349" s="62" t="n"/>
      <c r="L349" s="38" t="n"/>
      <c r="M349" s="62" t="n"/>
      <c r="N349" s="38" t="n"/>
      <c r="O349" s="62" t="n"/>
      <c r="P349" s="38" t="n"/>
      <c r="Q349" s="62" t="n"/>
      <c r="R349" s="38" t="n"/>
      <c r="S349" s="62" t="n"/>
      <c r="T349" s="38" t="n"/>
      <c r="U349" s="62" t="n"/>
      <c r="V349" s="38" t="n"/>
      <c r="W349" s="62" t="n"/>
      <c r="X349" s="38" t="n"/>
      <c r="Y349" s="62" t="n"/>
      <c r="Z349" s="38" t="n"/>
      <c r="AA349" s="62" t="n"/>
      <c r="AB349" s="38" t="n"/>
      <c r="AC349" s="62" t="n"/>
      <c r="AD349" s="38" t="n"/>
      <c r="AE349" s="38" t="n"/>
      <c r="AF349" s="61">
        <f>IF(COUNTIF($B$5:B349,B349)=1,1,0)</f>
        <v/>
      </c>
      <c r="AG349" s="62" t="inlineStr">
        <is>
          <t>https://www.infobae.com/colombia/2026/08/26/gustavo-petro-destaco-la-aprobacion-de-su-reforma-pensional-por-parte-de-la-corte-constitucional-un-triunfo-del-pueblo-trabajador/</t>
        </is>
      </c>
    </row>
    <row r="350" ht="15" customHeight="1" s="31">
      <c r="A350" s="38" t="inlineStr">
        <is>
          <t>ART_051</t>
        </is>
      </c>
      <c r="B350" s="38" t="inlineStr">
        <is>
          <t>ART_051_S05</t>
        </is>
      </c>
      <c r="C350" s="38" t="inlineStr">
        <is>
          <t>Infobae Colombia</t>
        </is>
      </c>
      <c r="D350" s="38" t="inlineStr">
        <is>
          <t>Reformas sociales en disputa (pensional/tributaria)</t>
        </is>
      </c>
      <c r="E350" s="38" t="inlineStr">
        <is>
          <t>Noticia dura</t>
        </is>
      </c>
      <c r="F350" s="38" t="inlineStr">
        <is>
          <t>2026-08-26T12:30:26Z</t>
        </is>
      </c>
      <c r="G350" s="62" t="inlineStr">
        <is>
          <t>Después, el presidente de la corporación deberá remitir un informe sobre el cumplimiento de la orden y el máximo órgano de la Rama Judicial tendrá la decisión definitiva sobre la legalidad de esos artículos.</t>
        </is>
      </c>
      <c r="H350" s="62" t="inlineStr">
        <is>
          <t>La Cámara de Representantes tendrá 30 días contados desde la notificación de la sentencia, y no desde la comunicación, para subsanar los apartados objetados.</t>
        </is>
      </c>
      <c r="I350" s="62" t="inlineStr">
        <is>
          <t>Tras la decisión del alto tribunal, el expresidente de la República, Gustavo Petro, afirmó en redes sociales que la aprobación de gran parte del articulado de reforma al sistema pensional es una victoria para el pueblo colombiano.</t>
        </is>
      </c>
      <c r="J350" s="38" t="n"/>
      <c r="K350" s="62" t="n"/>
      <c r="L350" s="38" t="n"/>
      <c r="M350" s="62" t="n"/>
      <c r="N350" s="38" t="n"/>
      <c r="O350" s="62" t="n"/>
      <c r="P350" s="38" t="n"/>
      <c r="Q350" s="62" t="n"/>
      <c r="R350" s="38" t="n"/>
      <c r="S350" s="62" t="n"/>
      <c r="T350" s="38" t="n"/>
      <c r="U350" s="62" t="n"/>
      <c r="V350" s="38" t="n"/>
      <c r="W350" s="62" t="n"/>
      <c r="X350" s="38" t="n"/>
      <c r="Y350" s="62" t="n"/>
      <c r="Z350" s="38" t="n"/>
      <c r="AA350" s="62" t="n"/>
      <c r="AB350" s="38" t="n"/>
      <c r="AC350" s="62" t="n"/>
      <c r="AD350" s="38" t="n"/>
      <c r="AE350" s="38" t="n"/>
      <c r="AF350" s="61">
        <f>IF(COUNTIF($B$5:B350,B350)=1,1,0)</f>
        <v/>
      </c>
      <c r="AG350" s="62" t="inlineStr">
        <is>
          <t>https://www.infobae.com/colombia/2026/08/26/gustavo-petro-destaco-la-aprobacion-de-su-reforma-pensional-por-parte-de-la-corte-constitucional-un-triunfo-del-pueblo-trabajador/</t>
        </is>
      </c>
    </row>
    <row r="351" ht="15" customHeight="1" s="31">
      <c r="A351" s="38" t="inlineStr">
        <is>
          <t>ART_051</t>
        </is>
      </c>
      <c r="B351" s="38" t="inlineStr">
        <is>
          <t>ART_051_S06</t>
        </is>
      </c>
      <c r="C351" s="38" t="inlineStr">
        <is>
          <t>Infobae Colombia</t>
        </is>
      </c>
      <c r="D351" s="38" t="inlineStr">
        <is>
          <t>Reformas sociales en disputa (pensional/tributaria)</t>
        </is>
      </c>
      <c r="E351" s="38" t="inlineStr">
        <is>
          <t>Noticia dura</t>
        </is>
      </c>
      <c r="F351" s="38" t="inlineStr">
        <is>
          <t>2026-08-26T12:30:26Z</t>
        </is>
      </c>
      <c r="G351" s="62" t="inlineStr">
        <is>
          <t>Tras la decisión del alto tribunal, el expresidente de la República, Gustavo Petro, afirmó en redes sociales que la aprobación de gran parte del articulado de reforma al sistema pensional es una victoria para el pueblo colombiano.</t>
        </is>
      </c>
      <c r="H351" s="62" t="inlineStr">
        <is>
          <t>Después, el presidente de la corporación deberá remitir un informe sobre el cumplimiento de la orden y el máximo órgano de la Rama Judicial tendrá la decisión definitiva sobre la legalidad de esos artículos.</t>
        </is>
      </c>
      <c r="I351" s="62" t="n"/>
      <c r="J351" s="38" t="n"/>
      <c r="K351" s="62" t="n"/>
      <c r="L351" s="38" t="n"/>
      <c r="M351" s="62" t="n"/>
      <c r="N351" s="38" t="n"/>
      <c r="O351" s="62" t="n"/>
      <c r="P351" s="38" t="n"/>
      <c r="Q351" s="62" t="n"/>
      <c r="R351" s="38" t="n"/>
      <c r="S351" s="62" t="n"/>
      <c r="T351" s="38" t="n"/>
      <c r="U351" s="62" t="n"/>
      <c r="V351" s="38" t="n"/>
      <c r="W351" s="62" t="n"/>
      <c r="X351" s="38" t="n"/>
      <c r="Y351" s="62" t="n"/>
      <c r="Z351" s="38" t="n"/>
      <c r="AA351" s="62" t="n"/>
      <c r="AB351" s="38" t="n"/>
      <c r="AC351" s="62" t="n"/>
      <c r="AD351" s="38" t="n"/>
      <c r="AE351" s="38" t="n"/>
      <c r="AF351" s="61">
        <f>IF(COUNTIF($B$5:B351,B351)=1,1,0)</f>
        <v/>
      </c>
      <c r="AG351" s="62" t="inlineStr">
        <is>
          <t>https://www.infobae.com/colombia/2026/08/26/gustavo-petro-destaco-la-aprobacion-de-su-reforma-pensional-por-parte-de-la-corte-constitucional-un-triunfo-del-pueblo-trabajador/</t>
        </is>
      </c>
    </row>
    <row r="352" ht="15" customHeight="1" s="31">
      <c r="A352" s="38" t="inlineStr">
        <is>
          <t>ART_052</t>
        </is>
      </c>
      <c r="B352" s="38" t="inlineStr">
        <is>
          <t>ART_052_S01</t>
        </is>
      </c>
      <c r="C352" s="38" t="inlineStr">
        <is>
          <t>Semana</t>
        </is>
      </c>
      <c r="D352" s="38" t="inlineStr">
        <is>
          <t>Respuesta a la emergencia del terremoto</t>
        </is>
      </c>
      <c r="E352" s="38" t="inlineStr">
        <is>
          <t>Noticia dura</t>
        </is>
      </c>
      <c r="F352" s="38" t="inlineStr">
        <is>
          <t>2026-09-03T10:07:27-05:00</t>
        </is>
      </c>
      <c r="G352" s="62" t="inlineStr">
        <is>
          <t>El reporte con corte a este miércoles revela que la emergencia golpeó a 497 municipios de 16 departamentos.</t>
        </is>
      </c>
      <c r="H352" s="62" t="n"/>
      <c r="I352" s="62" t="inlineStr">
        <is>
          <t>La destrucción también alcanzó hospitales, colegios, vías, puentes y acueductos.</t>
        </is>
      </c>
      <c r="J352" s="38" t="n"/>
      <c r="K352" s="62" t="n"/>
      <c r="L352" s="38" t="n"/>
      <c r="M352" s="62" t="n"/>
      <c r="N352" s="38" t="n"/>
      <c r="O352" s="62" t="n"/>
      <c r="P352" s="38" t="n"/>
      <c r="Q352" s="62" t="n"/>
      <c r="R352" s="38" t="n"/>
      <c r="S352" s="62" t="n"/>
      <c r="T352" s="38" t="n"/>
      <c r="U352" s="62" t="n"/>
      <c r="V352" s="38" t="n"/>
      <c r="W352" s="62" t="n"/>
      <c r="X352" s="38" t="n"/>
      <c r="Y352" s="62" t="n"/>
      <c r="Z352" s="38" t="n"/>
      <c r="AA352" s="62" t="n"/>
      <c r="AB352" s="38" t="n"/>
      <c r="AC352" s="62" t="n"/>
      <c r="AD352" s="38" t="n"/>
      <c r="AE352" s="38" t="n"/>
      <c r="AF352" s="61">
        <f>IF(COUNTIF($B$5:B352,B352)=1,1,0)</f>
        <v/>
      </c>
      <c r="AG352" s="62" t="inlineStr">
        <is>
          <t>https://www.semana.com/nacion/articulo/colombia-intenta-levantarse-tras-el-terremoto-pero-las-nuevas-cifras-estremecen-al-pais-los-numeros-son-preocupantes/202641/</t>
        </is>
      </c>
    </row>
    <row r="353" ht="15" customHeight="1" s="31">
      <c r="A353" s="38" t="inlineStr">
        <is>
          <t>ART_052</t>
        </is>
      </c>
      <c r="B353" s="38" t="inlineStr">
        <is>
          <t>ART_052_S02</t>
        </is>
      </c>
      <c r="C353" s="38" t="inlineStr">
        <is>
          <t>Semana</t>
        </is>
      </c>
      <c r="D353" s="38" t="inlineStr">
        <is>
          <t>Respuesta a la emergencia del terremoto</t>
        </is>
      </c>
      <c r="E353" s="38" t="inlineStr">
        <is>
          <t>Noticia dura</t>
        </is>
      </c>
      <c r="F353" s="38" t="inlineStr">
        <is>
          <t>2026-09-03T10:07:27-05:00</t>
        </is>
      </c>
      <c r="G353" s="62" t="inlineStr">
        <is>
          <t>La destrucción también alcanzó hospitales, colegios, vías, puentes y acueductos.</t>
        </is>
      </c>
      <c r="H353" s="62" t="inlineStr">
        <is>
          <t>El reporte con corte a este miércoles revela que la emergencia golpeó a 497 municipios de 16 departamentos.</t>
        </is>
      </c>
      <c r="I353" s="62" t="inlineStr">
        <is>
          <t>El terremoto que sacudió a Colombia el pasado 10 de agosto continúa dejando una factura cada vez más difícil de dimensionar.</t>
        </is>
      </c>
      <c r="J353" s="38" t="n"/>
      <c r="K353" s="62" t="n"/>
      <c r="L353" s="38" t="n"/>
      <c r="M353" s="62" t="n"/>
      <c r="N353" s="38" t="n"/>
      <c r="O353" s="62" t="n"/>
      <c r="P353" s="38" t="n"/>
      <c r="Q353" s="62" t="n"/>
      <c r="R353" s="38" t="n"/>
      <c r="S353" s="62" t="n"/>
      <c r="T353" s="38" t="n"/>
      <c r="U353" s="62" t="n"/>
      <c r="V353" s="38" t="n"/>
      <c r="W353" s="62" t="n"/>
      <c r="X353" s="38" t="n"/>
      <c r="Y353" s="62" t="n"/>
      <c r="Z353" s="38" t="n"/>
      <c r="AA353" s="62" t="n"/>
      <c r="AB353" s="38" t="n"/>
      <c r="AC353" s="62" t="n"/>
      <c r="AD353" s="38" t="n"/>
      <c r="AE353" s="38" t="n"/>
      <c r="AF353" s="61">
        <f>IF(COUNTIF($B$5:B353,B353)=1,1,0)</f>
        <v/>
      </c>
      <c r="AG353" s="62" t="inlineStr">
        <is>
          <t>https://www.semana.com/nacion/articulo/colombia-intenta-levantarse-tras-el-terremoto-pero-las-nuevas-cifras-estremecen-al-pais-los-numeros-son-preocupantes/202641/</t>
        </is>
      </c>
    </row>
    <row r="354" ht="15" customHeight="1" s="31">
      <c r="A354" s="38" t="inlineStr">
        <is>
          <t>ART_052</t>
        </is>
      </c>
      <c r="B354" s="38" t="inlineStr">
        <is>
          <t>ART_052_S03</t>
        </is>
      </c>
      <c r="C354" s="38" t="inlineStr">
        <is>
          <t>Semana</t>
        </is>
      </c>
      <c r="D354" s="38" t="inlineStr">
        <is>
          <t>Respuesta a la emergencia del terremoto</t>
        </is>
      </c>
      <c r="E354" s="38" t="inlineStr">
        <is>
          <t>Noticia dura</t>
        </is>
      </c>
      <c r="F354" s="38" t="inlineStr">
        <is>
          <t>2026-09-03T10:07:27-05:00</t>
        </is>
      </c>
      <c r="G354" s="62" t="inlineStr">
        <is>
          <t>El terremoto que sacudió a Colombia el pasado 10 de agosto continúa dejando una factura cada vez más difícil de dimensionar.</t>
        </is>
      </c>
      <c r="H354" s="62" t="inlineStr">
        <is>
          <t>La destrucción también alcanzó hospitales, colegios, vías, puentes y acueductos.</t>
        </is>
      </c>
      <c r="I354" s="62" t="inlineStr">
        <is>
          <t>El nuevo balance de la emergencia ya contabiliza 331 personas fallecidas, 4.519 heridas y 136 desaparecidas, mientras el número de afectados asciende a 466.606 personas.</t>
        </is>
      </c>
      <c r="J354" s="38" t="n"/>
      <c r="K354" s="62" t="n"/>
      <c r="L354" s="38" t="n"/>
      <c r="M354" s="62" t="n"/>
      <c r="N354" s="38" t="n"/>
      <c r="O354" s="62" t="n"/>
      <c r="P354" s="38" t="n"/>
      <c r="Q354" s="62" t="n"/>
      <c r="R354" s="38" t="n"/>
      <c r="S354" s="62" t="n"/>
      <c r="T354" s="38" t="n"/>
      <c r="U354" s="62" t="n"/>
      <c r="V354" s="38" t="n"/>
      <c r="W354" s="62" t="n"/>
      <c r="X354" s="38" t="n"/>
      <c r="Y354" s="62" t="n"/>
      <c r="Z354" s="38" t="n"/>
      <c r="AA354" s="62" t="n"/>
      <c r="AB354" s="38" t="n"/>
      <c r="AC354" s="62" t="n"/>
      <c r="AD354" s="38" t="n"/>
      <c r="AE354" s="38" t="n"/>
      <c r="AF354" s="61">
        <f>IF(COUNTIF($B$5:B354,B354)=1,1,0)</f>
        <v/>
      </c>
      <c r="AG354" s="62" t="inlineStr">
        <is>
          <t>https://www.semana.com/nacion/articulo/colombia-intenta-levantarse-tras-el-terremoto-pero-las-nuevas-cifras-estremecen-al-pais-los-numeros-son-preocupantes/202641/</t>
        </is>
      </c>
    </row>
    <row r="355" ht="15" customHeight="1" s="31">
      <c r="A355" s="38" t="inlineStr">
        <is>
          <t>ART_052</t>
        </is>
      </c>
      <c r="B355" s="38" t="inlineStr">
        <is>
          <t>ART_052_S04</t>
        </is>
      </c>
      <c r="C355" s="38" t="inlineStr">
        <is>
          <t>Semana</t>
        </is>
      </c>
      <c r="D355" s="38" t="inlineStr">
        <is>
          <t>Respuesta a la emergencia del terremoto</t>
        </is>
      </c>
      <c r="E355" s="38" t="inlineStr">
        <is>
          <t>Noticia dura</t>
        </is>
      </c>
      <c r="F355" s="38" t="inlineStr">
        <is>
          <t>2026-09-03T10:07:27-05:00</t>
        </is>
      </c>
      <c r="G355" s="62" t="inlineStr">
        <is>
          <t>El nuevo balance de la emergencia ya contabiliza 331 personas fallecidas, 4.519 heridas y 136 desaparecidas, mientras el número de afectados asciende a 466.606 personas.</t>
        </is>
      </c>
      <c r="H355" s="62" t="inlineStr">
        <is>
          <t>El terremoto que sacudió a Colombia el pasado 10 de agosto continúa dejando una factura cada vez más difícil de dimensionar.</t>
        </is>
      </c>
      <c r="I355" s="62" t="inlineStr">
        <is>
          <t>Los datos corresponden a la actualización con corte a las 6:30 de la mañana de este miércoles 2 de septiembre de 2026, relacionada con el sismo de 7,4 Mw registrado en San José del Palmar, Chocó.</t>
        </is>
      </c>
      <c r="J355" s="38" t="n"/>
      <c r="K355" s="62" t="n"/>
      <c r="L355" s="38" t="n"/>
      <c r="M355" s="62" t="n"/>
      <c r="N355" s="38" t="n"/>
      <c r="O355" s="62" t="n"/>
      <c r="P355" s="38" t="n"/>
      <c r="Q355" s="62" t="n"/>
      <c r="R355" s="38" t="n"/>
      <c r="S355" s="62" t="n"/>
      <c r="T355" s="38" t="n"/>
      <c r="U355" s="62" t="n"/>
      <c r="V355" s="38" t="n"/>
      <c r="W355" s="62" t="n"/>
      <c r="X355" s="38" t="n"/>
      <c r="Y355" s="62" t="n"/>
      <c r="Z355" s="38" t="n"/>
      <c r="AA355" s="62" t="n"/>
      <c r="AB355" s="38" t="n"/>
      <c r="AC355" s="62" t="n"/>
      <c r="AD355" s="38" t="n"/>
      <c r="AE355" s="38" t="n"/>
      <c r="AF355" s="61">
        <f>IF(COUNTIF($B$5:B355,B355)=1,1,0)</f>
        <v/>
      </c>
      <c r="AG355" s="62" t="inlineStr">
        <is>
          <t>https://www.semana.com/nacion/articulo/colombia-intenta-levantarse-tras-el-terremoto-pero-las-nuevas-cifras-estremecen-al-pais-los-numeros-son-preocupantes/202641/</t>
        </is>
      </c>
    </row>
    <row r="356" ht="15" customHeight="1" s="31">
      <c r="A356" s="38" t="inlineStr">
        <is>
          <t>ART_052</t>
        </is>
      </c>
      <c r="B356" s="38" t="inlineStr">
        <is>
          <t>ART_052_S05</t>
        </is>
      </c>
      <c r="C356" s="38" t="inlineStr">
        <is>
          <t>Semana</t>
        </is>
      </c>
      <c r="D356" s="38" t="inlineStr">
        <is>
          <t>Respuesta a la emergencia del terremoto</t>
        </is>
      </c>
      <c r="E356" s="38" t="inlineStr">
        <is>
          <t>Noticia dura</t>
        </is>
      </c>
      <c r="F356" s="38" t="inlineStr">
        <is>
          <t>2026-09-03T10:07:27-05:00</t>
        </is>
      </c>
      <c r="G356" s="62" t="inlineStr">
        <is>
          <t>Los datos corresponden a la actualización con corte a las 6:30 de la mañana de este miércoles 2 de septiembre de 2026, relacionada con el sismo de 7,4 Mw registrado en San José del Palmar, Chocó.</t>
        </is>
      </c>
      <c r="H356" s="62" t="inlineStr">
        <is>
          <t>El nuevo balance de la emergencia ya contabiliza 331 personas fallecidas, 4.519 heridas y 136 desaparecidas, mientras el número de afectados asciende a 466.606 personas.</t>
        </is>
      </c>
      <c r="I356" s="62" t="inlineStr">
        <is>
          <t>Detrás de cada cifra aparece una emergencia que se extiende mucho más allá del punto donde ocurrió el movimiento telúrico.</t>
        </is>
      </c>
      <c r="J356" s="38" t="n"/>
      <c r="K356" s="62" t="n"/>
      <c r="L356" s="38" t="n"/>
      <c r="M356" s="62" t="n"/>
      <c r="N356" s="38" t="n"/>
      <c r="O356" s="62" t="n"/>
      <c r="P356" s="38" t="n"/>
      <c r="Q356" s="62" t="n"/>
      <c r="R356" s="38" t="n"/>
      <c r="S356" s="62" t="n"/>
      <c r="T356" s="38" t="n"/>
      <c r="U356" s="62" t="n"/>
      <c r="V356" s="38" t="n"/>
      <c r="W356" s="62" t="n"/>
      <c r="X356" s="38" t="n"/>
      <c r="Y356" s="62" t="n"/>
      <c r="Z356" s="38" t="n"/>
      <c r="AA356" s="62" t="n"/>
      <c r="AB356" s="38" t="n"/>
      <c r="AC356" s="62" t="n"/>
      <c r="AD356" s="38" t="n"/>
      <c r="AE356" s="38" t="n"/>
      <c r="AF356" s="61">
        <f>IF(COUNTIF($B$5:B356,B356)=1,1,0)</f>
        <v/>
      </c>
      <c r="AG356" s="62" t="inlineStr">
        <is>
          <t>https://www.semana.com/nacion/articulo/colombia-intenta-levantarse-tras-el-terremoto-pero-las-nuevas-cifras-estremecen-al-pais-los-numeros-son-preocupantes/202641/</t>
        </is>
      </c>
    </row>
    <row r="357" ht="15" customHeight="1" s="31">
      <c r="A357" s="38" t="inlineStr">
        <is>
          <t>ART_052</t>
        </is>
      </c>
      <c r="B357" s="38" t="inlineStr">
        <is>
          <t>ART_052_S06</t>
        </is>
      </c>
      <c r="C357" s="38" t="inlineStr">
        <is>
          <t>Semana</t>
        </is>
      </c>
      <c r="D357" s="38" t="inlineStr">
        <is>
          <t>Respuesta a la emergencia del terremoto</t>
        </is>
      </c>
      <c r="E357" s="38" t="inlineStr">
        <is>
          <t>Noticia dura</t>
        </is>
      </c>
      <c r="F357" s="38" t="inlineStr">
        <is>
          <t>2026-09-03T10:07:27-05:00</t>
        </is>
      </c>
      <c r="G357" s="62" t="inlineStr">
        <is>
          <t>Detrás de cada cifra aparece una emergencia que se extiende mucho más allá del punto donde ocurrió el movimiento telúrico.</t>
        </is>
      </c>
      <c r="H357" s="62" t="inlineStr">
        <is>
          <t>Los datos corresponden a la actualización con corte a las 6:30 de la mañana de este miércoles 2 de septiembre de 2026, relacionada con el sismo de 7,4 Mw registrado en San José del Palmar, Chocó.</t>
        </is>
      </c>
      <c r="I357" s="62" t="inlineStr">
        <is>
          <t>De acuerdo con el reporte, 16 departamentos y 497 municipios han resultado afectados.</t>
        </is>
      </c>
      <c r="J357" s="38" t="n"/>
      <c r="K357" s="62" t="n"/>
      <c r="L357" s="38" t="n"/>
      <c r="M357" s="62" t="n"/>
      <c r="N357" s="38" t="n"/>
      <c r="O357" s="62" t="n"/>
      <c r="P357" s="38" t="n"/>
      <c r="Q357" s="62" t="n"/>
      <c r="R357" s="38" t="n"/>
      <c r="S357" s="62" t="n"/>
      <c r="T357" s="38" t="n"/>
      <c r="U357" s="62" t="n"/>
      <c r="V357" s="38" t="n"/>
      <c r="W357" s="62" t="n"/>
      <c r="X357" s="38" t="n"/>
      <c r="Y357" s="62" t="n"/>
      <c r="Z357" s="38" t="n"/>
      <c r="AA357" s="62" t="n"/>
      <c r="AB357" s="38" t="n"/>
      <c r="AC357" s="62" t="n"/>
      <c r="AD357" s="38" t="n"/>
      <c r="AE357" s="38" t="n"/>
      <c r="AF357" s="61">
        <f>IF(COUNTIF($B$5:B357,B357)=1,1,0)</f>
        <v/>
      </c>
      <c r="AG357" s="62" t="inlineStr">
        <is>
          <t>https://www.semana.com/nacion/articulo/colombia-intenta-levantarse-tras-el-terremoto-pero-las-nuevas-cifras-estremecen-al-pais-los-numeros-son-preocupantes/202641/</t>
        </is>
      </c>
    </row>
    <row r="358" ht="15" customHeight="1" s="31">
      <c r="A358" s="38" t="inlineStr">
        <is>
          <t>ART_052</t>
        </is>
      </c>
      <c r="B358" s="38" t="inlineStr">
        <is>
          <t>ART_052_S07</t>
        </is>
      </c>
      <c r="C358" s="38" t="inlineStr">
        <is>
          <t>Semana</t>
        </is>
      </c>
      <c r="D358" s="38" t="inlineStr">
        <is>
          <t>Respuesta a la emergencia del terremoto</t>
        </is>
      </c>
      <c r="E358" s="38" t="inlineStr">
        <is>
          <t>Noticia dura</t>
        </is>
      </c>
      <c r="F358" s="38" t="inlineStr">
        <is>
          <t>2026-09-03T10:07:27-05:00</t>
        </is>
      </c>
      <c r="G358" s="62" t="inlineStr">
        <is>
          <t>De acuerdo con el reporte, 16 departamentos y 497 municipios han resultado afectados.</t>
        </is>
      </c>
      <c r="H358" s="62" t="inlineStr">
        <is>
          <t>Detrás de cada cifra aparece una emergencia que se extiende mucho más allá del punto donde ocurrió el movimiento telúrico.</t>
        </is>
      </c>
      <c r="I358" s="62" t="inlineStr">
        <is>
          <t>En total, hay 293.743 familias incluidas dentro del balance oficial.</t>
        </is>
      </c>
      <c r="J358" s="38" t="n"/>
      <c r="K358" s="62" t="n"/>
      <c r="L358" s="38" t="n"/>
      <c r="M358" s="62" t="n"/>
      <c r="N358" s="38" t="n"/>
      <c r="O358" s="62" t="n"/>
      <c r="P358" s="38" t="n"/>
      <c r="Q358" s="62" t="n"/>
      <c r="R358" s="38" t="n"/>
      <c r="S358" s="62" t="n"/>
      <c r="T358" s="38" t="n"/>
      <c r="U358" s="62" t="n"/>
      <c r="V358" s="38" t="n"/>
      <c r="W358" s="62" t="n"/>
      <c r="X358" s="38" t="n"/>
      <c r="Y358" s="62" t="n"/>
      <c r="Z358" s="38" t="n"/>
      <c r="AA358" s="62" t="n"/>
      <c r="AB358" s="38" t="n"/>
      <c r="AC358" s="62" t="n"/>
      <c r="AD358" s="38" t="n"/>
      <c r="AE358" s="38" t="n"/>
      <c r="AF358" s="61">
        <f>IF(COUNTIF($B$5:B358,B358)=1,1,0)</f>
        <v/>
      </c>
      <c r="AG358" s="62" t="inlineStr">
        <is>
          <t>https://www.semana.com/nacion/articulo/colombia-intenta-levantarse-tras-el-terremoto-pero-las-nuevas-cifras-estremecen-al-pais-los-numeros-son-preocupantes/202641/</t>
        </is>
      </c>
    </row>
    <row r="359" ht="15" customHeight="1" s="31">
      <c r="A359" s="38" t="inlineStr">
        <is>
          <t>ART_052</t>
        </is>
      </c>
      <c r="B359" s="38" t="inlineStr">
        <is>
          <t>ART_052_S08</t>
        </is>
      </c>
      <c r="C359" s="38" t="inlineStr">
        <is>
          <t>Semana</t>
        </is>
      </c>
      <c r="D359" s="38" t="inlineStr">
        <is>
          <t>Respuesta a la emergencia del terremoto</t>
        </is>
      </c>
      <c r="E359" s="38" t="inlineStr">
        <is>
          <t>Noticia dura</t>
        </is>
      </c>
      <c r="F359" s="38" t="inlineStr">
        <is>
          <t>2026-09-03T10:07:27-05:00</t>
        </is>
      </c>
      <c r="G359" s="62" t="inlineStr">
        <is>
          <t>En total, hay 293.743 familias incluidas dentro del balance oficial.</t>
        </is>
      </c>
      <c r="H359" s="62" t="inlineStr">
        <is>
          <t>De acuerdo con el reporte, 16 departamentos y 497 municipios han resultado afectados.</t>
        </is>
      </c>
      <c r="I359" s="62" t="inlineStr">
        <is>
          <t>La vivienda concentra una de las cifras que mejor permite dimensionar el impacto de la tragedia.</t>
        </is>
      </c>
      <c r="J359" s="38" t="n"/>
      <c r="K359" s="62" t="n"/>
      <c r="L359" s="38" t="n"/>
      <c r="M359" s="62" t="n"/>
      <c r="N359" s="38" t="n"/>
      <c r="O359" s="62" t="n"/>
      <c r="P359" s="38" t="n"/>
      <c r="Q359" s="62" t="n"/>
      <c r="R359" s="38" t="n"/>
      <c r="S359" s="62" t="n"/>
      <c r="T359" s="38" t="n"/>
      <c r="U359" s="62" t="n"/>
      <c r="V359" s="38" t="n"/>
      <c r="W359" s="62" t="n"/>
      <c r="X359" s="38" t="n"/>
      <c r="Y359" s="62" t="n"/>
      <c r="Z359" s="38" t="n"/>
      <c r="AA359" s="62" t="n"/>
      <c r="AB359" s="38" t="n"/>
      <c r="AC359" s="62" t="n"/>
      <c r="AD359" s="38" t="n"/>
      <c r="AE359" s="38" t="n"/>
      <c r="AF359" s="61">
        <f>IF(COUNTIF($B$5:B359,B359)=1,1,0)</f>
        <v/>
      </c>
      <c r="AG359" s="62" t="inlineStr">
        <is>
          <t>https://www.semana.com/nacion/articulo/colombia-intenta-levantarse-tras-el-terremoto-pero-las-nuevas-cifras-estremecen-al-pais-los-numeros-son-preocupantes/202641/</t>
        </is>
      </c>
    </row>
    <row r="360" ht="15" customHeight="1" s="31">
      <c r="A360" s="38" t="inlineStr">
        <is>
          <t>ART_052</t>
        </is>
      </c>
      <c r="B360" s="38" t="inlineStr">
        <is>
          <t>ART_052_S09</t>
        </is>
      </c>
      <c r="C360" s="38" t="inlineStr">
        <is>
          <t>Semana</t>
        </is>
      </c>
      <c r="D360" s="38" t="inlineStr">
        <is>
          <t>Respuesta a la emergencia del terremoto</t>
        </is>
      </c>
      <c r="E360" s="38" t="inlineStr">
        <is>
          <t>Noticia dura</t>
        </is>
      </c>
      <c r="F360" s="38" t="inlineStr">
        <is>
          <t>2026-09-03T10:07:27-05:00</t>
        </is>
      </c>
      <c r="G360" s="62" t="inlineStr">
        <is>
          <t>La vivienda concentra una de las cifras que mejor permite dimensionar el impacto de la tragedia.</t>
        </is>
      </c>
      <c r="H360" s="62" t="inlineStr">
        <is>
          <t>En total, hay 293.743 familias incluidas dentro del balance oficial.</t>
        </is>
      </c>
      <c r="I360" s="62" t="inlineStr">
        <is>
          <t>Hasta ahora se contabilizan 201.005 viviendas averiadas y otras 36.336 completamente destruidas.</t>
        </is>
      </c>
      <c r="J360" s="38" t="n"/>
      <c r="K360" s="62" t="n"/>
      <c r="L360" s="38" t="n"/>
      <c r="M360" s="62" t="n"/>
      <c r="N360" s="38" t="n"/>
      <c r="O360" s="62" t="n"/>
      <c r="P360" s="38" t="n"/>
      <c r="Q360" s="62" t="n"/>
      <c r="R360" s="38" t="n"/>
      <c r="S360" s="62" t="n"/>
      <c r="T360" s="38" t="n"/>
      <c r="U360" s="62" t="n"/>
      <c r="V360" s="38" t="n"/>
      <c r="W360" s="62" t="n"/>
      <c r="X360" s="38" t="n"/>
      <c r="Y360" s="62" t="n"/>
      <c r="Z360" s="38" t="n"/>
      <c r="AA360" s="62" t="n"/>
      <c r="AB360" s="38" t="n"/>
      <c r="AC360" s="62" t="n"/>
      <c r="AD360" s="38" t="n"/>
      <c r="AE360" s="38" t="n"/>
      <c r="AF360" s="61">
        <f>IF(COUNTIF($B$5:B360,B360)=1,1,0)</f>
        <v/>
      </c>
      <c r="AG360" s="62" t="inlineStr">
        <is>
          <t>https://www.semana.com/nacion/articulo/colombia-intenta-levantarse-tras-el-terremoto-pero-las-nuevas-cifras-estremecen-al-pais-los-numeros-son-preocupantes/202641/</t>
        </is>
      </c>
    </row>
    <row r="361" ht="15" customHeight="1" s="31">
      <c r="A361" s="38" t="inlineStr">
        <is>
          <t>ART_052</t>
        </is>
      </c>
      <c r="B361" s="38" t="inlineStr">
        <is>
          <t>ART_052_S10</t>
        </is>
      </c>
      <c r="C361" s="38" t="inlineStr">
        <is>
          <t>Semana</t>
        </is>
      </c>
      <c r="D361" s="38" t="inlineStr">
        <is>
          <t>Respuesta a la emergencia del terremoto</t>
        </is>
      </c>
      <c r="E361" s="38" t="inlineStr">
        <is>
          <t>Noticia dura</t>
        </is>
      </c>
      <c r="F361" s="38" t="inlineStr">
        <is>
          <t>2026-09-03T10:07:27-05:00</t>
        </is>
      </c>
      <c r="G361" s="62" t="inlineStr">
        <is>
          <t>Hasta ahora se contabilizan 201.005 viviendas averiadas y otras 36.336 completamente destruidas.</t>
        </is>
      </c>
      <c r="H361" s="62" t="inlineStr">
        <is>
          <t>La vivienda concentra una de las cifras que mejor permite dimensionar el impacto de la tragedia.</t>
        </is>
      </c>
      <c r="I361" s="62" t="n"/>
      <c r="J361" s="38" t="n"/>
      <c r="K361" s="62" t="n"/>
      <c r="L361" s="38" t="n"/>
      <c r="M361" s="62" t="n"/>
      <c r="N361" s="38" t="n"/>
      <c r="O361" s="62" t="n"/>
      <c r="P361" s="38" t="n"/>
      <c r="Q361" s="62" t="n"/>
      <c r="R361" s="38" t="n"/>
      <c r="S361" s="62" t="n"/>
      <c r="T361" s="38" t="n"/>
      <c r="U361" s="62" t="n"/>
      <c r="V361" s="38" t="n"/>
      <c r="W361" s="62" t="n"/>
      <c r="X361" s="38" t="n"/>
      <c r="Y361" s="62" t="n"/>
      <c r="Z361" s="38" t="n"/>
      <c r="AA361" s="62" t="n"/>
      <c r="AB361" s="38" t="n"/>
      <c r="AC361" s="62" t="n"/>
      <c r="AD361" s="38" t="n"/>
      <c r="AE361" s="38" t="n"/>
      <c r="AF361" s="61">
        <f>IF(COUNTIF($B$5:B361,B361)=1,1,0)</f>
        <v/>
      </c>
      <c r="AG361" s="62" t="inlineStr">
        <is>
          <t>https://www.semana.com/nacion/articulo/colombia-intenta-levantarse-tras-el-terremoto-pero-las-nuevas-cifras-estremecen-al-pais-los-numeros-son-preocupantes/202641/</t>
        </is>
      </c>
    </row>
    <row r="362" ht="15" customHeight="1" s="31">
      <c r="A362" s="38" t="inlineStr">
        <is>
          <t>ART_053</t>
        </is>
      </c>
      <c r="B362" s="38" t="inlineStr">
        <is>
          <t>ART_053_S01</t>
        </is>
      </c>
      <c r="C362" s="38" t="inlineStr">
        <is>
          <t>Infobae Colombia</t>
        </is>
      </c>
      <c r="D362" s="38" t="inlineStr">
        <is>
          <t>Relación con Estados Unidos</t>
        </is>
      </c>
      <c r="E362" s="38" t="inlineStr">
        <is>
          <t>Noticia dura</t>
        </is>
      </c>
      <c r="F362" s="38" t="inlineStr">
        <is>
          <t>2026-07-23T23:10:16Z</t>
        </is>
      </c>
      <c r="G362" s="62" t="inlineStr">
        <is>
          <t>La administración del presidente Donald Trump confirmó el jueves 23 de julio de 2026 un nuevo paquete de aranceles para las importaciones provenientes de decenas de países, entre ellos Colombia, decisión que fija un gravamen del 12,5% para los productos colombianos que ingresen al mercado estadounidense.</t>
        </is>
      </c>
      <c r="H362" s="62" t="n"/>
      <c r="I362" s="62" t="n"/>
      <c r="J362" s="38" t="n"/>
      <c r="K362" s="62" t="n"/>
      <c r="L362" s="38" t="n"/>
      <c r="M362" s="62" t="n"/>
      <c r="N362" s="38" t="n"/>
      <c r="O362" s="62" t="n"/>
      <c r="P362" s="38" t="n"/>
      <c r="Q362" s="62" t="n"/>
      <c r="R362" s="38" t="n"/>
      <c r="S362" s="62" t="n"/>
      <c r="T362" s="38" t="n"/>
      <c r="U362" s="62" t="n"/>
      <c r="V362" s="38" t="n"/>
      <c r="W362" s="62" t="n"/>
      <c r="X362" s="38" t="n"/>
      <c r="Y362" s="62" t="n"/>
      <c r="Z362" s="38" t="n"/>
      <c r="AA362" s="62" t="n"/>
      <c r="AB362" s="38" t="n"/>
      <c r="AC362" s="62" t="n"/>
      <c r="AD362" s="38" t="n"/>
      <c r="AE362" s="38" t="n"/>
      <c r="AF362" s="61">
        <f>IF(COUNTIF($B$5:B362,B362)=1,1,0)</f>
        <v/>
      </c>
      <c r="AG362" s="62" t="inlineStr">
        <is>
          <t>https://www.infobae.com/colombia/2026/07/23/estados-unidos-endurecio-los-aranceles-para-colombia-exportaciones-pagaran-un-gravamen-del-125/</t>
        </is>
      </c>
    </row>
    <row r="363" ht="15" customHeight="1" s="31">
      <c r="A363" s="38" t="inlineStr">
        <is>
          <t>ART_054</t>
        </is>
      </c>
      <c r="B363" s="38" t="inlineStr">
        <is>
          <t>ART_054_S01</t>
        </is>
      </c>
      <c r="C363" s="38" t="inlineStr">
        <is>
          <t>El Tiempo</t>
        </is>
      </c>
      <c r="D363" s="38" t="inlineStr">
        <is>
          <t>Reformas sociales en disputa (pensional/tributaria)</t>
        </is>
      </c>
      <c r="E363" s="38" t="inlineStr">
        <is>
          <t>Opinión-análisis</t>
        </is>
      </c>
      <c r="F363" s="38" t="inlineStr">
        <is>
          <t>2023-06-17T21:42:33-05:00</t>
        </is>
      </c>
      <c r="G363" s="62" t="inlineStr">
        <is>
          <t>Celebro la aprobación de la reforma pensional en primer debate en el Senado de la República.</t>
        </is>
      </c>
      <c r="H363" s="62" t="n"/>
      <c r="I363" s="62" t="inlineStr">
        <is>
          <t>Entre las tres reformas sociales, es la más viable de ser aprobada por el Congreso.</t>
        </is>
      </c>
      <c r="J363" s="38" t="n"/>
      <c r="K363" s="62" t="n"/>
      <c r="L363" s="38" t="n"/>
      <c r="M363" s="62" t="n"/>
      <c r="N363" s="38" t="n"/>
      <c r="O363" s="62" t="n"/>
      <c r="P363" s="38" t="n"/>
      <c r="Q363" s="62" t="n"/>
      <c r="R363" s="38" t="n"/>
      <c r="S363" s="62" t="n"/>
      <c r="T363" s="38" t="n"/>
      <c r="U363" s="62" t="n"/>
      <c r="V363" s="38" t="n"/>
      <c r="W363" s="62" t="n"/>
      <c r="X363" s="38" t="n"/>
      <c r="Y363" s="62" t="n"/>
      <c r="Z363" s="38" t="n"/>
      <c r="AA363" s="62" t="n"/>
      <c r="AB363" s="38" t="n"/>
      <c r="AC363" s="62" t="n"/>
      <c r="AD363" s="38" t="n"/>
      <c r="AE363" s="38" t="n"/>
      <c r="AF363" s="61">
        <f>IF(COUNTIF($B$5:B363,B363)=1,1,0)</f>
        <v/>
      </c>
      <c r="AG363" s="62" t="inlineStr">
        <is>
          <t>https://www.eltiempo.com/opinion/columnistas/jose-antonio-ocampo/columna-de-jose-antonio-ocampo-la-reforma-pensional-778686</t>
        </is>
      </c>
    </row>
    <row r="364" ht="15" customHeight="1" s="31">
      <c r="A364" s="38" t="inlineStr">
        <is>
          <t>ART_054</t>
        </is>
      </c>
      <c r="B364" s="38" t="inlineStr">
        <is>
          <t>ART_054_S02</t>
        </is>
      </c>
      <c r="C364" s="38" t="inlineStr">
        <is>
          <t>El Tiempo</t>
        </is>
      </c>
      <c r="D364" s="38" t="inlineStr">
        <is>
          <t>Reformas sociales en disputa (pensional/tributaria)</t>
        </is>
      </c>
      <c r="E364" s="38" t="inlineStr">
        <is>
          <t>Opinión-análisis</t>
        </is>
      </c>
      <c r="F364" s="38" t="inlineStr">
        <is>
          <t>2023-06-17T21:42:33-05:00</t>
        </is>
      </c>
      <c r="G364" s="62" t="inlineStr">
        <is>
          <t>Entre las tres reformas sociales, es la más viable de ser aprobada por el Congreso.</t>
        </is>
      </c>
      <c r="H364" s="62" t="inlineStr">
        <is>
          <t>Celebro la aprobación de la reforma pensional en primer debate en el Senado de la República.</t>
        </is>
      </c>
      <c r="I364" s="62" t="inlineStr">
        <is>
          <t>Además, el proyecto original resultó de un excelente trabajo conjunto entre el Ministerio del Trabajo y el Ministerio de Hacienda.</t>
        </is>
      </c>
      <c r="J364" s="38" t="n"/>
      <c r="K364" s="62" t="n"/>
      <c r="L364" s="38" t="n"/>
      <c r="M364" s="62" t="n"/>
      <c r="N364" s="38" t="n"/>
      <c r="O364" s="62" t="n"/>
      <c r="P364" s="38" t="n"/>
      <c r="Q364" s="62" t="n"/>
      <c r="R364" s="38" t="n"/>
      <c r="S364" s="62" t="n"/>
      <c r="T364" s="38" t="n"/>
      <c r="U364" s="62" t="n"/>
      <c r="V364" s="38" t="n"/>
      <c r="W364" s="62" t="n"/>
      <c r="X364" s="38" t="n"/>
      <c r="Y364" s="62" t="n"/>
      <c r="Z364" s="38" t="n"/>
      <c r="AA364" s="62" t="n"/>
      <c r="AB364" s="38" t="n"/>
      <c r="AC364" s="62" t="n"/>
      <c r="AD364" s="38" t="n"/>
      <c r="AE364" s="38" t="n"/>
      <c r="AF364" s="61">
        <f>IF(COUNTIF($B$5:B364,B364)=1,1,0)</f>
        <v/>
      </c>
      <c r="AG364" s="62" t="inlineStr">
        <is>
          <t>https://www.eltiempo.com/opinion/columnistas/jose-antonio-ocampo/columna-de-jose-antonio-ocampo-la-reforma-pensional-778686</t>
        </is>
      </c>
    </row>
    <row r="365" ht="15" customHeight="1" s="31">
      <c r="A365" s="38" t="inlineStr">
        <is>
          <t>ART_054</t>
        </is>
      </c>
      <c r="B365" s="38" t="inlineStr">
        <is>
          <t>ART_054_S03</t>
        </is>
      </c>
      <c r="C365" s="38" t="inlineStr">
        <is>
          <t>El Tiempo</t>
        </is>
      </c>
      <c r="D365" s="38" t="inlineStr">
        <is>
          <t>Reformas sociales en disputa (pensional/tributaria)</t>
        </is>
      </c>
      <c r="E365" s="38" t="inlineStr">
        <is>
          <t>Opinión-análisis</t>
        </is>
      </c>
      <c r="F365" s="38" t="inlineStr">
        <is>
          <t>2023-06-17T21:42:33-05:00</t>
        </is>
      </c>
      <c r="G365" s="62" t="inlineStr">
        <is>
          <t>Además, el proyecto original resultó de un excelente trabajo conjunto entre el Ministerio del Trabajo y el Ministerio de Hacienda.</t>
        </is>
      </c>
      <c r="H365" s="62" t="inlineStr">
        <is>
          <t>Entre las tres reformas sociales, es la más viable de ser aprobada por el Congreso.</t>
        </is>
      </c>
      <c r="I365" s="62" t="inlineStr">
        <is>
          <t>La propuesta tiene tres virtudes fundamentales.</t>
        </is>
      </c>
      <c r="J365" s="38" t="n"/>
      <c r="K365" s="62" t="n"/>
      <c r="L365" s="38" t="n"/>
      <c r="M365" s="62" t="n"/>
      <c r="N365" s="38" t="n"/>
      <c r="O365" s="62" t="n"/>
      <c r="P365" s="38" t="n"/>
      <c r="Q365" s="62" t="n"/>
      <c r="R365" s="38" t="n"/>
      <c r="S365" s="62" t="n"/>
      <c r="T365" s="38" t="n"/>
      <c r="U365" s="62" t="n"/>
      <c r="V365" s="38" t="n"/>
      <c r="W365" s="62" t="n"/>
      <c r="X365" s="38" t="n"/>
      <c r="Y365" s="62" t="n"/>
      <c r="Z365" s="38" t="n"/>
      <c r="AA365" s="62" t="n"/>
      <c r="AB365" s="38" t="n"/>
      <c r="AC365" s="62" t="n"/>
      <c r="AD365" s="38" t="n"/>
      <c r="AE365" s="38" t="n"/>
      <c r="AF365" s="61">
        <f>IF(COUNTIF($B$5:B365,B365)=1,1,0)</f>
        <v/>
      </c>
      <c r="AG365" s="62" t="inlineStr">
        <is>
          <t>https://www.eltiempo.com/opinion/columnistas/jose-antonio-ocampo/columna-de-jose-antonio-ocampo-la-reforma-pensional-778686</t>
        </is>
      </c>
    </row>
    <row r="366" ht="15" customHeight="1" s="31">
      <c r="A366" s="38" t="inlineStr">
        <is>
          <t>ART_054</t>
        </is>
      </c>
      <c r="B366" s="38" t="inlineStr">
        <is>
          <t>ART_054_S04</t>
        </is>
      </c>
      <c r="C366" s="38" t="inlineStr">
        <is>
          <t>El Tiempo</t>
        </is>
      </c>
      <c r="D366" s="38" t="inlineStr">
        <is>
          <t>Reformas sociales en disputa (pensional/tributaria)</t>
        </is>
      </c>
      <c r="E366" s="38" t="inlineStr">
        <is>
          <t>Opinión-análisis</t>
        </is>
      </c>
      <c r="F366" s="38" t="inlineStr">
        <is>
          <t>2023-06-17T21:42:33-05:00</t>
        </is>
      </c>
      <c r="G366" s="62" t="inlineStr">
        <is>
          <t>La propuesta tiene tres virtudes fundamentales.</t>
        </is>
      </c>
      <c r="H366" s="62" t="inlineStr">
        <is>
          <t>Además, el proyecto original resultó de un excelente trabajo conjunto entre el Ministerio del Trabajo y el Ministerio de Hacienda.</t>
        </is>
      </c>
      <c r="I366" s="62" t="inlineStr">
        <is>
          <t>Primero, apoya a las personas mayores sin pensión a través de un mecanismo solidario que supera con creces el programa Adulto Mayor.</t>
        </is>
      </c>
      <c r="J366" s="38" t="n"/>
      <c r="K366" s="62" t="n"/>
      <c r="L366" s="38" t="n"/>
      <c r="M366" s="62" t="n"/>
      <c r="N366" s="38" t="n"/>
      <c r="O366" s="62" t="n"/>
      <c r="P366" s="38" t="n"/>
      <c r="Q366" s="62" t="n"/>
      <c r="R366" s="38" t="n"/>
      <c r="S366" s="62" t="n"/>
      <c r="T366" s="38" t="n"/>
      <c r="U366" s="62" t="n"/>
      <c r="V366" s="38" t="n"/>
      <c r="W366" s="62" t="n"/>
      <c r="X366" s="38" t="n"/>
      <c r="Y366" s="62" t="n"/>
      <c r="Z366" s="38" t="n"/>
      <c r="AA366" s="62" t="n"/>
      <c r="AB366" s="38" t="n"/>
      <c r="AC366" s="62" t="n"/>
      <c r="AD366" s="38" t="n"/>
      <c r="AE366" s="38" t="n"/>
      <c r="AF366" s="61">
        <f>IF(COUNTIF($B$5:B366,B366)=1,1,0)</f>
        <v/>
      </c>
      <c r="AG366" s="62" t="inlineStr">
        <is>
          <t>https://www.eltiempo.com/opinion/columnistas/jose-antonio-ocampo/columna-de-jose-antonio-ocampo-la-reforma-pensional-778686</t>
        </is>
      </c>
    </row>
    <row r="367" ht="15" customHeight="1" s="31">
      <c r="A367" s="38" t="inlineStr">
        <is>
          <t>ART_054</t>
        </is>
      </c>
      <c r="B367" s="38" t="inlineStr">
        <is>
          <t>ART_054_S05</t>
        </is>
      </c>
      <c r="C367" s="38" t="inlineStr">
        <is>
          <t>El Tiempo</t>
        </is>
      </c>
      <c r="D367" s="38" t="inlineStr">
        <is>
          <t>Reformas sociales en disputa (pensional/tributaria)</t>
        </is>
      </c>
      <c r="E367" s="38" t="inlineStr">
        <is>
          <t>Opinión-análisis</t>
        </is>
      </c>
      <c r="F367" s="38" t="inlineStr">
        <is>
          <t>2023-06-17T21:42:33-05:00</t>
        </is>
      </c>
      <c r="G367" s="62" t="inlineStr">
        <is>
          <t>Primero, apoya a las personas mayores sin pensión a través de un mecanismo solidario que supera con creces el programa Adulto Mayor.</t>
        </is>
      </c>
      <c r="H367" s="62" t="inlineStr">
        <is>
          <t>La propuesta tiene tres virtudes fundamentales.</t>
        </is>
      </c>
      <c r="I367" s="62" t="inlineStr">
        <is>
          <t>Segundo, elimina un error básico de la Ley 100 de 1993: el haber dejado a Colpensiones en competencia con los fondos privados de pensiones en vez de como complementos, como en otros países del mundo.</t>
        </is>
      </c>
      <c r="J367" s="38" t="n"/>
      <c r="K367" s="62" t="n"/>
      <c r="L367" s="38" t="n"/>
      <c r="M367" s="62" t="n"/>
      <c r="N367" s="38" t="n"/>
      <c r="O367" s="62" t="n"/>
      <c r="P367" s="38" t="n"/>
      <c r="Q367" s="62" t="n"/>
      <c r="R367" s="38" t="n"/>
      <c r="S367" s="62" t="n"/>
      <c r="T367" s="38" t="n"/>
      <c r="U367" s="62" t="n"/>
      <c r="V367" s="38" t="n"/>
      <c r="W367" s="62" t="n"/>
      <c r="X367" s="38" t="n"/>
      <c r="Y367" s="62" t="n"/>
      <c r="Z367" s="38" t="n"/>
      <c r="AA367" s="62" t="n"/>
      <c r="AB367" s="38" t="n"/>
      <c r="AC367" s="62" t="n"/>
      <c r="AD367" s="38" t="n"/>
      <c r="AE367" s="38" t="n"/>
      <c r="AF367" s="61">
        <f>IF(COUNTIF($B$5:B367,B367)=1,1,0)</f>
        <v/>
      </c>
      <c r="AG367" s="62" t="inlineStr">
        <is>
          <t>https://www.eltiempo.com/opinion/columnistas/jose-antonio-ocampo/columna-de-jose-antonio-ocampo-la-reforma-pensional-778686</t>
        </is>
      </c>
    </row>
    <row r="368" ht="15" customHeight="1" s="31">
      <c r="A368" s="38" t="inlineStr">
        <is>
          <t>ART_054</t>
        </is>
      </c>
      <c r="B368" s="38" t="inlineStr">
        <is>
          <t>ART_054_S06</t>
        </is>
      </c>
      <c r="C368" s="38" t="inlineStr">
        <is>
          <t>El Tiempo</t>
        </is>
      </c>
      <c r="D368" s="38" t="inlineStr">
        <is>
          <t>Reformas sociales en disputa (pensional/tributaria)</t>
        </is>
      </c>
      <c r="E368" s="38" t="inlineStr">
        <is>
          <t>Opinión-análisis</t>
        </is>
      </c>
      <c r="F368" s="38" t="inlineStr">
        <is>
          <t>2023-06-17T21:42:33-05:00</t>
        </is>
      </c>
      <c r="G368" s="62" t="inlineStr">
        <is>
          <t>Segundo, elimina un error básico de la Ley 100 de 1993: el haber dejado a Colpensiones en competencia con los fondos privados de pensiones en vez de como complementos, como en otros países del mundo.</t>
        </is>
      </c>
      <c r="H368" s="62" t="inlineStr">
        <is>
          <t>Primero, apoya a las personas mayores sin pensión a través de un mecanismo solidario que supera con creces el programa Adulto Mayor.</t>
        </is>
      </c>
      <c r="I368" s="62" t="n"/>
      <c r="J368" s="38" t="n"/>
      <c r="K368" s="62" t="n"/>
      <c r="L368" s="38" t="n"/>
      <c r="M368" s="62" t="n"/>
      <c r="N368" s="38" t="n"/>
      <c r="O368" s="62" t="n"/>
      <c r="P368" s="38" t="n"/>
      <c r="Q368" s="62" t="n"/>
      <c r="R368" s="38" t="n"/>
      <c r="S368" s="62" t="n"/>
      <c r="T368" s="38" t="n"/>
      <c r="U368" s="62" t="n"/>
      <c r="V368" s="38" t="n"/>
      <c r="W368" s="62" t="n"/>
      <c r="X368" s="38" t="n"/>
      <c r="Y368" s="62" t="n"/>
      <c r="Z368" s="38" t="n"/>
      <c r="AA368" s="62" t="n"/>
      <c r="AB368" s="38" t="n"/>
      <c r="AC368" s="62" t="n"/>
      <c r="AD368" s="38" t="n"/>
      <c r="AE368" s="38" t="n"/>
      <c r="AF368" s="61">
        <f>IF(COUNTIF($B$5:B368,B368)=1,1,0)</f>
        <v/>
      </c>
      <c r="AG368" s="62" t="inlineStr">
        <is>
          <t>https://www.eltiempo.com/opinion/columnistas/jose-antonio-ocampo/columna-de-jose-antonio-ocampo-la-reforma-pensional-778686</t>
        </is>
      </c>
    </row>
    <row r="369" ht="15" customHeight="1" s="31">
      <c r="A369" s="38" t="inlineStr">
        <is>
          <t>ART_055</t>
        </is>
      </c>
      <c r="B369" s="38" t="inlineStr">
        <is>
          <t>ART_055_S01</t>
        </is>
      </c>
      <c r="C369" s="38" t="inlineStr">
        <is>
          <t>El Tiempo</t>
        </is>
      </c>
      <c r="D369" s="38" t="inlineStr">
        <is>
          <t>Seguridad y orden público</t>
        </is>
      </c>
      <c r="E369" s="38" t="inlineStr">
        <is>
          <t>Opinión-análisis</t>
        </is>
      </c>
      <c r="F369" s="38" t="inlineStr">
        <is>
          <t>2026-05-02T23:45:00-05:00</t>
        </is>
      </c>
      <c r="G369" s="62" t="inlineStr">
        <is>
          <t>Las 37 acciones terroristas del pasado fin de semana ejecutadas por las disidencias de alias Mordisco, el accionar criminal de alias Calarcá, la consolidación del Eln en varias regiones y en especial en el Catatumbo, la expansión nacional del ‘clan del Golfo’, el crecimiento de ‘los Pachenca’ en Magdalena, Cesar y La Guajira, al igual que ‘los Costeños’ y ‘los Pepes’ en Barranquilla y Atlántico y ‘los Chotas’ y ‘los Espartanos’ en Buenaventura y el Valle y el accionar de otros grupos criminales organizados en ciudades y municipios no solo ponen en evidencia el fracaso de la Paz Total, sino la dramática situación de orden público y de seguridad ciudadana que va a tener que asumir el nuevo gobierno.</t>
        </is>
      </c>
      <c r="H369" s="62" t="n"/>
      <c r="I369" s="62" t="inlineStr">
        <is>
          <t>La situación actual es más difícil que la que tuvo que enfrentar el presidente Álvaro Uribe en 2002, cuando recibió un país secuestrado por las ‘pescas milagrosas’, con acciones crecientes de paramilitares y guerrillas y con una violencia homicida que había vuelto a crecer de 23.093 en 1997 a 27.829 en 2002.</t>
        </is>
      </c>
      <c r="J369" s="38" t="n"/>
      <c r="K369" s="62" t="n"/>
      <c r="L369" s="38" t="n"/>
      <c r="M369" s="62" t="n"/>
      <c r="N369" s="38" t="n"/>
      <c r="O369" s="62" t="n"/>
      <c r="P369" s="38" t="n"/>
      <c r="Q369" s="62" t="n"/>
      <c r="R369" s="38" t="n"/>
      <c r="S369" s="62" t="n"/>
      <c r="T369" s="38" t="n"/>
      <c r="U369" s="62" t="n"/>
      <c r="V369" s="38" t="n"/>
      <c r="W369" s="62" t="n"/>
      <c r="X369" s="38" t="n"/>
      <c r="Y369" s="62" t="n"/>
      <c r="Z369" s="38" t="n"/>
      <c r="AA369" s="62" t="n"/>
      <c r="AB369" s="38" t="n"/>
      <c r="AC369" s="62" t="n"/>
      <c r="AD369" s="38" t="n"/>
      <c r="AE369" s="38" t="n"/>
      <c r="AF369" s="61">
        <f>IF(COUNTIF($B$5:B369,B369)=1,1,0)</f>
        <v/>
      </c>
      <c r="AG369" s="62" t="inlineStr">
        <is>
          <t>https://www.eltiempo.com/opinion/columnistas/inseguridad-y-gobernanza-criminal-3552659</t>
        </is>
      </c>
    </row>
    <row r="370" ht="15" customHeight="1" s="31">
      <c r="A370" s="38" t="inlineStr">
        <is>
          <t>ART_055</t>
        </is>
      </c>
      <c r="B370" s="38" t="inlineStr">
        <is>
          <t>ART_055_S02</t>
        </is>
      </c>
      <c r="C370" s="38" t="inlineStr">
        <is>
          <t>El Tiempo</t>
        </is>
      </c>
      <c r="D370" s="38" t="inlineStr">
        <is>
          <t>Seguridad y orden público</t>
        </is>
      </c>
      <c r="E370" s="38" t="inlineStr">
        <is>
          <t>Opinión-análisis</t>
        </is>
      </c>
      <c r="F370" s="38" t="inlineStr">
        <is>
          <t>2026-05-02T23:45:00-05:00</t>
        </is>
      </c>
      <c r="G370" s="62" t="inlineStr">
        <is>
          <t>La situación actual es más difícil que la que tuvo que enfrentar el presidente Álvaro Uribe en 2002, cuando recibió un país secuestrado por las ‘pescas milagrosas’, con acciones crecientes de paramilitares y guerrillas y con una violencia homicida que había vuelto a crecer de 23.093 en 1997 a 27.829 en 2002.</t>
        </is>
      </c>
      <c r="H370" s="62" t="inlineStr">
        <is>
          <t>Las 37 acciones terroristas del pasado fin de semana ejecutadas por las disidencias de alias Mordisco, el accionar criminal de alias Calarcá, la consolidación del Eln en varias regiones y en especial en el Catatumbo, la expansión nacional del ‘clan del Golfo’, el crecimiento de ‘los Pachenca’ en Magdalena, Cesar y La Guajira, al igual que ‘los Costeños’ y ‘los Pepes’ en Barranquilla y Atlántico y ‘los Chotas’ y ‘los Espartanos’ en Buenaventura y el Valle y el accionar de otros grupos criminales organizados en ciudades y municipios no solo ponen en evidencia el fracaso de la Paz Total, sino la dramática situación de orden público y de seguridad ciudadana que va a tener que asumir el nuevo gobierno.</t>
        </is>
      </c>
      <c r="I370" s="62" t="inlineStr">
        <is>
          <t>Pero también recibió una Fuerza Pública fortalecida que venía a la ofensiva en contra de las Farc, después del fracaso de la paz del Caguán, con recursos del Plan Colombia y con un país que lo apoyó en la tarea de recuperar la seguridad.</t>
        </is>
      </c>
      <c r="J370" s="38" t="n"/>
      <c r="K370" s="62" t="n"/>
      <c r="L370" s="38" t="n"/>
      <c r="M370" s="62" t="n"/>
      <c r="N370" s="38" t="n"/>
      <c r="O370" s="62" t="n"/>
      <c r="P370" s="38" t="n"/>
      <c r="Q370" s="62" t="n"/>
      <c r="R370" s="38" t="n"/>
      <c r="S370" s="62" t="n"/>
      <c r="T370" s="38" t="n"/>
      <c r="U370" s="62" t="n"/>
      <c r="V370" s="38" t="n"/>
      <c r="W370" s="62" t="n"/>
      <c r="X370" s="38" t="n"/>
      <c r="Y370" s="62" t="n"/>
      <c r="Z370" s="38" t="n"/>
      <c r="AA370" s="62" t="n"/>
      <c r="AB370" s="38" t="n"/>
      <c r="AC370" s="62" t="n"/>
      <c r="AD370" s="38" t="n"/>
      <c r="AE370" s="38" t="n"/>
      <c r="AF370" s="61">
        <f>IF(COUNTIF($B$5:B370,B370)=1,1,0)</f>
        <v/>
      </c>
      <c r="AG370" s="62" t="inlineStr">
        <is>
          <t>https://www.eltiempo.com/opinion/columnistas/inseguridad-y-gobernanza-criminal-3552659</t>
        </is>
      </c>
    </row>
    <row r="371" ht="15" customHeight="1" s="31">
      <c r="A371" s="38" t="inlineStr">
        <is>
          <t>ART_055</t>
        </is>
      </c>
      <c r="B371" s="38" t="inlineStr">
        <is>
          <t>ART_055_S03</t>
        </is>
      </c>
      <c r="C371" s="38" t="inlineStr">
        <is>
          <t>El Tiempo</t>
        </is>
      </c>
      <c r="D371" s="38" t="inlineStr">
        <is>
          <t>Seguridad y orden público</t>
        </is>
      </c>
      <c r="E371" s="38" t="inlineStr">
        <is>
          <t>Opinión-análisis</t>
        </is>
      </c>
      <c r="F371" s="38" t="inlineStr">
        <is>
          <t>2026-05-02T23:45:00-05:00</t>
        </is>
      </c>
      <c r="G371" s="62" t="inlineStr">
        <is>
          <t>Pero también recibió una Fuerza Pública fortalecida que venía a la ofensiva en contra de las Farc, después del fracaso de la paz del Caguán, con recursos del Plan Colombia y con un país que lo apoyó en la tarea de recuperar la seguridad.</t>
        </is>
      </c>
      <c r="H371" s="62" t="inlineStr">
        <is>
          <t>La situación actual es más difícil que la que tuvo que enfrentar el presidente Álvaro Uribe en 2002, cuando recibió un país secuestrado por las ‘pescas milagrosas’, con acciones crecientes de paramilitares y guerrillas y con una violencia homicida que había vuelto a crecer de 23.093 en 1997 a 27.829 en 2002.</t>
        </is>
      </c>
      <c r="I371" s="62" t="inlineStr">
        <is>
          <t>Al contrario de esto, el nuevo gobierno va a encontrar una Fuerza Pública debilitada en su operatividad técnica y humana por “el descabezamiento” de generales y almirantes, coroneles y oficiales experimentados, por el debilitamiento e instrumentalización política de la inteligencia, no se cuenta con el Plan Colombia, ni va a haber otro plan II, no hay recursos, no existe trabajo en equipo entre el Presidente, las instituciones de seguridad, justicia, los gobernadores y alcaldes y en general, el país está dividido entre los que quieren continuar con la Paz Total y los que pretenden regresar a la guerra total.</t>
        </is>
      </c>
      <c r="J371" s="38" t="n"/>
      <c r="K371" s="62" t="n"/>
      <c r="L371" s="38" t="n"/>
      <c r="M371" s="62" t="n"/>
      <c r="N371" s="38" t="n"/>
      <c r="O371" s="62" t="n"/>
      <c r="P371" s="38" t="n"/>
      <c r="Q371" s="62" t="n"/>
      <c r="R371" s="38" t="n"/>
      <c r="S371" s="62" t="n"/>
      <c r="T371" s="38" t="n"/>
      <c r="U371" s="62" t="n"/>
      <c r="V371" s="38" t="n"/>
      <c r="W371" s="62" t="n"/>
      <c r="X371" s="38" t="n"/>
      <c r="Y371" s="62" t="n"/>
      <c r="Z371" s="38" t="n"/>
      <c r="AA371" s="62" t="n"/>
      <c r="AB371" s="38" t="n"/>
      <c r="AC371" s="62" t="n"/>
      <c r="AD371" s="38" t="n"/>
      <c r="AE371" s="38" t="n"/>
      <c r="AF371" s="61">
        <f>IF(COUNTIF($B$5:B371,B371)=1,1,0)</f>
        <v/>
      </c>
      <c r="AG371" s="62" t="inlineStr">
        <is>
          <t>https://www.eltiempo.com/opinion/columnistas/inseguridad-y-gobernanza-criminal-3552659</t>
        </is>
      </c>
    </row>
    <row r="372" ht="15" customHeight="1" s="31">
      <c r="A372" s="38" t="inlineStr">
        <is>
          <t>ART_055</t>
        </is>
      </c>
      <c r="B372" s="38" t="inlineStr">
        <is>
          <t>ART_055_S04</t>
        </is>
      </c>
      <c r="C372" s="38" t="inlineStr">
        <is>
          <t>El Tiempo</t>
        </is>
      </c>
      <c r="D372" s="38" t="inlineStr">
        <is>
          <t>Seguridad y orden público</t>
        </is>
      </c>
      <c r="E372" s="38" t="inlineStr">
        <is>
          <t>Opinión-análisis</t>
        </is>
      </c>
      <c r="F372" s="38" t="inlineStr">
        <is>
          <t>2026-05-02T23:45:00-05:00</t>
        </is>
      </c>
      <c r="G372" s="62" t="inlineStr">
        <is>
          <t>Al contrario de esto, el nuevo gobierno va a encontrar una Fuerza Pública debilitada en su operatividad técnica y humana por “el descabezamiento” de generales y almirantes, coroneles y oficiales experimentados, por el debilitamiento e instrumentalización política de la inteligencia, no se cuenta con el Plan Colombia, ni va a haber otro plan II, no hay recursos, no existe trabajo en equipo entre el Presidente, las instituciones de seguridad, justicia, los gobernadores y alcaldes y en general, el país está dividido entre los que quieren continuar con la Paz Total y los que pretenden regresar a la guerra total.</t>
        </is>
      </c>
      <c r="H372" s="62" t="inlineStr">
        <is>
          <t>Pero también recibió una Fuerza Pública fortalecida que venía a la ofensiva en contra de las Farc, después del fracaso de la paz del Caguán, con recursos del Plan Colombia y con un país que lo apoyó en la tarea de recuperar la seguridad.</t>
        </is>
      </c>
      <c r="I372" s="62" t="inlineStr">
        <is>
          <t>Hoy, los grupos armados ilegales no solo crecieron y se fortalecieron en los últimos 10 años, porque el Estado, en especial los últimos tres gobiernos, no coparon los territorios dejados por las Farc, sino que pasaron a controlar y gobernar municipios y territorios enteros.</t>
        </is>
      </c>
      <c r="J372" s="38" t="n"/>
      <c r="K372" s="62" t="n"/>
      <c r="L372" s="38" t="n"/>
      <c r="M372" s="62" t="n"/>
      <c r="N372" s="38" t="n"/>
      <c r="O372" s="62" t="n"/>
      <c r="P372" s="38" t="n"/>
      <c r="Q372" s="62" t="n"/>
      <c r="R372" s="38" t="n"/>
      <c r="S372" s="62" t="n"/>
      <c r="T372" s="38" t="n"/>
      <c r="U372" s="62" t="n"/>
      <c r="V372" s="38" t="n"/>
      <c r="W372" s="62" t="n"/>
      <c r="X372" s="38" t="n"/>
      <c r="Y372" s="62" t="n"/>
      <c r="Z372" s="38" t="n"/>
      <c r="AA372" s="62" t="n"/>
      <c r="AB372" s="38" t="n"/>
      <c r="AC372" s="62" t="n"/>
      <c r="AD372" s="38" t="n"/>
      <c r="AE372" s="38" t="n"/>
      <c r="AF372" s="61">
        <f>IF(COUNTIF($B$5:B372,B372)=1,1,0)</f>
        <v/>
      </c>
      <c r="AG372" s="62" t="inlineStr">
        <is>
          <t>https://www.eltiempo.com/opinion/columnistas/inseguridad-y-gobernanza-criminal-3552659</t>
        </is>
      </c>
    </row>
    <row r="373" ht="15" customHeight="1" s="31">
      <c r="A373" s="38" t="inlineStr">
        <is>
          <t>ART_055</t>
        </is>
      </c>
      <c r="B373" s="38" t="inlineStr">
        <is>
          <t>ART_055_S05</t>
        </is>
      </c>
      <c r="C373" s="38" t="inlineStr">
        <is>
          <t>El Tiempo</t>
        </is>
      </c>
      <c r="D373" s="38" t="inlineStr">
        <is>
          <t>Seguridad y orden público</t>
        </is>
      </c>
      <c r="E373" s="38" t="inlineStr">
        <is>
          <t>Opinión-análisis</t>
        </is>
      </c>
      <c r="F373" s="38" t="inlineStr">
        <is>
          <t>2026-05-02T23:45:00-05:00</t>
        </is>
      </c>
      <c r="G373" s="62" t="inlineStr">
        <is>
          <t>Hoy, los grupos armados ilegales no solo crecieron y se fortalecieron en los últimos 10 años, porque el Estado, en especial los últimos tres gobiernos, no coparon los territorios dejados por las Farc, sino que pasaron a controlar y gobernar municipios y territorios enteros.</t>
        </is>
      </c>
      <c r="H373" s="62" t="inlineStr">
        <is>
          <t>Al contrario de esto, el nuevo gobierno va a encontrar una Fuerza Pública debilitada en su operatividad técnica y humana por “el descabezamiento” de generales y almirantes, coroneles y oficiales experimentados, por el debilitamiento e instrumentalización política de la inteligencia, no se cuenta con el Plan Colombia, ni va a haber otro plan II, no hay recursos, no existe trabajo en equipo entre el Presidente, las instituciones de seguridad, justicia, los gobernadores y alcaldes y en general, el país está dividido entre los que quieren continuar con la Paz Total y los que pretenden regresar a la guerra total.</t>
        </is>
      </c>
      <c r="I373" s="62" t="inlineStr">
        <is>
          <t>Gobernanza criminal territorial y poblacional donde la autoridad y el control del Estado brillan por su ausencia, como bien lo plantea Luis Fernando Trejos en ‘La Silla Vacía’.</t>
        </is>
      </c>
      <c r="J373" s="38" t="n"/>
      <c r="K373" s="62" t="n"/>
      <c r="L373" s="38" t="n"/>
      <c r="M373" s="62" t="n"/>
      <c r="N373" s="38" t="n"/>
      <c r="O373" s="62" t="n"/>
      <c r="P373" s="38" t="n"/>
      <c r="Q373" s="62" t="n"/>
      <c r="R373" s="38" t="n"/>
      <c r="S373" s="62" t="n"/>
      <c r="T373" s="38" t="n"/>
      <c r="U373" s="62" t="n"/>
      <c r="V373" s="38" t="n"/>
      <c r="W373" s="62" t="n"/>
      <c r="X373" s="38" t="n"/>
      <c r="Y373" s="62" t="n"/>
      <c r="Z373" s="38" t="n"/>
      <c r="AA373" s="62" t="n"/>
      <c r="AB373" s="38" t="n"/>
      <c r="AC373" s="62" t="n"/>
      <c r="AD373" s="38" t="n"/>
      <c r="AE373" s="38" t="n"/>
      <c r="AF373" s="61">
        <f>IF(COUNTIF($B$5:B373,B373)=1,1,0)</f>
        <v/>
      </c>
      <c r="AG373" s="62" t="inlineStr">
        <is>
          <t>https://www.eltiempo.com/opinion/columnistas/inseguridad-y-gobernanza-criminal-3552659</t>
        </is>
      </c>
    </row>
    <row r="374" ht="15" customHeight="1" s="31">
      <c r="A374" s="38" t="inlineStr">
        <is>
          <t>ART_055</t>
        </is>
      </c>
      <c r="B374" s="38" t="inlineStr">
        <is>
          <t>ART_055_S06</t>
        </is>
      </c>
      <c r="C374" s="38" t="inlineStr">
        <is>
          <t>El Tiempo</t>
        </is>
      </c>
      <c r="D374" s="38" t="inlineStr">
        <is>
          <t>Seguridad y orden público</t>
        </is>
      </c>
      <c r="E374" s="38" t="inlineStr">
        <is>
          <t>Opinión-análisis</t>
        </is>
      </c>
      <c r="F374" s="38" t="inlineStr">
        <is>
          <t>2026-05-02T23:45:00-05:00</t>
        </is>
      </c>
      <c r="G374" s="62" t="inlineStr">
        <is>
          <t>Gobernanza criminal territorial y poblacional donde la autoridad y el control del Estado brillan por su ausencia, como bien lo plantea Luis Fernando Trejos en ‘La Silla Vacía’.</t>
        </is>
      </c>
      <c r="H374" s="62" t="inlineStr">
        <is>
          <t>Hoy, los grupos armados ilegales no solo crecieron y se fortalecieron en los últimos 10 años, porque el Estado, en especial los últimos tres gobiernos, no coparon los territorios dejados por las Farc, sino que pasaron a controlar y gobernar municipios y territorios enteros.</t>
        </is>
      </c>
      <c r="I374" s="62" t="n"/>
      <c r="J374" s="38" t="n"/>
      <c r="K374" s="62" t="n"/>
      <c r="L374" s="38" t="n"/>
      <c r="M374" s="62" t="n"/>
      <c r="N374" s="38" t="n"/>
      <c r="O374" s="62" t="n"/>
      <c r="P374" s="38" t="n"/>
      <c r="Q374" s="62" t="n"/>
      <c r="R374" s="38" t="n"/>
      <c r="S374" s="62" t="n"/>
      <c r="T374" s="38" t="n"/>
      <c r="U374" s="62" t="n"/>
      <c r="V374" s="38" t="n"/>
      <c r="W374" s="62" t="n"/>
      <c r="X374" s="38" t="n"/>
      <c r="Y374" s="62" t="n"/>
      <c r="Z374" s="38" t="n"/>
      <c r="AA374" s="62" t="n"/>
      <c r="AB374" s="38" t="n"/>
      <c r="AC374" s="62" t="n"/>
      <c r="AD374" s="38" t="n"/>
      <c r="AE374" s="38" t="n"/>
      <c r="AF374" s="61">
        <f>IF(COUNTIF($B$5:B374,B374)=1,1,0)</f>
        <v/>
      </c>
      <c r="AG374" s="62" t="inlineStr">
        <is>
          <t>https://www.eltiempo.com/opinion/columnistas/inseguridad-y-gobernanza-criminal-3552659</t>
        </is>
      </c>
    </row>
    <row r="375" ht="15" customHeight="1" s="31">
      <c r="A375" s="38" t="inlineStr">
        <is>
          <t>ART_056</t>
        </is>
      </c>
      <c r="B375" s="38" t="inlineStr">
        <is>
          <t>ART_056_S01</t>
        </is>
      </c>
      <c r="C375" s="38" t="inlineStr">
        <is>
          <t>El Tiempo</t>
        </is>
      </c>
      <c r="D375" s="38" t="inlineStr">
        <is>
          <t>Transición de gobierno y relación con la oposición</t>
        </is>
      </c>
      <c r="E375" s="38" t="inlineStr">
        <is>
          <t>Opinión-análisis</t>
        </is>
      </c>
      <c r="F375" s="38" t="inlineStr">
        <is>
          <t>2026-05-16T23:45:00-05:00</t>
        </is>
      </c>
      <c r="G375" s="62" t="inlineStr">
        <is>
          <t>Durante más de ocho meses de campaña política hemos visto un proselitismo ampliamente basado en las redes sociales, donde, por un lado, el gobierno de Gustavo Petro y sus bodegas interneteras han trabajado con vigor por su candidato, el comunista Iván Cepeda, y, por el otro, el aspirante ‘outsider’ Abelardo de la Espriella ha cabalgado sobre una poderosa y robusta red de decenas de miles de influenciadores, seguidores y replicadores de su mensaje en las redes sociales.</t>
        </is>
      </c>
      <c r="H375" s="62" t="n"/>
      <c r="I375" s="62" t="inlineStr">
        <is>
          <t>Si los demás candidatos han quedado rezagados, ha sido en buena medida porque fueron incapaces de usar, con intensidad y eficacia, esas tecnologías.</t>
        </is>
      </c>
      <c r="J375" s="38" t="n"/>
      <c r="K375" s="62" t="n"/>
      <c r="L375" s="38" t="n"/>
      <c r="M375" s="62" t="n"/>
      <c r="N375" s="38" t="n"/>
      <c r="O375" s="62" t="n"/>
      <c r="P375" s="38" t="n"/>
      <c r="Q375" s="62" t="n"/>
      <c r="R375" s="38" t="n"/>
      <c r="S375" s="62" t="n"/>
      <c r="T375" s="38" t="n"/>
      <c r="U375" s="62" t="n"/>
      <c r="V375" s="38" t="n"/>
      <c r="W375" s="62" t="n"/>
      <c r="X375" s="38" t="n"/>
      <c r="Y375" s="62" t="n"/>
      <c r="Z375" s="38" t="n"/>
      <c r="AA375" s="62" t="n"/>
      <c r="AB375" s="38" t="n"/>
      <c r="AC375" s="62" t="n"/>
      <c r="AD375" s="38" t="n"/>
      <c r="AE375" s="38" t="n"/>
      <c r="AF375" s="61">
        <f>IF(COUNTIF($B$5:B375,B375)=1,1,0)</f>
        <v/>
      </c>
      <c r="AG375" s="62" t="inlineStr">
        <is>
          <t>https://www.eltiempo.com/opinion/columnistas/una-batalla-sin-partidos-3556318</t>
        </is>
      </c>
    </row>
    <row r="376" ht="15" customHeight="1" s="31">
      <c r="A376" s="38" t="inlineStr">
        <is>
          <t>ART_056</t>
        </is>
      </c>
      <c r="B376" s="38" t="inlineStr">
        <is>
          <t>ART_056_S02</t>
        </is>
      </c>
      <c r="C376" s="38" t="inlineStr">
        <is>
          <t>El Tiempo</t>
        </is>
      </c>
      <c r="D376" s="38" t="inlineStr">
        <is>
          <t>Transición de gobierno y relación con la oposición</t>
        </is>
      </c>
      <c r="E376" s="38" t="inlineStr">
        <is>
          <t>Opinión-análisis</t>
        </is>
      </c>
      <c r="F376" s="38" t="inlineStr">
        <is>
          <t>2026-05-16T23:45:00-05:00</t>
        </is>
      </c>
      <c r="G376" s="62" t="inlineStr">
        <is>
          <t>Si los demás candidatos han quedado rezagados, ha sido en buena medida porque fueron incapaces de usar, con intensidad y eficacia, esas tecnologías.</t>
        </is>
      </c>
      <c r="H376" s="62" t="inlineStr">
        <is>
          <t>Durante más de ocho meses de campaña política hemos visto un proselitismo ampliamente basado en las redes sociales, donde, por un lado, el gobierno de Gustavo Petro y sus bodegas interneteras han trabajado con vigor por su candidato, el comunista Iván Cepeda, y, por el otro, el aspirante ‘outsider’ Abelardo de la Espriella ha cabalgado sobre una poderosa y robusta red de decenas de miles de influenciadores, seguidores y replicadores de su mensaje en las redes sociales.</t>
        </is>
      </c>
      <c r="I376" s="62" t="inlineStr">
        <is>
          <t>Las redes seguirán jugando un papel clave en esta recta final.</t>
        </is>
      </c>
      <c r="J376" s="38" t="n"/>
      <c r="K376" s="62" t="n"/>
      <c r="L376" s="38" t="n"/>
      <c r="M376" s="62" t="n"/>
      <c r="N376" s="38" t="n"/>
      <c r="O376" s="62" t="n"/>
      <c r="P376" s="38" t="n"/>
      <c r="Q376" s="62" t="n"/>
      <c r="R376" s="38" t="n"/>
      <c r="S376" s="62" t="n"/>
      <c r="T376" s="38" t="n"/>
      <c r="U376" s="62" t="n"/>
      <c r="V376" s="38" t="n"/>
      <c r="W376" s="62" t="n"/>
      <c r="X376" s="38" t="n"/>
      <c r="Y376" s="62" t="n"/>
      <c r="Z376" s="38" t="n"/>
      <c r="AA376" s="62" t="n"/>
      <c r="AB376" s="38" t="n"/>
      <c r="AC376" s="62" t="n"/>
      <c r="AD376" s="38" t="n"/>
      <c r="AE376" s="38" t="n"/>
      <c r="AF376" s="61">
        <f>IF(COUNTIF($B$5:B376,B376)=1,1,0)</f>
        <v/>
      </c>
      <c r="AG376" s="62" t="inlineStr">
        <is>
          <t>https://www.eltiempo.com/opinion/columnistas/una-batalla-sin-partidos-3556318</t>
        </is>
      </c>
    </row>
    <row r="377" ht="15" customHeight="1" s="31">
      <c r="A377" s="38" t="inlineStr">
        <is>
          <t>ART_056</t>
        </is>
      </c>
      <c r="B377" s="38" t="inlineStr">
        <is>
          <t>ART_056_S03</t>
        </is>
      </c>
      <c r="C377" s="38" t="inlineStr">
        <is>
          <t>El Tiempo</t>
        </is>
      </c>
      <c r="D377" s="38" t="inlineStr">
        <is>
          <t>Transición de gobierno y relación con la oposición</t>
        </is>
      </c>
      <c r="E377" s="38" t="inlineStr">
        <is>
          <t>Opinión-análisis</t>
        </is>
      </c>
      <c r="F377" s="38" t="inlineStr">
        <is>
          <t>2026-05-16T23:45:00-05:00</t>
        </is>
      </c>
      <c r="G377" s="62" t="inlineStr">
        <is>
          <t>Las redes seguirán jugando un papel clave en esta recta final.</t>
        </is>
      </c>
      <c r="H377" s="62" t="inlineStr">
        <is>
          <t>Si los demás candidatos han quedado rezagados, ha sido en buena medida porque fueron incapaces de usar, con intensidad y eficacia, esas tecnologías.</t>
        </is>
      </c>
      <c r="I377" s="62" t="inlineStr">
        <is>
          <t>Pero ahora, a dos semanas de la primera vuelta y cinco de la segunda, la batalla electoral ha aterrizado en la cruda realidad de las calles de ciudades, y de pueblos medianos y pequeños.</t>
        </is>
      </c>
      <c r="J377" s="38" t="n"/>
      <c r="K377" s="62" t="n"/>
      <c r="L377" s="38" t="n"/>
      <c r="M377" s="62" t="n"/>
      <c r="N377" s="38" t="n"/>
      <c r="O377" s="62" t="n"/>
      <c r="P377" s="38" t="n"/>
      <c r="Q377" s="62" t="n"/>
      <c r="R377" s="38" t="n"/>
      <c r="S377" s="62" t="n"/>
      <c r="T377" s="38" t="n"/>
      <c r="U377" s="62" t="n"/>
      <c r="V377" s="38" t="n"/>
      <c r="W377" s="62" t="n"/>
      <c r="X377" s="38" t="n"/>
      <c r="Y377" s="62" t="n"/>
      <c r="Z377" s="38" t="n"/>
      <c r="AA377" s="62" t="n"/>
      <c r="AB377" s="38" t="n"/>
      <c r="AC377" s="62" t="n"/>
      <c r="AD377" s="38" t="n"/>
      <c r="AE377" s="38" t="n"/>
      <c r="AF377" s="61">
        <f>IF(COUNTIF($B$5:B377,B377)=1,1,0)</f>
        <v/>
      </c>
      <c r="AG377" s="62" t="inlineStr">
        <is>
          <t>https://www.eltiempo.com/opinion/columnistas/una-batalla-sin-partidos-3556318</t>
        </is>
      </c>
    </row>
    <row r="378" ht="15" customHeight="1" s="31">
      <c r="A378" s="38" t="inlineStr">
        <is>
          <t>ART_056</t>
        </is>
      </c>
      <c r="B378" s="38" t="inlineStr">
        <is>
          <t>ART_056_S04</t>
        </is>
      </c>
      <c r="C378" s="38" t="inlineStr">
        <is>
          <t>El Tiempo</t>
        </is>
      </c>
      <c r="D378" s="38" t="inlineStr">
        <is>
          <t>Transición de gobierno y relación con la oposición</t>
        </is>
      </c>
      <c r="E378" s="38" t="inlineStr">
        <is>
          <t>Opinión-análisis</t>
        </is>
      </c>
      <c r="F378" s="38" t="inlineStr">
        <is>
          <t>2026-05-16T23:45:00-05:00</t>
        </is>
      </c>
      <c r="G378" s="62" t="inlineStr">
        <is>
          <t>Pero ahora, a dos semanas de la primera vuelta y cinco de la segunda, la batalla electoral ha aterrizado en la cruda realidad de las calles de ciudades, y de pueblos medianos y pequeños.</t>
        </is>
      </c>
      <c r="H378" s="62" t="inlineStr">
        <is>
          <t>Las redes seguirán jugando un papel clave en esta recta final.</t>
        </is>
      </c>
      <c r="I378" s="62" t="inlineStr">
        <is>
          <t>La chequera del régimen petrista ha regado cientos de municipios con miles y miles de millones de pesos en contratos de obras y servicios, así como en órdenes de trabajo individuales.</t>
        </is>
      </c>
      <c r="J378" s="38" t="n"/>
      <c r="K378" s="62" t="n"/>
      <c r="L378" s="38" t="n"/>
      <c r="M378" s="62" t="n"/>
      <c r="N378" s="38" t="n"/>
      <c r="O378" s="62" t="n"/>
      <c r="P378" s="38" t="n"/>
      <c r="Q378" s="62" t="n"/>
      <c r="R378" s="38" t="n"/>
      <c r="S378" s="62" t="n"/>
      <c r="T378" s="38" t="n"/>
      <c r="U378" s="62" t="n"/>
      <c r="V378" s="38" t="n"/>
      <c r="W378" s="62" t="n"/>
      <c r="X378" s="38" t="n"/>
      <c r="Y378" s="62" t="n"/>
      <c r="Z378" s="38" t="n"/>
      <c r="AA378" s="62" t="n"/>
      <c r="AB378" s="38" t="n"/>
      <c r="AC378" s="62" t="n"/>
      <c r="AD378" s="38" t="n"/>
      <c r="AE378" s="38" t="n"/>
      <c r="AF378" s="61">
        <f>IF(COUNTIF($B$5:B378,B378)=1,1,0)</f>
        <v/>
      </c>
      <c r="AG378" s="62" t="inlineStr">
        <is>
          <t>https://www.eltiempo.com/opinion/columnistas/una-batalla-sin-partidos-3556318</t>
        </is>
      </c>
    </row>
    <row r="379" ht="15" customHeight="1" s="31">
      <c r="A379" s="38" t="inlineStr">
        <is>
          <t>ART_056</t>
        </is>
      </c>
      <c r="B379" s="38" t="inlineStr">
        <is>
          <t>ART_056_S05</t>
        </is>
      </c>
      <c r="C379" s="38" t="inlineStr">
        <is>
          <t>El Tiempo</t>
        </is>
      </c>
      <c r="D379" s="38" t="inlineStr">
        <is>
          <t>Transición de gobierno y relación con la oposición</t>
        </is>
      </c>
      <c r="E379" s="38" t="inlineStr">
        <is>
          <t>Opinión-análisis</t>
        </is>
      </c>
      <c r="F379" s="38" t="inlineStr">
        <is>
          <t>2026-05-16T23:45:00-05:00</t>
        </is>
      </c>
      <c r="G379" s="62" t="inlineStr">
        <is>
          <t>La chequera del régimen petrista ha regado cientos de municipios con miles y miles de millones de pesos en contratos de obras y servicios, así como en órdenes de trabajo individuales.</t>
        </is>
      </c>
      <c r="H379" s="62" t="inlineStr">
        <is>
          <t>Pero ahora, a dos semanas de la primera vuelta y cinco de la segunda, la batalla electoral ha aterrizado en la cruda realidad de las calles de ciudades, y de pueblos medianos y pequeños.</t>
        </is>
      </c>
      <c r="I379" s="62" t="inlineStr">
        <is>
          <t>A ello se suma el apoyo de las bandas armadas que saben que con Cepeda seguirían gozando de la escandalosa impunidad que Petro les ha garantizado.</t>
        </is>
      </c>
      <c r="J379" s="38" t="n"/>
      <c r="K379" s="62" t="n"/>
      <c r="L379" s="38" t="n"/>
      <c r="M379" s="62" t="n"/>
      <c r="N379" s="38" t="n"/>
      <c r="O379" s="62" t="n"/>
      <c r="P379" s="38" t="n"/>
      <c r="Q379" s="62" t="n"/>
      <c r="R379" s="38" t="n"/>
      <c r="S379" s="62" t="n"/>
      <c r="T379" s="38" t="n"/>
      <c r="U379" s="62" t="n"/>
      <c r="V379" s="38" t="n"/>
      <c r="W379" s="62" t="n"/>
      <c r="X379" s="38" t="n"/>
      <c r="Y379" s="62" t="n"/>
      <c r="Z379" s="38" t="n"/>
      <c r="AA379" s="62" t="n"/>
      <c r="AB379" s="38" t="n"/>
      <c r="AC379" s="62" t="n"/>
      <c r="AD379" s="38" t="n"/>
      <c r="AE379" s="38" t="n"/>
      <c r="AF379" s="61">
        <f>IF(COUNTIF($B$5:B379,B379)=1,1,0)</f>
        <v/>
      </c>
      <c r="AG379" s="62" t="inlineStr">
        <is>
          <t>https://www.eltiempo.com/opinion/columnistas/una-batalla-sin-partidos-3556318</t>
        </is>
      </c>
    </row>
    <row r="380" ht="15" customHeight="1" s="31">
      <c r="A380" s="38" t="inlineStr">
        <is>
          <t>ART_056</t>
        </is>
      </c>
      <c r="B380" s="38" t="inlineStr">
        <is>
          <t>ART_056_S06</t>
        </is>
      </c>
      <c r="C380" s="38" t="inlineStr">
        <is>
          <t>El Tiempo</t>
        </is>
      </c>
      <c r="D380" s="38" t="inlineStr">
        <is>
          <t>Transición de gobierno y relación con la oposición</t>
        </is>
      </c>
      <c r="E380" s="38" t="inlineStr">
        <is>
          <t>Opinión-análisis</t>
        </is>
      </c>
      <c r="F380" s="38" t="inlineStr">
        <is>
          <t>2026-05-16T23:45:00-05:00</t>
        </is>
      </c>
      <c r="G380" s="62" t="inlineStr">
        <is>
          <t>A ello se suma el apoyo de las bandas armadas que saben que con Cepeda seguirían gozando de la escandalosa impunidad que Petro les ha garantizado.</t>
        </is>
      </c>
      <c r="H380" s="62" t="inlineStr">
        <is>
          <t>La chequera del régimen petrista ha regado cientos de municipios con miles y miles de millones de pesos en contratos de obras y servicios, así como en órdenes de trabajo individuales.</t>
        </is>
      </c>
      <c r="I380" s="62" t="n"/>
      <c r="J380" s="38" t="n"/>
      <c r="K380" s="62" t="n"/>
      <c r="L380" s="38" t="n"/>
      <c r="M380" s="62" t="n"/>
      <c r="N380" s="38" t="n"/>
      <c r="O380" s="62" t="n"/>
      <c r="P380" s="38" t="n"/>
      <c r="Q380" s="62" t="n"/>
      <c r="R380" s="38" t="n"/>
      <c r="S380" s="62" t="n"/>
      <c r="T380" s="38" t="n"/>
      <c r="U380" s="62" t="n"/>
      <c r="V380" s="38" t="n"/>
      <c r="W380" s="62" t="n"/>
      <c r="X380" s="38" t="n"/>
      <c r="Y380" s="62" t="n"/>
      <c r="Z380" s="38" t="n"/>
      <c r="AA380" s="62" t="n"/>
      <c r="AB380" s="38" t="n"/>
      <c r="AC380" s="62" t="n"/>
      <c r="AD380" s="38" t="n"/>
      <c r="AE380" s="38" t="n"/>
      <c r="AF380" s="61">
        <f>IF(COUNTIF($B$5:B380,B380)=1,1,0)</f>
        <v/>
      </c>
      <c r="AG380" s="62" t="inlineStr">
        <is>
          <t>https://www.eltiempo.com/opinion/columnistas/una-batalla-sin-partidos-3556318</t>
        </is>
      </c>
    </row>
    <row r="381" ht="15" customHeight="1" s="31">
      <c r="A381" s="38" t="inlineStr">
        <is>
          <t>ART_057</t>
        </is>
      </c>
      <c r="B381" s="38" t="inlineStr">
        <is>
          <t>ART_057_S01</t>
        </is>
      </c>
      <c r="C381" s="38" t="inlineStr">
        <is>
          <t>El Espectador</t>
        </is>
      </c>
      <c r="D381" s="38" t="inlineStr">
        <is>
          <t>Reformas sociales en disputa (pensional/tributaria)</t>
        </is>
      </c>
      <c r="E381" s="38" t="inlineStr">
        <is>
          <t>Noticia dura</t>
        </is>
      </c>
      <c r="F381" s="38" t="inlineStr">
        <is>
          <t>2026-05-12T19:11:23-05:00</t>
        </is>
      </c>
      <c r="G381" s="62" t="inlineStr">
        <is>
          <t>Las pensiones son, por lo general, un tema que, aunque vital, no suele generar muchos titulares en la vida nacional.</t>
        </is>
      </c>
      <c r="H381" s="62" t="n"/>
      <c r="I381" s="62" t="inlineStr">
        <is>
          <t>Suceden en un rimo casi que automático: manejan billones de pesos que involucran el bienestar de millones de personas, pero nadie parece reparar mucho en ellas.</t>
        </is>
      </c>
      <c r="J381" s="38" t="n"/>
      <c r="K381" s="62" t="n"/>
      <c r="L381" s="38" t="n"/>
      <c r="M381" s="62" t="n"/>
      <c r="N381" s="38" t="n"/>
      <c r="O381" s="62" t="n"/>
      <c r="P381" s="38" t="n"/>
      <c r="Q381" s="62" t="n"/>
      <c r="R381" s="38" t="n"/>
      <c r="S381" s="62" t="n"/>
      <c r="T381" s="38" t="n"/>
      <c r="U381" s="62" t="n"/>
      <c r="V381" s="38" t="n"/>
      <c r="W381" s="62" t="n"/>
      <c r="X381" s="38" t="n"/>
      <c r="Y381" s="62" t="n"/>
      <c r="Z381" s="38" t="n"/>
      <c r="AA381" s="62" t="n"/>
      <c r="AB381" s="38" t="n"/>
      <c r="AC381" s="62" t="n"/>
      <c r="AD381" s="38" t="n"/>
      <c r="AE381" s="38" t="n"/>
      <c r="AF381" s="61">
        <f>IF(COUNTIF($B$5:B381,B381)=1,1,0)</f>
        <v/>
      </c>
      <c r="AG381" s="62" t="inlineStr">
        <is>
          <t>https://www.elespectador.com/economia/macroeconomia/pensiones-en-colombia-2026-la-historia-del-enredo-entre-la-reforma-la-corte-constitucional-y-los-fondos-privados/</t>
        </is>
      </c>
    </row>
    <row r="382" ht="15" customHeight="1" s="31">
      <c r="A382" s="38" t="inlineStr">
        <is>
          <t>ART_057</t>
        </is>
      </c>
      <c r="B382" s="38" t="inlineStr">
        <is>
          <t>ART_057_S02</t>
        </is>
      </c>
      <c r="C382" s="38" t="inlineStr">
        <is>
          <t>El Espectador</t>
        </is>
      </c>
      <c r="D382" s="38" t="inlineStr">
        <is>
          <t>Reformas sociales en disputa (pensional/tributaria)</t>
        </is>
      </c>
      <c r="E382" s="38" t="inlineStr">
        <is>
          <t>Noticia dura</t>
        </is>
      </c>
      <c r="F382" s="38" t="inlineStr">
        <is>
          <t>2026-05-12T19:11:23-05:00</t>
        </is>
      </c>
      <c r="G382" s="62" t="inlineStr">
        <is>
          <t>Suceden en un rimo casi que automático: manejan billones de pesos que involucran el bienestar de millones de personas, pero nadie parece reparar mucho en ellas.</t>
        </is>
      </c>
      <c r="H382" s="62" t="inlineStr">
        <is>
          <t>Las pensiones son, por lo general, un tema que, aunque vital, no suele generar muchos titulares en la vida nacional.</t>
        </is>
      </c>
      <c r="I382" s="62"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J382" s="38" t="n"/>
      <c r="K382" s="62" t="n"/>
      <c r="L382" s="38" t="n"/>
      <c r="M382" s="62" t="n"/>
      <c r="N382" s="38" t="n"/>
      <c r="O382" s="62" t="n"/>
      <c r="P382" s="38" t="n"/>
      <c r="Q382" s="62" t="n"/>
      <c r="R382" s="38" t="n"/>
      <c r="S382" s="62" t="n"/>
      <c r="T382" s="38" t="n"/>
      <c r="U382" s="62" t="n"/>
      <c r="V382" s="38" t="n"/>
      <c r="W382" s="62" t="n"/>
      <c r="X382" s="38" t="n"/>
      <c r="Y382" s="62" t="n"/>
      <c r="Z382" s="38" t="n"/>
      <c r="AA382" s="62" t="n"/>
      <c r="AB382" s="38" t="n"/>
      <c r="AC382" s="62" t="n"/>
      <c r="AD382" s="38" t="n"/>
      <c r="AE382" s="38" t="n"/>
      <c r="AF382" s="61">
        <f>IF(COUNTIF($B$5:B382,B382)=1,1,0)</f>
        <v/>
      </c>
      <c r="AG382" s="62" t="inlineStr">
        <is>
          <t>https://www.elespectador.com/economia/macroeconomia/pensiones-en-colombia-2026-la-historia-del-enredo-entre-la-reforma-la-corte-constitucional-y-los-fondos-privados/</t>
        </is>
      </c>
    </row>
    <row r="383" ht="15" customHeight="1" s="31">
      <c r="A383" s="38" t="inlineStr">
        <is>
          <t>ART_057</t>
        </is>
      </c>
      <c r="B383" s="38" t="inlineStr">
        <is>
          <t>ART_057_S03</t>
        </is>
      </c>
      <c r="C383" s="38" t="inlineStr">
        <is>
          <t>El Espectador</t>
        </is>
      </c>
      <c r="D383" s="38" t="inlineStr">
        <is>
          <t>Reformas sociales en disputa (pensional/tributaria)</t>
        </is>
      </c>
      <c r="E383" s="38" t="inlineStr">
        <is>
          <t>Noticia dura</t>
        </is>
      </c>
      <c r="F383" s="38" t="inlineStr">
        <is>
          <t>2026-05-12T19:11:23-05:00</t>
        </is>
      </c>
      <c r="G383" s="62"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H383" s="62" t="inlineStr">
        <is>
          <t>Suceden en un rimo casi que automático: manejan billones de pesos que involucran el bienestar de millones de personas, pero nadie parece reparar mucho en ellas.</t>
        </is>
      </c>
      <c r="I383" s="62" t="inlineStr">
        <is>
          <t>Esto, en voz de expertos y analistas, en directa contravía con lo dispuestos en uno de los dos artículos de la reforma pensional que siguen activos mientras el resto de la iniciativa sigue bajo la lupa de la Corte Constitucional.</t>
        </is>
      </c>
      <c r="J383" s="38" t="n"/>
      <c r="K383" s="62" t="n"/>
      <c r="L383" s="38" t="n"/>
      <c r="M383" s="62" t="n"/>
      <c r="N383" s="38" t="n"/>
      <c r="O383" s="62" t="n"/>
      <c r="P383" s="38" t="n"/>
      <c r="Q383" s="62" t="n"/>
      <c r="R383" s="38" t="n"/>
      <c r="S383" s="62" t="n"/>
      <c r="T383" s="38" t="n"/>
      <c r="U383" s="62" t="n"/>
      <c r="V383" s="38" t="n"/>
      <c r="W383" s="62" t="n"/>
      <c r="X383" s="38" t="n"/>
      <c r="Y383" s="62" t="n"/>
      <c r="Z383" s="38" t="n"/>
      <c r="AA383" s="62" t="n"/>
      <c r="AB383" s="38" t="n"/>
      <c r="AC383" s="62" t="n"/>
      <c r="AD383" s="38" t="n"/>
      <c r="AE383" s="38" t="n"/>
      <c r="AF383" s="61">
        <f>IF(COUNTIF($B$5:B383,B383)=1,1,0)</f>
        <v/>
      </c>
      <c r="AG383" s="62" t="inlineStr">
        <is>
          <t>https://www.elespectador.com/economia/macroeconomia/pensiones-en-colombia-2026-la-historia-del-enredo-entre-la-reforma-la-corte-constitucional-y-los-fondos-privados/</t>
        </is>
      </c>
    </row>
    <row r="384" ht="15" customHeight="1" s="31">
      <c r="A384" s="38" t="inlineStr">
        <is>
          <t>ART_057</t>
        </is>
      </c>
      <c r="B384" s="38" t="inlineStr">
        <is>
          <t>ART_057_S04</t>
        </is>
      </c>
      <c r="C384" s="38" t="inlineStr">
        <is>
          <t>El Espectador</t>
        </is>
      </c>
      <c r="D384" s="38" t="inlineStr">
        <is>
          <t>Reformas sociales en disputa (pensional/tributaria)</t>
        </is>
      </c>
      <c r="E384" s="38" t="inlineStr">
        <is>
          <t>Noticia dura</t>
        </is>
      </c>
      <c r="F384" s="38" t="inlineStr">
        <is>
          <t>2026-05-12T19:11:23-05:00</t>
        </is>
      </c>
      <c r="G384" s="62" t="inlineStr">
        <is>
          <t>Esto, en voz de expertos y analistas, en directa contravía con lo dispuestos en uno de los dos artículos de la reforma pensional que siguen activos mientras el resto de la iniciativa sigue bajo la lupa de la Corte Constitucional.</t>
        </is>
      </c>
      <c r="H384" s="62"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I384" s="62"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J384" s="38" t="n"/>
      <c r="K384" s="62" t="n"/>
      <c r="L384" s="38" t="n"/>
      <c r="M384" s="62" t="n"/>
      <c r="N384" s="38" t="n"/>
      <c r="O384" s="62" t="n"/>
      <c r="P384" s="38" t="n"/>
      <c r="Q384" s="62" t="n"/>
      <c r="R384" s="38" t="n"/>
      <c r="S384" s="62" t="n"/>
      <c r="T384" s="38" t="n"/>
      <c r="U384" s="62" t="n"/>
      <c r="V384" s="38" t="n"/>
      <c r="W384" s="62" t="n"/>
      <c r="X384" s="38" t="n"/>
      <c r="Y384" s="62" t="n"/>
      <c r="Z384" s="38" t="n"/>
      <c r="AA384" s="62" t="n"/>
      <c r="AB384" s="38" t="n"/>
      <c r="AC384" s="62" t="n"/>
      <c r="AD384" s="38" t="n"/>
      <c r="AE384" s="38" t="n"/>
      <c r="AF384" s="61">
        <f>IF(COUNTIF($B$5:B384,B384)=1,1,0)</f>
        <v/>
      </c>
      <c r="AG384" s="62" t="inlineStr">
        <is>
          <t>https://www.elespectador.com/economia/macroeconomia/pensiones-en-colombia-2026-la-historia-del-enredo-entre-la-reforma-la-corte-constitucional-y-los-fondos-privados/</t>
        </is>
      </c>
    </row>
    <row r="385" ht="15" customHeight="1" s="31">
      <c r="A385" s="38" t="inlineStr">
        <is>
          <t>ART_057</t>
        </is>
      </c>
      <c r="B385" s="38" t="inlineStr">
        <is>
          <t>ART_057_S05</t>
        </is>
      </c>
      <c r="C385" s="38" t="inlineStr">
        <is>
          <t>El Espectador</t>
        </is>
      </c>
      <c r="D385" s="38" t="inlineStr">
        <is>
          <t>Reformas sociales en disputa (pensional/tributaria)</t>
        </is>
      </c>
      <c r="E385" s="38" t="inlineStr">
        <is>
          <t>Noticia dura</t>
        </is>
      </c>
      <c r="F385" s="38" t="inlineStr">
        <is>
          <t>2026-05-12T19:11:23-05:00</t>
        </is>
      </c>
      <c r="G385" s="62"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H385" s="62" t="inlineStr">
        <is>
          <t>Esto, en voz de expertos y analistas, en directa contravía con lo dispuestos en uno de los dos artículos de la reforma pensional que siguen activos mientras el resto de la iniciativa sigue bajo la lupa de la Corte Constitucional.</t>
        </is>
      </c>
      <c r="I385" s="62" t="inlineStr">
        <is>
          <t>Entonces, ¿por qué es que no tenemos claras las reglas sobre pensiones para este punto?</t>
        </is>
      </c>
      <c r="J385" s="38" t="n"/>
      <c r="K385" s="62" t="n"/>
      <c r="L385" s="38" t="n"/>
      <c r="M385" s="62" t="n"/>
      <c r="N385" s="38" t="n"/>
      <c r="O385" s="62" t="n"/>
      <c r="P385" s="38" t="n"/>
      <c r="Q385" s="62" t="n"/>
      <c r="R385" s="38" t="n"/>
      <c r="S385" s="62" t="n"/>
      <c r="T385" s="38" t="n"/>
      <c r="U385" s="62" t="n"/>
      <c r="V385" s="38" t="n"/>
      <c r="W385" s="62" t="n"/>
      <c r="X385" s="38" t="n"/>
      <c r="Y385" s="62" t="n"/>
      <c r="Z385" s="38" t="n"/>
      <c r="AA385" s="62" t="n"/>
      <c r="AB385" s="38" t="n"/>
      <c r="AC385" s="62" t="n"/>
      <c r="AD385" s="38" t="n"/>
      <c r="AE385" s="38" t="n"/>
      <c r="AF385" s="61">
        <f>IF(COUNTIF($B$5:B385,B385)=1,1,0)</f>
        <v/>
      </c>
      <c r="AG385" s="62" t="inlineStr">
        <is>
          <t>https://www.elespectador.com/economia/macroeconomia/pensiones-en-colombia-2026-la-historia-del-enredo-entre-la-reforma-la-corte-constitucional-y-los-fondos-privados/</t>
        </is>
      </c>
    </row>
    <row r="386" ht="15" customHeight="1" s="31">
      <c r="A386" s="38" t="inlineStr">
        <is>
          <t>ART_057</t>
        </is>
      </c>
      <c r="B386" s="38" t="inlineStr">
        <is>
          <t>ART_057_S06</t>
        </is>
      </c>
      <c r="C386" s="38" t="inlineStr">
        <is>
          <t>El Espectador</t>
        </is>
      </c>
      <c r="D386" s="38" t="inlineStr">
        <is>
          <t>Reformas sociales en disputa (pensional/tributaria)</t>
        </is>
      </c>
      <c r="E386" s="38" t="inlineStr">
        <is>
          <t>Noticia dura</t>
        </is>
      </c>
      <c r="F386" s="38" t="inlineStr">
        <is>
          <t>2026-05-12T19:11:23-05:00</t>
        </is>
      </c>
      <c r="G386" s="62" t="inlineStr">
        <is>
          <t>Entonces, ¿por qué es que no tenemos claras las reglas sobre pensiones para este punto?</t>
        </is>
      </c>
      <c r="H386" s="62"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I386" s="62" t="n"/>
      <c r="J386" s="38" t="n"/>
      <c r="K386" s="62" t="n"/>
      <c r="L386" s="38" t="n"/>
      <c r="M386" s="62" t="n"/>
      <c r="N386" s="38" t="n"/>
      <c r="O386" s="62" t="n"/>
      <c r="P386" s="38" t="n"/>
      <c r="Q386" s="62" t="n"/>
      <c r="R386" s="38" t="n"/>
      <c r="S386" s="62" t="n"/>
      <c r="T386" s="38" t="n"/>
      <c r="U386" s="62" t="n"/>
      <c r="V386" s="38" t="n"/>
      <c r="W386" s="62" t="n"/>
      <c r="X386" s="38" t="n"/>
      <c r="Y386" s="62" t="n"/>
      <c r="Z386" s="38" t="n"/>
      <c r="AA386" s="62" t="n"/>
      <c r="AB386" s="38" t="n"/>
      <c r="AC386" s="62" t="n"/>
      <c r="AD386" s="38" t="n"/>
      <c r="AE386" s="38" t="n"/>
      <c r="AF386" s="61">
        <f>IF(COUNTIF($B$5:B386,B386)=1,1,0)</f>
        <v/>
      </c>
      <c r="AG386" s="62" t="inlineStr">
        <is>
          <t>https://www.elespectador.com/economia/macroeconomia/pensiones-en-colombia-2026-la-historia-del-enredo-entre-la-reforma-la-corte-constitucional-y-los-fondos-privados/</t>
        </is>
      </c>
    </row>
    <row r="387" ht="15" customHeight="1" s="31">
      <c r="A387" s="38" t="inlineStr">
        <is>
          <t>ART_058</t>
        </is>
      </c>
      <c r="B387" s="38" t="inlineStr">
        <is>
          <t>ART_058_S01</t>
        </is>
      </c>
      <c r="C387" s="38" t="inlineStr">
        <is>
          <t>El Espectador</t>
        </is>
      </c>
      <c r="D387" s="38" t="inlineStr">
        <is>
          <t>Respuesta a la emergencia del terremoto</t>
        </is>
      </c>
      <c r="E387" s="38" t="inlineStr">
        <is>
          <t>Noticia dura</t>
        </is>
      </c>
      <c r="F387" s="38" t="inlineStr">
        <is>
          <t>2026-09-02T13:33:50-05:00</t>
        </is>
      </c>
      <c r="G387" s="62" t="inlineStr">
        <is>
          <t>Este miércoles 2 de septiembre, el ministro de Vivienda, Jaime Andrés Beltrán, compareció ante la Comisión Séptima del Senado en un debate de control político sobre la reconstrucción del país tras el terremoto del 10 de agosto de 2026.</t>
        </is>
      </c>
      <c r="H387" s="62" t="n"/>
      <c r="I387" s="62" t="inlineStr">
        <is>
          <t>La sesión ocurrió, además, después de la polémica generada por las imágenes del ministro durante un puente festivo en Santa Marta con su familia, apenas cinco días después de la emergencia.</t>
        </is>
      </c>
      <c r="J387" s="38" t="n"/>
      <c r="K387" s="62" t="n"/>
      <c r="L387" s="38" t="n"/>
      <c r="M387" s="62" t="n"/>
      <c r="N387" s="38" t="n"/>
      <c r="O387" s="62" t="n"/>
      <c r="P387" s="38" t="n"/>
      <c r="Q387" s="62" t="n"/>
      <c r="R387" s="38" t="n"/>
      <c r="S387" s="62" t="n"/>
      <c r="T387" s="38" t="n"/>
      <c r="U387" s="62" t="n"/>
      <c r="V387" s="38" t="n"/>
      <c r="W387" s="62" t="n"/>
      <c r="X387" s="38" t="n"/>
      <c r="Y387" s="62" t="n"/>
      <c r="Z387" s="38" t="n"/>
      <c r="AA387" s="62" t="n"/>
      <c r="AB387" s="38" t="n"/>
      <c r="AC387" s="62" t="n"/>
      <c r="AD387" s="38" t="n"/>
      <c r="AE387" s="38" t="n"/>
      <c r="AF387" s="61">
        <f>IF(COUNTIF($B$5:B387,B387)=1,1,0)</f>
        <v/>
      </c>
      <c r="AG387" s="62" t="inlineStr">
        <is>
          <t>https://www.elespectador.com/economia/como-va-la-reconstruccion-en-colombia-tras-el-terremoto-esto-dijo-minvivienda-en-debate-de-control-en-el-senado/</t>
        </is>
      </c>
    </row>
    <row r="388" ht="15" customHeight="1" s="31">
      <c r="A388" s="38" t="inlineStr">
        <is>
          <t>ART_058</t>
        </is>
      </c>
      <c r="B388" s="38" t="inlineStr">
        <is>
          <t>ART_058_S02</t>
        </is>
      </c>
      <c r="C388" s="38" t="inlineStr">
        <is>
          <t>El Espectador</t>
        </is>
      </c>
      <c r="D388" s="38" t="inlineStr">
        <is>
          <t>Respuesta a la emergencia del terremoto</t>
        </is>
      </c>
      <c r="E388" s="38" t="inlineStr">
        <is>
          <t>Noticia dura</t>
        </is>
      </c>
      <c r="F388" s="38" t="inlineStr">
        <is>
          <t>2026-09-02T13:33:50-05:00</t>
        </is>
      </c>
      <c r="G388" s="62" t="inlineStr">
        <is>
          <t>La sesión ocurrió, además, después de la polémica generada por las imágenes del ministro durante un puente festivo en Santa Marta con su familia, apenas cinco días después de la emergencia.</t>
        </is>
      </c>
      <c r="H388" s="62" t="inlineStr">
        <is>
          <t>Este miércoles 2 de septiembre, el ministro de Vivienda, Jaime Andrés Beltrán, compareció ante la Comisión Séptima del Senado en un debate de control político sobre la reconstrucción del país tras el terremoto del 10 de agosto de 2026.</t>
        </is>
      </c>
      <c r="I388" s="62" t="inlineStr">
        <is>
          <t>Beltrán pidió disculpas a las familias que se sintieron afectadas por su decisión, pero durante su intervención esquivó las críticas e insistió en que el debate debía concentrarse en las soluciones para la reconstrucción.</t>
        </is>
      </c>
      <c r="J388" s="38" t="n"/>
      <c r="K388" s="62" t="n"/>
      <c r="L388" s="38" t="n"/>
      <c r="M388" s="62" t="n"/>
      <c r="N388" s="38" t="n"/>
      <c r="O388" s="62" t="n"/>
      <c r="P388" s="38" t="n"/>
      <c r="Q388" s="62" t="n"/>
      <c r="R388" s="38" t="n"/>
      <c r="S388" s="62" t="n"/>
      <c r="T388" s="38" t="n"/>
      <c r="U388" s="62" t="n"/>
      <c r="V388" s="38" t="n"/>
      <c r="W388" s="62" t="n"/>
      <c r="X388" s="38" t="n"/>
      <c r="Y388" s="62" t="n"/>
      <c r="Z388" s="38" t="n"/>
      <c r="AA388" s="62" t="n"/>
      <c r="AB388" s="38" t="n"/>
      <c r="AC388" s="62" t="n"/>
      <c r="AD388" s="38" t="n"/>
      <c r="AE388" s="38" t="n"/>
      <c r="AF388" s="61">
        <f>IF(COUNTIF($B$5:B388,B388)=1,1,0)</f>
        <v/>
      </c>
      <c r="AG388" s="62" t="inlineStr">
        <is>
          <t>https://www.elespectador.com/economia/como-va-la-reconstruccion-en-colombia-tras-el-terremoto-esto-dijo-minvivienda-en-debate-de-control-en-el-senado/</t>
        </is>
      </c>
    </row>
    <row r="389" ht="15" customHeight="1" s="31">
      <c r="A389" s="38" t="inlineStr">
        <is>
          <t>ART_058</t>
        </is>
      </c>
      <c r="B389" s="38" t="inlineStr">
        <is>
          <t>ART_058_S03</t>
        </is>
      </c>
      <c r="C389" s="38" t="inlineStr">
        <is>
          <t>El Espectador</t>
        </is>
      </c>
      <c r="D389" s="38" t="inlineStr">
        <is>
          <t>Respuesta a la emergencia del terremoto</t>
        </is>
      </c>
      <c r="E389" s="38" t="inlineStr">
        <is>
          <t>Noticia dura</t>
        </is>
      </c>
      <c r="F389" s="38" t="inlineStr">
        <is>
          <t>2026-09-02T13:33:50-05:00</t>
        </is>
      </c>
      <c r="G389" s="62" t="inlineStr">
        <is>
          <t>Beltrán pidió disculpas a las familias que se sintieron afectadas por su decisión, pero durante su intervención esquivó las críticas e insistió en que el debate debía concentrarse en las soluciones para la reconstrucción.</t>
        </is>
      </c>
      <c r="H389" s="62" t="inlineStr">
        <is>
          <t>La sesión ocurrió, además, después de la polémica generada por las imágenes del ministro durante un puente festivo en Santa Marta con su familia, apenas cinco días después de la emergencia.</t>
        </is>
      </c>
      <c r="I389" s="62" t="inlineStr">
        <is>
          <t>“La riqueza de este debate no debe ser en función de la persona y la acción del Ministerio, sino en torno a las acciones que tenemos sobre la mesa”, dijo el ministro.</t>
        </is>
      </c>
      <c r="J389" s="38" t="n"/>
      <c r="K389" s="62" t="n"/>
      <c r="L389" s="38" t="n"/>
      <c r="M389" s="62" t="n"/>
      <c r="N389" s="38" t="n"/>
      <c r="O389" s="62" t="n"/>
      <c r="P389" s="38" t="n"/>
      <c r="Q389" s="62" t="n"/>
      <c r="R389" s="38" t="n"/>
      <c r="S389" s="62" t="n"/>
      <c r="T389" s="38" t="n"/>
      <c r="U389" s="62" t="n"/>
      <c r="V389" s="38" t="n"/>
      <c r="W389" s="62" t="n"/>
      <c r="X389" s="38" t="n"/>
      <c r="Y389" s="62" t="n"/>
      <c r="Z389" s="38" t="n"/>
      <c r="AA389" s="62" t="n"/>
      <c r="AB389" s="38" t="n"/>
      <c r="AC389" s="62" t="n"/>
      <c r="AD389" s="38" t="n"/>
      <c r="AE389" s="38" t="n"/>
      <c r="AF389" s="61">
        <f>IF(COUNTIF($B$5:B389,B389)=1,1,0)</f>
        <v/>
      </c>
      <c r="AG389" s="62" t="inlineStr">
        <is>
          <t>https://www.elespectador.com/economia/como-va-la-reconstruccion-en-colombia-tras-el-terremoto-esto-dijo-minvivienda-en-debate-de-control-en-el-senado/</t>
        </is>
      </c>
    </row>
    <row r="390" ht="15" customHeight="1" s="31">
      <c r="A390" s="38" t="inlineStr">
        <is>
          <t>ART_058</t>
        </is>
      </c>
      <c r="B390" s="38" t="inlineStr">
        <is>
          <t>ART_058_S04</t>
        </is>
      </c>
      <c r="C390" s="38" t="inlineStr">
        <is>
          <t>El Espectador</t>
        </is>
      </c>
      <c r="D390" s="38" t="inlineStr">
        <is>
          <t>Respuesta a la emergencia del terremoto</t>
        </is>
      </c>
      <c r="E390" s="38" t="inlineStr">
        <is>
          <t>Noticia dura</t>
        </is>
      </c>
      <c r="F390" s="38" t="inlineStr">
        <is>
          <t>2026-09-02T13:33:50-05:00</t>
        </is>
      </c>
      <c r="G390" s="62" t="inlineStr">
        <is>
          <t>“La riqueza de este debate no debe ser en función de la persona y la acción del Ministerio, sino en torno a las acciones que tenemos sobre la mesa”, dijo el ministro.</t>
        </is>
      </c>
      <c r="H390" s="62" t="inlineStr">
        <is>
          <t>Beltrán pidió disculpas a las familias que se sintieron afectadas por su decisión, pero durante su intervención esquivó las críticas e insistió en que el debate debía concentrarse en las soluciones para la reconstrucción.</t>
        </is>
      </c>
      <c r="I390" s="62" t="inlineStr">
        <is>
          <t>Le puede interesar: Reconstruir lejos de las ciudades: el reto que le espera a Colombia.</t>
        </is>
      </c>
      <c r="J390" s="38" t="n"/>
      <c r="K390" s="62" t="n"/>
      <c r="L390" s="38" t="n"/>
      <c r="M390" s="62" t="n"/>
      <c r="N390" s="38" t="n"/>
      <c r="O390" s="62" t="n"/>
      <c r="P390" s="38" t="n"/>
      <c r="Q390" s="62" t="n"/>
      <c r="R390" s="38" t="n"/>
      <c r="S390" s="62" t="n"/>
      <c r="T390" s="38" t="n"/>
      <c r="U390" s="62" t="n"/>
      <c r="V390" s="38" t="n"/>
      <c r="W390" s="62" t="n"/>
      <c r="X390" s="38" t="n"/>
      <c r="Y390" s="62" t="n"/>
      <c r="Z390" s="38" t="n"/>
      <c r="AA390" s="62" t="n"/>
      <c r="AB390" s="38" t="n"/>
      <c r="AC390" s="62" t="n"/>
      <c r="AD390" s="38" t="n"/>
      <c r="AE390" s="38" t="n"/>
      <c r="AF390" s="61">
        <f>IF(COUNTIF($B$5:B390,B390)=1,1,0)</f>
        <v/>
      </c>
      <c r="AG390" s="62" t="inlineStr">
        <is>
          <t>https://www.elespectador.com/economia/como-va-la-reconstruccion-en-colombia-tras-el-terremoto-esto-dijo-minvivienda-en-debate-de-control-en-el-senado/</t>
        </is>
      </c>
    </row>
    <row r="391" ht="15" customHeight="1" s="31">
      <c r="A391" s="38" t="inlineStr">
        <is>
          <t>ART_058</t>
        </is>
      </c>
      <c r="B391" s="38" t="inlineStr">
        <is>
          <t>ART_058_S05</t>
        </is>
      </c>
      <c r="C391" s="38" t="inlineStr">
        <is>
          <t>El Espectador</t>
        </is>
      </c>
      <c r="D391" s="38" t="inlineStr">
        <is>
          <t>Respuesta a la emergencia del terremoto</t>
        </is>
      </c>
      <c r="E391" s="38" t="inlineStr">
        <is>
          <t>Noticia dura</t>
        </is>
      </c>
      <c r="F391" s="38" t="inlineStr">
        <is>
          <t>2026-09-02T13:33:50-05:00</t>
        </is>
      </c>
      <c r="G391" s="62" t="inlineStr">
        <is>
          <t>Le puede interesar: Reconstruir lejos de las ciudades: el reto que le espera a Colombia.</t>
        </is>
      </c>
      <c r="H391" s="62" t="inlineStr">
        <is>
          <t>“La riqueza de este debate no debe ser en función de la persona y la acción del Ministerio, sino en torno a las acciones que tenemos sobre la mesa”, dijo el ministro.</t>
        </is>
      </c>
      <c r="I391" s="62" t="inlineStr">
        <is>
          <t>El principal problema para calcular el costo de la reconstrucción es que el Gobierno aún no termina de establecer la dimensión de los daños.</t>
        </is>
      </c>
      <c r="J391" s="38" t="n"/>
      <c r="K391" s="62" t="n"/>
      <c r="L391" s="38" t="n"/>
      <c r="M391" s="62" t="n"/>
      <c r="N391" s="38" t="n"/>
      <c r="O391" s="62" t="n"/>
      <c r="P391" s="38" t="n"/>
      <c r="Q391" s="62" t="n"/>
      <c r="R391" s="38" t="n"/>
      <c r="S391" s="62" t="n"/>
      <c r="T391" s="38" t="n"/>
      <c r="U391" s="62" t="n"/>
      <c r="V391" s="38" t="n"/>
      <c r="W391" s="62" t="n"/>
      <c r="X391" s="38" t="n"/>
      <c r="Y391" s="62" t="n"/>
      <c r="Z391" s="38" t="n"/>
      <c r="AA391" s="62" t="n"/>
      <c r="AB391" s="38" t="n"/>
      <c r="AC391" s="62" t="n"/>
      <c r="AD391" s="38" t="n"/>
      <c r="AE391" s="38" t="n"/>
      <c r="AF391" s="61">
        <f>IF(COUNTIF($B$5:B391,B391)=1,1,0)</f>
        <v/>
      </c>
      <c r="AG391" s="62" t="inlineStr">
        <is>
          <t>https://www.elespectador.com/economia/como-va-la-reconstruccion-en-colombia-tras-el-terremoto-esto-dijo-minvivienda-en-debate-de-control-en-el-senado/</t>
        </is>
      </c>
    </row>
    <row r="392" ht="15" customHeight="1" s="31">
      <c r="A392" s="38" t="inlineStr">
        <is>
          <t>ART_058</t>
        </is>
      </c>
      <c r="B392" s="38" t="inlineStr">
        <is>
          <t>ART_058_S06</t>
        </is>
      </c>
      <c r="C392" s="38" t="inlineStr">
        <is>
          <t>El Espectador</t>
        </is>
      </c>
      <c r="D392" s="38" t="inlineStr">
        <is>
          <t>Respuesta a la emergencia del terremoto</t>
        </is>
      </c>
      <c r="E392" s="38" t="inlineStr">
        <is>
          <t>Noticia dura</t>
        </is>
      </c>
      <c r="F392" s="38" t="inlineStr">
        <is>
          <t>2026-09-02T13:33:50-05:00</t>
        </is>
      </c>
      <c r="G392" s="62" t="inlineStr">
        <is>
          <t>El principal problema para calcular el costo de la reconstrucción es que el Gobierno aún no termina de establecer la dimensión de los daños.</t>
        </is>
      </c>
      <c r="H392" s="62" t="inlineStr">
        <is>
          <t>Le puede interesar: Reconstruir lejos de las ciudades: el reto que le espera a Colombia.</t>
        </is>
      </c>
      <c r="I392" s="62" t="n"/>
      <c r="J392" s="38" t="n"/>
      <c r="K392" s="62" t="n"/>
      <c r="L392" s="38" t="n"/>
      <c r="M392" s="62" t="n"/>
      <c r="N392" s="38" t="n"/>
      <c r="O392" s="62" t="n"/>
      <c r="P392" s="38" t="n"/>
      <c r="Q392" s="62" t="n"/>
      <c r="R392" s="38" t="n"/>
      <c r="S392" s="62" t="n"/>
      <c r="T392" s="38" t="n"/>
      <c r="U392" s="62" t="n"/>
      <c r="V392" s="38" t="n"/>
      <c r="W392" s="62" t="n"/>
      <c r="X392" s="38" t="n"/>
      <c r="Y392" s="62" t="n"/>
      <c r="Z392" s="38" t="n"/>
      <c r="AA392" s="62" t="n"/>
      <c r="AB392" s="38" t="n"/>
      <c r="AC392" s="62" t="n"/>
      <c r="AD392" s="38" t="n"/>
      <c r="AE392" s="38" t="n"/>
      <c r="AF392" s="61">
        <f>IF(COUNTIF($B$5:B392,B392)=1,1,0)</f>
        <v/>
      </c>
      <c r="AG392" s="62" t="inlineStr">
        <is>
          <t>https://www.elespectador.com/economia/como-va-la-reconstruccion-en-colombia-tras-el-terremoto-esto-dijo-minvivienda-en-debate-de-control-en-el-senado/</t>
        </is>
      </c>
    </row>
    <row r="393" ht="15" customHeight="1" s="31">
      <c r="A393" s="38" t="inlineStr">
        <is>
          <t>ART_059</t>
        </is>
      </c>
      <c r="B393" s="38" t="inlineStr">
        <is>
          <t>ART_059_S01</t>
        </is>
      </c>
      <c r="C393" s="38" t="inlineStr">
        <is>
          <t>El Tiempo</t>
        </is>
      </c>
      <c r="D393" s="38" t="inlineStr">
        <is>
          <t>Relación con Estados Unidos</t>
        </is>
      </c>
      <c r="E393" s="38" t="inlineStr">
        <is>
          <t>Noticia dura</t>
        </is>
      </c>
      <c r="F393" s="38" t="inlineStr">
        <is>
          <t>2026-07-23T16:34:40-05:00</t>
        </is>
      </c>
      <c r="G393" s="62" t="inlineStr">
        <is>
          <t>La administración del presidente Donald Trump confirmó este jueves un nuevo paquete de aranceles a las importaciones de decenas de países, entre ellos Colombia, en una decisión que impone un gravamen del 12,5 por ciento a los productos originarios del país que ingresen al mercado estadounidense.</t>
        </is>
      </c>
      <c r="H393" s="62" t="n"/>
      <c r="I393" s="62" t="inlineStr">
        <is>
          <t>La medida, adoptada al amparo de la Sección 301 de la Ley de Comercio de 1974, entrará en vigor a las 12:01 a. m. de este viernes 24 de julio.</t>
        </is>
      </c>
      <c r="J393" s="38" t="n"/>
      <c r="K393" s="62" t="n"/>
      <c r="L393" s="38" t="n"/>
      <c r="M393" s="62" t="n"/>
      <c r="N393" s="38" t="n"/>
      <c r="O393" s="62" t="n"/>
      <c r="P393" s="38" t="n"/>
      <c r="Q393" s="62" t="n"/>
      <c r="R393" s="38" t="n"/>
      <c r="S393" s="62" t="n"/>
      <c r="T393" s="38" t="n"/>
      <c r="U393" s="62" t="n"/>
      <c r="V393" s="38" t="n"/>
      <c r="W393" s="62" t="n"/>
      <c r="X393" s="38" t="n"/>
      <c r="Y393" s="62" t="n"/>
      <c r="Z393" s="38" t="n"/>
      <c r="AA393" s="62" t="n"/>
      <c r="AB393" s="38" t="n"/>
      <c r="AC393" s="62" t="n"/>
      <c r="AD393" s="38" t="n"/>
      <c r="AE393" s="38" t="n"/>
      <c r="AF393" s="61">
        <f>IF(COUNTIF($B$5:B393,B393)=1,1,0)</f>
        <v/>
      </c>
      <c r="AG393" s="62" t="inlineStr">
        <is>
          <t>https://www.eltiempo.com/mundo/eeuu-y-canada/estados-unidos-anuncia-un-nuevo-regimen-de-aranceles-para-colombia-y-fija-el-gravamen-en-12-5-que-cambia-para-los-exportadores-3573311</t>
        </is>
      </c>
    </row>
    <row r="394" ht="15" customHeight="1" s="31">
      <c r="A394" s="38" t="inlineStr">
        <is>
          <t>ART_059</t>
        </is>
      </c>
      <c r="B394" s="38" t="inlineStr">
        <is>
          <t>ART_059_S02</t>
        </is>
      </c>
      <c r="C394" s="38" t="inlineStr">
        <is>
          <t>El Tiempo</t>
        </is>
      </c>
      <c r="D394" s="38" t="inlineStr">
        <is>
          <t>Relación con Estados Unidos</t>
        </is>
      </c>
      <c r="E394" s="38" t="inlineStr">
        <is>
          <t>Noticia dura</t>
        </is>
      </c>
      <c r="F394" s="38" t="inlineStr">
        <is>
          <t>2026-07-23T16:34:40-05:00</t>
        </is>
      </c>
      <c r="G394" s="62" t="inlineStr">
        <is>
          <t>La medida, adoptada al amparo de la Sección 301 de la Ley de Comercio de 1974, entrará en vigor a las 12:01 a. m. de este viernes 24 de julio.</t>
        </is>
      </c>
      <c r="H394" s="62" t="inlineStr">
        <is>
          <t>La administración del presidente Donald Trump confirmó este jueves un nuevo paquete de aranceles a las importaciones de decenas de países, entre ellos Colombia, en una decisión que impone un gravamen del 12,5 por ciento a los productos originarios del país que ingresen al mercado estadounidense.</t>
        </is>
      </c>
      <c r="I394" s="62" t="inlineStr">
        <is>
          <t>Así lo confirmó el representante comercial de Estados Unidos, Jamieson Greer, quien oficializó la adopción de las medidas tras concluir una investigación sobre las políticas de 54 economías respecto a la importación de bienes producidos con trabajo forzoso.</t>
        </is>
      </c>
      <c r="J394" s="38" t="n"/>
      <c r="K394" s="62" t="n"/>
      <c r="L394" s="38" t="n"/>
      <c r="M394" s="62" t="n"/>
      <c r="N394" s="38" t="n"/>
      <c r="O394" s="62" t="n"/>
      <c r="P394" s="38" t="n"/>
      <c r="Q394" s="62" t="n"/>
      <c r="R394" s="38" t="n"/>
      <c r="S394" s="62" t="n"/>
      <c r="T394" s="38" t="n"/>
      <c r="U394" s="62" t="n"/>
      <c r="V394" s="38" t="n"/>
      <c r="W394" s="62" t="n"/>
      <c r="X394" s="38" t="n"/>
      <c r="Y394" s="62" t="n"/>
      <c r="Z394" s="38" t="n"/>
      <c r="AA394" s="62" t="n"/>
      <c r="AB394" s="38" t="n"/>
      <c r="AC394" s="62" t="n"/>
      <c r="AD394" s="38" t="n"/>
      <c r="AE394" s="38" t="n"/>
      <c r="AF394" s="61">
        <f>IF(COUNTIF($B$5:B394,B394)=1,1,0)</f>
        <v/>
      </c>
      <c r="AG394" s="62" t="inlineStr">
        <is>
          <t>https://www.eltiempo.com/mundo/eeuu-y-canada/estados-unidos-anuncia-un-nuevo-regimen-de-aranceles-para-colombia-y-fija-el-gravamen-en-12-5-que-cambia-para-los-exportadores-3573311</t>
        </is>
      </c>
    </row>
    <row r="395" ht="15" customHeight="1" s="31">
      <c r="A395" s="38" t="inlineStr">
        <is>
          <t>ART_059</t>
        </is>
      </c>
      <c r="B395" s="38" t="inlineStr">
        <is>
          <t>ART_059_S03</t>
        </is>
      </c>
      <c r="C395" s="38" t="inlineStr">
        <is>
          <t>El Tiempo</t>
        </is>
      </c>
      <c r="D395" s="38" t="inlineStr">
        <is>
          <t>Relación con Estados Unidos</t>
        </is>
      </c>
      <c r="E395" s="38" t="inlineStr">
        <is>
          <t>Noticia dura</t>
        </is>
      </c>
      <c r="F395" s="38" t="inlineStr">
        <is>
          <t>2026-07-23T16:34:40-05:00</t>
        </is>
      </c>
      <c r="G395" s="62" t="inlineStr">
        <is>
          <t>Así lo confirmó el representante comercial de Estados Unidos, Jamieson Greer, quien oficializó la adopción de las medidas tras concluir una investigación sobre las políticas de 54 economías respecto a la importación de bienes producidos con trabajo forzoso.</t>
        </is>
      </c>
      <c r="H395" s="62" t="inlineStr">
        <is>
          <t>La medida, adoptada al amparo de la Sección 301 de la Ley de Comercio de 1974, entrará en vigor a las 12:01 a. m. de este viernes 24 de julio.</t>
        </is>
      </c>
      <c r="I395" s="62" t="inlineStr">
        <is>
          <t>“El presidente Trump reconoce que décadas de persuasión moral no han erradicado el trabajo forzoso de las cadenas de suministro globales.</t>
        </is>
      </c>
      <c r="J395" s="38" t="n"/>
      <c r="K395" s="62" t="n"/>
      <c r="L395" s="38" t="n"/>
      <c r="M395" s="62" t="n"/>
      <c r="N395" s="38" t="n"/>
      <c r="O395" s="62" t="n"/>
      <c r="P395" s="38" t="n"/>
      <c r="Q395" s="62" t="n"/>
      <c r="R395" s="38" t="n"/>
      <c r="S395" s="62" t="n"/>
      <c r="T395" s="38" t="n"/>
      <c r="U395" s="62" t="n"/>
      <c r="V395" s="38" t="n"/>
      <c r="W395" s="62" t="n"/>
      <c r="X395" s="38" t="n"/>
      <c r="Y395" s="62" t="n"/>
      <c r="Z395" s="38" t="n"/>
      <c r="AA395" s="62" t="n"/>
      <c r="AB395" s="38" t="n"/>
      <c r="AC395" s="62" t="n"/>
      <c r="AD395" s="38" t="n"/>
      <c r="AE395" s="38" t="n"/>
      <c r="AF395" s="61">
        <f>IF(COUNTIF($B$5:B395,B395)=1,1,0)</f>
        <v/>
      </c>
      <c r="AG395" s="62" t="inlineStr">
        <is>
          <t>https://www.eltiempo.com/mundo/eeuu-y-canada/estados-unidos-anuncia-un-nuevo-regimen-de-aranceles-para-colombia-y-fija-el-gravamen-en-12-5-que-cambia-para-los-exportadores-3573311</t>
        </is>
      </c>
    </row>
    <row r="396" ht="15" customHeight="1" s="31">
      <c r="A396" s="38" t="inlineStr">
        <is>
          <t>ART_059</t>
        </is>
      </c>
      <c r="B396" s="38" t="inlineStr">
        <is>
          <t>ART_059_S04</t>
        </is>
      </c>
      <c r="C396" s="38" t="inlineStr">
        <is>
          <t>El Tiempo</t>
        </is>
      </c>
      <c r="D396" s="38" t="inlineStr">
        <is>
          <t>Relación con Estados Unidos</t>
        </is>
      </c>
      <c r="E396" s="38" t="inlineStr">
        <is>
          <t>Noticia dura</t>
        </is>
      </c>
      <c r="F396" s="38" t="inlineStr">
        <is>
          <t>2026-07-23T16:34:40-05:00</t>
        </is>
      </c>
      <c r="G396" s="62" t="inlineStr">
        <is>
          <t>“El presidente Trump reconoce que décadas de persuasión moral no han erradicado el trabajo forzoso de las cadenas de suministro globales.</t>
        </is>
      </c>
      <c r="H396" s="62" t="inlineStr">
        <is>
          <t>Así lo confirmó el representante comercial de Estados Unidos, Jamieson Greer, quien oficializó la adopción de las medidas tras concluir una investigación sobre las políticas de 54 economías respecto a la importación de bienes producidos con trabajo forzoso.</t>
        </is>
      </c>
      <c r="I396" s="62" t="inlineStr">
        <is>
          <t>Estados Unidos mantiene una prohibición de importación de productos elaborados con trabajo forzoso desde hace casi un siglo y la aplica rigurosamente; ya es hora de que nuestros socios comerciales hagan lo mismo”, señaló Greer.</t>
        </is>
      </c>
      <c r="J396" s="38" t="n"/>
      <c r="K396" s="62" t="n"/>
      <c r="L396" s="38" t="n"/>
      <c r="M396" s="62" t="n"/>
      <c r="N396" s="38" t="n"/>
      <c r="O396" s="62" t="n"/>
      <c r="P396" s="38" t="n"/>
      <c r="Q396" s="62" t="n"/>
      <c r="R396" s="38" t="n"/>
      <c r="S396" s="62" t="n"/>
      <c r="T396" s="38" t="n"/>
      <c r="U396" s="62" t="n"/>
      <c r="V396" s="38" t="n"/>
      <c r="W396" s="62" t="n"/>
      <c r="X396" s="38" t="n"/>
      <c r="Y396" s="62" t="n"/>
      <c r="Z396" s="38" t="n"/>
      <c r="AA396" s="62" t="n"/>
      <c r="AB396" s="38" t="n"/>
      <c r="AC396" s="62" t="n"/>
      <c r="AD396" s="38" t="n"/>
      <c r="AE396" s="38" t="n"/>
      <c r="AF396" s="61">
        <f>IF(COUNTIF($B$5:B396,B396)=1,1,0)</f>
        <v/>
      </c>
      <c r="AG396" s="62" t="inlineStr">
        <is>
          <t>https://www.eltiempo.com/mundo/eeuu-y-canada/estados-unidos-anuncia-un-nuevo-regimen-de-aranceles-para-colombia-y-fija-el-gravamen-en-12-5-que-cambia-para-los-exportadores-3573311</t>
        </is>
      </c>
    </row>
    <row r="397" ht="15" customHeight="1" s="31">
      <c r="A397" s="38" t="inlineStr">
        <is>
          <t>ART_059</t>
        </is>
      </c>
      <c r="B397" s="38" t="inlineStr">
        <is>
          <t>ART_059_S05</t>
        </is>
      </c>
      <c r="C397" s="38" t="inlineStr">
        <is>
          <t>El Tiempo</t>
        </is>
      </c>
      <c r="D397" s="38" t="inlineStr">
        <is>
          <t>Relación con Estados Unidos</t>
        </is>
      </c>
      <c r="E397" s="38" t="inlineStr">
        <is>
          <t>Noticia dura</t>
        </is>
      </c>
      <c r="F397" s="38" t="inlineStr">
        <is>
          <t>2026-07-23T16:34:40-05:00</t>
        </is>
      </c>
      <c r="G397" s="62" t="inlineStr">
        <is>
          <t>Estados Unidos mantiene una prohibición de importación de productos elaborados con trabajo forzoso desde hace casi un siglo y la aplica rigurosamente; ya es hora de que nuestros socios comerciales hagan lo mismo”, señaló Greer.</t>
        </is>
      </c>
      <c r="H397" s="62" t="inlineStr">
        <is>
          <t>“El presidente Trump reconoce que décadas de persuasión moral no han erradicado el trabajo forzoso de las cadenas de suministro globales.</t>
        </is>
      </c>
      <c r="I397" s="62" t="inlineStr">
        <is>
          <t>Desde comienzos de este año, la Casa Blanca había impuesto un arancel general del 10 por ciento (amparado en la Sección 122 de la Ley de Comercio) a la mayoría de las importaciones que llegan al país para reemplazar los gravámenes (impuestos bajo la Ley de Poderes Económicos de Emergencia Internacional) que fueron anulados por la Corte Suprema de Estados Unidos.</t>
        </is>
      </c>
      <c r="J397" s="38" t="n"/>
      <c r="K397" s="62" t="n"/>
      <c r="L397" s="38" t="n"/>
      <c r="M397" s="62" t="n"/>
      <c r="N397" s="38" t="n"/>
      <c r="O397" s="62" t="n"/>
      <c r="P397" s="38" t="n"/>
      <c r="Q397" s="62" t="n"/>
      <c r="R397" s="38" t="n"/>
      <c r="S397" s="62" t="n"/>
      <c r="T397" s="38" t="n"/>
      <c r="U397" s="62" t="n"/>
      <c r="V397" s="38" t="n"/>
      <c r="W397" s="62" t="n"/>
      <c r="X397" s="38" t="n"/>
      <c r="Y397" s="62" t="n"/>
      <c r="Z397" s="38" t="n"/>
      <c r="AA397" s="62" t="n"/>
      <c r="AB397" s="38" t="n"/>
      <c r="AC397" s="62" t="n"/>
      <c r="AD397" s="38" t="n"/>
      <c r="AE397" s="38" t="n"/>
      <c r="AF397" s="61">
        <f>IF(COUNTIF($B$5:B397,B397)=1,1,0)</f>
        <v/>
      </c>
      <c r="AG397" s="62" t="inlineStr">
        <is>
          <t>https://www.eltiempo.com/mundo/eeuu-y-canada/estados-unidos-anuncia-un-nuevo-regimen-de-aranceles-para-colombia-y-fija-el-gravamen-en-12-5-que-cambia-para-los-exportadores-3573311</t>
        </is>
      </c>
    </row>
    <row r="398" ht="15" customHeight="1" s="31">
      <c r="A398" s="38" t="inlineStr">
        <is>
          <t>ART_059</t>
        </is>
      </c>
      <c r="B398" s="38" t="inlineStr">
        <is>
          <t>ART_059_S06</t>
        </is>
      </c>
      <c r="C398" s="38" t="inlineStr">
        <is>
          <t>El Tiempo</t>
        </is>
      </c>
      <c r="D398" s="38" t="inlineStr">
        <is>
          <t>Relación con Estados Unidos</t>
        </is>
      </c>
      <c r="E398" s="38" t="inlineStr">
        <is>
          <t>Noticia dura</t>
        </is>
      </c>
      <c r="F398" s="38" t="inlineStr">
        <is>
          <t>2026-07-23T16:34:40-05:00</t>
        </is>
      </c>
      <c r="G398" s="62" t="inlineStr">
        <is>
          <t>Desde comienzos de este año, la Casa Blanca había impuesto un arancel general del 10 por ciento (amparado en la Sección 122 de la Ley de Comercio) a la mayoría de las importaciones que llegan al país para reemplazar los gravámenes (impuestos bajo la Ley de Poderes Económicos de Emergencia Internacional) que fueron anulados por la Corte Suprema de Estados Unidos.</t>
        </is>
      </c>
      <c r="H398" s="62" t="inlineStr">
        <is>
          <t>Estados Unidos mantiene una prohibición de importación de productos elaborados con trabajo forzoso desde hace casi un siglo y la aplica rigurosamente; ya es hora de que nuestros socios comerciales hagan lo mismo”, señaló Greer.</t>
        </is>
      </c>
      <c r="I398" s="62" t="n"/>
      <c r="J398" s="38" t="n"/>
      <c r="K398" s="62" t="n"/>
      <c r="L398" s="38" t="n"/>
      <c r="M398" s="62" t="n"/>
      <c r="N398" s="38" t="n"/>
      <c r="O398" s="62" t="n"/>
      <c r="P398" s="38" t="n"/>
      <c r="Q398" s="62" t="n"/>
      <c r="R398" s="38" t="n"/>
      <c r="S398" s="62" t="n"/>
      <c r="T398" s="38" t="n"/>
      <c r="U398" s="62" t="n"/>
      <c r="V398" s="38" t="n"/>
      <c r="W398" s="62" t="n"/>
      <c r="X398" s="38" t="n"/>
      <c r="Y398" s="62" t="n"/>
      <c r="Z398" s="38" t="n"/>
      <c r="AA398" s="62" t="n"/>
      <c r="AB398" s="38" t="n"/>
      <c r="AC398" s="62" t="n"/>
      <c r="AD398" s="38" t="n"/>
      <c r="AE398" s="38" t="n"/>
      <c r="AF398" s="61">
        <f>IF(COUNTIF($B$5:B398,B398)=1,1,0)</f>
        <v/>
      </c>
      <c r="AG398" s="62" t="inlineStr">
        <is>
          <t>https://www.eltiempo.com/mundo/eeuu-y-canada/estados-unidos-anuncia-un-nuevo-regimen-de-aranceles-para-colombia-y-fija-el-gravamen-en-12-5-que-cambia-para-los-exportadores-3573311</t>
        </is>
      </c>
    </row>
    <row r="399" ht="15" customHeight="1" s="31">
      <c r="A399" s="38" t="inlineStr">
        <is>
          <t>ART_060</t>
        </is>
      </c>
      <c r="B399" s="38" t="inlineStr">
        <is>
          <t>ART_060_S01</t>
        </is>
      </c>
      <c r="C399" s="38" t="inlineStr">
        <is>
          <t>Infobae Colombia</t>
        </is>
      </c>
      <c r="D399" s="38" t="inlineStr">
        <is>
          <t>Respuesta a la emergencia del terremoto</t>
        </is>
      </c>
      <c r="E399" s="38" t="inlineStr">
        <is>
          <t>Noticia dura</t>
        </is>
      </c>
      <c r="F399" s="38" t="inlineStr">
        <is>
          <t>2026-09-02T22:25:03Z</t>
        </is>
      </c>
      <c r="G399" s="62" t="inlineStr">
        <is>
          <t>El ministro de Vivienda, Jaime Andrés Beltrán, solicitó una adición de $4 billones al Ministerio de Hacienda para atender la reconstrucción por los daños del terremoto del 10 de agosto de 2026, al advertir ante la Comisión Séptima del Senado que los $700.000 millones previstos hasta ahora no bastan.</t>
        </is>
      </c>
      <c r="H399" s="62" t="n"/>
      <c r="I399" s="62" t="inlineStr">
        <is>
          <t>“$700.000 millones no es absolutamente nada para hablar de un proceso de reconstrucción”, afirmó durante la intervención que hizo, el 2 de septiembre, en la Comisión Séptima del Senado para presentar los avances del Gobierno en atención a los afectados por el evento sismico.</t>
        </is>
      </c>
      <c r="J399" s="38" t="n"/>
      <c r="K399" s="62" t="n"/>
      <c r="L399" s="38" t="n"/>
      <c r="M399" s="62" t="n"/>
      <c r="N399" s="38" t="n"/>
      <c r="O399" s="62" t="n"/>
      <c r="P399" s="38" t="n"/>
      <c r="Q399" s="62" t="n"/>
      <c r="R399" s="38" t="n"/>
      <c r="S399" s="62" t="n"/>
      <c r="T399" s="38" t="n"/>
      <c r="U399" s="62" t="n"/>
      <c r="V399" s="38" t="n"/>
      <c r="W399" s="62" t="n"/>
      <c r="X399" s="38" t="n"/>
      <c r="Y399" s="62" t="n"/>
      <c r="Z399" s="38" t="n"/>
      <c r="AA399" s="62" t="n"/>
      <c r="AB399" s="38" t="n"/>
      <c r="AC399" s="62" t="n"/>
      <c r="AD399" s="38" t="n"/>
      <c r="AE399" s="38" t="n"/>
      <c r="AF399" s="61">
        <f>IF(COUNTIF($B$5:B399,B399)=1,1,0)</f>
        <v/>
      </c>
      <c r="AG399" s="62" t="inlineStr">
        <is>
          <t>https://www.infobae.com/colombia/2026/09/02/al-ministerio-de-vivienda-no-le-alcanza-la-plata-para-atender-a-los-afectados-por-el-terremoto-700000-millones-no-es-absolutamente-nada/</t>
        </is>
      </c>
    </row>
    <row r="400" ht="15" customHeight="1" s="31">
      <c r="A400" s="38" t="inlineStr">
        <is>
          <t>ART_060</t>
        </is>
      </c>
      <c r="B400" s="38" t="inlineStr">
        <is>
          <t>ART_060_S02</t>
        </is>
      </c>
      <c r="C400" s="38" t="inlineStr">
        <is>
          <t>Infobae Colombia</t>
        </is>
      </c>
      <c r="D400" s="38" t="inlineStr">
        <is>
          <t>Respuesta a la emergencia del terremoto</t>
        </is>
      </c>
      <c r="E400" s="38" t="inlineStr">
        <is>
          <t>Noticia dura</t>
        </is>
      </c>
      <c r="F400" s="38" t="inlineStr">
        <is>
          <t>2026-09-02T22:25:03Z</t>
        </is>
      </c>
      <c r="G400" s="62" t="inlineStr">
        <is>
          <t>“$700.000 millones no es absolutamente nada para hablar de un proceso de reconstrucción”, afirmó durante la intervención que hizo, el 2 de septiembre, en la Comisión Séptima del Senado para presentar los avances del Gobierno en atención a los afectados por el evento sismico.</t>
        </is>
      </c>
      <c r="H400" s="62" t="inlineStr">
        <is>
          <t>El ministro de Vivienda, Jaime Andrés Beltrán, solicitó una adición de $4 billones al Ministerio de Hacienda para atender la reconstrucción por los daños del terremoto del 10 de agosto de 2026, al advertir ante la Comisión Séptima del Senado que los $700.000 millones previstos hasta ahora no bastan.</t>
        </is>
      </c>
      <c r="I400" s="62" t="inlineStr">
        <is>
          <t>Beltrán pidió recursos adicionales para financiar acciones de vivienda y desarrollo en las zonas afectadas por el sismo.</t>
        </is>
      </c>
      <c r="J400" s="38" t="n"/>
      <c r="K400" s="62" t="n"/>
      <c r="L400" s="38" t="n"/>
      <c r="M400" s="62" t="n"/>
      <c r="N400" s="38" t="n"/>
      <c r="O400" s="62" t="n"/>
      <c r="P400" s="38" t="n"/>
      <c r="Q400" s="62" t="n"/>
      <c r="R400" s="38" t="n"/>
      <c r="S400" s="62" t="n"/>
      <c r="T400" s="38" t="n"/>
      <c r="U400" s="62" t="n"/>
      <c r="V400" s="38" t="n"/>
      <c r="W400" s="62" t="n"/>
      <c r="X400" s="38" t="n"/>
      <c r="Y400" s="62" t="n"/>
      <c r="Z400" s="38" t="n"/>
      <c r="AA400" s="62" t="n"/>
      <c r="AB400" s="38" t="n"/>
      <c r="AC400" s="62" t="n"/>
      <c r="AD400" s="38" t="n"/>
      <c r="AE400" s="38" t="n"/>
      <c r="AF400" s="61">
        <f>IF(COUNTIF($B$5:B400,B400)=1,1,0)</f>
        <v/>
      </c>
      <c r="AG400" s="62" t="inlineStr">
        <is>
          <t>https://www.infobae.com/colombia/2026/09/02/al-ministerio-de-vivienda-no-le-alcanza-la-plata-para-atender-a-los-afectados-por-el-terremoto-700000-millones-no-es-absolutamente-nada/</t>
        </is>
      </c>
    </row>
    <row r="401" ht="15" customHeight="1" s="31">
      <c r="A401" s="38" t="inlineStr">
        <is>
          <t>ART_060</t>
        </is>
      </c>
      <c r="B401" s="38" t="inlineStr">
        <is>
          <t>ART_060_S03</t>
        </is>
      </c>
      <c r="C401" s="38" t="inlineStr">
        <is>
          <t>Infobae Colombia</t>
        </is>
      </c>
      <c r="D401" s="38" t="inlineStr">
        <is>
          <t>Respuesta a la emergencia del terremoto</t>
        </is>
      </c>
      <c r="E401" s="38" t="inlineStr">
        <is>
          <t>Noticia dura</t>
        </is>
      </c>
      <c r="F401" s="38" t="inlineStr">
        <is>
          <t>2026-09-02T22:25:03Z</t>
        </is>
      </c>
      <c r="G401" s="62" t="inlineStr">
        <is>
          <t>Beltrán pidió recursos adicionales para financiar acciones de vivienda y desarrollo en las zonas afectadas por el sismo.</t>
        </is>
      </c>
      <c r="H401" s="62" t="inlineStr">
        <is>
          <t>“$700.000 millones no es absolutamente nada para hablar de un proceso de reconstrucción”, afirmó durante la intervención que hizo, el 2 de septiembre, en la Comisión Séptima del Senado para presentar los avances del Gobierno en atención a los afectados por el evento sismico.</t>
        </is>
      </c>
      <c r="I401" s="62" t="inlineStr">
        <is>
          <t>La solicitud formal se presentará en los próximos 15 días y el Gobierno plantea una reconstrucción con mejoramientos, vivienda nueva y recuperación de los territorios.</t>
        </is>
      </c>
      <c r="J401" s="38" t="n"/>
      <c r="K401" s="62" t="n"/>
      <c r="L401" s="38" t="n"/>
      <c r="M401" s="62" t="n"/>
      <c r="N401" s="38" t="n"/>
      <c r="O401" s="62" t="n"/>
      <c r="P401" s="38" t="n"/>
      <c r="Q401" s="62" t="n"/>
      <c r="R401" s="38" t="n"/>
      <c r="S401" s="62" t="n"/>
      <c r="T401" s="38" t="n"/>
      <c r="U401" s="62" t="n"/>
      <c r="V401" s="38" t="n"/>
      <c r="W401" s="62" t="n"/>
      <c r="X401" s="38" t="n"/>
      <c r="Y401" s="62" t="n"/>
      <c r="Z401" s="38" t="n"/>
      <c r="AA401" s="62" t="n"/>
      <c r="AB401" s="38" t="n"/>
      <c r="AC401" s="62" t="n"/>
      <c r="AD401" s="38" t="n"/>
      <c r="AE401" s="38" t="n"/>
      <c r="AF401" s="61">
        <f>IF(COUNTIF($B$5:B401,B401)=1,1,0)</f>
        <v/>
      </c>
      <c r="AG401" s="62" t="inlineStr">
        <is>
          <t>https://www.infobae.com/colombia/2026/09/02/al-ministerio-de-vivienda-no-le-alcanza-la-plata-para-atender-a-los-afectados-por-el-terremoto-700000-millones-no-es-absolutamente-nada/</t>
        </is>
      </c>
    </row>
    <row r="402" ht="15" customHeight="1" s="31">
      <c r="A402" s="38" t="inlineStr">
        <is>
          <t>ART_060</t>
        </is>
      </c>
      <c r="B402" s="38" t="inlineStr">
        <is>
          <t>ART_060_S04</t>
        </is>
      </c>
      <c r="C402" s="38" t="inlineStr">
        <is>
          <t>Infobae Colombia</t>
        </is>
      </c>
      <c r="D402" s="38" t="inlineStr">
        <is>
          <t>Respuesta a la emergencia del terremoto</t>
        </is>
      </c>
      <c r="E402" s="38" t="inlineStr">
        <is>
          <t>Noticia dura</t>
        </is>
      </c>
      <c r="F402" s="38" t="inlineStr">
        <is>
          <t>2026-09-02T22:25:03Z</t>
        </is>
      </c>
      <c r="G402" s="62" t="inlineStr">
        <is>
          <t>La solicitud formal se presentará en los próximos 15 días y el Gobierno plantea una reconstrucción con mejoramientos, vivienda nueva y recuperación de los territorios.</t>
        </is>
      </c>
      <c r="H402" s="62" t="inlineStr">
        <is>
          <t>Beltrán pidió recursos adicionales para financiar acciones de vivienda y desarrollo en las zonas afectadas por el sismo.</t>
        </is>
      </c>
      <c r="I402" s="62" t="inlineStr">
        <is>
          <t>El funcionario dijo que la petición ya se presentó al ministro de Hacienda, Miguel Gómez Martínez, para que la incluye en la discusión del Presupuesto General de la Nación (PGN) de 2027.</t>
        </is>
      </c>
      <c r="J402" s="38" t="n"/>
      <c r="K402" s="62" t="n"/>
      <c r="L402" s="38" t="n"/>
      <c r="M402" s="62" t="n"/>
      <c r="N402" s="38" t="n"/>
      <c r="O402" s="62" t="n"/>
      <c r="P402" s="38" t="n"/>
      <c r="Q402" s="62" t="n"/>
      <c r="R402" s="38" t="n"/>
      <c r="S402" s="62" t="n"/>
      <c r="T402" s="38" t="n"/>
      <c r="U402" s="62" t="n"/>
      <c r="V402" s="38" t="n"/>
      <c r="W402" s="62" t="n"/>
      <c r="X402" s="38" t="n"/>
      <c r="Y402" s="62" t="n"/>
      <c r="Z402" s="38" t="n"/>
      <c r="AA402" s="62" t="n"/>
      <c r="AB402" s="38" t="n"/>
      <c r="AC402" s="62" t="n"/>
      <c r="AD402" s="38" t="n"/>
      <c r="AE402" s="38" t="n"/>
      <c r="AF402" s="61">
        <f>IF(COUNTIF($B$5:B402,B402)=1,1,0)</f>
        <v/>
      </c>
      <c r="AG402" s="62" t="inlineStr">
        <is>
          <t>https://www.infobae.com/colombia/2026/09/02/al-ministerio-de-vivienda-no-le-alcanza-la-plata-para-atender-a-los-afectados-por-el-terremoto-700000-millones-no-es-absolutamente-nada/</t>
        </is>
      </c>
    </row>
    <row r="403" ht="15" customHeight="1" s="31">
      <c r="A403" s="38" t="inlineStr">
        <is>
          <t>ART_060</t>
        </is>
      </c>
      <c r="B403" s="38" t="inlineStr">
        <is>
          <t>ART_060_S05</t>
        </is>
      </c>
      <c r="C403" s="38" t="inlineStr">
        <is>
          <t>Infobae Colombia</t>
        </is>
      </c>
      <c r="D403" s="38" t="inlineStr">
        <is>
          <t>Respuesta a la emergencia del terremoto</t>
        </is>
      </c>
      <c r="E403" s="38" t="inlineStr">
        <is>
          <t>Noticia dura</t>
        </is>
      </c>
      <c r="F403" s="38" t="inlineStr">
        <is>
          <t>2026-09-02T22:25:03Z</t>
        </is>
      </c>
      <c r="G403" s="62" t="inlineStr">
        <is>
          <t>El funcionario dijo que la petición ya se presentó al ministro de Hacienda, Miguel Gómez Martínez, para que la incluye en la discusión del Presupuesto General de la Nación (PGN) de 2027.</t>
        </is>
      </c>
      <c r="H403" s="62" t="inlineStr">
        <is>
          <t>La solicitud formal se presentará en los próximos 15 días y el Gobierno plantea una reconstrucción con mejoramientos, vivienda nueva y recuperación de los territorios.</t>
        </is>
      </c>
      <c r="I403" s="62" t="inlineStr">
        <is>
          <t>“Nosotros le pedimos al Ministro de Hacienda $4 billones adicionales para hablar de un proceso de reconstrucción”, precisó.</t>
        </is>
      </c>
      <c r="J403" s="38" t="n"/>
      <c r="K403" s="62" t="n"/>
      <c r="L403" s="38" t="n"/>
      <c r="M403" s="62" t="n"/>
      <c r="N403" s="38" t="n"/>
      <c r="O403" s="62" t="n"/>
      <c r="P403" s="38" t="n"/>
      <c r="Q403" s="62" t="n"/>
      <c r="R403" s="38" t="n"/>
      <c r="S403" s="62" t="n"/>
      <c r="T403" s="38" t="n"/>
      <c r="U403" s="62" t="n"/>
      <c r="V403" s="38" t="n"/>
      <c r="W403" s="62" t="n"/>
      <c r="X403" s="38" t="n"/>
      <c r="Y403" s="62" t="n"/>
      <c r="Z403" s="38" t="n"/>
      <c r="AA403" s="62" t="n"/>
      <c r="AB403" s="38" t="n"/>
      <c r="AC403" s="62" t="n"/>
      <c r="AD403" s="38" t="n"/>
      <c r="AE403" s="38" t="n"/>
      <c r="AF403" s="61">
        <f>IF(COUNTIF($B$5:B403,B403)=1,1,0)</f>
        <v/>
      </c>
      <c r="AG403" s="62" t="inlineStr">
        <is>
          <t>https://www.infobae.com/colombia/2026/09/02/al-ministerio-de-vivienda-no-le-alcanza-la-plata-para-atender-a-los-afectados-por-el-terremoto-700000-millones-no-es-absolutamente-nada/</t>
        </is>
      </c>
    </row>
    <row r="404" ht="15" customHeight="1" s="31">
      <c r="A404" s="38" t="inlineStr">
        <is>
          <t>ART_060</t>
        </is>
      </c>
      <c r="B404" s="38" t="inlineStr">
        <is>
          <t>ART_060_S06</t>
        </is>
      </c>
      <c r="C404" s="38" t="inlineStr">
        <is>
          <t>Infobae Colombia</t>
        </is>
      </c>
      <c r="D404" s="38" t="inlineStr">
        <is>
          <t>Respuesta a la emergencia del terremoto</t>
        </is>
      </c>
      <c r="E404" s="38" t="inlineStr">
        <is>
          <t>Noticia dura</t>
        </is>
      </c>
      <c r="F404" s="38" t="inlineStr">
        <is>
          <t>2026-09-02T22:25:03Z</t>
        </is>
      </c>
      <c r="G404" s="62" t="inlineStr">
        <is>
          <t>“Nosotros le pedimos al Ministro de Hacienda $4 billones adicionales para hablar de un proceso de reconstrucción”, precisó.</t>
        </is>
      </c>
      <c r="H404" s="62" t="inlineStr">
        <is>
          <t>El funcionario dijo que la petición ya se presentó al ministro de Hacienda, Miguel Gómez Martínez, para que la incluye en la discusión del Presupuesto General de la Nación (PGN) de 2027.</t>
        </is>
      </c>
      <c r="I404" s="62" t="inlineStr">
        <is>
          <t>También pidió acompañamiento político y del sector privado para sostener el plan de reconstrucción.</t>
        </is>
      </c>
      <c r="J404" s="38" t="n"/>
      <c r="K404" s="62" t="n"/>
      <c r="L404" s="38" t="n"/>
      <c r="M404" s="62" t="n"/>
      <c r="N404" s="38" t="n"/>
      <c r="O404" s="62" t="n"/>
      <c r="P404" s="38" t="n"/>
      <c r="Q404" s="62" t="n"/>
      <c r="R404" s="38" t="n"/>
      <c r="S404" s="62" t="n"/>
      <c r="T404" s="38" t="n"/>
      <c r="U404" s="62" t="n"/>
      <c r="V404" s="38" t="n"/>
      <c r="W404" s="62" t="n"/>
      <c r="X404" s="38" t="n"/>
      <c r="Y404" s="62" t="n"/>
      <c r="Z404" s="38" t="n"/>
      <c r="AA404" s="62" t="n"/>
      <c r="AB404" s="38" t="n"/>
      <c r="AC404" s="62" t="n"/>
      <c r="AD404" s="38" t="n"/>
      <c r="AE404" s="38" t="n"/>
      <c r="AF404" s="61">
        <f>IF(COUNTIF($B$5:B404,B404)=1,1,0)</f>
        <v/>
      </c>
      <c r="AG404" s="62" t="inlineStr">
        <is>
          <t>https://www.infobae.com/colombia/2026/09/02/al-ministerio-de-vivienda-no-le-alcanza-la-plata-para-atender-a-los-afectados-por-el-terremoto-700000-millones-no-es-absolutamente-nada/</t>
        </is>
      </c>
    </row>
    <row r="405" ht="15" customHeight="1" s="31">
      <c r="A405" s="38" t="inlineStr">
        <is>
          <t>ART_060</t>
        </is>
      </c>
      <c r="B405" s="38" t="inlineStr">
        <is>
          <t>ART_060_S07</t>
        </is>
      </c>
      <c r="C405" s="38" t="inlineStr">
        <is>
          <t>Infobae Colombia</t>
        </is>
      </c>
      <c r="D405" s="38" t="inlineStr">
        <is>
          <t>Respuesta a la emergencia del terremoto</t>
        </is>
      </c>
      <c r="E405" s="38" t="inlineStr">
        <is>
          <t>Noticia dura</t>
        </is>
      </c>
      <c r="F405" s="38" t="inlineStr">
        <is>
          <t>2026-09-02T22:25:03Z</t>
        </is>
      </c>
      <c r="G405" s="62" t="inlineStr">
        <is>
          <t>También pidió acompañamiento político y del sector privado para sostener el plan de reconstrucción.</t>
        </is>
      </c>
      <c r="H405" s="62" t="inlineStr">
        <is>
          <t>“Nosotros le pedimos al Ministro de Hacienda $4 billones adicionales para hablar de un proceso de reconstrucción”, precisó.</t>
        </is>
      </c>
      <c r="I405" s="62" t="inlineStr">
        <is>
          <t>“Entiendo y comprendo las diferencias ideológicas y políticas que se puedan sentar sobre la mesa, pero hoy el llamado no es a pensar en el actor que está ahí sentado al frente, es a pensar en la familia que nos está esperando en el territorio”, anotó.</t>
        </is>
      </c>
      <c r="J405" s="38" t="n"/>
      <c r="K405" s="62" t="n"/>
      <c r="L405" s="38" t="n"/>
      <c r="M405" s="62" t="n"/>
      <c r="N405" s="38" t="n"/>
      <c r="O405" s="62" t="n"/>
      <c r="P405" s="38" t="n"/>
      <c r="Q405" s="62" t="n"/>
      <c r="R405" s="38" t="n"/>
      <c r="S405" s="62" t="n"/>
      <c r="T405" s="38" t="n"/>
      <c r="U405" s="62" t="n"/>
      <c r="V405" s="38" t="n"/>
      <c r="W405" s="62" t="n"/>
      <c r="X405" s="38" t="n"/>
      <c r="Y405" s="62" t="n"/>
      <c r="Z405" s="38" t="n"/>
      <c r="AA405" s="62" t="n"/>
      <c r="AB405" s="38" t="n"/>
      <c r="AC405" s="62" t="n"/>
      <c r="AD405" s="38" t="n"/>
      <c r="AE405" s="38" t="n"/>
      <c r="AF405" s="61">
        <f>IF(COUNTIF($B$5:B405,B405)=1,1,0)</f>
        <v/>
      </c>
      <c r="AG405" s="62" t="inlineStr">
        <is>
          <t>https://www.infobae.com/colombia/2026/09/02/al-ministerio-de-vivienda-no-le-alcanza-la-plata-para-atender-a-los-afectados-por-el-terremoto-700000-millones-no-es-absolutamente-nada/</t>
        </is>
      </c>
    </row>
    <row r="406" ht="15" customHeight="1" s="31">
      <c r="A406" s="38" t="inlineStr">
        <is>
          <t>ART_060</t>
        </is>
      </c>
      <c r="B406" s="38" t="inlineStr">
        <is>
          <t>ART_060_S08</t>
        </is>
      </c>
      <c r="C406" s="38" t="inlineStr">
        <is>
          <t>Infobae Colombia</t>
        </is>
      </c>
      <c r="D406" s="38" t="inlineStr">
        <is>
          <t>Respuesta a la emergencia del terremoto</t>
        </is>
      </c>
      <c r="E406" s="38" t="inlineStr">
        <is>
          <t>Noticia dura</t>
        </is>
      </c>
      <c r="F406" s="38" t="inlineStr">
        <is>
          <t>2026-09-02T22:25:03Z</t>
        </is>
      </c>
      <c r="G406" s="62" t="inlineStr">
        <is>
          <t>“Entiendo y comprendo las diferencias ideológicas y políticas que se puedan sentar sobre la mesa, pero hoy el llamado no es a pensar en el actor que está ahí sentado al frente, es a pensar en la familia que nos está esperando en el territorio”, anotó.</t>
        </is>
      </c>
      <c r="H406" s="62" t="inlineStr">
        <is>
          <t>También pidió acompañamiento político y del sector privado para sostener el plan de reconstrucción.</t>
        </is>
      </c>
      <c r="I406" s="62" t="inlineStr">
        <is>
          <t>Cali concentra los daños y expone vacíos para los estratos medios y altos</t>
        </is>
      </c>
      <c r="J406" s="38" t="n"/>
      <c r="K406" s="62" t="n"/>
      <c r="L406" s="38" t="n"/>
      <c r="M406" s="62" t="n"/>
      <c r="N406" s="38" t="n"/>
      <c r="O406" s="62" t="n"/>
      <c r="P406" s="38" t="n"/>
      <c r="Q406" s="62" t="n"/>
      <c r="R406" s="38" t="n"/>
      <c r="S406" s="62" t="n"/>
      <c r="T406" s="38" t="n"/>
      <c r="U406" s="62" t="n"/>
      <c r="V406" s="38" t="n"/>
      <c r="W406" s="62" t="n"/>
      <c r="X406" s="38" t="n"/>
      <c r="Y406" s="62" t="n"/>
      <c r="Z406" s="38" t="n"/>
      <c r="AA406" s="62" t="n"/>
      <c r="AB406" s="38" t="n"/>
      <c r="AC406" s="62" t="n"/>
      <c r="AD406" s="38" t="n"/>
      <c r="AE406" s="38" t="n"/>
      <c r="AF406" s="61">
        <f>IF(COUNTIF($B$5:B406,B406)=1,1,0)</f>
        <v/>
      </c>
      <c r="AG406" s="62" t="inlineStr">
        <is>
          <t>https://www.infobae.com/colombia/2026/09/02/al-ministerio-de-vivienda-no-le-alcanza-la-plata-para-atender-a-los-afectados-por-el-terremoto-700000-millones-no-es-absolutamente-nada/</t>
        </is>
      </c>
    </row>
    <row r="407" ht="15" customHeight="1" s="31">
      <c r="A407" s="38" t="inlineStr">
        <is>
          <t>ART_060</t>
        </is>
      </c>
      <c r="B407" s="38" t="inlineStr">
        <is>
          <t>ART_060_S09</t>
        </is>
      </c>
      <c r="C407" s="38" t="inlineStr">
        <is>
          <t>Infobae Colombia</t>
        </is>
      </c>
      <c r="D407" s="38" t="inlineStr">
        <is>
          <t>Respuesta a la emergencia del terremoto</t>
        </is>
      </c>
      <c r="E407" s="38" t="inlineStr">
        <is>
          <t>Noticia dura</t>
        </is>
      </c>
      <c r="F407" s="38" t="inlineStr">
        <is>
          <t>2026-09-02T22:25:03Z</t>
        </is>
      </c>
      <c r="G407" s="62" t="inlineStr">
        <is>
          <t>Cali concentra los daños y expone vacíos para los estratos medios y altos</t>
        </is>
      </c>
      <c r="H407" s="62" t="inlineStr">
        <is>
          <t>“Entiendo y comprendo las diferencias ideológicas y políticas que se puedan sentar sobre la mesa, pero hoy el llamado no es a pensar en el actor que está ahí sentado al frente, es a pensar en la familia que nos está esperando en el territorio”, anotó.</t>
        </is>
      </c>
      <c r="I407" s="62" t="inlineStr">
        <is>
          <t>Cali fue señalada por el ministro como el punto de mayor presión dentro del balance presentado ante la Comisión.</t>
        </is>
      </c>
      <c r="J407" s="38" t="n"/>
      <c r="K407" s="62" t="n"/>
      <c r="L407" s="38" t="n"/>
      <c r="M407" s="62" t="n"/>
      <c r="N407" s="38" t="n"/>
      <c r="O407" s="62" t="n"/>
      <c r="P407" s="38" t="n"/>
      <c r="Q407" s="62" t="n"/>
      <c r="R407" s="38" t="n"/>
      <c r="S407" s="62" t="n"/>
      <c r="T407" s="38" t="n"/>
      <c r="U407" s="62" t="n"/>
      <c r="V407" s="38" t="n"/>
      <c r="W407" s="62" t="n"/>
      <c r="X407" s="38" t="n"/>
      <c r="Y407" s="62" t="n"/>
      <c r="Z407" s="38" t="n"/>
      <c r="AA407" s="62" t="n"/>
      <c r="AB407" s="38" t="n"/>
      <c r="AC407" s="62" t="n"/>
      <c r="AD407" s="38" t="n"/>
      <c r="AE407" s="38" t="n"/>
      <c r="AF407" s="61">
        <f>IF(COUNTIF($B$5:B407,B407)=1,1,0)</f>
        <v/>
      </c>
      <c r="AG407" s="62" t="inlineStr">
        <is>
          <t>https://www.infobae.com/colombia/2026/09/02/al-ministerio-de-vivienda-no-le-alcanza-la-plata-para-atender-a-los-afectados-por-el-terremoto-700000-millones-no-es-absolutamente-nada/</t>
        </is>
      </c>
    </row>
    <row r="408" ht="15" customHeight="1" s="31">
      <c r="A408" s="38" t="inlineStr">
        <is>
          <t>ART_060</t>
        </is>
      </c>
      <c r="B408" s="38" t="inlineStr">
        <is>
          <t>ART_060_S10</t>
        </is>
      </c>
      <c r="C408" s="38" t="inlineStr">
        <is>
          <t>Infobae Colombia</t>
        </is>
      </c>
      <c r="D408" s="38" t="inlineStr">
        <is>
          <t>Respuesta a la emergencia del terremoto</t>
        </is>
      </c>
      <c r="E408" s="38" t="inlineStr">
        <is>
          <t>Noticia dura</t>
        </is>
      </c>
      <c r="F408" s="38" t="inlineStr">
        <is>
          <t>2026-09-02T22:25:03Z</t>
        </is>
      </c>
      <c r="G408" s="62" t="inlineStr">
        <is>
          <t>Cali fue señalada por el ministro como el punto de mayor presión dentro del balance presentado ante la Comisión.</t>
        </is>
      </c>
      <c r="H408" s="62" t="inlineStr">
        <is>
          <t>Cali concentra los daños y expone vacíos para los estratos medios y altos</t>
        </is>
      </c>
      <c r="I408" s="62" t="inlineStr">
        <is>
          <t>“Fue Cali, con uno de los daños más profundos que ha tenido en la historia.</t>
        </is>
      </c>
      <c r="J408" s="38" t="n"/>
      <c r="K408" s="62" t="n"/>
      <c r="L408" s="38" t="n"/>
      <c r="M408" s="62" t="n"/>
      <c r="N408" s="38" t="n"/>
      <c r="O408" s="62" t="n"/>
      <c r="P408" s="38" t="n"/>
      <c r="Q408" s="62" t="n"/>
      <c r="R408" s="38" t="n"/>
      <c r="S408" s="62" t="n"/>
      <c r="T408" s="38" t="n"/>
      <c r="U408" s="62" t="n"/>
      <c r="V408" s="38" t="n"/>
      <c r="W408" s="62" t="n"/>
      <c r="X408" s="38" t="n"/>
      <c r="Y408" s="62" t="n"/>
      <c r="Z408" s="38" t="n"/>
      <c r="AA408" s="62" t="n"/>
      <c r="AB408" s="38" t="n"/>
      <c r="AC408" s="62" t="n"/>
      <c r="AD408" s="38" t="n"/>
      <c r="AE408" s="38" t="n"/>
      <c r="AF408" s="61">
        <f>IF(COUNTIF($B$5:B408,B408)=1,1,0)</f>
        <v/>
      </c>
      <c r="AG408" s="62" t="inlineStr">
        <is>
          <t>https://www.infobae.com/colombia/2026/09/02/al-ministerio-de-vivienda-no-le-alcanza-la-plata-para-atender-a-los-afectados-por-el-terremoto-700000-millones-no-es-absolutamente-nada/</t>
        </is>
      </c>
    </row>
    <row r="409" ht="15" customHeight="1" s="31">
      <c r="A409" s="38" t="inlineStr">
        <is>
          <t>ART_060</t>
        </is>
      </c>
      <c r="B409" s="38" t="inlineStr">
        <is>
          <t>ART_060_S11</t>
        </is>
      </c>
      <c r="C409" s="38" t="inlineStr">
        <is>
          <t>Infobae Colombia</t>
        </is>
      </c>
      <c r="D409" s="38" t="inlineStr">
        <is>
          <t>Respuesta a la emergencia del terremoto</t>
        </is>
      </c>
      <c r="E409" s="38" t="inlineStr">
        <is>
          <t>Noticia dura</t>
        </is>
      </c>
      <c r="F409" s="38" t="inlineStr">
        <is>
          <t>2026-09-02T22:25:03Z</t>
        </is>
      </c>
      <c r="G409" s="62" t="inlineStr">
        <is>
          <t>“Fue Cali, con uno de los daños más profundos que ha tenido en la historia.</t>
        </is>
      </c>
      <c r="H409" s="62" t="inlineStr">
        <is>
          <t>Cali fue señalada por el ministro como el punto de mayor presión dentro del balance presentado ante la Comisión.</t>
        </is>
      </c>
      <c r="I409" s="62" t="inlineStr">
        <is>
          <t>13.051 viviendas destruidas, 53.000 averiadas”, precisó.</t>
        </is>
      </c>
      <c r="J409" s="38" t="n"/>
      <c r="K409" s="62" t="n"/>
      <c r="L409" s="38" t="n"/>
      <c r="M409" s="62" t="n"/>
      <c r="N409" s="38" t="n"/>
      <c r="O409" s="62" t="n"/>
      <c r="P409" s="38" t="n"/>
      <c r="Q409" s="62" t="n"/>
      <c r="R409" s="38" t="n"/>
      <c r="S409" s="62" t="n"/>
      <c r="T409" s="38" t="n"/>
      <c r="U409" s="62" t="n"/>
      <c r="V409" s="38" t="n"/>
      <c r="W409" s="62" t="n"/>
      <c r="X409" s="38" t="n"/>
      <c r="Y409" s="62" t="n"/>
      <c r="Z409" s="38" t="n"/>
      <c r="AA409" s="62" t="n"/>
      <c r="AB409" s="38" t="n"/>
      <c r="AC409" s="62" t="n"/>
      <c r="AD409" s="38" t="n"/>
      <c r="AE409" s="38" t="n"/>
      <c r="AF409" s="61">
        <f>IF(COUNTIF($B$5:B409,B409)=1,1,0)</f>
        <v/>
      </c>
      <c r="AG409" s="62" t="inlineStr">
        <is>
          <t>https://www.infobae.com/colombia/2026/09/02/al-ministerio-de-vivienda-no-le-alcanza-la-plata-para-atender-a-los-afectados-por-el-terremoto-700000-millones-no-es-absolutamente-nada/</t>
        </is>
      </c>
    </row>
    <row r="410" ht="15" customHeight="1" s="31">
      <c r="A410" s="38" t="inlineStr">
        <is>
          <t>ART_060</t>
        </is>
      </c>
      <c r="B410" s="38" t="inlineStr">
        <is>
          <t>ART_060_S12</t>
        </is>
      </c>
      <c r="C410" s="38" t="inlineStr">
        <is>
          <t>Infobae Colombia</t>
        </is>
      </c>
      <c r="D410" s="38" t="inlineStr">
        <is>
          <t>Respuesta a la emergencia del terremoto</t>
        </is>
      </c>
      <c r="E410" s="38" t="inlineStr">
        <is>
          <t>Noticia dura</t>
        </is>
      </c>
      <c r="F410" s="38" t="inlineStr">
        <is>
          <t>2026-09-02T22:25:03Z</t>
        </is>
      </c>
      <c r="G410" s="62" t="inlineStr">
        <is>
          <t>13.051 viviendas destruidas, 53.000 averiadas”, precisó.</t>
        </is>
      </c>
      <c r="H410" s="62" t="inlineStr">
        <is>
          <t>“Fue Cali, con uno de los daños más profundos que ha tenido en la historia.</t>
        </is>
      </c>
      <c r="I410" s="62" t="n"/>
      <c r="J410" s="38" t="n"/>
      <c r="K410" s="62" t="n"/>
      <c r="L410" s="38" t="n"/>
      <c r="M410" s="62" t="n"/>
      <c r="N410" s="38" t="n"/>
      <c r="O410" s="62" t="n"/>
      <c r="P410" s="38" t="n"/>
      <c r="Q410" s="62" t="n"/>
      <c r="R410" s="38" t="n"/>
      <c r="S410" s="62" t="n"/>
      <c r="T410" s="38" t="n"/>
      <c r="U410" s="62" t="n"/>
      <c r="V410" s="38" t="n"/>
      <c r="W410" s="62" t="n"/>
      <c r="X410" s="38" t="n"/>
      <c r="Y410" s="62" t="n"/>
      <c r="Z410" s="38" t="n"/>
      <c r="AA410" s="62" t="n"/>
      <c r="AB410" s="38" t="n"/>
      <c r="AC410" s="62" t="n"/>
      <c r="AD410" s="38" t="n"/>
      <c r="AE410" s="38" t="n"/>
      <c r="AF410" s="61">
        <f>IF(COUNTIF($B$5:B410,B410)=1,1,0)</f>
        <v/>
      </c>
      <c r="AG410" s="62" t="inlineStr">
        <is>
          <t>https://www.infobae.com/colombia/2026/09/02/al-ministerio-de-vivienda-no-le-alcanza-la-plata-para-atender-a-los-afectados-por-el-terremoto-700000-millones-no-es-absolutamente-nada/</t>
        </is>
      </c>
    </row>
    <row r="411" ht="15" customHeight="1" s="31">
      <c r="A411" s="38" t="inlineStr">
        <is>
          <t>ART_061</t>
        </is>
      </c>
      <c r="B411" s="38" t="inlineStr">
        <is>
          <t>ART_061_S01</t>
        </is>
      </c>
      <c r="C411" s="38" t="inlineStr">
        <is>
          <t>Infobae Colombia</t>
        </is>
      </c>
      <c r="D411" s="38" t="inlineStr">
        <is>
          <t>Respuesta a la emergencia del terremoto</t>
        </is>
      </c>
      <c r="E411" s="38" t="inlineStr">
        <is>
          <t>Noticia dura</t>
        </is>
      </c>
      <c r="F411" s="38" t="inlineStr">
        <is>
          <t>2026-09-01T15:12:58Z</t>
        </is>
      </c>
      <c r="G411" s="62" t="inlineStr">
        <is>
          <t>Cali evalúa demoliciones tras el terremoto de 7,4 que dejó cerca de 12.000 viviendas afectadas con daños de distinta gravedad, según el censo preliminar de Camacol Valle (Cámara Colombiana de la Construcción).</t>
        </is>
      </c>
      <c r="H411" s="62" t="n"/>
      <c r="I411" s="62" t="inlineStr">
        <is>
          <t>Ingenieros estructurales y arquitectos revisarán cuáles presentan problemas complejos y cuáles podrían requerir demolición.</t>
        </is>
      </c>
      <c r="J411" s="38" t="n"/>
      <c r="K411" s="62" t="n"/>
      <c r="L411" s="38" t="n"/>
      <c r="M411" s="62" t="n"/>
      <c r="N411" s="38" t="n"/>
      <c r="O411" s="62" t="n"/>
      <c r="P411" s="38" t="n"/>
      <c r="Q411" s="62" t="n"/>
      <c r="R411" s="38" t="n"/>
      <c r="S411" s="62" t="n"/>
      <c r="T411" s="38" t="n"/>
      <c r="U411" s="62" t="n"/>
      <c r="V411" s="38" t="n"/>
      <c r="W411" s="62" t="n"/>
      <c r="X411" s="38" t="n"/>
      <c r="Y411" s="62" t="n"/>
      <c r="Z411" s="38" t="n"/>
      <c r="AA411" s="62" t="n"/>
      <c r="AB411" s="38" t="n"/>
      <c r="AC411" s="62" t="n"/>
      <c r="AD411" s="38" t="n"/>
      <c r="AE411" s="38" t="n"/>
      <c r="AF411" s="61">
        <f>IF(COUNTIF($B$5:B411,B411)=1,1,0)</f>
        <v/>
      </c>
      <c r="AG411" s="62" t="inlineStr">
        <is>
          <t>https://www.infobae.com/colombia/2026/09/01/camacol-hizo-balance-de-las-viviendas-afectadas-por-el-terremoto-en-cali-explico-por-que-tantos-edificios-colapsaron-en-esa-ciudad/</t>
        </is>
      </c>
    </row>
    <row r="412" ht="15" customHeight="1" s="31">
      <c r="A412" s="38" t="inlineStr">
        <is>
          <t>ART_061</t>
        </is>
      </c>
      <c r="B412" s="38" t="inlineStr">
        <is>
          <t>ART_061_S02</t>
        </is>
      </c>
      <c r="C412" s="38" t="inlineStr">
        <is>
          <t>Infobae Colombia</t>
        </is>
      </c>
      <c r="D412" s="38" t="inlineStr">
        <is>
          <t>Respuesta a la emergencia del terremoto</t>
        </is>
      </c>
      <c r="E412" s="38" t="inlineStr">
        <is>
          <t>Noticia dura</t>
        </is>
      </c>
      <c r="F412" s="38" t="inlineStr">
        <is>
          <t>2026-09-01T15:12:58Z</t>
        </is>
      </c>
      <c r="G412" s="62" t="inlineStr">
        <is>
          <t>Ingenieros estructurales y arquitectos revisarán cuáles presentan problemas complejos y cuáles podrían requerir demolición.</t>
        </is>
      </c>
      <c r="H412" s="62" t="inlineStr">
        <is>
          <t>Cali evalúa demoliciones tras el terremoto de 7,4 que dejó cerca de 12.000 viviendas afectadas con daños de distinta gravedad, según el censo preliminar de Camacol Valle (Cámara Colombiana de la Construcción).</t>
        </is>
      </c>
      <c r="I412" s="62" t="n"/>
      <c r="J412" s="38" t="n"/>
      <c r="K412" s="62" t="n"/>
      <c r="L412" s="38" t="n"/>
      <c r="M412" s="62" t="n"/>
      <c r="N412" s="38" t="n"/>
      <c r="O412" s="62" t="n"/>
      <c r="P412" s="38" t="n"/>
      <c r="Q412" s="62" t="n"/>
      <c r="R412" s="38" t="n"/>
      <c r="S412" s="62" t="n"/>
      <c r="T412" s="38" t="n"/>
      <c r="U412" s="62" t="n"/>
      <c r="V412" s="38" t="n"/>
      <c r="W412" s="62" t="n"/>
      <c r="X412" s="38" t="n"/>
      <c r="Y412" s="62" t="n"/>
      <c r="Z412" s="38" t="n"/>
      <c r="AA412" s="62" t="n"/>
      <c r="AB412" s="38" t="n"/>
      <c r="AC412" s="62" t="n"/>
      <c r="AD412" s="38" t="n"/>
      <c r="AE412" s="38" t="n"/>
      <c r="AF412" s="61">
        <f>IF(COUNTIF($B$5:B412,B412)=1,1,0)</f>
        <v/>
      </c>
      <c r="AG412" s="62" t="inlineStr">
        <is>
          <t>https://www.infobae.com/colombia/2026/09/01/camacol-hizo-balance-de-las-viviendas-afectadas-por-el-terremoto-en-cali-explico-por-que-tantos-edificios-colapsaron-en-esa-ciudad/</t>
        </is>
      </c>
    </row>
    <row r="413" ht="15" customHeight="1" s="31">
      <c r="A413" s="38" t="inlineStr">
        <is>
          <t>ART_062</t>
        </is>
      </c>
      <c r="B413" s="38" t="inlineStr">
        <is>
          <t>ART_062_S01</t>
        </is>
      </c>
      <c r="C413" s="38" t="inlineStr">
        <is>
          <t>Infobae Colombia</t>
        </is>
      </c>
      <c r="D413" s="38" t="inlineStr">
        <is>
          <t>Reformas sociales en disputa (pensional/tributaria)</t>
        </is>
      </c>
      <c r="E413" s="38" t="inlineStr">
        <is>
          <t>Noticia dura</t>
        </is>
      </c>
      <c r="F413" s="38" t="inlineStr">
        <is>
          <t>2026-08-26T12:31:03Z</t>
        </is>
      </c>
      <c r="G413" s="62" t="inlineStr">
        <is>
          <t>El martes 25 de agosto de 2026, la Corte Constitucional avaló la reforma pensional promovida durante el gobierno del expresidente Gustavo Petro, aunque devolvió al menos nueve artículos al Congreso de la República para que sean corregidos.</t>
        </is>
      </c>
      <c r="H413" s="62" t="n"/>
      <c r="I413" s="62" t="inlineStr">
        <is>
          <t>La decisión generó diversas reacciones en el sector político.</t>
        </is>
      </c>
      <c r="J413" s="38" t="n"/>
      <c r="K413" s="62" t="n"/>
      <c r="L413" s="38" t="n"/>
      <c r="M413" s="62" t="n"/>
      <c r="N413" s="38" t="n"/>
      <c r="O413" s="62" t="n"/>
      <c r="P413" s="38" t="n"/>
      <c r="Q413" s="62" t="n"/>
      <c r="R413" s="38" t="n"/>
      <c r="S413" s="62" t="n"/>
      <c r="T413" s="38" t="n"/>
      <c r="U413" s="62" t="n"/>
      <c r="V413" s="38" t="n"/>
      <c r="W413" s="62" t="n"/>
      <c r="X413" s="38" t="n"/>
      <c r="Y413" s="62" t="n"/>
      <c r="Z413" s="38" t="n"/>
      <c r="AA413" s="62" t="n"/>
      <c r="AB413" s="38" t="n"/>
      <c r="AC413" s="62" t="n"/>
      <c r="AD413" s="38" t="n"/>
      <c r="AE413" s="38" t="n"/>
      <c r="AF413" s="61">
        <f>IF(COUNTIF($B$5:B413,B413)=1,1,0)</f>
        <v/>
      </c>
      <c r="AG413" s="62" t="inlineStr">
        <is>
          <t>https://www.infobae.com/colombia/2026/08/26/la-corte-constitucional-aprobo-la-reforma-pensional-de-petro-y-asi-reacciono-el-pais-politico-preocupante/</t>
        </is>
      </c>
    </row>
    <row r="414" ht="15" customHeight="1" s="31">
      <c r="A414" s="38" t="inlineStr">
        <is>
          <t>ART_062</t>
        </is>
      </c>
      <c r="B414" s="38" t="inlineStr">
        <is>
          <t>ART_062_S02</t>
        </is>
      </c>
      <c r="C414" s="38" t="inlineStr">
        <is>
          <t>Infobae Colombia</t>
        </is>
      </c>
      <c r="D414" s="38" t="inlineStr">
        <is>
          <t>Reformas sociales en disputa (pensional/tributaria)</t>
        </is>
      </c>
      <c r="E414" s="38" t="inlineStr">
        <is>
          <t>Noticia dura</t>
        </is>
      </c>
      <c r="F414" s="38" t="inlineStr">
        <is>
          <t>2026-08-26T12:31:03Z</t>
        </is>
      </c>
      <c r="G414" s="62" t="inlineStr">
        <is>
          <t>La decisión generó diversas reacciones en el sector político.</t>
        </is>
      </c>
      <c r="H414" s="62" t="inlineStr">
        <is>
          <t>El martes 25 de agosto de 2026, la Corte Constitucional avaló la reforma pensional promovida durante el gobierno del expresidente Gustavo Petro, aunque devolvió al menos nueve artículos al Congreso de la República para que sean corregidos.</t>
        </is>
      </c>
      <c r="I414" s="62" t="inlineStr">
        <is>
          <t>María Clara Posada, senadora del Centro Democrático, anunció que presentará un proyecto de ley para “modificar los dos aspectos más críticos del proyecto”, según sus declaraciones.</t>
        </is>
      </c>
      <c r="J414" s="38" t="n"/>
      <c r="K414" s="62" t="n"/>
      <c r="L414" s="38" t="n"/>
      <c r="M414" s="62" t="n"/>
      <c r="N414" s="38" t="n"/>
      <c r="O414" s="62" t="n"/>
      <c r="P414" s="38" t="n"/>
      <c r="Q414" s="62" t="n"/>
      <c r="R414" s="38" t="n"/>
      <c r="S414" s="62" t="n"/>
      <c r="T414" s="38" t="n"/>
      <c r="U414" s="62" t="n"/>
      <c r="V414" s="38" t="n"/>
      <c r="W414" s="62" t="n"/>
      <c r="X414" s="38" t="n"/>
      <c r="Y414" s="62" t="n"/>
      <c r="Z414" s="38" t="n"/>
      <c r="AA414" s="62" t="n"/>
      <c r="AB414" s="38" t="n"/>
      <c r="AC414" s="62" t="n"/>
      <c r="AD414" s="38" t="n"/>
      <c r="AE414" s="38" t="n"/>
      <c r="AF414" s="61">
        <f>IF(COUNTIF($B$5:B414,B414)=1,1,0)</f>
        <v/>
      </c>
      <c r="AG414" s="62" t="inlineStr">
        <is>
          <t>https://www.infobae.com/colombia/2026/08/26/la-corte-constitucional-aprobo-la-reforma-pensional-de-petro-y-asi-reacciono-el-pais-politico-preocupante/</t>
        </is>
      </c>
    </row>
    <row r="415" ht="15" customHeight="1" s="31">
      <c r="A415" s="38" t="inlineStr">
        <is>
          <t>ART_062</t>
        </is>
      </c>
      <c r="B415" s="38" t="inlineStr">
        <is>
          <t>ART_062_S03</t>
        </is>
      </c>
      <c r="C415" s="38" t="inlineStr">
        <is>
          <t>Infobae Colombia</t>
        </is>
      </c>
      <c r="D415" s="38" t="inlineStr">
        <is>
          <t>Reformas sociales en disputa (pensional/tributaria)</t>
        </is>
      </c>
      <c r="E415" s="38" t="inlineStr">
        <is>
          <t>Noticia dura</t>
        </is>
      </c>
      <c r="F415" s="38" t="inlineStr">
        <is>
          <t>2026-08-26T12:31:03Z</t>
        </is>
      </c>
      <c r="G415" s="62" t="inlineStr">
        <is>
          <t>María Clara Posada, senadora del Centro Democrático, anunció que presentará un proyecto de ley para “modificar los dos aspectos más críticos del proyecto”, según sus declaraciones.</t>
        </is>
      </c>
      <c r="H415" s="62" t="inlineStr">
        <is>
          <t>La decisión generó diversas reacciones en el sector político.</t>
        </is>
      </c>
      <c r="I415" s="62" t="inlineStr">
        <is>
          <t>“1.</t>
        </is>
      </c>
      <c r="J415" s="38" t="n"/>
      <c r="K415" s="62" t="n"/>
      <c r="L415" s="38" t="n"/>
      <c r="M415" s="62" t="n"/>
      <c r="N415" s="38" t="n"/>
      <c r="O415" s="62" t="n"/>
      <c r="P415" s="38" t="n"/>
      <c r="Q415" s="62" t="n"/>
      <c r="R415" s="38" t="n"/>
      <c r="S415" s="62" t="n"/>
      <c r="T415" s="38" t="n"/>
      <c r="U415" s="62" t="n"/>
      <c r="V415" s="38" t="n"/>
      <c r="W415" s="62" t="n"/>
      <c r="X415" s="38" t="n"/>
      <c r="Y415" s="62" t="n"/>
      <c r="Z415" s="38" t="n"/>
      <c r="AA415" s="62" t="n"/>
      <c r="AB415" s="38" t="n"/>
      <c r="AC415" s="62" t="n"/>
      <c r="AD415" s="38" t="n"/>
      <c r="AE415" s="38" t="n"/>
      <c r="AF415" s="61">
        <f>IF(COUNTIF($B$5:B415,B415)=1,1,0)</f>
        <v/>
      </c>
      <c r="AG415" s="62" t="inlineStr">
        <is>
          <t>https://www.infobae.com/colombia/2026/08/26/la-corte-constitucional-aprobo-la-reforma-pensional-de-petro-y-asi-reacciono-el-pais-politico-preocupante/</t>
        </is>
      </c>
    </row>
    <row r="416" ht="15" customHeight="1" s="31">
      <c r="A416" s="38" t="inlineStr">
        <is>
          <t>ART_062</t>
        </is>
      </c>
      <c r="B416" s="38" t="inlineStr">
        <is>
          <t>ART_062_S04</t>
        </is>
      </c>
      <c r="C416" s="38" t="inlineStr">
        <is>
          <t>Infobae Colombia</t>
        </is>
      </c>
      <c r="D416" s="38" t="inlineStr">
        <is>
          <t>Reformas sociales en disputa (pensional/tributaria)</t>
        </is>
      </c>
      <c r="E416" s="38" t="inlineStr">
        <is>
          <t>Noticia dura</t>
        </is>
      </c>
      <c r="F416" s="38" t="inlineStr">
        <is>
          <t>2026-08-26T12:31:03Z</t>
        </is>
      </c>
      <c r="G416" s="62" t="inlineStr">
        <is>
          <t>“1.</t>
        </is>
      </c>
      <c r="H416" s="62" t="inlineStr">
        <is>
          <t>María Clara Posada, senadora del Centro Democrático, anunció que presentará un proyecto de ley para “modificar los dos aspectos más críticos del proyecto”, según sus declaraciones.</t>
        </is>
      </c>
      <c r="I416" s="62" t="inlineStr">
        <is>
          <t>Se le debe devolver el ahorro a las personas que no logran cumplir los requisitos para pensionarse.</t>
        </is>
      </c>
      <c r="J416" s="38" t="n"/>
      <c r="K416" s="62" t="n"/>
      <c r="L416" s="38" t="n"/>
      <c r="M416" s="62" t="n"/>
      <c r="N416" s="38" t="n"/>
      <c r="O416" s="62" t="n"/>
      <c r="P416" s="38" t="n"/>
      <c r="Q416" s="62" t="n"/>
      <c r="R416" s="38" t="n"/>
      <c r="S416" s="62" t="n"/>
      <c r="T416" s="38" t="n"/>
      <c r="U416" s="62" t="n"/>
      <c r="V416" s="38" t="n"/>
      <c r="W416" s="62" t="n"/>
      <c r="X416" s="38" t="n"/>
      <c r="Y416" s="62" t="n"/>
      <c r="Z416" s="38" t="n"/>
      <c r="AA416" s="62" t="n"/>
      <c r="AB416" s="38" t="n"/>
      <c r="AC416" s="62" t="n"/>
      <c r="AD416" s="38" t="n"/>
      <c r="AE416" s="38" t="n"/>
      <c r="AF416" s="61">
        <f>IF(COUNTIF($B$5:B416,B416)=1,1,0)</f>
        <v/>
      </c>
      <c r="AG416" s="62" t="inlineStr">
        <is>
          <t>https://www.infobae.com/colombia/2026/08/26/la-corte-constitucional-aprobo-la-reforma-pensional-de-petro-y-asi-reacciono-el-pais-politico-preocupante/</t>
        </is>
      </c>
    </row>
    <row r="417" ht="15" customHeight="1" s="31">
      <c r="A417" s="38" t="inlineStr">
        <is>
          <t>ART_062</t>
        </is>
      </c>
      <c r="B417" s="38" t="inlineStr">
        <is>
          <t>ART_062_S05</t>
        </is>
      </c>
      <c r="C417" s="38" t="inlineStr">
        <is>
          <t>Infobae Colombia</t>
        </is>
      </c>
      <c r="D417" s="38" t="inlineStr">
        <is>
          <t>Reformas sociales en disputa (pensional/tributaria)</t>
        </is>
      </c>
      <c r="E417" s="38" t="inlineStr">
        <is>
          <t>Noticia dura</t>
        </is>
      </c>
      <c r="F417" s="38" t="inlineStr">
        <is>
          <t>2026-08-26T12:31:03Z</t>
        </is>
      </c>
      <c r="G417" s="62" t="inlineStr">
        <is>
          <t>Se le debe devolver el ahorro a las personas que no logran cumplir los requisitos para pensionarse.</t>
        </is>
      </c>
      <c r="H417" s="62" t="inlineStr">
        <is>
          <t>“1.</t>
        </is>
      </c>
      <c r="I417" s="62" t="inlineStr">
        <is>
          <t>Actualmente funciona así, pero la Reforma le roba los recursos y lo cambia por un subsidio mínimo.</t>
        </is>
      </c>
      <c r="J417" s="38" t="n"/>
      <c r="K417" s="62" t="n"/>
      <c r="L417" s="38" t="n"/>
      <c r="M417" s="62" t="n"/>
      <c r="N417" s="38" t="n"/>
      <c r="O417" s="62" t="n"/>
      <c r="P417" s="38" t="n"/>
      <c r="Q417" s="62" t="n"/>
      <c r="R417" s="38" t="n"/>
      <c r="S417" s="62" t="n"/>
      <c r="T417" s="38" t="n"/>
      <c r="U417" s="62" t="n"/>
      <c r="V417" s="38" t="n"/>
      <c r="W417" s="62" t="n"/>
      <c r="X417" s="38" t="n"/>
      <c r="Y417" s="62" t="n"/>
      <c r="Z417" s="38" t="n"/>
      <c r="AA417" s="62" t="n"/>
      <c r="AB417" s="38" t="n"/>
      <c r="AC417" s="62" t="n"/>
      <c r="AD417" s="38" t="n"/>
      <c r="AE417" s="38" t="n"/>
      <c r="AF417" s="61">
        <f>IF(COUNTIF($B$5:B417,B417)=1,1,0)</f>
        <v/>
      </c>
      <c r="AG417" s="62" t="inlineStr">
        <is>
          <t>https://www.infobae.com/colombia/2026/08/26/la-corte-constitucional-aprobo-la-reforma-pensional-de-petro-y-asi-reacciono-el-pais-politico-preocupante/</t>
        </is>
      </c>
    </row>
    <row r="418" ht="15" customHeight="1" s="31">
      <c r="A418" s="38" t="inlineStr">
        <is>
          <t>ART_062</t>
        </is>
      </c>
      <c r="B418" s="38" t="inlineStr">
        <is>
          <t>ART_062_S06</t>
        </is>
      </c>
      <c r="C418" s="38" t="inlineStr">
        <is>
          <t>Infobae Colombia</t>
        </is>
      </c>
      <c r="D418" s="38" t="inlineStr">
        <is>
          <t>Reformas sociales en disputa (pensional/tributaria)</t>
        </is>
      </c>
      <c r="E418" s="38" t="inlineStr">
        <is>
          <t>Noticia dura</t>
        </is>
      </c>
      <c r="F418" s="38" t="inlineStr">
        <is>
          <t>2026-08-26T12:31:03Z</t>
        </is>
      </c>
      <c r="G418" s="62" t="inlineStr">
        <is>
          <t>Actualmente funciona así, pero la Reforma le roba los recursos y lo cambia por un subsidio mínimo.</t>
        </is>
      </c>
      <c r="H418" s="62" t="inlineStr">
        <is>
          <t>Se le debe devolver el ahorro a las personas que no logran cumplir los requisitos para pensionarse.</t>
        </is>
      </c>
      <c r="I418" s="62" t="inlineStr">
        <is>
          <t>2. ⁠El umbral mínimo de cotización en Colpensiones debe ser de 1 salario mínimo.</t>
        </is>
      </c>
      <c r="J418" s="38" t="n"/>
      <c r="K418" s="62" t="n"/>
      <c r="L418" s="38" t="n"/>
      <c r="M418" s="62" t="n"/>
      <c r="N418" s="38" t="n"/>
      <c r="O418" s="62" t="n"/>
      <c r="P418" s="38" t="n"/>
      <c r="Q418" s="62" t="n"/>
      <c r="R418" s="38" t="n"/>
      <c r="S418" s="62" t="n"/>
      <c r="T418" s="38" t="n"/>
      <c r="U418" s="62" t="n"/>
      <c r="V418" s="38" t="n"/>
      <c r="W418" s="62" t="n"/>
      <c r="X418" s="38" t="n"/>
      <c r="Y418" s="62" t="n"/>
      <c r="Z418" s="38" t="n"/>
      <c r="AA418" s="62" t="n"/>
      <c r="AB418" s="38" t="n"/>
      <c r="AC418" s="62" t="n"/>
      <c r="AD418" s="38" t="n"/>
      <c r="AE418" s="38" t="n"/>
      <c r="AF418" s="61">
        <f>IF(COUNTIF($B$5:B418,B418)=1,1,0)</f>
        <v/>
      </c>
      <c r="AG418" s="62" t="inlineStr">
        <is>
          <t>https://www.infobae.com/colombia/2026/08/26/la-corte-constitucional-aprobo-la-reforma-pensional-de-petro-y-asi-reacciono-el-pais-politico-preocupante/</t>
        </is>
      </c>
    </row>
    <row r="419" ht="15" customHeight="1" s="31">
      <c r="A419" s="38" t="inlineStr">
        <is>
          <t>ART_062</t>
        </is>
      </c>
      <c r="B419" s="38" t="inlineStr">
        <is>
          <t>ART_062_S07</t>
        </is>
      </c>
      <c r="C419" s="38" t="inlineStr">
        <is>
          <t>Infobae Colombia</t>
        </is>
      </c>
      <c r="D419" s="38" t="inlineStr">
        <is>
          <t>Reformas sociales en disputa (pensional/tributaria)</t>
        </is>
      </c>
      <c r="E419" s="38" t="inlineStr">
        <is>
          <t>Noticia dura</t>
        </is>
      </c>
      <c r="F419" s="38" t="inlineStr">
        <is>
          <t>2026-08-26T12:31:03Z</t>
        </is>
      </c>
      <c r="G419" s="62" t="inlineStr">
        <is>
          <t>2. ⁠El umbral mínimo de cotización en Colpensiones debe ser de 1 salario mínimo.</t>
        </is>
      </c>
      <c r="H419" s="62" t="inlineStr">
        <is>
          <t>Actualmente funciona así, pero la Reforma le roba los recursos y lo cambia por un subsidio mínimo.</t>
        </is>
      </c>
      <c r="I419" s="62" t="inlineStr">
        <is>
          <t>Los recursos del Estado deben enfocarse en garantizar los recursos para los más vulnerables (sic)“, explicó la senadora.</t>
        </is>
      </c>
      <c r="J419" s="38" t="n"/>
      <c r="K419" s="62" t="n"/>
      <c r="L419" s="38" t="n"/>
      <c r="M419" s="62" t="n"/>
      <c r="N419" s="38" t="n"/>
      <c r="O419" s="62" t="n"/>
      <c r="P419" s="38" t="n"/>
      <c r="Q419" s="62" t="n"/>
      <c r="R419" s="38" t="n"/>
      <c r="S419" s="62" t="n"/>
      <c r="T419" s="38" t="n"/>
      <c r="U419" s="62" t="n"/>
      <c r="V419" s="38" t="n"/>
      <c r="W419" s="62" t="n"/>
      <c r="X419" s="38" t="n"/>
      <c r="Y419" s="62" t="n"/>
      <c r="Z419" s="38" t="n"/>
      <c r="AA419" s="62" t="n"/>
      <c r="AB419" s="38" t="n"/>
      <c r="AC419" s="62" t="n"/>
      <c r="AD419" s="38" t="n"/>
      <c r="AE419" s="38" t="n"/>
      <c r="AF419" s="61">
        <f>IF(COUNTIF($B$5:B419,B419)=1,1,0)</f>
        <v/>
      </c>
      <c r="AG419" s="62" t="inlineStr">
        <is>
          <t>https://www.infobae.com/colombia/2026/08/26/la-corte-constitucional-aprobo-la-reforma-pensional-de-petro-y-asi-reacciono-el-pais-politico-preocupante/</t>
        </is>
      </c>
    </row>
    <row r="420" ht="15" customHeight="1" s="31">
      <c r="A420" s="38" t="inlineStr">
        <is>
          <t>ART_062</t>
        </is>
      </c>
      <c r="B420" s="38" t="inlineStr">
        <is>
          <t>ART_062_S08</t>
        </is>
      </c>
      <c r="C420" s="38" t="inlineStr">
        <is>
          <t>Infobae Colombia</t>
        </is>
      </c>
      <c r="D420" s="38" t="inlineStr">
        <is>
          <t>Reformas sociales en disputa (pensional/tributaria)</t>
        </is>
      </c>
      <c r="E420" s="38" t="inlineStr">
        <is>
          <t>Noticia dura</t>
        </is>
      </c>
      <c r="F420" s="38" t="inlineStr">
        <is>
          <t>2026-08-26T12:31:03Z</t>
        </is>
      </c>
      <c r="G420" s="62" t="inlineStr">
        <is>
          <t>Los recursos del Estado deben enfocarse en garantizar los recursos para los más vulnerables (sic)“, explicó la senadora.</t>
        </is>
      </c>
      <c r="H420" s="62" t="inlineStr">
        <is>
          <t>2. ⁠El umbral mínimo de cotización en Colpensiones debe ser de 1 salario mínimo.</t>
        </is>
      </c>
      <c r="I420" s="62" t="inlineStr">
        <is>
          <t>Andrés Camacho, exministro de Minas y Energía, celebró la decisión de la Corte Constitucional y la calificó como un “triunfo” para los trabajadores del país.</t>
        </is>
      </c>
      <c r="J420" s="38" t="n"/>
      <c r="K420" s="62" t="n"/>
      <c r="L420" s="38" t="n"/>
      <c r="M420" s="62" t="n"/>
      <c r="N420" s="38" t="n"/>
      <c r="O420" s="62" t="n"/>
      <c r="P420" s="38" t="n"/>
      <c r="Q420" s="62" t="n"/>
      <c r="R420" s="38" t="n"/>
      <c r="S420" s="62" t="n"/>
      <c r="T420" s="38" t="n"/>
      <c r="U420" s="62" t="n"/>
      <c r="V420" s="38" t="n"/>
      <c r="W420" s="62" t="n"/>
      <c r="X420" s="38" t="n"/>
      <c r="Y420" s="62" t="n"/>
      <c r="Z420" s="38" t="n"/>
      <c r="AA420" s="62" t="n"/>
      <c r="AB420" s="38" t="n"/>
      <c r="AC420" s="62" t="n"/>
      <c r="AD420" s="38" t="n"/>
      <c r="AE420" s="38" t="n"/>
      <c r="AF420" s="61">
        <f>IF(COUNTIF($B$5:B420,B420)=1,1,0)</f>
        <v/>
      </c>
      <c r="AG420" s="62" t="inlineStr">
        <is>
          <t>https://www.infobae.com/colombia/2026/08/26/la-corte-constitucional-aprobo-la-reforma-pensional-de-petro-y-asi-reacciono-el-pais-politico-preocupante/</t>
        </is>
      </c>
    </row>
    <row r="421" ht="15" customHeight="1" s="31">
      <c r="A421" s="38" t="inlineStr">
        <is>
          <t>ART_062</t>
        </is>
      </c>
      <c r="B421" s="38" t="inlineStr">
        <is>
          <t>ART_062_S09</t>
        </is>
      </c>
      <c r="C421" s="38" t="inlineStr">
        <is>
          <t>Infobae Colombia</t>
        </is>
      </c>
      <c r="D421" s="38" t="inlineStr">
        <is>
          <t>Reformas sociales en disputa (pensional/tributaria)</t>
        </is>
      </c>
      <c r="E421" s="38" t="inlineStr">
        <is>
          <t>Noticia dura</t>
        </is>
      </c>
      <c r="F421" s="38" t="inlineStr">
        <is>
          <t>2026-08-26T12:31:03Z</t>
        </is>
      </c>
      <c r="G421" s="62" t="inlineStr">
        <is>
          <t>Andrés Camacho, exministro de Minas y Energía, celebró la decisión de la Corte Constitucional y la calificó como un “triunfo” para los trabajadores del país.</t>
        </is>
      </c>
      <c r="H421" s="62" t="inlineStr">
        <is>
          <t>Los recursos del Estado deben enfocarse en garantizar los recursos para los más vulnerables (sic)“, explicó la senadora.</t>
        </is>
      </c>
      <c r="I421" s="62" t="inlineStr">
        <is>
          <t>“Un enorme triunfo para el país, la aprobación de la Reforma Pensional por parte de la Corte Constitucional deja en firme una de las grandes transformaciones del Presidente Gustavo Petro.</t>
        </is>
      </c>
      <c r="J421" s="38" t="n"/>
      <c r="K421" s="62" t="n"/>
      <c r="L421" s="38" t="n"/>
      <c r="M421" s="62" t="n"/>
      <c r="N421" s="38" t="n"/>
      <c r="O421" s="62" t="n"/>
      <c r="P421" s="38" t="n"/>
      <c r="Q421" s="62" t="n"/>
      <c r="R421" s="38" t="n"/>
      <c r="S421" s="62" t="n"/>
      <c r="T421" s="38" t="n"/>
      <c r="U421" s="62" t="n"/>
      <c r="V421" s="38" t="n"/>
      <c r="W421" s="62" t="n"/>
      <c r="X421" s="38" t="n"/>
      <c r="Y421" s="62" t="n"/>
      <c r="Z421" s="38" t="n"/>
      <c r="AA421" s="62" t="n"/>
      <c r="AB421" s="38" t="n"/>
      <c r="AC421" s="62" t="n"/>
      <c r="AD421" s="38" t="n"/>
      <c r="AE421" s="38" t="n"/>
      <c r="AF421" s="61">
        <f>IF(COUNTIF($B$5:B421,B421)=1,1,0)</f>
        <v/>
      </c>
      <c r="AG421" s="62" t="inlineStr">
        <is>
          <t>https://www.infobae.com/colombia/2026/08/26/la-corte-constitucional-aprobo-la-reforma-pensional-de-petro-y-asi-reacciono-el-pais-politico-preocupante/</t>
        </is>
      </c>
    </row>
    <row r="422" ht="15" customHeight="1" s="31">
      <c r="A422" s="38" t="inlineStr">
        <is>
          <t>ART_062</t>
        </is>
      </c>
      <c r="B422" s="38" t="inlineStr">
        <is>
          <t>ART_062_S10</t>
        </is>
      </c>
      <c r="C422" s="38" t="inlineStr">
        <is>
          <t>Infobae Colombia</t>
        </is>
      </c>
      <c r="D422" s="38" t="inlineStr">
        <is>
          <t>Reformas sociales en disputa (pensional/tributaria)</t>
        </is>
      </c>
      <c r="E422" s="38" t="inlineStr">
        <is>
          <t>Noticia dura</t>
        </is>
      </c>
      <c r="F422" s="38" t="inlineStr">
        <is>
          <t>2026-08-26T12:31:03Z</t>
        </is>
      </c>
      <c r="G422" s="62" t="inlineStr">
        <is>
          <t>“Un enorme triunfo para el país, la aprobación de la Reforma Pensional por parte de la Corte Constitucional deja en firme una de las grandes transformaciones del Presidente Gustavo Petro.</t>
        </is>
      </c>
      <c r="H422" s="62" t="inlineStr">
        <is>
          <t>Andrés Camacho, exministro de Minas y Energía, celebró la decisión de la Corte Constitucional y la calificó como un “triunfo” para los trabajadores del país.</t>
        </is>
      </c>
      <c r="I422" s="62" t="inlineStr">
        <is>
          <t>Sin duda es un triunfo para los y las trabajadoras de Colombia, para nuestros abuelos y abuelas (sic)”, indicó Camacho.</t>
        </is>
      </c>
      <c r="J422" s="38" t="n"/>
      <c r="K422" s="62" t="n"/>
      <c r="L422" s="38" t="n"/>
      <c r="M422" s="62" t="n"/>
      <c r="N422" s="38" t="n"/>
      <c r="O422" s="62" t="n"/>
      <c r="P422" s="38" t="n"/>
      <c r="Q422" s="62" t="n"/>
      <c r="R422" s="38" t="n"/>
      <c r="S422" s="62" t="n"/>
      <c r="T422" s="38" t="n"/>
      <c r="U422" s="62" t="n"/>
      <c r="V422" s="38" t="n"/>
      <c r="W422" s="62" t="n"/>
      <c r="X422" s="38" t="n"/>
      <c r="Y422" s="62" t="n"/>
      <c r="Z422" s="38" t="n"/>
      <c r="AA422" s="62" t="n"/>
      <c r="AB422" s="38" t="n"/>
      <c r="AC422" s="62" t="n"/>
      <c r="AD422" s="38" t="n"/>
      <c r="AE422" s="38" t="n"/>
      <c r="AF422" s="61">
        <f>IF(COUNTIF($B$5:B422,B422)=1,1,0)</f>
        <v/>
      </c>
      <c r="AG422" s="62" t="inlineStr">
        <is>
          <t>https://www.infobae.com/colombia/2026/08/26/la-corte-constitucional-aprobo-la-reforma-pensional-de-petro-y-asi-reacciono-el-pais-politico-preocupante/</t>
        </is>
      </c>
    </row>
    <row r="423" ht="15" customHeight="1" s="31">
      <c r="A423" s="38" t="inlineStr">
        <is>
          <t>ART_062</t>
        </is>
      </c>
      <c r="B423" s="38" t="inlineStr">
        <is>
          <t>ART_062_S11</t>
        </is>
      </c>
      <c r="C423" s="38" t="inlineStr">
        <is>
          <t>Infobae Colombia</t>
        </is>
      </c>
      <c r="D423" s="38" t="inlineStr">
        <is>
          <t>Reformas sociales en disputa (pensional/tributaria)</t>
        </is>
      </c>
      <c r="E423" s="38" t="inlineStr">
        <is>
          <t>Noticia dura</t>
        </is>
      </c>
      <c r="F423" s="38" t="inlineStr">
        <is>
          <t>2026-08-26T12:31:03Z</t>
        </is>
      </c>
      <c r="G423" s="62" t="inlineStr">
        <is>
          <t>Sin duda es un triunfo para los y las trabajadoras de Colombia, para nuestros abuelos y abuelas (sic)”, indicó Camacho.</t>
        </is>
      </c>
      <c r="H423" s="62" t="inlineStr">
        <is>
          <t>“Un enorme triunfo para el país, la aprobación de la Reforma Pensional por parte de la Corte Constitucional deja en firme una de las grandes transformaciones del Presidente Gustavo Petro.</t>
        </is>
      </c>
      <c r="I423" s="62" t="inlineStr">
        <is>
          <t>El exministro del Trabajo, Antonio Sanguino, también celebró la decisión de alto tribunal y aseguró que es un “triunfo de la clase trabajadora y del Gobierno del cambio”.</t>
        </is>
      </c>
      <c r="J423" s="38" t="n"/>
      <c r="K423" s="62" t="n"/>
      <c r="L423" s="38" t="n"/>
      <c r="M423" s="62" t="n"/>
      <c r="N423" s="38" t="n"/>
      <c r="O423" s="62" t="n"/>
      <c r="P423" s="38" t="n"/>
      <c r="Q423" s="62" t="n"/>
      <c r="R423" s="38" t="n"/>
      <c r="S423" s="62" t="n"/>
      <c r="T423" s="38" t="n"/>
      <c r="U423" s="62" t="n"/>
      <c r="V423" s="38" t="n"/>
      <c r="W423" s="62" t="n"/>
      <c r="X423" s="38" t="n"/>
      <c r="Y423" s="62" t="n"/>
      <c r="Z423" s="38" t="n"/>
      <c r="AA423" s="62" t="n"/>
      <c r="AB423" s="38" t="n"/>
      <c r="AC423" s="62" t="n"/>
      <c r="AD423" s="38" t="n"/>
      <c r="AE423" s="38" t="n"/>
      <c r="AF423" s="61">
        <f>IF(COUNTIF($B$5:B423,B423)=1,1,0)</f>
        <v/>
      </c>
      <c r="AG423" s="62" t="inlineStr">
        <is>
          <t>https://www.infobae.com/colombia/2026/08/26/la-corte-constitucional-aprobo-la-reforma-pensional-de-petro-y-asi-reacciono-el-pais-politico-preocupante/</t>
        </is>
      </c>
    </row>
    <row r="424" ht="15" customHeight="1" s="31">
      <c r="A424" s="38" t="inlineStr">
        <is>
          <t>ART_062</t>
        </is>
      </c>
      <c r="B424" s="38" t="inlineStr">
        <is>
          <t>ART_062_S12</t>
        </is>
      </c>
      <c r="C424" s="38" t="inlineStr">
        <is>
          <t>Infobae Colombia</t>
        </is>
      </c>
      <c r="D424" s="38" t="inlineStr">
        <is>
          <t>Reformas sociales en disputa (pensional/tributaria)</t>
        </is>
      </c>
      <c r="E424" s="38" t="inlineStr">
        <is>
          <t>Noticia dura</t>
        </is>
      </c>
      <c r="F424" s="38" t="inlineStr">
        <is>
          <t>2026-08-26T12:31:03Z</t>
        </is>
      </c>
      <c r="G424" s="62" t="inlineStr">
        <is>
          <t>El exministro del Trabajo, Antonio Sanguino, también celebró la decisión de alto tribunal y aseguró que es un “triunfo de la clase trabajadora y del Gobierno del cambio”.</t>
        </is>
      </c>
      <c r="H424" s="62" t="inlineStr">
        <is>
          <t>Sin duda es un triunfo para los y las trabajadoras de Colombia, para nuestros abuelos y abuelas (sic)”, indicó Camacho.</t>
        </is>
      </c>
      <c r="I424" s="62" t="n"/>
      <c r="J424" s="38" t="n"/>
      <c r="K424" s="62" t="n"/>
      <c r="L424" s="38" t="n"/>
      <c r="M424" s="62" t="n"/>
      <c r="N424" s="38" t="n"/>
      <c r="O424" s="62" t="n"/>
      <c r="P424" s="38" t="n"/>
      <c r="Q424" s="62" t="n"/>
      <c r="R424" s="38" t="n"/>
      <c r="S424" s="62" t="n"/>
      <c r="T424" s="38" t="n"/>
      <c r="U424" s="62" t="n"/>
      <c r="V424" s="38" t="n"/>
      <c r="W424" s="62" t="n"/>
      <c r="X424" s="38" t="n"/>
      <c r="Y424" s="62" t="n"/>
      <c r="Z424" s="38" t="n"/>
      <c r="AA424" s="62" t="n"/>
      <c r="AB424" s="38" t="n"/>
      <c r="AC424" s="62" t="n"/>
      <c r="AD424" s="38" t="n"/>
      <c r="AE424" s="38" t="n"/>
      <c r="AF424" s="61">
        <f>IF(COUNTIF($B$5:B424,B424)=1,1,0)</f>
        <v/>
      </c>
      <c r="AG424" s="62" t="inlineStr">
        <is>
          <t>https://www.infobae.com/colombia/2026/08/26/la-corte-constitucional-aprobo-la-reforma-pensional-de-petro-y-asi-reacciono-el-pais-politico-preocupante/</t>
        </is>
      </c>
    </row>
    <row r="425" ht="15" customHeight="1" s="31">
      <c r="A425" s="38" t="inlineStr">
        <is>
          <t>ART_063</t>
        </is>
      </c>
      <c r="B425" s="38" t="inlineStr">
        <is>
          <t>ART_063_S01</t>
        </is>
      </c>
      <c r="C425" s="38" t="inlineStr">
        <is>
          <t>Infobae Colombia</t>
        </is>
      </c>
      <c r="D425" s="38" t="inlineStr">
        <is>
          <t>Reformas sociales en disputa (pensional/tributaria)</t>
        </is>
      </c>
      <c r="E425" s="38" t="inlineStr">
        <is>
          <t>Noticia dura</t>
        </is>
      </c>
      <c r="F425" s="38" t="inlineStr">
        <is>
          <t>2026-09-07T01:06:46Z</t>
        </is>
      </c>
      <c r="G425" s="62" t="inlineStr">
        <is>
          <t>El exministro de Hacienda José Antonio Ocampo se refirió al aval que le dio la Corte Constitucional a la reforma pensional, principalmente, sobre un cambio que considera central: Colpensiones dejaría de competir con el ahorro individual para operar en un esquema complementario.</t>
        </is>
      </c>
      <c r="H425" s="62" t="n"/>
      <c r="I425" s="62" t="inlineStr">
        <is>
          <t>El exfuncionario dijo que el sistema tendrá costos altos desde 2067, cuando se agoten los recursos de un fondo especial.</t>
        </is>
      </c>
      <c r="J425" s="38" t="n"/>
      <c r="K425" s="62" t="n"/>
      <c r="L425" s="38" t="n"/>
      <c r="M425" s="62" t="n"/>
      <c r="N425" s="38" t="n"/>
      <c r="O425" s="62" t="n"/>
      <c r="P425" s="38" t="n"/>
      <c r="Q425" s="62" t="n"/>
      <c r="R425" s="38" t="n"/>
      <c r="S425" s="62" t="n"/>
      <c r="T425" s="38" t="n"/>
      <c r="U425" s="62" t="n"/>
      <c r="V425" s="38" t="n"/>
      <c r="W425" s="62" t="n"/>
      <c r="X425" s="38" t="n"/>
      <c r="Y425" s="62" t="n"/>
      <c r="Z425" s="38" t="n"/>
      <c r="AA425" s="62" t="n"/>
      <c r="AB425" s="38" t="n"/>
      <c r="AC425" s="62" t="n"/>
      <c r="AD425" s="38" t="n"/>
      <c r="AE425" s="38" t="n"/>
      <c r="AF425" s="61">
        <f>IF(COUNTIF($B$5:B425,B425)=1,1,0)</f>
        <v/>
      </c>
      <c r="AG425" s="62" t="inlineStr">
        <is>
          <t>https://www.infobae.com/colombia/2026/09/07/reforma-pensional-confirman-en-que-ano-se-acabara-el-ahorro-de-los-trabajadores-colombianos-y-cuando-colapsara-colpensiones/</t>
        </is>
      </c>
    </row>
    <row r="426" ht="15" customHeight="1" s="31">
      <c r="A426" s="38" t="inlineStr">
        <is>
          <t>ART_063</t>
        </is>
      </c>
      <c r="B426" s="38" t="inlineStr">
        <is>
          <t>ART_063_S02</t>
        </is>
      </c>
      <c r="C426" s="38" t="inlineStr">
        <is>
          <t>Infobae Colombia</t>
        </is>
      </c>
      <c r="D426" s="38" t="inlineStr">
        <is>
          <t>Reformas sociales en disputa (pensional/tributaria)</t>
        </is>
      </c>
      <c r="E426" s="38" t="inlineStr">
        <is>
          <t>Noticia dura</t>
        </is>
      </c>
      <c r="F426" s="38" t="inlineStr">
        <is>
          <t>2026-09-07T01:06:46Z</t>
        </is>
      </c>
      <c r="G426" s="62" t="inlineStr">
        <is>
          <t>El exfuncionario dijo que el sistema tendrá costos altos desde 2067, cuando se agoten los recursos de un fondo especial.</t>
        </is>
      </c>
      <c r="H426" s="62" t="inlineStr">
        <is>
          <t>El exministro de Hacienda José Antonio Ocampo se refirió al aval que le dio la Corte Constitucional a la reforma pensional, principalmente, sobre un cambio que considera central: Colpensiones dejaría de competir con el ahorro individual para operar en un esquema complementario.</t>
        </is>
      </c>
      <c r="I426" s="62" t="n"/>
      <c r="J426" s="38" t="n"/>
      <c r="K426" s="62" t="n"/>
      <c r="L426" s="38" t="n"/>
      <c r="M426" s="62" t="n"/>
      <c r="N426" s="38" t="n"/>
      <c r="O426" s="62" t="n"/>
      <c r="P426" s="38" t="n"/>
      <c r="Q426" s="62" t="n"/>
      <c r="R426" s="38" t="n"/>
      <c r="S426" s="62" t="n"/>
      <c r="T426" s="38" t="n"/>
      <c r="U426" s="62" t="n"/>
      <c r="V426" s="38" t="n"/>
      <c r="W426" s="62" t="n"/>
      <c r="X426" s="38" t="n"/>
      <c r="Y426" s="62" t="n"/>
      <c r="Z426" s="38" t="n"/>
      <c r="AA426" s="62" t="n"/>
      <c r="AB426" s="38" t="n"/>
      <c r="AC426" s="62" t="n"/>
      <c r="AD426" s="38" t="n"/>
      <c r="AE426" s="38" t="n"/>
      <c r="AF426" s="61">
        <f>IF(COUNTIF($B$5:B426,B426)=1,1,0)</f>
        <v/>
      </c>
      <c r="AG426" s="62" t="inlineStr">
        <is>
          <t>https://www.infobae.com/colombia/2026/09/07/reforma-pensional-confirman-en-que-ano-se-acabara-el-ahorro-de-los-trabajadores-colombianos-y-cuando-colapsara-colpensiones/</t>
        </is>
      </c>
    </row>
    <row r="427" ht="15" customHeight="1" s="31">
      <c r="A427" s="38" t="inlineStr">
        <is>
          <t>ART_064</t>
        </is>
      </c>
      <c r="B427" s="38" t="inlineStr">
        <is>
          <t>ART_064_S01</t>
        </is>
      </c>
      <c r="C427" s="38" t="inlineStr">
        <is>
          <t>El Tiempo</t>
        </is>
      </c>
      <c r="D427" s="38" t="inlineStr">
        <is>
          <t>Respuesta a la emergencia del terremoto</t>
        </is>
      </c>
      <c r="E427" s="38" t="inlineStr">
        <is>
          <t>Noticia dura</t>
        </is>
      </c>
      <c r="F427" s="38" t="inlineStr">
        <is>
          <t>2026-09-06T04:06:38-05:00</t>
        </is>
      </c>
      <c r="G427" s="62" t="inlineStr">
        <is>
          <t>El presidente Abelardo De La Espriella anunció el sábado 5 de septiembre una serie de medidas para atender las consecuencias del terremoto ocurrido el pasado 10 de agosto en Cali y el departamento del Valle del Cauca, con acciones dirigidas a la recuperación de viviendas, la actividad productiva y el bienestar emocional de las familias afectadas.</t>
        </is>
      </c>
      <c r="H427" s="62" t="n"/>
      <c r="I427" s="62" t="inlineStr">
        <is>
          <t>El anuncio se produjo durante una jornada de trabajo con habitantes de Cuarto de Legua, en Cali, en la que participaron el Gobierno Nacional, la Alcaldía de Cali y la Gobernación del Valle del Cauca.</t>
        </is>
      </c>
      <c r="J427" s="38" t="n"/>
      <c r="K427" s="62" t="n"/>
      <c r="L427" s="38" t="n"/>
      <c r="M427" s="62" t="n"/>
      <c r="N427" s="38" t="n"/>
      <c r="O427" s="62" t="n"/>
      <c r="P427" s="38" t="n"/>
      <c r="Q427" s="62" t="n"/>
      <c r="R427" s="38" t="n"/>
      <c r="S427" s="62" t="n"/>
      <c r="T427" s="38" t="n"/>
      <c r="U427" s="62" t="n"/>
      <c r="V427" s="38" t="n"/>
      <c r="W427" s="62" t="n"/>
      <c r="X427" s="38" t="n"/>
      <c r="Y427" s="62" t="n"/>
      <c r="Z427" s="38" t="n"/>
      <c r="AA427" s="62" t="n"/>
      <c r="AB427" s="38" t="n"/>
      <c r="AC427" s="62" t="n"/>
      <c r="AD427" s="38" t="n"/>
      <c r="AE427" s="38" t="n"/>
      <c r="AF427" s="61">
        <f>IF(COUNTIF($B$5:B427,B427)=1,1,0)</f>
        <v/>
      </c>
      <c r="AG427" s="62" t="inlineStr">
        <is>
          <t>https://www.eltiempo.com/colombia/cali/abelardo-de-la-espriella-anuncio-medidas-para-acelerar-la-reconstruccion-de-cali-tras-el-terremoto-con-acciones-en-vivienda-empleo-y-economia-3583937</t>
        </is>
      </c>
    </row>
    <row r="428" ht="15" customHeight="1" s="31">
      <c r="A428" s="38" t="inlineStr">
        <is>
          <t>ART_064</t>
        </is>
      </c>
      <c r="B428" s="38" t="inlineStr">
        <is>
          <t>ART_064_S02</t>
        </is>
      </c>
      <c r="C428" s="38" t="inlineStr">
        <is>
          <t>El Tiempo</t>
        </is>
      </c>
      <c r="D428" s="38" t="inlineStr">
        <is>
          <t>Respuesta a la emergencia del terremoto</t>
        </is>
      </c>
      <c r="E428" s="38" t="inlineStr">
        <is>
          <t>Noticia dura</t>
        </is>
      </c>
      <c r="F428" s="38" t="inlineStr">
        <is>
          <t>2026-09-06T04:06:38-05:00</t>
        </is>
      </c>
      <c r="G428" s="62" t="inlineStr">
        <is>
          <t>El anuncio se produjo durante una jornada de trabajo con habitantes de Cuarto de Legua, en Cali, en la que participaron el Gobierno Nacional, la Alcaldía de Cali y la Gobernación del Valle del Cauca.</t>
        </is>
      </c>
      <c r="H428" s="62" t="inlineStr">
        <is>
          <t>El presidente Abelardo De La Espriella anunció el sábado 5 de septiembre una serie de medidas para atender las consecuencias del terremoto ocurrido el pasado 10 de agosto en Cali y el departamento del Valle del Cauca, con acciones dirigidas a la recuperación de viviendas, la actividad productiva y el bienestar emocional de las familias afectadas.</t>
        </is>
      </c>
      <c r="I428" s="62" t="inlineStr">
        <is>
          <t>A través de su cuenta oficial de X, el mandatario informó que su administración respaldará el plan piloto de reconstrucción público-privada liderado por la Alcaldía.</t>
        </is>
      </c>
      <c r="J428" s="38" t="n"/>
      <c r="K428" s="62" t="n"/>
      <c r="L428" s="38" t="n"/>
      <c r="M428" s="62" t="n"/>
      <c r="N428" s="38" t="n"/>
      <c r="O428" s="62" t="n"/>
      <c r="P428" s="38" t="n"/>
      <c r="Q428" s="62" t="n"/>
      <c r="R428" s="38" t="n"/>
      <c r="S428" s="62" t="n"/>
      <c r="T428" s="38" t="n"/>
      <c r="U428" s="62" t="n"/>
      <c r="V428" s="38" t="n"/>
      <c r="W428" s="62" t="n"/>
      <c r="X428" s="38" t="n"/>
      <c r="Y428" s="62" t="n"/>
      <c r="Z428" s="38" t="n"/>
      <c r="AA428" s="62" t="n"/>
      <c r="AB428" s="38" t="n"/>
      <c r="AC428" s="62" t="n"/>
      <c r="AD428" s="38" t="n"/>
      <c r="AE428" s="38" t="n"/>
      <c r="AF428" s="61">
        <f>IF(COUNTIF($B$5:B428,B428)=1,1,0)</f>
        <v/>
      </c>
      <c r="AG428" s="62" t="inlineStr">
        <is>
          <t>https://www.eltiempo.com/colombia/cali/abelardo-de-la-espriella-anuncio-medidas-para-acelerar-la-reconstruccion-de-cali-tras-el-terremoto-con-acciones-en-vivienda-empleo-y-economia-3583937</t>
        </is>
      </c>
    </row>
    <row r="429" ht="15" customHeight="1" s="31">
      <c r="A429" s="38" t="inlineStr">
        <is>
          <t>ART_064</t>
        </is>
      </c>
      <c r="B429" s="38" t="inlineStr">
        <is>
          <t>ART_064_S03</t>
        </is>
      </c>
      <c r="C429" s="38" t="inlineStr">
        <is>
          <t>El Tiempo</t>
        </is>
      </c>
      <c r="D429" s="38" t="inlineStr">
        <is>
          <t>Respuesta a la emergencia del terremoto</t>
        </is>
      </c>
      <c r="E429" s="38" t="inlineStr">
        <is>
          <t>Noticia dura</t>
        </is>
      </c>
      <c r="F429" s="38" t="inlineStr">
        <is>
          <t>2026-09-06T04:06:38-05:00</t>
        </is>
      </c>
      <c r="G429" s="62" t="inlineStr">
        <is>
          <t>A través de su cuenta oficial de X, el mandatario informó que su administración respaldará el plan piloto de reconstrucción público-privada liderado por la Alcaldía.</t>
        </is>
      </c>
      <c r="H429" s="62" t="inlineStr">
        <is>
          <t>El anuncio se produjo durante una jornada de trabajo con habitantes de Cuarto de Legua, en Cali, en la que participaron el Gobierno Nacional, la Alcaldía de Cali y la Gobernación del Valle del Cauca.</t>
        </is>
      </c>
      <c r="I429" s="62" t="inlineStr">
        <is>
          <t>Durante un video, De La Espriella explicó que la iniciativa busca avanzar sin que los trámites o las diferencias entre instituciones retrasen las soluciones.</t>
        </is>
      </c>
      <c r="J429" s="38" t="n"/>
      <c r="K429" s="62" t="n"/>
      <c r="L429" s="38" t="n"/>
      <c r="M429" s="62" t="n"/>
      <c r="N429" s="38" t="n"/>
      <c r="O429" s="62" t="n"/>
      <c r="P429" s="38" t="n"/>
      <c r="Q429" s="62" t="n"/>
      <c r="R429" s="38" t="n"/>
      <c r="S429" s="62" t="n"/>
      <c r="T429" s="38" t="n"/>
      <c r="U429" s="62" t="n"/>
      <c r="V429" s="38" t="n"/>
      <c r="W429" s="62" t="n"/>
      <c r="X429" s="38" t="n"/>
      <c r="Y429" s="62" t="n"/>
      <c r="Z429" s="38" t="n"/>
      <c r="AA429" s="62" t="n"/>
      <c r="AB429" s="38" t="n"/>
      <c r="AC429" s="62" t="n"/>
      <c r="AD429" s="38" t="n"/>
      <c r="AE429" s="38" t="n"/>
      <c r="AF429" s="61">
        <f>IF(COUNTIF($B$5:B429,B429)=1,1,0)</f>
        <v/>
      </c>
      <c r="AG429" s="62" t="inlineStr">
        <is>
          <t>https://www.eltiempo.com/colombia/cali/abelardo-de-la-espriella-anuncio-medidas-para-acelerar-la-reconstruccion-de-cali-tras-el-terremoto-con-acciones-en-vivienda-empleo-y-economia-3583937</t>
        </is>
      </c>
    </row>
    <row r="430" ht="15" customHeight="1" s="31">
      <c r="A430" s="38" t="inlineStr">
        <is>
          <t>ART_064</t>
        </is>
      </c>
      <c r="B430" s="38" t="inlineStr">
        <is>
          <t>ART_064_S04</t>
        </is>
      </c>
      <c r="C430" s="38" t="inlineStr">
        <is>
          <t>El Tiempo</t>
        </is>
      </c>
      <c r="D430" s="38" t="inlineStr">
        <is>
          <t>Respuesta a la emergencia del terremoto</t>
        </is>
      </c>
      <c r="E430" s="38" t="inlineStr">
        <is>
          <t>Noticia dura</t>
        </is>
      </c>
      <c r="F430" s="38" t="inlineStr">
        <is>
          <t>2026-09-06T04:06:38-05:00</t>
        </is>
      </c>
      <c r="G430" s="62" t="inlineStr">
        <is>
          <t>Durante un video, De La Espriella explicó que la iniciativa busca avanzar sin que los trámites o las diferencias entre instituciones retrasen las soluciones.</t>
        </is>
      </c>
      <c r="H430" s="62" t="inlineStr">
        <is>
          <t>A través de su cuenta oficial de X, el mandatario informó que su administración respaldará el plan piloto de reconstrucción público-privada liderado por la Alcaldía.</t>
        </is>
      </c>
      <c r="I430" s="62" t="inlineStr">
        <is>
          <t>"Este piloto que es una propuesta maravillosa de la alcaldía de Cali y que nosotros queremos ayudar a que avance como corresponde con la celeridad que se requiere".</t>
        </is>
      </c>
      <c r="J430" s="38" t="n"/>
      <c r="K430" s="62" t="n"/>
      <c r="L430" s="38" t="n"/>
      <c r="M430" s="62" t="n"/>
      <c r="N430" s="38" t="n"/>
      <c r="O430" s="62" t="n"/>
      <c r="P430" s="38" t="n"/>
      <c r="Q430" s="62" t="n"/>
      <c r="R430" s="38" t="n"/>
      <c r="S430" s="62" t="n"/>
      <c r="T430" s="38" t="n"/>
      <c r="U430" s="62" t="n"/>
      <c r="V430" s="38" t="n"/>
      <c r="W430" s="62" t="n"/>
      <c r="X430" s="38" t="n"/>
      <c r="Y430" s="62" t="n"/>
      <c r="Z430" s="38" t="n"/>
      <c r="AA430" s="62" t="n"/>
      <c r="AB430" s="38" t="n"/>
      <c r="AC430" s="62" t="n"/>
      <c r="AD430" s="38" t="n"/>
      <c r="AE430" s="38" t="n"/>
      <c r="AF430" s="61">
        <f>IF(COUNTIF($B$5:B430,B430)=1,1,0)</f>
        <v/>
      </c>
      <c r="AG430" s="62" t="inlineStr">
        <is>
          <t>https://www.eltiempo.com/colombia/cali/abelardo-de-la-espriella-anuncio-medidas-para-acelerar-la-reconstruccion-de-cali-tras-el-terremoto-con-acciones-en-vivienda-empleo-y-economia-3583937</t>
        </is>
      </c>
    </row>
    <row r="431" ht="15" customHeight="1" s="31">
      <c r="A431" s="38" t="inlineStr">
        <is>
          <t>ART_064</t>
        </is>
      </c>
      <c r="B431" s="38" t="inlineStr">
        <is>
          <t>ART_064_S05</t>
        </is>
      </c>
      <c r="C431" s="38" t="inlineStr">
        <is>
          <t>El Tiempo</t>
        </is>
      </c>
      <c r="D431" s="38" t="inlineStr">
        <is>
          <t>Respuesta a la emergencia del terremoto</t>
        </is>
      </c>
      <c r="E431" s="38" t="inlineStr">
        <is>
          <t>Noticia dura</t>
        </is>
      </c>
      <c r="F431" s="38" t="inlineStr">
        <is>
          <t>2026-09-06T04:06:38-05:00</t>
        </is>
      </c>
      <c r="G431" s="62" t="inlineStr">
        <is>
          <t>"Este piloto que es una propuesta maravillosa de la alcaldía de Cali y que nosotros queremos ayudar a que avance como corresponde con la celeridad que se requiere".</t>
        </is>
      </c>
      <c r="H431" s="62" t="inlineStr">
        <is>
          <t>Durante un video, De La Espriella explicó que la iniciativa busca avanzar sin que los trámites o las diferencias entre instituciones retrasen las soluciones.</t>
        </is>
      </c>
      <c r="I431" s="62" t="inlineStr">
        <is>
          <t>El jefe de Estado también hizo un llamado a concentrar los esfuerzos en la atención de la emergencia.</t>
        </is>
      </c>
      <c r="J431" s="38" t="n"/>
      <c r="K431" s="62" t="n"/>
      <c r="L431" s="38" t="n"/>
      <c r="M431" s="62" t="n"/>
      <c r="N431" s="38" t="n"/>
      <c r="O431" s="62" t="n"/>
      <c r="P431" s="38" t="n"/>
      <c r="Q431" s="62" t="n"/>
      <c r="R431" s="38" t="n"/>
      <c r="S431" s="62" t="n"/>
      <c r="T431" s="38" t="n"/>
      <c r="U431" s="62" t="n"/>
      <c r="V431" s="38" t="n"/>
      <c r="W431" s="62" t="n"/>
      <c r="X431" s="38" t="n"/>
      <c r="Y431" s="62" t="n"/>
      <c r="Z431" s="38" t="n"/>
      <c r="AA431" s="62" t="n"/>
      <c r="AB431" s="38" t="n"/>
      <c r="AC431" s="62" t="n"/>
      <c r="AD431" s="38" t="n"/>
      <c r="AE431" s="38" t="n"/>
      <c r="AF431" s="61">
        <f>IF(COUNTIF($B$5:B431,B431)=1,1,0)</f>
        <v/>
      </c>
      <c r="AG431" s="62" t="inlineStr">
        <is>
          <t>https://www.eltiempo.com/colombia/cali/abelardo-de-la-espriella-anuncio-medidas-para-acelerar-la-reconstruccion-de-cali-tras-el-terremoto-con-acciones-en-vivienda-empleo-y-economia-3583937</t>
        </is>
      </c>
    </row>
    <row r="432" ht="15" customHeight="1" s="31">
      <c r="A432" s="38" t="inlineStr">
        <is>
          <t>ART_064</t>
        </is>
      </c>
      <c r="B432" s="38" t="inlineStr">
        <is>
          <t>ART_064_S06</t>
        </is>
      </c>
      <c r="C432" s="38" t="inlineStr">
        <is>
          <t>El Tiempo</t>
        </is>
      </c>
      <c r="D432" s="38" t="inlineStr">
        <is>
          <t>Respuesta a la emergencia del terremoto</t>
        </is>
      </c>
      <c r="E432" s="38" t="inlineStr">
        <is>
          <t>Noticia dura</t>
        </is>
      </c>
      <c r="F432" s="38" t="inlineStr">
        <is>
          <t>2026-09-06T04:06:38-05:00</t>
        </is>
      </c>
      <c r="G432" s="62" t="inlineStr">
        <is>
          <t>El jefe de Estado también hizo un llamado a concentrar los esfuerzos en la atención de la emergencia.</t>
        </is>
      </c>
      <c r="H432" s="62" t="inlineStr">
        <is>
          <t>"Este piloto que es una propuesta maravillosa de la alcaldía de Cali y que nosotros queremos ayudar a que avance como corresponde con la celeridad que se requiere".</t>
        </is>
      </c>
      <c r="I432" s="62" t="inlineStr">
        <is>
          <t>"En una emergencia de esta magnitud, queridos compatriotas, no podemos perder tiempo ni en disputas institucionales ni en discusiones que no lleven a nada.</t>
        </is>
      </c>
      <c r="J432" s="38" t="n"/>
      <c r="K432" s="62" t="n"/>
      <c r="L432" s="38" t="n"/>
      <c r="M432" s="62" t="n"/>
      <c r="N432" s="38" t="n"/>
      <c r="O432" s="62" t="n"/>
      <c r="P432" s="38" t="n"/>
      <c r="Q432" s="62" t="n"/>
      <c r="R432" s="38" t="n"/>
      <c r="S432" s="62" t="n"/>
      <c r="T432" s="38" t="n"/>
      <c r="U432" s="62" t="n"/>
      <c r="V432" s="38" t="n"/>
      <c r="W432" s="62" t="n"/>
      <c r="X432" s="38" t="n"/>
      <c r="Y432" s="62" t="n"/>
      <c r="Z432" s="38" t="n"/>
      <c r="AA432" s="62" t="n"/>
      <c r="AB432" s="38" t="n"/>
      <c r="AC432" s="62" t="n"/>
      <c r="AD432" s="38" t="n"/>
      <c r="AE432" s="38" t="n"/>
      <c r="AF432" s="61">
        <f>IF(COUNTIF($B$5:B432,B432)=1,1,0)</f>
        <v/>
      </c>
      <c r="AG432" s="62" t="inlineStr">
        <is>
          <t>https://www.eltiempo.com/colombia/cali/abelardo-de-la-espriella-anuncio-medidas-para-acelerar-la-reconstruccion-de-cali-tras-el-terremoto-con-acciones-en-vivienda-empleo-y-economia-3583937</t>
        </is>
      </c>
    </row>
    <row r="433" ht="15" customHeight="1" s="31">
      <c r="A433" s="38" t="inlineStr">
        <is>
          <t>ART_064</t>
        </is>
      </c>
      <c r="B433" s="38" t="inlineStr">
        <is>
          <t>ART_064_S07</t>
        </is>
      </c>
      <c r="C433" s="38" t="inlineStr">
        <is>
          <t>El Tiempo</t>
        </is>
      </c>
      <c r="D433" s="38" t="inlineStr">
        <is>
          <t>Respuesta a la emergencia del terremoto</t>
        </is>
      </c>
      <c r="E433" s="38" t="inlineStr">
        <is>
          <t>Noticia dura</t>
        </is>
      </c>
      <c r="F433" s="38" t="inlineStr">
        <is>
          <t>2026-09-06T04:06:38-05:00</t>
        </is>
      </c>
      <c r="G433" s="62" t="inlineStr">
        <is>
          <t>"En una emergencia de esta magnitud, queridos compatriotas, no podemos perder tiempo ni en disputas institucionales ni en discusiones que no lleven a nada.</t>
        </is>
      </c>
      <c r="H433" s="62" t="inlineStr">
        <is>
          <t>El jefe de Estado también hizo un llamado a concentrar los esfuerzos en la atención de la emergencia.</t>
        </is>
      </c>
      <c r="I433" s="62" t="inlineStr">
        <is>
          <t>Tenemos que ponernos manos a la obra y así lo hemos hecho desde el primer momento".</t>
        </is>
      </c>
      <c r="J433" s="38" t="n"/>
      <c r="K433" s="62" t="n"/>
      <c r="L433" s="38" t="n"/>
      <c r="M433" s="62" t="n"/>
      <c r="N433" s="38" t="n"/>
      <c r="O433" s="62" t="n"/>
      <c r="P433" s="38" t="n"/>
      <c r="Q433" s="62" t="n"/>
      <c r="R433" s="38" t="n"/>
      <c r="S433" s="62" t="n"/>
      <c r="T433" s="38" t="n"/>
      <c r="U433" s="62" t="n"/>
      <c r="V433" s="38" t="n"/>
      <c r="W433" s="62" t="n"/>
      <c r="X433" s="38" t="n"/>
      <c r="Y433" s="62" t="n"/>
      <c r="Z433" s="38" t="n"/>
      <c r="AA433" s="62" t="n"/>
      <c r="AB433" s="38" t="n"/>
      <c r="AC433" s="62" t="n"/>
      <c r="AD433" s="38" t="n"/>
      <c r="AE433" s="38" t="n"/>
      <c r="AF433" s="61">
        <f>IF(COUNTIF($B$5:B433,B433)=1,1,0)</f>
        <v/>
      </c>
      <c r="AG433" s="62" t="inlineStr">
        <is>
          <t>https://www.eltiempo.com/colombia/cali/abelardo-de-la-espriella-anuncio-medidas-para-acelerar-la-reconstruccion-de-cali-tras-el-terremoto-con-acciones-en-vivienda-empleo-y-economia-3583937</t>
        </is>
      </c>
    </row>
    <row r="434" ht="15" customHeight="1" s="31">
      <c r="A434" s="38" t="inlineStr">
        <is>
          <t>ART_064</t>
        </is>
      </c>
      <c r="B434" s="38" t="inlineStr">
        <is>
          <t>ART_064_S08</t>
        </is>
      </c>
      <c r="C434" s="38" t="inlineStr">
        <is>
          <t>El Tiempo</t>
        </is>
      </c>
      <c r="D434" s="38" t="inlineStr">
        <is>
          <t>Respuesta a la emergencia del terremoto</t>
        </is>
      </c>
      <c r="E434" s="38" t="inlineStr">
        <is>
          <t>Noticia dura</t>
        </is>
      </c>
      <c r="F434" s="38" t="inlineStr">
        <is>
          <t>2026-09-06T04:06:38-05:00</t>
        </is>
      </c>
      <c r="G434" s="62" t="inlineStr">
        <is>
          <t>Tenemos que ponernos manos a la obra y así lo hemos hecho desde el primer momento".</t>
        </is>
      </c>
      <c r="H434" s="62" t="inlineStr">
        <is>
          <t>"En una emergencia de esta magnitud, queridos compatriotas, no podemos perder tiempo ni en disputas institucionales ni en discusiones que no lleven a nada.</t>
        </is>
      </c>
      <c r="I434" s="62" t="inlineStr">
        <is>
          <t>Una de las estrategias anunciadas contempla cambios en las condiciones de construcción de las zonas afectadas.</t>
        </is>
      </c>
      <c r="J434" s="38" t="n"/>
      <c r="K434" s="62" t="n"/>
      <c r="L434" s="38" t="n"/>
      <c r="M434" s="62" t="n"/>
      <c r="N434" s="38" t="n"/>
      <c r="O434" s="62" t="n"/>
      <c r="P434" s="38" t="n"/>
      <c r="Q434" s="62" t="n"/>
      <c r="R434" s="38" t="n"/>
      <c r="S434" s="62" t="n"/>
      <c r="T434" s="38" t="n"/>
      <c r="U434" s="62" t="n"/>
      <c r="V434" s="38" t="n"/>
      <c r="W434" s="62" t="n"/>
      <c r="X434" s="38" t="n"/>
      <c r="Y434" s="62" t="n"/>
      <c r="Z434" s="38" t="n"/>
      <c r="AA434" s="62" t="n"/>
      <c r="AB434" s="38" t="n"/>
      <c r="AC434" s="62" t="n"/>
      <c r="AD434" s="38" t="n"/>
      <c r="AE434" s="38" t="n"/>
      <c r="AF434" s="61">
        <f>IF(COUNTIF($B$5:B434,B434)=1,1,0)</f>
        <v/>
      </c>
      <c r="AG434" s="62" t="inlineStr">
        <is>
          <t>https://www.eltiempo.com/colombia/cali/abelardo-de-la-espriella-anuncio-medidas-para-acelerar-la-reconstruccion-de-cali-tras-el-terremoto-con-acciones-en-vivienda-empleo-y-economia-3583937</t>
        </is>
      </c>
    </row>
    <row r="435" ht="15" customHeight="1" s="31">
      <c r="A435" s="38" t="inlineStr">
        <is>
          <t>ART_064</t>
        </is>
      </c>
      <c r="B435" s="38" t="inlineStr">
        <is>
          <t>ART_064_S09</t>
        </is>
      </c>
      <c r="C435" s="38" t="inlineStr">
        <is>
          <t>El Tiempo</t>
        </is>
      </c>
      <c r="D435" s="38" t="inlineStr">
        <is>
          <t>Respuesta a la emergencia del terremoto</t>
        </is>
      </c>
      <c r="E435" s="38" t="inlineStr">
        <is>
          <t>Noticia dura</t>
        </is>
      </c>
      <c r="F435" s="38" t="inlineStr">
        <is>
          <t>2026-09-06T04:06:38-05:00</t>
        </is>
      </c>
      <c r="G435" s="62" t="inlineStr">
        <is>
          <t>Una de las estrategias anunciadas contempla cambios en las condiciones de construcción de las zonas afectadas.</t>
        </is>
      </c>
      <c r="H435" s="62" t="inlineStr">
        <is>
          <t>Tenemos que ponernos manos a la obra y así lo hemos hecho desde el primer momento".</t>
        </is>
      </c>
      <c r="I435" s="62" t="inlineStr">
        <is>
          <t>El Ministerio de Vivienda avanza en una reglamentación que permitirá una mayor densificación urbana y establecerá mecanismos de compensación para propietarios de estratos medios y altos que perdieron parte de su patrimonio.</t>
        </is>
      </c>
      <c r="J435" s="38" t="n"/>
      <c r="K435" s="62" t="n"/>
      <c r="L435" s="38" t="n"/>
      <c r="M435" s="62" t="n"/>
      <c r="N435" s="38" t="n"/>
      <c r="O435" s="62" t="n"/>
      <c r="P435" s="38" t="n"/>
      <c r="Q435" s="62" t="n"/>
      <c r="R435" s="38" t="n"/>
      <c r="S435" s="62" t="n"/>
      <c r="T435" s="38" t="n"/>
      <c r="U435" s="62" t="n"/>
      <c r="V435" s="38" t="n"/>
      <c r="W435" s="62" t="n"/>
      <c r="X435" s="38" t="n"/>
      <c r="Y435" s="62" t="n"/>
      <c r="Z435" s="38" t="n"/>
      <c r="AA435" s="62" t="n"/>
      <c r="AB435" s="38" t="n"/>
      <c r="AC435" s="62" t="n"/>
      <c r="AD435" s="38" t="n"/>
      <c r="AE435" s="38" t="n"/>
      <c r="AF435" s="61">
        <f>IF(COUNTIF($B$5:B435,B435)=1,1,0)</f>
        <v/>
      </c>
      <c r="AG435" s="62" t="inlineStr">
        <is>
          <t>https://www.eltiempo.com/colombia/cali/abelardo-de-la-espriella-anuncio-medidas-para-acelerar-la-reconstruccion-de-cali-tras-el-terremoto-con-acciones-en-vivienda-empleo-y-economia-3583937</t>
        </is>
      </c>
    </row>
    <row r="436" ht="15" customHeight="1" s="31">
      <c r="A436" s="38" t="inlineStr">
        <is>
          <t>ART_064</t>
        </is>
      </c>
      <c r="B436" s="38" t="inlineStr">
        <is>
          <t>ART_064_S10</t>
        </is>
      </c>
      <c r="C436" s="38" t="inlineStr">
        <is>
          <t>El Tiempo</t>
        </is>
      </c>
      <c r="D436" s="38" t="inlineStr">
        <is>
          <t>Respuesta a la emergencia del terremoto</t>
        </is>
      </c>
      <c r="E436" s="38" t="inlineStr">
        <is>
          <t>Noticia dura</t>
        </is>
      </c>
      <c r="F436" s="38" t="inlineStr">
        <is>
          <t>2026-09-06T04:06:38-05:00</t>
        </is>
      </c>
      <c r="G436" s="62" t="inlineStr">
        <is>
          <t>El Ministerio de Vivienda avanza en una reglamentación que permitirá una mayor densificación urbana y establecerá mecanismos de compensación para propietarios de estratos medios y altos que perdieron parte de su patrimonio.</t>
        </is>
      </c>
      <c r="H436" s="62" t="inlineStr">
        <is>
          <t>Una de las estrategias anunciadas contempla cambios en las condiciones de construcción de las zonas afectadas.</t>
        </is>
      </c>
      <c r="I436" s="62" t="inlineStr">
        <is>
          <t>El presidente explicó que la medida busca atender a quienes, pese a pertenecer a estos estratos, no cuentan necesariamente con recursos suficientes para afrontar una pérdida de esta magnitud.</t>
        </is>
      </c>
      <c r="J436" s="38" t="n"/>
      <c r="K436" s="62" t="n"/>
      <c r="L436" s="38" t="n"/>
      <c r="M436" s="62" t="n"/>
      <c r="N436" s="38" t="n"/>
      <c r="O436" s="62" t="n"/>
      <c r="P436" s="38" t="n"/>
      <c r="Q436" s="62" t="n"/>
      <c r="R436" s="38" t="n"/>
      <c r="S436" s="62" t="n"/>
      <c r="T436" s="38" t="n"/>
      <c r="U436" s="62" t="n"/>
      <c r="V436" s="38" t="n"/>
      <c r="W436" s="62" t="n"/>
      <c r="X436" s="38" t="n"/>
      <c r="Y436" s="62" t="n"/>
      <c r="Z436" s="38" t="n"/>
      <c r="AA436" s="62" t="n"/>
      <c r="AB436" s="38" t="n"/>
      <c r="AC436" s="62" t="n"/>
      <c r="AD436" s="38" t="n"/>
      <c r="AE436" s="38" t="n"/>
      <c r="AF436" s="61">
        <f>IF(COUNTIF($B$5:B436,B436)=1,1,0)</f>
        <v/>
      </c>
      <c r="AG436" s="62" t="inlineStr">
        <is>
          <t>https://www.eltiempo.com/colombia/cali/abelardo-de-la-espriella-anuncio-medidas-para-acelerar-la-reconstruccion-de-cali-tras-el-terremoto-con-acciones-en-vivienda-empleo-y-economia-3583937</t>
        </is>
      </c>
    </row>
    <row r="437" ht="15" customHeight="1" s="31">
      <c r="A437" s="38" t="inlineStr">
        <is>
          <t>ART_064</t>
        </is>
      </c>
      <c r="B437" s="38" t="inlineStr">
        <is>
          <t>ART_064_S11</t>
        </is>
      </c>
      <c r="C437" s="38" t="inlineStr">
        <is>
          <t>El Tiempo</t>
        </is>
      </c>
      <c r="D437" s="38" t="inlineStr">
        <is>
          <t>Respuesta a la emergencia del terremoto</t>
        </is>
      </c>
      <c r="E437" s="38" t="inlineStr">
        <is>
          <t>Noticia dura</t>
        </is>
      </c>
      <c r="F437" s="38" t="inlineStr">
        <is>
          <t>2026-09-06T04:06:38-05:00</t>
        </is>
      </c>
      <c r="G437" s="62" t="inlineStr">
        <is>
          <t>El presidente explicó que la medida busca atender a quienes, pese a pertenecer a estos estratos, no cuentan necesariamente con recursos suficientes para afrontar una pérdida de esta magnitud.</t>
        </is>
      </c>
      <c r="H437" s="62" t="inlineStr">
        <is>
          <t>El Ministerio de Vivienda avanza en una reglamentación que permitirá una mayor densificación urbana y establecerá mecanismos de compensación para propietarios de estratos medios y altos que perdieron parte de su patrimonio.</t>
        </is>
      </c>
      <c r="I437" s="62" t="n"/>
      <c r="J437" s="38" t="n"/>
      <c r="K437" s="62" t="n"/>
      <c r="L437" s="38" t="n"/>
      <c r="M437" s="62" t="n"/>
      <c r="N437" s="38" t="n"/>
      <c r="O437" s="62" t="n"/>
      <c r="P437" s="38" t="n"/>
      <c r="Q437" s="62" t="n"/>
      <c r="R437" s="38" t="n"/>
      <c r="S437" s="62" t="n"/>
      <c r="T437" s="38" t="n"/>
      <c r="U437" s="62" t="n"/>
      <c r="V437" s="38" t="n"/>
      <c r="W437" s="62" t="n"/>
      <c r="X437" s="38" t="n"/>
      <c r="Y437" s="62" t="n"/>
      <c r="Z437" s="38" t="n"/>
      <c r="AA437" s="62" t="n"/>
      <c r="AB437" s="38" t="n"/>
      <c r="AC437" s="62" t="n"/>
      <c r="AD437" s="38" t="n"/>
      <c r="AE437" s="38" t="n"/>
      <c r="AF437" s="61">
        <f>IF(COUNTIF($B$5:B437,B437)=1,1,0)</f>
        <v/>
      </c>
      <c r="AG437" s="62" t="inlineStr">
        <is>
          <t>https://www.eltiempo.com/colombia/cali/abelardo-de-la-espriella-anuncio-medidas-para-acelerar-la-reconstruccion-de-cali-tras-el-terremoto-con-acciones-en-vivienda-empleo-y-economia-3583937</t>
        </is>
      </c>
    </row>
    <row r="438" ht="15" customHeight="1" s="31">
      <c r="A438" s="38" t="inlineStr">
        <is>
          <t>ART_065</t>
        </is>
      </c>
      <c r="B438" s="38" t="inlineStr">
        <is>
          <t>ART_065_S01</t>
        </is>
      </c>
      <c r="C438" s="38" t="inlineStr">
        <is>
          <t>El Espectador</t>
        </is>
      </c>
      <c r="D438" s="38" t="inlineStr">
        <is>
          <t>Transición de gobierno y relación con la oposición</t>
        </is>
      </c>
      <c r="E438" s="38" t="inlineStr">
        <is>
          <t>Noticia dura</t>
        </is>
      </c>
      <c r="F438" s="38" t="inlineStr">
        <is>
          <t>2026-09-02T20:27:20-05:00</t>
        </is>
      </c>
      <c r="G438" s="62" t="inlineStr">
        <is>
          <t>Tras la conmoción que generó el atentado con explosivos contra la estación de Policía de Los Patios, en Norte de Santander, el gobierno anunció que intensificará la ofensiva contra los grupos armados y organizaciones criminales detrás de estos casos.</t>
        </is>
      </c>
      <c r="H438" s="62" t="n"/>
      <c r="I438" s="62" t="inlineStr">
        <is>
          <t>De acuerdo con el jefe de la cartera política, el ministro Rodrigo Lara, el eje de esta estrategia será un estatuto antiterrorista que será puesto a discusión en el Congreso.</t>
        </is>
      </c>
      <c r="J438" s="38" t="n"/>
      <c r="K438" s="62" t="n"/>
      <c r="L438" s="38" t="n"/>
      <c r="M438" s="62" t="n"/>
      <c r="N438" s="38" t="n"/>
      <c r="O438" s="62" t="n"/>
      <c r="P438" s="38" t="n"/>
      <c r="Q438" s="62" t="n"/>
      <c r="R438" s="38" t="n"/>
      <c r="S438" s="62" t="n"/>
      <c r="T438" s="38" t="n"/>
      <c r="U438" s="62" t="n"/>
      <c r="V438" s="38" t="n"/>
      <c r="W438" s="62" t="n"/>
      <c r="X438" s="38" t="n"/>
      <c r="Y438" s="62" t="n"/>
      <c r="Z438" s="38" t="n"/>
      <c r="AA438" s="62" t="n"/>
      <c r="AB438" s="38" t="n"/>
      <c r="AC438" s="62" t="n"/>
      <c r="AD438" s="38" t="n"/>
      <c r="AE438" s="38" t="n"/>
      <c r="AF438" s="61">
        <f>IF(COUNTIF($B$5:B438,B438)=1,1,0)</f>
        <v/>
      </c>
      <c r="AG438" s="62" t="inlineStr">
        <is>
          <t>https://www.elespectador.com/politica/gobierno-de-la-espriella-prepara-un-estatuto-antiterrorista-que-sera-radicado-ante-el-congreso-esto-se-sabe/</t>
        </is>
      </c>
    </row>
    <row r="439" ht="15" customHeight="1" s="31">
      <c r="A439" s="38" t="inlineStr">
        <is>
          <t>ART_065</t>
        </is>
      </c>
      <c r="B439" s="38" t="inlineStr">
        <is>
          <t>ART_065_S02</t>
        </is>
      </c>
      <c r="C439" s="38" t="inlineStr">
        <is>
          <t>El Espectador</t>
        </is>
      </c>
      <c r="D439" s="38" t="inlineStr">
        <is>
          <t>Transición de gobierno y relación con la oposición</t>
        </is>
      </c>
      <c r="E439" s="38" t="inlineStr">
        <is>
          <t>Noticia dura</t>
        </is>
      </c>
      <c r="F439" s="38" t="inlineStr">
        <is>
          <t>2026-09-02T20:27:20-05:00</t>
        </is>
      </c>
      <c r="G439" s="62" t="inlineStr">
        <is>
          <t>De acuerdo con el jefe de la cartera política, el ministro Rodrigo Lara, el eje de esta estrategia será un estatuto antiterrorista que será puesto a discusión en el Congreso.</t>
        </is>
      </c>
      <c r="H439" s="62" t="inlineStr">
        <is>
          <t>Tras la conmoción que generó el atentado con explosivos contra la estación de Policía de Los Patios, en Norte de Santander, el gobierno anunció que intensificará la ofensiva contra los grupos armados y organizaciones criminales detrás de estos casos.</t>
        </is>
      </c>
      <c r="I439" s="62" t="inlineStr">
        <is>
          <t>La apuesta obedece directamente a lo que le ha pedido el presidente Abelardo de la Espriella a las fuerzas militares: una ofensiva frontal contra estos grupos.</t>
        </is>
      </c>
      <c r="J439" s="38" t="n"/>
      <c r="K439" s="62" t="n"/>
      <c r="L439" s="38" t="n"/>
      <c r="M439" s="62" t="n"/>
      <c r="N439" s="38" t="n"/>
      <c r="O439" s="62" t="n"/>
      <c r="P439" s="38" t="n"/>
      <c r="Q439" s="62" t="n"/>
      <c r="R439" s="38" t="n"/>
      <c r="S439" s="62" t="n"/>
      <c r="T439" s="38" t="n"/>
      <c r="U439" s="62" t="n"/>
      <c r="V439" s="38" t="n"/>
      <c r="W439" s="62" t="n"/>
      <c r="X439" s="38" t="n"/>
      <c r="Y439" s="62" t="n"/>
      <c r="Z439" s="38" t="n"/>
      <c r="AA439" s="62" t="n"/>
      <c r="AB439" s="38" t="n"/>
      <c r="AC439" s="62" t="n"/>
      <c r="AD439" s="38" t="n"/>
      <c r="AE439" s="38" t="n"/>
      <c r="AF439" s="61">
        <f>IF(COUNTIF($B$5:B439,B439)=1,1,0)</f>
        <v/>
      </c>
      <c r="AG439" s="62" t="inlineStr">
        <is>
          <t>https://www.elespectador.com/politica/gobierno-de-la-espriella-prepara-un-estatuto-antiterrorista-que-sera-radicado-ante-el-congreso-esto-se-sabe/</t>
        </is>
      </c>
    </row>
    <row r="440" ht="15" customHeight="1" s="31">
      <c r="A440" s="38" t="inlineStr">
        <is>
          <t>ART_065</t>
        </is>
      </c>
      <c r="B440" s="38" t="inlineStr">
        <is>
          <t>ART_065_S03</t>
        </is>
      </c>
      <c r="C440" s="38" t="inlineStr">
        <is>
          <t>El Espectador</t>
        </is>
      </c>
      <c r="D440" s="38" t="inlineStr">
        <is>
          <t>Transición de gobierno y relación con la oposición</t>
        </is>
      </c>
      <c r="E440" s="38" t="inlineStr">
        <is>
          <t>Noticia dura</t>
        </is>
      </c>
      <c r="F440" s="38" t="inlineStr">
        <is>
          <t>2026-09-02T20:27:20-05:00</t>
        </is>
      </c>
      <c r="G440" s="62" t="inlineStr">
        <is>
          <t>La apuesta obedece directamente a lo que le ha pedido el presidente Abelardo de la Espriella a las fuerzas militares: una ofensiva frontal contra estos grupos.</t>
        </is>
      </c>
      <c r="H440" s="62" t="inlineStr">
        <is>
          <t>De acuerdo con el jefe de la cartera política, el ministro Rodrigo Lara, el eje de esta estrategia será un estatuto antiterrorista que será puesto a discusión en el Congreso.</t>
        </is>
      </c>
      <c r="I440" s="62" t="inlineStr">
        <is>
          <t>El jefe de Estado ha dicho en varias oportunidades que declarará a dichas estructuras como terroristas, lo que también implica cerrarles la puerta a los diálogos de paz.</t>
        </is>
      </c>
      <c r="J440" s="38" t="n"/>
      <c r="K440" s="62" t="n"/>
      <c r="L440" s="38" t="n"/>
      <c r="M440" s="62" t="n"/>
      <c r="N440" s="38" t="n"/>
      <c r="O440" s="62" t="n"/>
      <c r="P440" s="38" t="n"/>
      <c r="Q440" s="62" t="n"/>
      <c r="R440" s="38" t="n"/>
      <c r="S440" s="62" t="n"/>
      <c r="T440" s="38" t="n"/>
      <c r="U440" s="62" t="n"/>
      <c r="V440" s="38" t="n"/>
      <c r="W440" s="62" t="n"/>
      <c r="X440" s="38" t="n"/>
      <c r="Y440" s="62" t="n"/>
      <c r="Z440" s="38" t="n"/>
      <c r="AA440" s="62" t="n"/>
      <c r="AB440" s="38" t="n"/>
      <c r="AC440" s="62" t="n"/>
      <c r="AD440" s="38" t="n"/>
      <c r="AE440" s="38" t="n"/>
      <c r="AF440" s="61">
        <f>IF(COUNTIF($B$5:B440,B440)=1,1,0)</f>
        <v/>
      </c>
      <c r="AG440" s="62" t="inlineStr">
        <is>
          <t>https://www.elespectador.com/politica/gobierno-de-la-espriella-prepara-un-estatuto-antiterrorista-que-sera-radicado-ante-el-congreso-esto-se-sabe/</t>
        </is>
      </c>
    </row>
    <row r="441" ht="15" customHeight="1" s="31">
      <c r="A441" s="38" t="inlineStr">
        <is>
          <t>ART_065</t>
        </is>
      </c>
      <c r="B441" s="38" t="inlineStr">
        <is>
          <t>ART_065_S04</t>
        </is>
      </c>
      <c r="C441" s="38" t="inlineStr">
        <is>
          <t>El Espectador</t>
        </is>
      </c>
      <c r="D441" s="38" t="inlineStr">
        <is>
          <t>Transición de gobierno y relación con la oposición</t>
        </is>
      </c>
      <c r="E441" s="38" t="inlineStr">
        <is>
          <t>Noticia dura</t>
        </is>
      </c>
      <c r="F441" s="38" t="inlineStr">
        <is>
          <t>2026-09-02T20:27:20-05:00</t>
        </is>
      </c>
      <c r="G441" s="62" t="inlineStr">
        <is>
          <t>El jefe de Estado ha dicho en varias oportunidades que declarará a dichas estructuras como terroristas, lo que también implica cerrarles la puerta a los diálogos de paz.</t>
        </is>
      </c>
      <c r="H441" s="62" t="inlineStr">
        <is>
          <t>La apuesta obedece directamente a lo que le ha pedido el presidente Abelardo de la Espriella a las fuerzas militares: una ofensiva frontal contra estos grupos.</t>
        </is>
      </c>
      <c r="I441" s="62" t="inlineStr">
        <is>
          <t>Lea también: Comisiones económicas no debatieron el presupuesto: el tiempo empieza a ser clave</t>
        </is>
      </c>
      <c r="J441" s="38" t="n"/>
      <c r="K441" s="62" t="n"/>
      <c r="L441" s="38" t="n"/>
      <c r="M441" s="62" t="n"/>
      <c r="N441" s="38" t="n"/>
      <c r="O441" s="62" t="n"/>
      <c r="P441" s="38" t="n"/>
      <c r="Q441" s="62" t="n"/>
      <c r="R441" s="38" t="n"/>
      <c r="S441" s="62" t="n"/>
      <c r="T441" s="38" t="n"/>
      <c r="U441" s="62" t="n"/>
      <c r="V441" s="38" t="n"/>
      <c r="W441" s="62" t="n"/>
      <c r="X441" s="38" t="n"/>
      <c r="Y441" s="62" t="n"/>
      <c r="Z441" s="38" t="n"/>
      <c r="AA441" s="62" t="n"/>
      <c r="AB441" s="38" t="n"/>
      <c r="AC441" s="62" t="n"/>
      <c r="AD441" s="38" t="n"/>
      <c r="AE441" s="38" t="n"/>
      <c r="AF441" s="61">
        <f>IF(COUNTIF($B$5:B441,B441)=1,1,0)</f>
        <v/>
      </c>
      <c r="AG441" s="62" t="inlineStr">
        <is>
          <t>https://www.elespectador.com/politica/gobierno-de-la-espriella-prepara-un-estatuto-antiterrorista-que-sera-radicado-ante-el-congreso-esto-se-sabe/</t>
        </is>
      </c>
    </row>
    <row r="442" ht="15" customHeight="1" s="31">
      <c r="A442" s="38" t="inlineStr">
        <is>
          <t>ART_065</t>
        </is>
      </c>
      <c r="B442" s="38" t="inlineStr">
        <is>
          <t>ART_065_S05</t>
        </is>
      </c>
      <c r="C442" s="38" t="inlineStr">
        <is>
          <t>El Espectador</t>
        </is>
      </c>
      <c r="D442" s="38" t="inlineStr">
        <is>
          <t>Transición de gobierno y relación con la oposición</t>
        </is>
      </c>
      <c r="E442" s="38" t="inlineStr">
        <is>
          <t>Noticia dura</t>
        </is>
      </c>
      <c r="F442" s="38" t="inlineStr">
        <is>
          <t>2026-09-02T20:27:20-05:00</t>
        </is>
      </c>
      <c r="G442" s="62" t="inlineStr">
        <is>
          <t>Lea también: Comisiones económicas no debatieron el presupuesto: el tiempo empieza a ser clave</t>
        </is>
      </c>
      <c r="H442" s="62" t="inlineStr">
        <is>
          <t>El jefe de Estado ha dicho en varias oportunidades que declarará a dichas estructuras como terroristas, lo que también implica cerrarles la puerta a los diálogos de paz.</t>
        </is>
      </c>
      <c r="I442" s="62" t="inlineStr">
        <is>
          <t>El ministro Lara aseguró que el estatuto antiterrorista contempla, precisamente, crear esa lista de esos grupos terroristas y darle luz verde a unas herramientas más potentes en materia jurídica para combatirlos.</t>
        </is>
      </c>
      <c r="J442" s="38" t="n"/>
      <c r="K442" s="62" t="n"/>
      <c r="L442" s="38" t="n"/>
      <c r="M442" s="62" t="n"/>
      <c r="N442" s="38" t="n"/>
      <c r="O442" s="62" t="n"/>
      <c r="P442" s="38" t="n"/>
      <c r="Q442" s="62" t="n"/>
      <c r="R442" s="38" t="n"/>
      <c r="S442" s="62" t="n"/>
      <c r="T442" s="38" t="n"/>
      <c r="U442" s="62" t="n"/>
      <c r="V442" s="38" t="n"/>
      <c r="W442" s="62" t="n"/>
      <c r="X442" s="38" t="n"/>
      <c r="Y442" s="62" t="n"/>
      <c r="Z442" s="38" t="n"/>
      <c r="AA442" s="62" t="n"/>
      <c r="AB442" s="38" t="n"/>
      <c r="AC442" s="62" t="n"/>
      <c r="AD442" s="38" t="n"/>
      <c r="AE442" s="38" t="n"/>
      <c r="AF442" s="61">
        <f>IF(COUNTIF($B$5:B442,B442)=1,1,0)</f>
        <v/>
      </c>
      <c r="AG442" s="62" t="inlineStr">
        <is>
          <t>https://www.elespectador.com/politica/gobierno-de-la-espriella-prepara-un-estatuto-antiterrorista-que-sera-radicado-ante-el-congreso-esto-se-sabe/</t>
        </is>
      </c>
    </row>
    <row r="443" ht="15" customHeight="1" s="31">
      <c r="A443" s="38" t="inlineStr">
        <is>
          <t>ART_065</t>
        </is>
      </c>
      <c r="B443" s="38" t="inlineStr">
        <is>
          <t>ART_065_S06</t>
        </is>
      </c>
      <c r="C443" s="38" t="inlineStr">
        <is>
          <t>El Espectador</t>
        </is>
      </c>
      <c r="D443" s="38" t="inlineStr">
        <is>
          <t>Transición de gobierno y relación con la oposición</t>
        </is>
      </c>
      <c r="E443" s="38" t="inlineStr">
        <is>
          <t>Noticia dura</t>
        </is>
      </c>
      <c r="F443" s="38" t="inlineStr">
        <is>
          <t>2026-09-02T20:27:20-05:00</t>
        </is>
      </c>
      <c r="G443" s="62" t="inlineStr">
        <is>
          <t>El ministro Lara aseguró que el estatuto antiterrorista contempla, precisamente, crear esa lista de esos grupos terroristas y darle luz verde a unas herramientas más potentes en materia jurídica para combatirlos.</t>
        </is>
      </c>
      <c r="H443" s="62" t="inlineStr">
        <is>
          <t>Lea también: Comisiones económicas no debatieron el presupuesto: el tiempo empieza a ser clave</t>
        </is>
      </c>
      <c r="I443" s="62" t="n"/>
      <c r="J443" s="38" t="n"/>
      <c r="K443" s="62" t="n"/>
      <c r="L443" s="38" t="n"/>
      <c r="M443" s="62" t="n"/>
      <c r="N443" s="38" t="n"/>
      <c r="O443" s="62" t="n"/>
      <c r="P443" s="38" t="n"/>
      <c r="Q443" s="62" t="n"/>
      <c r="R443" s="38" t="n"/>
      <c r="S443" s="62" t="n"/>
      <c r="T443" s="38" t="n"/>
      <c r="U443" s="62" t="n"/>
      <c r="V443" s="38" t="n"/>
      <c r="W443" s="62" t="n"/>
      <c r="X443" s="38" t="n"/>
      <c r="Y443" s="62" t="n"/>
      <c r="Z443" s="38" t="n"/>
      <c r="AA443" s="62" t="n"/>
      <c r="AB443" s="38" t="n"/>
      <c r="AC443" s="62" t="n"/>
      <c r="AD443" s="38" t="n"/>
      <c r="AE443" s="38" t="n"/>
      <c r="AF443" s="61">
        <f>IF(COUNTIF($B$5:B443,B443)=1,1,0)</f>
        <v/>
      </c>
      <c r="AG443" s="62" t="inlineStr">
        <is>
          <t>https://www.elespectador.com/politica/gobierno-de-la-espriella-prepara-un-estatuto-antiterrorista-que-sera-radicado-ante-el-congreso-esto-se-sabe/</t>
        </is>
      </c>
    </row>
    <row r="444" ht="15" customHeight="1" s="31">
      <c r="A444" s="38" t="inlineStr">
        <is>
          <t>ART_066</t>
        </is>
      </c>
      <c r="B444" s="38" t="inlineStr">
        <is>
          <t>ART_066_S01</t>
        </is>
      </c>
      <c r="C444" s="38" t="inlineStr">
        <is>
          <t>El Espectador</t>
        </is>
      </c>
      <c r="D444" s="38" t="inlineStr">
        <is>
          <t>Reformas sociales en disputa (pensional/tributaria)</t>
        </is>
      </c>
      <c r="E444" s="38" t="inlineStr">
        <is>
          <t>Opinión-análisis</t>
        </is>
      </c>
      <c r="F444" s="38" t="inlineStr">
        <is>
          <t>2025-02-16T00:00:00-05:00</t>
        </is>
      </c>
      <c r="G444" s="62" t="inlineStr">
        <is>
          <t>La salida del Gobierno de la ministra de Trabajo, Gloria Inés Ramírez, ubica los reflectores sobre el que podría ser el principal legado de la presidencia de Gustavo Petro.</t>
        </is>
      </c>
      <c r="H444" s="62" t="n"/>
      <c r="I444" s="62" t="inlineStr">
        <is>
          <t>La reforma pensional, que entrará a regir a partir de julio de este año, se trató de un ambicioso y necesario primer paso para cambiar el déficit estructural de un sistema esencial para los colombianos.</t>
        </is>
      </c>
      <c r="J444" s="38" t="n"/>
      <c r="K444" s="62" t="n"/>
      <c r="L444" s="38" t="n"/>
      <c r="M444" s="62" t="n"/>
      <c r="N444" s="38" t="n"/>
      <c r="O444" s="62" t="n"/>
      <c r="P444" s="38" t="n"/>
      <c r="Q444" s="62" t="n"/>
      <c r="R444" s="38" t="n"/>
      <c r="S444" s="62" t="n"/>
      <c r="T444" s="38" t="n"/>
      <c r="U444" s="62" t="n"/>
      <c r="V444" s="38" t="n"/>
      <c r="W444" s="62" t="n"/>
      <c r="X444" s="38" t="n"/>
      <c r="Y444" s="62" t="n"/>
      <c r="Z444" s="38" t="n"/>
      <c r="AA444" s="62" t="n"/>
      <c r="AB444" s="38" t="n"/>
      <c r="AC444" s="62" t="n"/>
      <c r="AD444" s="38" t="n"/>
      <c r="AE444" s="38" t="n"/>
      <c r="AF444" s="61">
        <f>IF(COUNTIF($B$5:B444,B444)=1,1,0)</f>
        <v/>
      </c>
      <c r="AG444" s="62" t="inlineStr">
        <is>
          <t>https://www.elespectador.com/opinion/editorial/editorial-la-reforma-pensional-se-debe-reglamentar-ya/</t>
        </is>
      </c>
    </row>
    <row r="445" ht="15" customHeight="1" s="31">
      <c r="A445" s="38" t="inlineStr">
        <is>
          <t>ART_066</t>
        </is>
      </c>
      <c r="B445" s="38" t="inlineStr">
        <is>
          <t>ART_066_S02</t>
        </is>
      </c>
      <c r="C445" s="38" t="inlineStr">
        <is>
          <t>El Espectador</t>
        </is>
      </c>
      <c r="D445" s="38" t="inlineStr">
        <is>
          <t>Reformas sociales en disputa (pensional/tributaria)</t>
        </is>
      </c>
      <c r="E445" s="38" t="inlineStr">
        <is>
          <t>Opinión-análisis</t>
        </is>
      </c>
      <c r="F445" s="38" t="inlineStr">
        <is>
          <t>2025-02-16T00:00:00-05:00</t>
        </is>
      </c>
      <c r="G445" s="62" t="inlineStr">
        <is>
          <t>La reforma pensional, que entrará a regir a partir de julio de este año, se trató de un ambicioso y necesario primer paso para cambiar el déficit estructural de un sistema esencial para los colombianos.</t>
        </is>
      </c>
      <c r="H445" s="62" t="inlineStr">
        <is>
          <t>La salida del Gobierno de la ministra de Trabajo, Gloria Inés Ramírez, ubica los reflectores sobre el que podría ser el principal legado de la presidencia de Gustavo Petro.</t>
        </is>
      </c>
      <c r="I445" s="62" t="inlineStr">
        <is>
          <t>Sin embargo, hay preocupación por la falta de reglamentación.</t>
        </is>
      </c>
      <c r="J445" s="38" t="n"/>
      <c r="K445" s="62" t="n"/>
      <c r="L445" s="38" t="n"/>
      <c r="M445" s="62" t="n"/>
      <c r="N445" s="38" t="n"/>
      <c r="O445" s="62" t="n"/>
      <c r="P445" s="38" t="n"/>
      <c r="Q445" s="62" t="n"/>
      <c r="R445" s="38" t="n"/>
      <c r="S445" s="62" t="n"/>
      <c r="T445" s="38" t="n"/>
      <c r="U445" s="62" t="n"/>
      <c r="V445" s="38" t="n"/>
      <c r="W445" s="62" t="n"/>
      <c r="X445" s="38" t="n"/>
      <c r="Y445" s="62" t="n"/>
      <c r="Z445" s="38" t="n"/>
      <c r="AA445" s="62" t="n"/>
      <c r="AB445" s="38" t="n"/>
      <c r="AC445" s="62" t="n"/>
      <c r="AD445" s="38" t="n"/>
      <c r="AE445" s="38" t="n"/>
      <c r="AF445" s="61">
        <f>IF(COUNTIF($B$5:B445,B445)=1,1,0)</f>
        <v/>
      </c>
      <c r="AG445" s="62" t="inlineStr">
        <is>
          <t>https://www.elespectador.com/opinion/editorial/editorial-la-reforma-pensional-se-debe-reglamentar-ya/</t>
        </is>
      </c>
    </row>
    <row r="446" ht="15" customHeight="1" s="31">
      <c r="A446" s="38" t="inlineStr">
        <is>
          <t>ART_066</t>
        </is>
      </c>
      <c r="B446" s="38" t="inlineStr">
        <is>
          <t>ART_066_S03</t>
        </is>
      </c>
      <c r="C446" s="38" t="inlineStr">
        <is>
          <t>El Espectador</t>
        </is>
      </c>
      <c r="D446" s="38" t="inlineStr">
        <is>
          <t>Reformas sociales en disputa (pensional/tributaria)</t>
        </is>
      </c>
      <c r="E446" s="38" t="inlineStr">
        <is>
          <t>Opinión-análisis</t>
        </is>
      </c>
      <c r="F446" s="38" t="inlineStr">
        <is>
          <t>2025-02-16T00:00:00-05:00</t>
        </is>
      </c>
      <c r="G446" s="62" t="inlineStr">
        <is>
          <t>Sin embargo, hay preocupación por la falta de reglamentación.</t>
        </is>
      </c>
      <c r="H446" s="62" t="inlineStr">
        <is>
          <t>La reforma pensional, que entrará a regir a partir de julio de este año, se trató de un ambicioso y necesario primer paso para cambiar el déficit estructural de un sistema esencial para los colombianos.</t>
        </is>
      </c>
      <c r="I446" s="62" t="inlineStr">
        <is>
          <t>Estamos muy encima para garantizar una implementación apropiada.</t>
        </is>
      </c>
      <c r="J446" s="38" t="n"/>
      <c r="K446" s="62" t="n"/>
      <c r="L446" s="38" t="n"/>
      <c r="M446" s="62" t="n"/>
      <c r="N446" s="38" t="n"/>
      <c r="O446" s="62" t="n"/>
      <c r="P446" s="38" t="n"/>
      <c r="Q446" s="62" t="n"/>
      <c r="R446" s="38" t="n"/>
      <c r="S446" s="62" t="n"/>
      <c r="T446" s="38" t="n"/>
      <c r="U446" s="62" t="n"/>
      <c r="V446" s="38" t="n"/>
      <c r="W446" s="62" t="n"/>
      <c r="X446" s="38" t="n"/>
      <c r="Y446" s="62" t="n"/>
      <c r="Z446" s="38" t="n"/>
      <c r="AA446" s="62" t="n"/>
      <c r="AB446" s="38" t="n"/>
      <c r="AC446" s="62" t="n"/>
      <c r="AD446" s="38" t="n"/>
      <c r="AE446" s="38" t="n"/>
      <c r="AF446" s="61">
        <f>IF(COUNTIF($B$5:B446,B446)=1,1,0)</f>
        <v/>
      </c>
      <c r="AG446" s="62" t="inlineStr">
        <is>
          <t>https://www.elespectador.com/opinion/editorial/editorial-la-reforma-pensional-se-debe-reglamentar-ya/</t>
        </is>
      </c>
    </row>
    <row r="447" ht="15" customHeight="1" s="31">
      <c r="A447" s="38" t="inlineStr">
        <is>
          <t>ART_066</t>
        </is>
      </c>
      <c r="B447" s="38" t="inlineStr">
        <is>
          <t>ART_066_S04</t>
        </is>
      </c>
      <c r="C447" s="38" t="inlineStr">
        <is>
          <t>El Espectador</t>
        </is>
      </c>
      <c r="D447" s="38" t="inlineStr">
        <is>
          <t>Reformas sociales en disputa (pensional/tributaria)</t>
        </is>
      </c>
      <c r="E447" s="38" t="inlineStr">
        <is>
          <t>Opinión-análisis</t>
        </is>
      </c>
      <c r="F447" s="38" t="inlineStr">
        <is>
          <t>2025-02-16T00:00:00-05:00</t>
        </is>
      </c>
      <c r="G447" s="62" t="inlineStr">
        <is>
          <t>Estamos muy encima para garantizar una implementación apropiada.</t>
        </is>
      </c>
      <c r="H447" s="62" t="inlineStr">
        <is>
          <t>Sin embargo, hay preocupación por la falta de reglamentación.</t>
        </is>
      </c>
      <c r="I447" s="62" t="inlineStr">
        <is>
          <t>Esta debería ser la prioridad urgente del nuevo ministro, Antonio Sanguino.</t>
        </is>
      </c>
      <c r="J447" s="38" t="n"/>
      <c r="K447" s="62" t="n"/>
      <c r="L447" s="38" t="n"/>
      <c r="M447" s="62" t="n"/>
      <c r="N447" s="38" t="n"/>
      <c r="O447" s="62" t="n"/>
      <c r="P447" s="38" t="n"/>
      <c r="Q447" s="62" t="n"/>
      <c r="R447" s="38" t="n"/>
      <c r="S447" s="62" t="n"/>
      <c r="T447" s="38" t="n"/>
      <c r="U447" s="62" t="n"/>
      <c r="V447" s="38" t="n"/>
      <c r="W447" s="62" t="n"/>
      <c r="X447" s="38" t="n"/>
      <c r="Y447" s="62" t="n"/>
      <c r="Z447" s="38" t="n"/>
      <c r="AA447" s="62" t="n"/>
      <c r="AB447" s="38" t="n"/>
      <c r="AC447" s="62" t="n"/>
      <c r="AD447" s="38" t="n"/>
      <c r="AE447" s="38" t="n"/>
      <c r="AF447" s="61">
        <f>IF(COUNTIF($B$5:B447,B447)=1,1,0)</f>
        <v/>
      </c>
      <c r="AG447" s="62" t="inlineStr">
        <is>
          <t>https://www.elespectador.com/opinion/editorial/editorial-la-reforma-pensional-se-debe-reglamentar-ya/</t>
        </is>
      </c>
    </row>
    <row r="448" ht="15" customHeight="1" s="31">
      <c r="A448" s="38" t="inlineStr">
        <is>
          <t>ART_066</t>
        </is>
      </c>
      <c r="B448" s="38" t="inlineStr">
        <is>
          <t>ART_066_S05</t>
        </is>
      </c>
      <c r="C448" s="38" t="inlineStr">
        <is>
          <t>El Espectador</t>
        </is>
      </c>
      <c r="D448" s="38" t="inlineStr">
        <is>
          <t>Reformas sociales en disputa (pensional/tributaria)</t>
        </is>
      </c>
      <c r="E448" s="38" t="inlineStr">
        <is>
          <t>Opinión-análisis</t>
        </is>
      </c>
      <c r="F448" s="38" t="inlineStr">
        <is>
          <t>2025-02-16T00:00:00-05:00</t>
        </is>
      </c>
      <c r="G448" s="62" t="inlineStr">
        <is>
          <t>Esta debería ser la prioridad urgente del nuevo ministro, Antonio Sanguino.</t>
        </is>
      </c>
      <c r="H448" s="62" t="inlineStr">
        <is>
          <t>Estamos muy encima para garantizar una implementación apropiada.</t>
        </is>
      </c>
      <c r="I448" s="62" t="inlineStr">
        <is>
          <t>Sobre la pensional hay una gran incertidumbre.</t>
        </is>
      </c>
      <c r="J448" s="38" t="n"/>
      <c r="K448" s="62" t="n"/>
      <c r="L448" s="38" t="n"/>
      <c r="M448" s="62" t="n"/>
      <c r="N448" s="38" t="n"/>
      <c r="O448" s="62" t="n"/>
      <c r="P448" s="38" t="n"/>
      <c r="Q448" s="62" t="n"/>
      <c r="R448" s="38" t="n"/>
      <c r="S448" s="62" t="n"/>
      <c r="T448" s="38" t="n"/>
      <c r="U448" s="62" t="n"/>
      <c r="V448" s="38" t="n"/>
      <c r="W448" s="62" t="n"/>
      <c r="X448" s="38" t="n"/>
      <c r="Y448" s="62" t="n"/>
      <c r="Z448" s="38" t="n"/>
      <c r="AA448" s="62" t="n"/>
      <c r="AB448" s="38" t="n"/>
      <c r="AC448" s="62" t="n"/>
      <c r="AD448" s="38" t="n"/>
      <c r="AE448" s="38" t="n"/>
      <c r="AF448" s="61">
        <f>IF(COUNTIF($B$5:B448,B448)=1,1,0)</f>
        <v/>
      </c>
      <c r="AG448" s="62" t="inlineStr">
        <is>
          <t>https://www.elespectador.com/opinion/editorial/editorial-la-reforma-pensional-se-debe-reglamentar-ya/</t>
        </is>
      </c>
    </row>
    <row r="449" ht="15" customHeight="1" s="31">
      <c r="A449" s="38" t="inlineStr">
        <is>
          <t>ART_066</t>
        </is>
      </c>
      <c r="B449" s="38" t="inlineStr">
        <is>
          <t>ART_066_S06</t>
        </is>
      </c>
      <c r="C449" s="38" t="inlineStr">
        <is>
          <t>El Espectador</t>
        </is>
      </c>
      <c r="D449" s="38" t="inlineStr">
        <is>
          <t>Reformas sociales en disputa (pensional/tributaria)</t>
        </is>
      </c>
      <c r="E449" s="38" t="inlineStr">
        <is>
          <t>Opinión-análisis</t>
        </is>
      </c>
      <c r="F449" s="38" t="inlineStr">
        <is>
          <t>2025-02-16T00:00:00-05:00</t>
        </is>
      </c>
      <c r="G449" s="62" t="inlineStr">
        <is>
          <t>Sobre la pensional hay una gran incertidumbre.</t>
        </is>
      </c>
      <c r="H449" s="62" t="inlineStr">
        <is>
          <t>Esta debería ser la prioridad urgente del nuevo ministro, Antonio Sanguino.</t>
        </is>
      </c>
      <c r="I449" s="62" t="inlineStr">
        <is>
          <t>La Corte Constitucional está en proceso de estudiarla y, debido a la manera en que se aprobó en el último debate, hay una alta posibilidad de que decida tumbarla.</t>
        </is>
      </c>
      <c r="J449" s="38" t="n"/>
      <c r="K449" s="62" t="n"/>
      <c r="L449" s="38" t="n"/>
      <c r="M449" s="62" t="n"/>
      <c r="N449" s="38" t="n"/>
      <c r="O449" s="62" t="n"/>
      <c r="P449" s="38" t="n"/>
      <c r="Q449" s="62" t="n"/>
      <c r="R449" s="38" t="n"/>
      <c r="S449" s="62" t="n"/>
      <c r="T449" s="38" t="n"/>
      <c r="U449" s="62" t="n"/>
      <c r="V449" s="38" t="n"/>
      <c r="W449" s="62" t="n"/>
      <c r="X449" s="38" t="n"/>
      <c r="Y449" s="62" t="n"/>
      <c r="Z449" s="38" t="n"/>
      <c r="AA449" s="62" t="n"/>
      <c r="AB449" s="38" t="n"/>
      <c r="AC449" s="62" t="n"/>
      <c r="AD449" s="38" t="n"/>
      <c r="AE449" s="38" t="n"/>
      <c r="AF449" s="61">
        <f>IF(COUNTIF($B$5:B449,B449)=1,1,0)</f>
        <v/>
      </c>
      <c r="AG449" s="62" t="inlineStr">
        <is>
          <t>https://www.elespectador.com/opinion/editorial/editorial-la-reforma-pensional-se-debe-reglamentar-ya/</t>
        </is>
      </c>
    </row>
    <row r="450" ht="15" customHeight="1" s="31">
      <c r="A450" s="38" t="inlineStr">
        <is>
          <t>ART_066</t>
        </is>
      </c>
      <c r="B450" s="38" t="inlineStr">
        <is>
          <t>ART_066_S07</t>
        </is>
      </c>
      <c r="C450" s="38" t="inlineStr">
        <is>
          <t>El Espectador</t>
        </is>
      </c>
      <c r="D450" s="38" t="inlineStr">
        <is>
          <t>Reformas sociales en disputa (pensional/tributaria)</t>
        </is>
      </c>
      <c r="E450" s="38" t="inlineStr">
        <is>
          <t>Opinión-análisis</t>
        </is>
      </c>
      <c r="F450" s="38" t="inlineStr">
        <is>
          <t>2025-02-16T00:00:00-05:00</t>
        </is>
      </c>
      <c r="G450" s="62" t="inlineStr">
        <is>
          <t>La Corte Constitucional está en proceso de estudiarla y, debido a la manera en que se aprobó en el último debate, hay una alta posibilidad de que decida tumbarla.</t>
        </is>
      </c>
      <c r="H450" s="62" t="inlineStr">
        <is>
          <t>Sobre la pensional hay una gran incertidumbre.</t>
        </is>
      </c>
      <c r="I450" s="62" t="inlineStr">
        <is>
          <t>Empero, eso no es excusa para que haya tanta demora en la reglamentación y la implementación.</t>
        </is>
      </c>
      <c r="J450" s="38" t="n"/>
      <c r="K450" s="62" t="n"/>
      <c r="L450" s="38" t="n"/>
      <c r="M450" s="62" t="n"/>
      <c r="N450" s="38" t="n"/>
      <c r="O450" s="62" t="n"/>
      <c r="P450" s="38" t="n"/>
      <c r="Q450" s="62" t="n"/>
      <c r="R450" s="38" t="n"/>
      <c r="S450" s="62" t="n"/>
      <c r="T450" s="38" t="n"/>
      <c r="U450" s="62" t="n"/>
      <c r="V450" s="38" t="n"/>
      <c r="W450" s="62" t="n"/>
      <c r="X450" s="38" t="n"/>
      <c r="Y450" s="62" t="n"/>
      <c r="Z450" s="38" t="n"/>
      <c r="AA450" s="62" t="n"/>
      <c r="AB450" s="38" t="n"/>
      <c r="AC450" s="62" t="n"/>
      <c r="AD450" s="38" t="n"/>
      <c r="AE450" s="38" t="n"/>
      <c r="AF450" s="61">
        <f>IF(COUNTIF($B$5:B450,B450)=1,1,0)</f>
        <v/>
      </c>
      <c r="AG450" s="62" t="inlineStr">
        <is>
          <t>https://www.elespectador.com/opinion/editorial/editorial-la-reforma-pensional-se-debe-reglamentar-ya/</t>
        </is>
      </c>
    </row>
    <row r="451" ht="15" customHeight="1" s="31">
      <c r="A451" s="38" t="inlineStr">
        <is>
          <t>ART_066</t>
        </is>
      </c>
      <c r="B451" s="38" t="inlineStr">
        <is>
          <t>ART_066_S08</t>
        </is>
      </c>
      <c r="C451" s="38" t="inlineStr">
        <is>
          <t>El Espectador</t>
        </is>
      </c>
      <c r="D451" s="38" t="inlineStr">
        <is>
          <t>Reformas sociales en disputa (pensional/tributaria)</t>
        </is>
      </c>
      <c r="E451" s="38" t="inlineStr">
        <is>
          <t>Opinión-análisis</t>
        </is>
      </c>
      <c r="F451" s="38" t="inlineStr">
        <is>
          <t>2025-02-16T00:00:00-05:00</t>
        </is>
      </c>
      <c r="G451" s="62" t="inlineStr">
        <is>
          <t>Empero, eso no es excusa para que haya tanta demora en la reglamentación y la implementación.</t>
        </is>
      </c>
      <c r="H451" s="62" t="inlineStr">
        <is>
          <t>La Corte Constitucional está en proceso de estudiarla y, debido a la manera en que se aprobó en el último debate, hay una alta posibilidad de que decida tumbarla.</t>
        </is>
      </c>
      <c r="I451" s="62" t="inlineStr">
        <is>
          <t>El país debe operar bajo el entendido de que esta es la ley vigente y el Gobierno Nacional no puede perder esta oportunidad de cimentar su mayor logro legislativo.</t>
        </is>
      </c>
      <c r="J451" s="38" t="n"/>
      <c r="K451" s="62" t="n"/>
      <c r="L451" s="38" t="n"/>
      <c r="M451" s="62" t="n"/>
      <c r="N451" s="38" t="n"/>
      <c r="O451" s="62" t="n"/>
      <c r="P451" s="38" t="n"/>
      <c r="Q451" s="62" t="n"/>
      <c r="R451" s="38" t="n"/>
      <c r="S451" s="62" t="n"/>
      <c r="T451" s="38" t="n"/>
      <c r="U451" s="62" t="n"/>
      <c r="V451" s="38" t="n"/>
      <c r="W451" s="62" t="n"/>
      <c r="X451" s="38" t="n"/>
      <c r="Y451" s="62" t="n"/>
      <c r="Z451" s="38" t="n"/>
      <c r="AA451" s="62" t="n"/>
      <c r="AB451" s="38" t="n"/>
      <c r="AC451" s="62" t="n"/>
      <c r="AD451" s="38" t="n"/>
      <c r="AE451" s="38" t="n"/>
      <c r="AF451" s="61">
        <f>IF(COUNTIF($B$5:B451,B451)=1,1,0)</f>
        <v/>
      </c>
      <c r="AG451" s="62" t="inlineStr">
        <is>
          <t>https://www.elespectador.com/opinion/editorial/editorial-la-reforma-pensional-se-debe-reglamentar-ya/</t>
        </is>
      </c>
    </row>
    <row r="452" ht="15" customHeight="1" s="31">
      <c r="A452" s="38" t="inlineStr">
        <is>
          <t>ART_066</t>
        </is>
      </c>
      <c r="B452" s="38" t="inlineStr">
        <is>
          <t>ART_066_S09</t>
        </is>
      </c>
      <c r="C452" s="38" t="inlineStr">
        <is>
          <t>El Espectador</t>
        </is>
      </c>
      <c r="D452" s="38" t="inlineStr">
        <is>
          <t>Reformas sociales en disputa (pensional/tributaria)</t>
        </is>
      </c>
      <c r="E452" s="38" t="inlineStr">
        <is>
          <t>Opinión-análisis</t>
        </is>
      </c>
      <c r="F452" s="38" t="inlineStr">
        <is>
          <t>2025-02-16T00:00:00-05:00</t>
        </is>
      </c>
      <c r="G452" s="62" t="inlineStr">
        <is>
          <t>El país debe operar bajo el entendido de que esta es la ley vigente y el Gobierno Nacional no puede perder esta oportunidad de cimentar su mayor logro legislativo.</t>
        </is>
      </c>
      <c r="H452" s="62" t="inlineStr">
        <is>
          <t>Empero, eso no es excusa para que haya tanta demora en la reglamentación y la implementación.</t>
        </is>
      </c>
      <c r="I452" s="62" t="inlineStr">
        <is>
          <t>Por eso preocupa que, con la ausencia de Ramírez, se interrumpan los procesos y haya aún más demoras.</t>
        </is>
      </c>
      <c r="J452" s="38" t="n"/>
      <c r="K452" s="62" t="n"/>
      <c r="L452" s="38" t="n"/>
      <c r="M452" s="62" t="n"/>
      <c r="N452" s="38" t="n"/>
      <c r="O452" s="62" t="n"/>
      <c r="P452" s="38" t="n"/>
      <c r="Q452" s="62" t="n"/>
      <c r="R452" s="38" t="n"/>
      <c r="S452" s="62" t="n"/>
      <c r="T452" s="38" t="n"/>
      <c r="U452" s="62" t="n"/>
      <c r="V452" s="38" t="n"/>
      <c r="W452" s="62" t="n"/>
      <c r="X452" s="38" t="n"/>
      <c r="Y452" s="62" t="n"/>
      <c r="Z452" s="38" t="n"/>
      <c r="AA452" s="62" t="n"/>
      <c r="AB452" s="38" t="n"/>
      <c r="AC452" s="62" t="n"/>
      <c r="AD452" s="38" t="n"/>
      <c r="AE452" s="38" t="n"/>
      <c r="AF452" s="61">
        <f>IF(COUNTIF($B$5:B452,B452)=1,1,0)</f>
        <v/>
      </c>
      <c r="AG452" s="62" t="inlineStr">
        <is>
          <t>https://www.elespectador.com/opinion/editorial/editorial-la-reforma-pensional-se-debe-reglamentar-ya/</t>
        </is>
      </c>
    </row>
    <row r="453" ht="15" customHeight="1" s="31">
      <c r="A453" s="38" t="inlineStr">
        <is>
          <t>ART_066</t>
        </is>
      </c>
      <c r="B453" s="38" t="inlineStr">
        <is>
          <t>ART_066_S10</t>
        </is>
      </c>
      <c r="C453" s="38" t="inlineStr">
        <is>
          <t>El Espectador</t>
        </is>
      </c>
      <c r="D453" s="38" t="inlineStr">
        <is>
          <t>Reformas sociales en disputa (pensional/tributaria)</t>
        </is>
      </c>
      <c r="E453" s="38" t="inlineStr">
        <is>
          <t>Opinión-análisis</t>
        </is>
      </c>
      <c r="F453" s="38" t="inlineStr">
        <is>
          <t>2025-02-16T00:00:00-05:00</t>
        </is>
      </c>
      <c r="G453" s="62" t="inlineStr">
        <is>
          <t>Por eso preocupa que, con la ausencia de Ramírez, se interrumpan los procesos y haya aún más demoras.</t>
        </is>
      </c>
      <c r="H453" s="62" t="inlineStr">
        <is>
          <t>El país debe operar bajo el entendido de que esta es la ley vigente y el Gobierno Nacional no puede perder esta oportunidad de cimentar su mayor logro legislativo.</t>
        </is>
      </c>
      <c r="I453" s="62" t="inlineStr">
        <is>
          <t>El Banco de la República encendió las alarmas.</t>
        </is>
      </c>
      <c r="J453" s="38" t="n"/>
      <c r="K453" s="62" t="n"/>
      <c r="L453" s="38" t="n"/>
      <c r="M453" s="62" t="n"/>
      <c r="N453" s="38" t="n"/>
      <c r="O453" s="62" t="n"/>
      <c r="P453" s="38" t="n"/>
      <c r="Q453" s="62" t="n"/>
      <c r="R453" s="38" t="n"/>
      <c r="S453" s="62" t="n"/>
      <c r="T453" s="38" t="n"/>
      <c r="U453" s="62" t="n"/>
      <c r="V453" s="38" t="n"/>
      <c r="W453" s="62" t="n"/>
      <c r="X453" s="38" t="n"/>
      <c r="Y453" s="62" t="n"/>
      <c r="Z453" s="38" t="n"/>
      <c r="AA453" s="62" t="n"/>
      <c r="AB453" s="38" t="n"/>
      <c r="AC453" s="62" t="n"/>
      <c r="AD453" s="38" t="n"/>
      <c r="AE453" s="38" t="n"/>
      <c r="AF453" s="61">
        <f>IF(COUNTIF($B$5:B453,B453)=1,1,0)</f>
        <v/>
      </c>
      <c r="AG453" s="62" t="inlineStr">
        <is>
          <t>https://www.elespectador.com/opinion/editorial/editorial-la-reforma-pensional-se-debe-reglamentar-ya/</t>
        </is>
      </c>
    </row>
    <row r="454" ht="15" customHeight="1" s="31">
      <c r="A454" s="38" t="inlineStr">
        <is>
          <t>ART_066</t>
        </is>
      </c>
      <c r="B454" s="38" t="inlineStr">
        <is>
          <t>ART_066_S11</t>
        </is>
      </c>
      <c r="C454" s="38" t="inlineStr">
        <is>
          <t>El Espectador</t>
        </is>
      </c>
      <c r="D454" s="38" t="inlineStr">
        <is>
          <t>Reformas sociales en disputa (pensional/tributaria)</t>
        </is>
      </c>
      <c r="E454" s="38" t="inlineStr">
        <is>
          <t>Opinión-análisis</t>
        </is>
      </c>
      <c r="F454" s="38" t="inlineStr">
        <is>
          <t>2025-02-16T00:00:00-05:00</t>
        </is>
      </c>
      <c r="G454" s="62" t="inlineStr">
        <is>
          <t>El Banco de la República encendió las alarmas.</t>
        </is>
      </c>
      <c r="H454" s="62" t="inlineStr">
        <is>
          <t>Por eso preocupa que, con la ausencia de Ramírez, se interrumpan los procesos y haya aún más demoras.</t>
        </is>
      </c>
      <c r="I454" s="62" t="inlineStr">
        <is>
          <t>Tiene sentido, pues el Emisor cumple un papel esencial en la nueva reforma.</t>
        </is>
      </c>
      <c r="J454" s="38" t="n"/>
      <c r="K454" s="62" t="n"/>
      <c r="L454" s="38" t="n"/>
      <c r="M454" s="62" t="n"/>
      <c r="N454" s="38" t="n"/>
      <c r="O454" s="62" t="n"/>
      <c r="P454" s="38" t="n"/>
      <c r="Q454" s="62" t="n"/>
      <c r="R454" s="38" t="n"/>
      <c r="S454" s="62" t="n"/>
      <c r="T454" s="38" t="n"/>
      <c r="U454" s="62" t="n"/>
      <c r="V454" s="38" t="n"/>
      <c r="W454" s="62" t="n"/>
      <c r="X454" s="38" t="n"/>
      <c r="Y454" s="62" t="n"/>
      <c r="Z454" s="38" t="n"/>
      <c r="AA454" s="62" t="n"/>
      <c r="AB454" s="38" t="n"/>
      <c r="AC454" s="62" t="n"/>
      <c r="AD454" s="38" t="n"/>
      <c r="AE454" s="38" t="n"/>
      <c r="AF454" s="61">
        <f>IF(COUNTIF($B$5:B454,B454)=1,1,0)</f>
        <v/>
      </c>
      <c r="AG454" s="62" t="inlineStr">
        <is>
          <t>https://www.elespectador.com/opinion/editorial/editorial-la-reforma-pensional-se-debe-reglamentar-ya/</t>
        </is>
      </c>
    </row>
    <row r="455" ht="15" customHeight="1" s="31">
      <c r="A455" s="38" t="inlineStr">
        <is>
          <t>ART_066</t>
        </is>
      </c>
      <c r="B455" s="38" t="inlineStr">
        <is>
          <t>ART_066_S12</t>
        </is>
      </c>
      <c r="C455" s="38" t="inlineStr">
        <is>
          <t>El Espectador</t>
        </is>
      </c>
      <c r="D455" s="38" t="inlineStr">
        <is>
          <t>Reformas sociales en disputa (pensional/tributaria)</t>
        </is>
      </c>
      <c r="E455" s="38" t="inlineStr">
        <is>
          <t>Opinión-análisis</t>
        </is>
      </c>
      <c r="F455" s="38" t="inlineStr">
        <is>
          <t>2025-02-16T00:00:00-05:00</t>
        </is>
      </c>
      <c r="G455" s="62" t="inlineStr">
        <is>
          <t>Tiene sentido, pues el Emisor cumple un papel esencial en la nueva reforma.</t>
        </is>
      </c>
      <c r="H455" s="62" t="inlineStr">
        <is>
          <t>El Banco de la República encendió las alarmas.</t>
        </is>
      </c>
      <c r="I455" s="62" t="inlineStr">
        <is>
          <t>Según la normativa, el Banco tendrá a cargo la administración del Fondo de Ahorro del Pilar Contributivo, lo que incluye definir cómo se van a invertir los recursos, cuáles riesgos se tomarán y de qué manera se hará crecer el dinero de los colombianos.</t>
        </is>
      </c>
      <c r="J455" s="38" t="n"/>
      <c r="K455" s="62" t="n"/>
      <c r="L455" s="38" t="n"/>
      <c r="M455" s="62" t="n"/>
      <c r="N455" s="38" t="n"/>
      <c r="O455" s="62" t="n"/>
      <c r="P455" s="38" t="n"/>
      <c r="Q455" s="62" t="n"/>
      <c r="R455" s="38" t="n"/>
      <c r="S455" s="62" t="n"/>
      <c r="T455" s="38" t="n"/>
      <c r="U455" s="62" t="n"/>
      <c r="V455" s="38" t="n"/>
      <c r="W455" s="62" t="n"/>
      <c r="X455" s="38" t="n"/>
      <c r="Y455" s="62" t="n"/>
      <c r="Z455" s="38" t="n"/>
      <c r="AA455" s="62" t="n"/>
      <c r="AB455" s="38" t="n"/>
      <c r="AC455" s="62" t="n"/>
      <c r="AD455" s="38" t="n"/>
      <c r="AE455" s="38" t="n"/>
      <c r="AF455" s="61">
        <f>IF(COUNTIF($B$5:B455,B455)=1,1,0)</f>
        <v/>
      </c>
      <c r="AG455" s="62" t="inlineStr">
        <is>
          <t>https://www.elespectador.com/opinion/editorial/editorial-la-reforma-pensional-se-debe-reglamentar-ya/</t>
        </is>
      </c>
    </row>
    <row r="456" ht="15" customHeight="1" s="31">
      <c r="A456" s="38" t="inlineStr">
        <is>
          <t>ART_066</t>
        </is>
      </c>
      <c r="B456" s="38" t="inlineStr">
        <is>
          <t>ART_066_S13</t>
        </is>
      </c>
      <c r="C456" s="38" t="inlineStr">
        <is>
          <t>El Espectador</t>
        </is>
      </c>
      <c r="D456" s="38" t="inlineStr">
        <is>
          <t>Reformas sociales en disputa (pensional/tributaria)</t>
        </is>
      </c>
      <c r="E456" s="38" t="inlineStr">
        <is>
          <t>Opinión-análisis</t>
        </is>
      </c>
      <c r="F456" s="38" t="inlineStr">
        <is>
          <t>2025-02-16T00:00:00-05:00</t>
        </is>
      </c>
      <c r="G456" s="62" t="inlineStr">
        <is>
          <t>Según la normativa, el Banco tendrá a cargo la administración del Fondo de Ahorro del Pilar Contributivo, lo que incluye definir cómo se van a invertir los recursos, cuáles riesgos se tomarán y de qué manera se hará crecer el dinero de los colombianos.</t>
        </is>
      </c>
      <c r="H456" s="62" t="inlineStr">
        <is>
          <t>Tiene sentido, pues el Emisor cumple un papel esencial en la nueva reforma.</t>
        </is>
      </c>
      <c r="I456" s="62" t="inlineStr">
        <is>
          <t>El problema es que, a la fecha, las reglas y responsabilidades no están claras.</t>
        </is>
      </c>
      <c r="J456" s="38" t="n"/>
      <c r="K456" s="62" t="n"/>
      <c r="L456" s="38" t="n"/>
      <c r="M456" s="62" t="n"/>
      <c r="N456" s="38" t="n"/>
      <c r="O456" s="62" t="n"/>
      <c r="P456" s="38" t="n"/>
      <c r="Q456" s="62" t="n"/>
      <c r="R456" s="38" t="n"/>
      <c r="S456" s="62" t="n"/>
      <c r="T456" s="38" t="n"/>
      <c r="U456" s="62" t="n"/>
      <c r="V456" s="38" t="n"/>
      <c r="W456" s="62" t="n"/>
      <c r="X456" s="38" t="n"/>
      <c r="Y456" s="62" t="n"/>
      <c r="Z456" s="38" t="n"/>
      <c r="AA456" s="62" t="n"/>
      <c r="AB456" s="38" t="n"/>
      <c r="AC456" s="62" t="n"/>
      <c r="AD456" s="38" t="n"/>
      <c r="AE456" s="38" t="n"/>
      <c r="AF456" s="61">
        <f>IF(COUNTIF($B$5:B456,B456)=1,1,0)</f>
        <v/>
      </c>
      <c r="AG456" s="62" t="inlineStr">
        <is>
          <t>https://www.elespectador.com/opinion/editorial/editorial-la-reforma-pensional-se-debe-reglamentar-ya/</t>
        </is>
      </c>
    </row>
    <row r="457" ht="15" customHeight="1" s="31">
      <c r="A457" s="38" t="inlineStr">
        <is>
          <t>ART_066</t>
        </is>
      </c>
      <c r="B457" s="38" t="inlineStr">
        <is>
          <t>ART_066_S14</t>
        </is>
      </c>
      <c r="C457" s="38" t="inlineStr">
        <is>
          <t>El Espectador</t>
        </is>
      </c>
      <c r="D457" s="38" t="inlineStr">
        <is>
          <t>Reformas sociales en disputa (pensional/tributaria)</t>
        </is>
      </c>
      <c r="E457" s="38" t="inlineStr">
        <is>
          <t>Opinión-análisis</t>
        </is>
      </c>
      <c r="F457" s="38" t="inlineStr">
        <is>
          <t>2025-02-16T00:00:00-05:00</t>
        </is>
      </c>
      <c r="G457" s="62" t="inlineStr">
        <is>
          <t>El problema es que, a la fecha, las reglas y responsabilidades no están claras.</t>
        </is>
      </c>
      <c r="H457" s="62" t="inlineStr">
        <is>
          <t>Según la normativa, el Banco tendrá a cargo la administración del Fondo de Ahorro del Pilar Contributivo, lo que incluye definir cómo se van a invertir los recursos, cuáles riesgos se tomarán y de qué manera se hará crecer el dinero de los colombianos.</t>
        </is>
      </c>
      <c r="I457" s="62" t="n"/>
      <c r="J457" s="38" t="n"/>
      <c r="K457" s="62" t="n"/>
      <c r="L457" s="38" t="n"/>
      <c r="M457" s="62" t="n"/>
      <c r="N457" s="38" t="n"/>
      <c r="O457" s="62" t="n"/>
      <c r="P457" s="38" t="n"/>
      <c r="Q457" s="62" t="n"/>
      <c r="R457" s="38" t="n"/>
      <c r="S457" s="62" t="n"/>
      <c r="T457" s="38" t="n"/>
      <c r="U457" s="62" t="n"/>
      <c r="V457" s="38" t="n"/>
      <c r="W457" s="62" t="n"/>
      <c r="X457" s="38" t="n"/>
      <c r="Y457" s="62" t="n"/>
      <c r="Z457" s="38" t="n"/>
      <c r="AA457" s="62" t="n"/>
      <c r="AB457" s="38" t="n"/>
      <c r="AC457" s="62" t="n"/>
      <c r="AD457" s="38" t="n"/>
      <c r="AE457" s="38" t="n"/>
      <c r="AF457" s="61">
        <f>IF(COUNTIF($B$5:B457,B457)=1,1,0)</f>
        <v/>
      </c>
      <c r="AG457" s="62" t="inlineStr">
        <is>
          <t>https://www.elespectador.com/opinion/editorial/editorial-la-reforma-pensional-se-debe-reglamentar-ya/</t>
        </is>
      </c>
    </row>
    <row r="458" ht="15" customHeight="1" s="31">
      <c r="A458" s="38" t="inlineStr">
        <is>
          <t>ART_067</t>
        </is>
      </c>
      <c r="B458" s="38" t="inlineStr">
        <is>
          <t>ART_067_S01</t>
        </is>
      </c>
      <c r="C458" s="38" t="inlineStr">
        <is>
          <t>Semana</t>
        </is>
      </c>
      <c r="D458" s="38" t="inlineStr">
        <is>
          <t>Reformas sociales en disputa (pensional/tributaria)</t>
        </is>
      </c>
      <c r="E458" s="38" t="inlineStr">
        <is>
          <t>Opinión-análisis</t>
        </is>
      </c>
      <c r="F458" s="38" t="inlineStr">
        <is>
          <t>2024-05-02T06:31:19-05:00</t>
        </is>
      </c>
      <c r="G458" s="62" t="inlineStr">
        <is>
          <t>Mucho se ha especulado sobre los alcances de la reforma pensional recientemente aprobada por el Senado de la República, que en próximos días surtirá su trámite en la Cámara de Representantes.</t>
        </is>
      </c>
      <c r="H458" s="62" t="n"/>
      <c r="I458" s="62" t="inlineStr">
        <is>
          <t>Como se espera, el texto será aprobado y posteriormente pasará a sanción presidencial para ser publicado y promulgado.</t>
        </is>
      </c>
      <c r="J458" s="38" t="n"/>
      <c r="K458" s="62" t="n"/>
      <c r="L458" s="38" t="n"/>
      <c r="M458" s="62" t="n"/>
      <c r="N458" s="38" t="n"/>
      <c r="O458" s="62" t="n"/>
      <c r="P458" s="38" t="n"/>
      <c r="Q458" s="62" t="n"/>
      <c r="R458" s="38" t="n"/>
      <c r="S458" s="62" t="n"/>
      <c r="T458" s="38" t="n"/>
      <c r="U458" s="62" t="n"/>
      <c r="V458" s="38" t="n"/>
      <c r="W458" s="62" t="n"/>
      <c r="X458" s="38" t="n"/>
      <c r="Y458" s="62" t="n"/>
      <c r="Z458" s="38" t="n"/>
      <c r="AA458" s="62" t="n"/>
      <c r="AB458" s="38" t="n"/>
      <c r="AC458" s="62" t="n"/>
      <c r="AD458" s="38" t="n"/>
      <c r="AE458" s="38" t="n"/>
      <c r="AF458" s="61">
        <f>IF(COUNTIF($B$5:B458,B458)=1,1,0)</f>
        <v/>
      </c>
      <c r="AG458" s="62" t="inlineStr">
        <is>
          <t>https://www.semana.com/opinion/articulo/el-impacto-financiero-y-fiscal-de-la-reforma-pensional/202456/</t>
        </is>
      </c>
    </row>
    <row r="459" ht="15" customHeight="1" s="31">
      <c r="A459" s="38" t="inlineStr">
        <is>
          <t>ART_067</t>
        </is>
      </c>
      <c r="B459" s="38" t="inlineStr">
        <is>
          <t>ART_067_S02</t>
        </is>
      </c>
      <c r="C459" s="38" t="inlineStr">
        <is>
          <t>Semana</t>
        </is>
      </c>
      <c r="D459" s="38" t="inlineStr">
        <is>
          <t>Reformas sociales en disputa (pensional/tributaria)</t>
        </is>
      </c>
      <c r="E459" s="38" t="inlineStr">
        <is>
          <t>Opinión-análisis</t>
        </is>
      </c>
      <c r="F459" s="38" t="inlineStr">
        <is>
          <t>2024-05-02T06:31:19-05:00</t>
        </is>
      </c>
      <c r="G459" s="62" t="inlineStr">
        <is>
          <t>Como se espera, el texto será aprobado y posteriormente pasará a sanción presidencial para ser publicado y promulgado.</t>
        </is>
      </c>
      <c r="H459" s="62" t="inlineStr">
        <is>
          <t>Mucho se ha especulado sobre los alcances de la reforma pensional recientemente aprobada por el Senado de la República, que en próximos días surtirá su trámite en la Cámara de Representantes.</t>
        </is>
      </c>
      <c r="I459" s="62" t="inlineStr">
        <is>
          <t>Lo que se avecina en términos de impacto financiero y fiscal de la aludida reforma aún son desconocidos para el común de los colombianos, sin embargo, pueden advertirse indiscutibles riesgos, a saber, los siguientes.</t>
        </is>
      </c>
      <c r="J459" s="38" t="n"/>
      <c r="K459" s="62" t="n"/>
      <c r="L459" s="38" t="n"/>
      <c r="M459" s="62" t="n"/>
      <c r="N459" s="38" t="n"/>
      <c r="O459" s="62" t="n"/>
      <c r="P459" s="38" t="n"/>
      <c r="Q459" s="62" t="n"/>
      <c r="R459" s="38" t="n"/>
      <c r="S459" s="62" t="n"/>
      <c r="T459" s="38" t="n"/>
      <c r="U459" s="62" t="n"/>
      <c r="V459" s="38" t="n"/>
      <c r="W459" s="62" t="n"/>
      <c r="X459" s="38" t="n"/>
      <c r="Y459" s="62" t="n"/>
      <c r="Z459" s="38" t="n"/>
      <c r="AA459" s="62" t="n"/>
      <c r="AB459" s="38" t="n"/>
      <c r="AC459" s="62" t="n"/>
      <c r="AD459" s="38" t="n"/>
      <c r="AE459" s="38" t="n"/>
      <c r="AF459" s="61">
        <f>IF(COUNTIF($B$5:B459,B459)=1,1,0)</f>
        <v/>
      </c>
      <c r="AG459" s="62" t="inlineStr">
        <is>
          <t>https://www.semana.com/opinion/articulo/el-impacto-financiero-y-fiscal-de-la-reforma-pensional/202456/</t>
        </is>
      </c>
    </row>
    <row r="460" ht="15" customHeight="1" s="31">
      <c r="A460" s="38" t="inlineStr">
        <is>
          <t>ART_067</t>
        </is>
      </c>
      <c r="B460" s="38" t="inlineStr">
        <is>
          <t>ART_067_S03</t>
        </is>
      </c>
      <c r="C460" s="38" t="inlineStr">
        <is>
          <t>Semana</t>
        </is>
      </c>
      <c r="D460" s="38" t="inlineStr">
        <is>
          <t>Reformas sociales en disputa (pensional/tributaria)</t>
        </is>
      </c>
      <c r="E460" s="38" t="inlineStr">
        <is>
          <t>Opinión-análisis</t>
        </is>
      </c>
      <c r="F460" s="38" t="inlineStr">
        <is>
          <t>2024-05-02T06:31:19-05:00</t>
        </is>
      </c>
      <c r="G460" s="62" t="inlineStr">
        <is>
          <t>Lo que se avecina en términos de impacto financiero y fiscal de la aludida reforma aún son desconocidos para el común de los colombianos, sin embargo, pueden advertirse indiscutibles riesgos, a saber, los siguientes.</t>
        </is>
      </c>
      <c r="H460" s="62" t="inlineStr">
        <is>
          <t>Como se espera, el texto será aprobado y posteriormente pasará a sanción presidencial para ser publicado y promulgado.</t>
        </is>
      </c>
      <c r="I460" s="62" t="inlineStr">
        <is>
          <t>Para entender cómo irrumpe la reforma en nuestro actual sistema, es menester primero indicar cómo está compuesto.</t>
        </is>
      </c>
      <c r="J460" s="38" t="n"/>
      <c r="K460" s="62" t="n"/>
      <c r="L460" s="38" t="n"/>
      <c r="M460" s="62" t="n"/>
      <c r="N460" s="38" t="n"/>
      <c r="O460" s="62" t="n"/>
      <c r="P460" s="38" t="n"/>
      <c r="Q460" s="62" t="n"/>
      <c r="R460" s="38" t="n"/>
      <c r="S460" s="62" t="n"/>
      <c r="T460" s="38" t="n"/>
      <c r="U460" s="62" t="n"/>
      <c r="V460" s="38" t="n"/>
      <c r="W460" s="62" t="n"/>
      <c r="X460" s="38" t="n"/>
      <c r="Y460" s="62" t="n"/>
      <c r="Z460" s="38" t="n"/>
      <c r="AA460" s="62" t="n"/>
      <c r="AB460" s="38" t="n"/>
      <c r="AC460" s="62" t="n"/>
      <c r="AD460" s="38" t="n"/>
      <c r="AE460" s="38" t="n"/>
      <c r="AF460" s="61">
        <f>IF(COUNTIF($B$5:B460,B460)=1,1,0)</f>
        <v/>
      </c>
      <c r="AG460" s="62" t="inlineStr">
        <is>
          <t>https://www.semana.com/opinion/articulo/el-impacto-financiero-y-fiscal-de-la-reforma-pensional/202456/</t>
        </is>
      </c>
    </row>
    <row r="461" ht="15" customHeight="1" s="31">
      <c r="A461" s="38" t="inlineStr">
        <is>
          <t>ART_067</t>
        </is>
      </c>
      <c r="B461" s="38" t="inlineStr">
        <is>
          <t>ART_067_S04</t>
        </is>
      </c>
      <c r="C461" s="38" t="inlineStr">
        <is>
          <t>Semana</t>
        </is>
      </c>
      <c r="D461" s="38" t="inlineStr">
        <is>
          <t>Reformas sociales en disputa (pensional/tributaria)</t>
        </is>
      </c>
      <c r="E461" s="38" t="inlineStr">
        <is>
          <t>Opinión-análisis</t>
        </is>
      </c>
      <c r="F461" s="38" t="inlineStr">
        <is>
          <t>2024-05-02T06:31:19-05:00</t>
        </is>
      </c>
      <c r="G461" s="62" t="inlineStr">
        <is>
          <t>Para entender cómo irrumpe la reforma en nuestro actual sistema, es menester primero indicar cómo está compuesto.</t>
        </is>
      </c>
      <c r="H461" s="62" t="inlineStr">
        <is>
          <t>Lo que se avecina en términos de impacto financiero y fiscal de la aludida reforma aún son desconocidos para el común de los colombianos, sin embargo, pueden advertirse indiscutibles riesgos, a saber, los siguientes.</t>
        </is>
      </c>
      <c r="I461" s="62" t="inlineStr">
        <is>
          <t>El sistema de pensiones cubre las contingencias de vejez, invalidez y muerte de origen común, esto es, que no sean de origen laboral, por ejemplo, una pensión por accidente de trabajo.</t>
        </is>
      </c>
      <c r="J461" s="38" t="n"/>
      <c r="K461" s="62" t="n"/>
      <c r="L461" s="38" t="n"/>
      <c r="M461" s="62" t="n"/>
      <c r="N461" s="38" t="n"/>
      <c r="O461" s="62" t="n"/>
      <c r="P461" s="38" t="n"/>
      <c r="Q461" s="62" t="n"/>
      <c r="R461" s="38" t="n"/>
      <c r="S461" s="62" t="n"/>
      <c r="T461" s="38" t="n"/>
      <c r="U461" s="62" t="n"/>
      <c r="V461" s="38" t="n"/>
      <c r="W461" s="62" t="n"/>
      <c r="X461" s="38" t="n"/>
      <c r="Y461" s="62" t="n"/>
      <c r="Z461" s="38" t="n"/>
      <c r="AA461" s="62" t="n"/>
      <c r="AB461" s="38" t="n"/>
      <c r="AC461" s="62" t="n"/>
      <c r="AD461" s="38" t="n"/>
      <c r="AE461" s="38" t="n"/>
      <c r="AF461" s="61">
        <f>IF(COUNTIF($B$5:B461,B461)=1,1,0)</f>
        <v/>
      </c>
      <c r="AG461" s="62" t="inlineStr">
        <is>
          <t>https://www.semana.com/opinion/articulo/el-impacto-financiero-y-fiscal-de-la-reforma-pensional/202456/</t>
        </is>
      </c>
    </row>
    <row r="462" ht="15" customHeight="1" s="31">
      <c r="A462" s="38" t="inlineStr">
        <is>
          <t>ART_067</t>
        </is>
      </c>
      <c r="B462" s="38" t="inlineStr">
        <is>
          <t>ART_067_S05</t>
        </is>
      </c>
      <c r="C462" s="38" t="inlineStr">
        <is>
          <t>Semana</t>
        </is>
      </c>
      <c r="D462" s="38" t="inlineStr">
        <is>
          <t>Reformas sociales en disputa (pensional/tributaria)</t>
        </is>
      </c>
      <c r="E462" s="38" t="inlineStr">
        <is>
          <t>Opinión-análisis</t>
        </is>
      </c>
      <c r="F462" s="38" t="inlineStr">
        <is>
          <t>2024-05-02T06:31:19-05:00</t>
        </is>
      </c>
      <c r="G462" s="62" t="inlineStr">
        <is>
          <t>El sistema de pensiones cubre las contingencias de vejez, invalidez y muerte de origen común, esto es, que no sean de origen laboral, por ejemplo, una pensión por accidente de trabajo.</t>
        </is>
      </c>
      <c r="H462" s="62" t="inlineStr">
        <is>
          <t>Para entender cómo irrumpe la reforma en nuestro actual sistema, es menester primero indicar cómo está compuesto.</t>
        </is>
      </c>
      <c r="I462" s="62" t="inlineStr">
        <is>
          <t>La protección en este caso se realiza a partir del reconocimiento del derecho a una mesada pensional mediante un sistema dual compuesto por el régimen de prima media (RPM) y el de ahorro individual con solidaridad (RAIS).</t>
        </is>
      </c>
      <c r="J462" s="38" t="n"/>
      <c r="K462" s="62" t="n"/>
      <c r="L462" s="38" t="n"/>
      <c r="M462" s="62" t="n"/>
      <c r="N462" s="38" t="n"/>
      <c r="O462" s="62" t="n"/>
      <c r="P462" s="38" t="n"/>
      <c r="Q462" s="62" t="n"/>
      <c r="R462" s="38" t="n"/>
      <c r="S462" s="62" t="n"/>
      <c r="T462" s="38" t="n"/>
      <c r="U462" s="62" t="n"/>
      <c r="V462" s="38" t="n"/>
      <c r="W462" s="62" t="n"/>
      <c r="X462" s="38" t="n"/>
      <c r="Y462" s="62" t="n"/>
      <c r="Z462" s="38" t="n"/>
      <c r="AA462" s="62" t="n"/>
      <c r="AB462" s="38" t="n"/>
      <c r="AC462" s="62" t="n"/>
      <c r="AD462" s="38" t="n"/>
      <c r="AE462" s="38" t="n"/>
      <c r="AF462" s="61">
        <f>IF(COUNTIF($B$5:B462,B462)=1,1,0)</f>
        <v/>
      </c>
      <c r="AG462" s="62" t="inlineStr">
        <is>
          <t>https://www.semana.com/opinion/articulo/el-impacto-financiero-y-fiscal-de-la-reforma-pensional/202456/</t>
        </is>
      </c>
    </row>
    <row r="463" ht="15" customHeight="1" s="31">
      <c r="A463" s="38" t="inlineStr">
        <is>
          <t>ART_067</t>
        </is>
      </c>
      <c r="B463" s="38" t="inlineStr">
        <is>
          <t>ART_067_S06</t>
        </is>
      </c>
      <c r="C463" s="38" t="inlineStr">
        <is>
          <t>Semana</t>
        </is>
      </c>
      <c r="D463" s="38" t="inlineStr">
        <is>
          <t>Reformas sociales en disputa (pensional/tributaria)</t>
        </is>
      </c>
      <c r="E463" s="38" t="inlineStr">
        <is>
          <t>Opinión-análisis</t>
        </is>
      </c>
      <c r="F463" s="38" t="inlineStr">
        <is>
          <t>2024-05-02T06:31:19-05:00</t>
        </is>
      </c>
      <c r="G463" s="62" t="inlineStr">
        <is>
          <t>La protección en este caso se realiza a partir del reconocimiento del derecho a una mesada pensional mediante un sistema dual compuesto por el régimen de prima media (RPM) y el de ahorro individual con solidaridad (RAIS).</t>
        </is>
      </c>
      <c r="H463" s="62" t="inlineStr">
        <is>
          <t>El sistema de pensiones cubre las contingencias de vejez, invalidez y muerte de origen común, esto es, que no sean de origen laboral, por ejemplo, una pensión por accidente de trabajo.</t>
        </is>
      </c>
      <c r="I463" s="62" t="inlineStr">
        <is>
          <t>El primero de ellos se financia mediante los aportes realizados por los trabajadores activos y los subsidios estatales; en el segundo, con los aportes y su rentabilidad.</t>
        </is>
      </c>
      <c r="J463" s="38" t="n"/>
      <c r="K463" s="62" t="n"/>
      <c r="L463" s="38" t="n"/>
      <c r="M463" s="62" t="n"/>
      <c r="N463" s="38" t="n"/>
      <c r="O463" s="62" t="n"/>
      <c r="P463" s="38" t="n"/>
      <c r="Q463" s="62" t="n"/>
      <c r="R463" s="38" t="n"/>
      <c r="S463" s="62" t="n"/>
      <c r="T463" s="38" t="n"/>
      <c r="U463" s="62" t="n"/>
      <c r="V463" s="38" t="n"/>
      <c r="W463" s="62" t="n"/>
      <c r="X463" s="38" t="n"/>
      <c r="Y463" s="62" t="n"/>
      <c r="Z463" s="38" t="n"/>
      <c r="AA463" s="62" t="n"/>
      <c r="AB463" s="38" t="n"/>
      <c r="AC463" s="62" t="n"/>
      <c r="AD463" s="38" t="n"/>
      <c r="AE463" s="38" t="n"/>
      <c r="AF463" s="61">
        <f>IF(COUNTIF($B$5:B463,B463)=1,1,0)</f>
        <v/>
      </c>
      <c r="AG463" s="62" t="inlineStr">
        <is>
          <t>https://www.semana.com/opinion/articulo/el-impacto-financiero-y-fiscal-de-la-reforma-pensional/202456/</t>
        </is>
      </c>
    </row>
    <row r="464" ht="15" customHeight="1" s="31">
      <c r="A464" s="38" t="inlineStr">
        <is>
          <t>ART_067</t>
        </is>
      </c>
      <c r="B464" s="38" t="inlineStr">
        <is>
          <t>ART_067_S07</t>
        </is>
      </c>
      <c r="C464" s="38" t="inlineStr">
        <is>
          <t>Semana</t>
        </is>
      </c>
      <c r="D464" s="38" t="inlineStr">
        <is>
          <t>Reformas sociales en disputa (pensional/tributaria)</t>
        </is>
      </c>
      <c r="E464" s="38" t="inlineStr">
        <is>
          <t>Opinión-análisis</t>
        </is>
      </c>
      <c r="F464" s="38" t="inlineStr">
        <is>
          <t>2024-05-02T06:31:19-05:00</t>
        </is>
      </c>
      <c r="G464" s="62" t="inlineStr">
        <is>
          <t>El primero de ellos se financia mediante los aportes realizados por los trabajadores activos y los subsidios estatales; en el segundo, con los aportes y su rentabilidad.</t>
        </is>
      </c>
      <c r="H464" s="62" t="inlineStr">
        <is>
          <t>La protección en este caso se realiza a partir del reconocimiento del derecho a una mesada pensional mediante un sistema dual compuesto por el régimen de prima media (RPM) y el de ahorro individual con solidaridad (RAIS).</t>
        </is>
      </c>
      <c r="I464" s="62" t="inlineStr">
        <is>
          <t>Según cifras de la Superfinanciera, para el año 2023, un total de 25,8 millones de personas estaban afiliadas al sistema, de las cuales 18,63 millones en el RAIS (72.20 %) y el resto en el RPM (29,80 %); sin embargo, para julio de 2023, solo 6,78 millones de personas se encontraban aportando, mientras que existía un total de 1.84 millones de pensionados, 1.56 millones en el RPM (96.64 %) y 279.362 en el RAIS (3.36 %).</t>
        </is>
      </c>
      <c r="J464" s="38" t="n"/>
      <c r="K464" s="62" t="n"/>
      <c r="L464" s="38" t="n"/>
      <c r="M464" s="62" t="n"/>
      <c r="N464" s="38" t="n"/>
      <c r="O464" s="62" t="n"/>
      <c r="P464" s="38" t="n"/>
      <c r="Q464" s="62" t="n"/>
      <c r="R464" s="38" t="n"/>
      <c r="S464" s="62" t="n"/>
      <c r="T464" s="38" t="n"/>
      <c r="U464" s="62" t="n"/>
      <c r="V464" s="38" t="n"/>
      <c r="W464" s="62" t="n"/>
      <c r="X464" s="38" t="n"/>
      <c r="Y464" s="62" t="n"/>
      <c r="Z464" s="38" t="n"/>
      <c r="AA464" s="62" t="n"/>
      <c r="AB464" s="38" t="n"/>
      <c r="AC464" s="62" t="n"/>
      <c r="AD464" s="38" t="n"/>
      <c r="AE464" s="38" t="n"/>
      <c r="AF464" s="61">
        <f>IF(COUNTIF($B$5:B464,B464)=1,1,0)</f>
        <v/>
      </c>
      <c r="AG464" s="62" t="inlineStr">
        <is>
          <t>https://www.semana.com/opinion/articulo/el-impacto-financiero-y-fiscal-de-la-reforma-pensional/202456/</t>
        </is>
      </c>
    </row>
    <row r="465" ht="15" customHeight="1" s="31">
      <c r="A465" s="38" t="inlineStr">
        <is>
          <t>ART_067</t>
        </is>
      </c>
      <c r="B465" s="38" t="inlineStr">
        <is>
          <t>ART_067_S08</t>
        </is>
      </c>
      <c r="C465" s="38" t="inlineStr">
        <is>
          <t>Semana</t>
        </is>
      </c>
      <c r="D465" s="38" t="inlineStr">
        <is>
          <t>Reformas sociales en disputa (pensional/tributaria)</t>
        </is>
      </c>
      <c r="E465" s="38" t="inlineStr">
        <is>
          <t>Opinión-análisis</t>
        </is>
      </c>
      <c r="F465" s="38" t="inlineStr">
        <is>
          <t>2024-05-02T06:31:19-05:00</t>
        </is>
      </c>
      <c r="G465" s="62" t="inlineStr">
        <is>
          <t>Según cifras de la Superfinanciera, para el año 2023, un total de 25,8 millones de personas estaban afiliadas al sistema, de las cuales 18,63 millones en el RAIS (72.20 %) y el resto en el RPM (29,80 %); sin embargo, para julio de 2023, solo 6,78 millones de personas se encontraban aportando, mientras que existía un total de 1.84 millones de pensionados, 1.56 millones en el RPM (96.64 %) y 279.362 en el RAIS (3.36 %).</t>
        </is>
      </c>
      <c r="H465" s="62" t="inlineStr">
        <is>
          <t>El primero de ellos se financia mediante los aportes realizados por los trabajadores activos y los subsidios estatales; en el segundo, con los aportes y su rentabilidad.</t>
        </is>
      </c>
      <c r="I465" s="62" t="inlineStr">
        <is>
          <t>En el caso de los pensionados del régimen de prima media con prestación definida, según se sabe, el 80 % se financia con los subsidios estatales, es decir, con los impuestos de la población rentística, y el restante 20 %, con los aportes que realizan los actuales trabajadores afiliados activos.</t>
        </is>
      </c>
      <c r="J465" s="38" t="n"/>
      <c r="K465" s="62" t="n"/>
      <c r="L465" s="38" t="n"/>
      <c r="M465" s="62" t="n"/>
      <c r="N465" s="38" t="n"/>
      <c r="O465" s="62" t="n"/>
      <c r="P465" s="38" t="n"/>
      <c r="Q465" s="62" t="n"/>
      <c r="R465" s="38" t="n"/>
      <c r="S465" s="62" t="n"/>
      <c r="T465" s="38" t="n"/>
      <c r="U465" s="62" t="n"/>
      <c r="V465" s="38" t="n"/>
      <c r="W465" s="62" t="n"/>
      <c r="X465" s="38" t="n"/>
      <c r="Y465" s="62" t="n"/>
      <c r="Z465" s="38" t="n"/>
      <c r="AA465" s="62" t="n"/>
      <c r="AB465" s="38" t="n"/>
      <c r="AC465" s="62" t="n"/>
      <c r="AD465" s="38" t="n"/>
      <c r="AE465" s="38" t="n"/>
      <c r="AF465" s="61">
        <f>IF(COUNTIF($B$5:B465,B465)=1,1,0)</f>
        <v/>
      </c>
      <c r="AG465" s="62" t="inlineStr">
        <is>
          <t>https://www.semana.com/opinion/articulo/el-impacto-financiero-y-fiscal-de-la-reforma-pensional/202456/</t>
        </is>
      </c>
    </row>
    <row r="466" ht="15" customHeight="1" s="31">
      <c r="A466" s="38" t="inlineStr">
        <is>
          <t>ART_067</t>
        </is>
      </c>
      <c r="B466" s="38" t="inlineStr">
        <is>
          <t>ART_067_S09</t>
        </is>
      </c>
      <c r="C466" s="38" t="inlineStr">
        <is>
          <t>Semana</t>
        </is>
      </c>
      <c r="D466" s="38" t="inlineStr">
        <is>
          <t>Reformas sociales en disputa (pensional/tributaria)</t>
        </is>
      </c>
      <c r="E466" s="38" t="inlineStr">
        <is>
          <t>Opinión-análisis</t>
        </is>
      </c>
      <c r="F466" s="38" t="inlineStr">
        <is>
          <t>2024-05-02T06:31:19-05:00</t>
        </is>
      </c>
      <c r="G466" s="62" t="inlineStr">
        <is>
          <t>En el caso de los pensionados del régimen de prima media con prestación definida, según se sabe, el 80 % se financia con los subsidios estatales, es decir, con los impuestos de la población rentística, y el restante 20 %, con los aportes que realizan los actuales trabajadores afiliados activos.</t>
        </is>
      </c>
      <c r="H466" s="62" t="inlineStr">
        <is>
          <t>Según cifras de la Superfinanciera, para el año 2023, un total de 25,8 millones de personas estaban afiliadas al sistema, de las cuales 18,63 millones en el RAIS (72.20 %) y el resto en el RPM (29,80 %); sin embargo, para julio de 2023, solo 6,78 millones de personas se encontraban aportando, mientras que existía un total de 1.84 millones de pensionados, 1.56 millones en el RPM (96.64 %) y 279.362 en el RAIS (3.36 %).</t>
        </is>
      </c>
      <c r="I466" s="62" t="inlineStr">
        <is>
          <t>Ahora bien, con el fin de garantizar el principio de universalidad del sistema pensional y, con ello, proteger a nuestra actual comunidad adulta mayor, la reforma pensional propone implementar un sistema de pilares.</t>
        </is>
      </c>
      <c r="J466" s="38" t="n"/>
      <c r="K466" s="62" t="n"/>
      <c r="L466" s="38" t="n"/>
      <c r="M466" s="62" t="n"/>
      <c r="N466" s="38" t="n"/>
      <c r="O466" s="62" t="n"/>
      <c r="P466" s="38" t="n"/>
      <c r="Q466" s="62" t="n"/>
      <c r="R466" s="38" t="n"/>
      <c r="S466" s="62" t="n"/>
      <c r="T466" s="38" t="n"/>
      <c r="U466" s="62" t="n"/>
      <c r="V466" s="38" t="n"/>
      <c r="W466" s="62" t="n"/>
      <c r="X466" s="38" t="n"/>
      <c r="Y466" s="62" t="n"/>
      <c r="Z466" s="38" t="n"/>
      <c r="AA466" s="62" t="n"/>
      <c r="AB466" s="38" t="n"/>
      <c r="AC466" s="62" t="n"/>
      <c r="AD466" s="38" t="n"/>
      <c r="AE466" s="38" t="n"/>
      <c r="AF466" s="61">
        <f>IF(COUNTIF($B$5:B466,B466)=1,1,0)</f>
        <v/>
      </c>
      <c r="AG466" s="62" t="inlineStr">
        <is>
          <t>https://www.semana.com/opinion/articulo/el-impacto-financiero-y-fiscal-de-la-reforma-pensional/202456/</t>
        </is>
      </c>
    </row>
    <row r="467" ht="15" customHeight="1" s="31">
      <c r="A467" s="38" t="inlineStr">
        <is>
          <t>ART_067</t>
        </is>
      </c>
      <c r="B467" s="38" t="inlineStr">
        <is>
          <t>ART_067_S10</t>
        </is>
      </c>
      <c r="C467" s="38" t="inlineStr">
        <is>
          <t>Semana</t>
        </is>
      </c>
      <c r="D467" s="38" t="inlineStr">
        <is>
          <t>Reformas sociales en disputa (pensional/tributaria)</t>
        </is>
      </c>
      <c r="E467" s="38" t="inlineStr">
        <is>
          <t>Opinión-análisis</t>
        </is>
      </c>
      <c r="F467" s="38" t="inlineStr">
        <is>
          <t>2024-05-02T06:31:19-05:00</t>
        </is>
      </c>
      <c r="G467" s="62" t="inlineStr">
        <is>
          <t>Ahora bien, con el fin de garantizar el principio de universalidad del sistema pensional y, con ello, proteger a nuestra actual comunidad adulta mayor, la reforma pensional propone implementar un sistema de pilares.</t>
        </is>
      </c>
      <c r="H467" s="62" t="inlineStr">
        <is>
          <t>En el caso de los pensionados del régimen de prima media con prestación definida, según se sabe, el 80 % se financia con los subsidios estatales, es decir, con los impuestos de la población rentística, y el restante 20 %, con los aportes que realizan los actuales trabajadores afiliados activos.</t>
        </is>
      </c>
      <c r="I467" s="62" t="n"/>
      <c r="J467" s="38" t="n"/>
      <c r="K467" s="62" t="n"/>
      <c r="L467" s="38" t="n"/>
      <c r="M467" s="62" t="n"/>
      <c r="N467" s="38" t="n"/>
      <c r="O467" s="62" t="n"/>
      <c r="P467" s="38" t="n"/>
      <c r="Q467" s="62" t="n"/>
      <c r="R467" s="38" t="n"/>
      <c r="S467" s="62" t="n"/>
      <c r="T467" s="38" t="n"/>
      <c r="U467" s="62" t="n"/>
      <c r="V467" s="38" t="n"/>
      <c r="W467" s="62" t="n"/>
      <c r="X467" s="38" t="n"/>
      <c r="Y467" s="62" t="n"/>
      <c r="Z467" s="38" t="n"/>
      <c r="AA467" s="62" t="n"/>
      <c r="AB467" s="38" t="n"/>
      <c r="AC467" s="62" t="n"/>
      <c r="AD467" s="38" t="n"/>
      <c r="AE467" s="38" t="n"/>
      <c r="AF467" s="61">
        <f>IF(COUNTIF($B$5:B467,B467)=1,1,0)</f>
        <v/>
      </c>
      <c r="AG467" s="62" t="inlineStr">
        <is>
          <t>https://www.semana.com/opinion/articulo/el-impacto-financiero-y-fiscal-de-la-reforma-pensional/202456/</t>
        </is>
      </c>
    </row>
    <row r="468" ht="15" customHeight="1" s="31">
      <c r="A468" s="38" t="inlineStr">
        <is>
          <t>ART_068</t>
        </is>
      </c>
      <c r="B468" s="38" t="inlineStr">
        <is>
          <t>ART_068_S01</t>
        </is>
      </c>
      <c r="C468" s="38" t="inlineStr">
        <is>
          <t>Semana</t>
        </is>
      </c>
      <c r="D468" s="38" t="inlineStr">
        <is>
          <t>Relación con Estados Unidos</t>
        </is>
      </c>
      <c r="E468" s="38" t="inlineStr">
        <is>
          <t>Noticia dura</t>
        </is>
      </c>
      <c r="F468" s="38" t="inlineStr">
        <is>
          <t>2026-08-03T22:17:10-05:00</t>
        </is>
      </c>
      <c r="G468" s="62" t="inlineStr">
        <is>
          <t>Veinticinco estados demócratas demandaron el lunes al gobierno federal estadounidense al considerar que la nueva política arancelaria del presidente Donald Trump excede sus poderes.</t>
        </is>
      </c>
      <c r="H468" s="62" t="n"/>
      <c r="I468" s="62"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J468" s="38" t="n"/>
      <c r="K468" s="62" t="n"/>
      <c r="L468" s="38" t="n"/>
      <c r="M468" s="62" t="n"/>
      <c r="N468" s="38" t="n"/>
      <c r="O468" s="62" t="n"/>
      <c r="P468" s="38" t="n"/>
      <c r="Q468" s="62" t="n"/>
      <c r="R468" s="38" t="n"/>
      <c r="S468" s="62" t="n"/>
      <c r="T468" s="38" t="n"/>
      <c r="U468" s="62" t="n"/>
      <c r="V468" s="38" t="n"/>
      <c r="W468" s="62" t="n"/>
      <c r="X468" s="38" t="n"/>
      <c r="Y468" s="62" t="n"/>
      <c r="Z468" s="38" t="n"/>
      <c r="AA468" s="62" t="n"/>
      <c r="AB468" s="38" t="n"/>
      <c r="AC468" s="62" t="n"/>
      <c r="AD468" s="38" t="n"/>
      <c r="AE468" s="38" t="n"/>
      <c r="AF468" s="61">
        <f>IF(COUNTIF($B$5:B468,B468)=1,1,0)</f>
        <v/>
      </c>
      <c r="AG468" s="62" t="inlineStr">
        <is>
          <t>https://www.semana.com/mundo/articulo/nueva-demanda-contra-aranceles-de-donald-trump-medidas-contra-colombia-podrian-caerse/202610/</t>
        </is>
      </c>
    </row>
    <row r="469" ht="15" customHeight="1" s="31">
      <c r="A469" s="38" t="inlineStr">
        <is>
          <t>ART_068</t>
        </is>
      </c>
      <c r="B469" s="38" t="inlineStr">
        <is>
          <t>ART_068_S02</t>
        </is>
      </c>
      <c r="C469" s="38" t="inlineStr">
        <is>
          <t>Semana</t>
        </is>
      </c>
      <c r="D469" s="38" t="inlineStr">
        <is>
          <t>Relación con Estados Unidos</t>
        </is>
      </c>
      <c r="E469" s="38" t="inlineStr">
        <is>
          <t>Noticia dura</t>
        </is>
      </c>
      <c r="F469" s="38" t="inlineStr">
        <is>
          <t>2026-08-03T22:17:10-05:00</t>
        </is>
      </c>
      <c r="G469" s="62"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H469" s="62" t="inlineStr">
        <is>
          <t>Veinticinco estados demócratas demandaron el lunes al gobierno federal estadounidense al considerar que la nueva política arancelaria del presidente Donald Trump excede sus poderes.</t>
        </is>
      </c>
      <c r="I469" s="62" t="inlineStr">
        <is>
          <t>Entre dichos países, estaba incluido Colombia, donde se aplicó gravamen del 12,5%.</t>
        </is>
      </c>
      <c r="J469" s="38" t="n"/>
      <c r="K469" s="62" t="n"/>
      <c r="L469" s="38" t="n"/>
      <c r="M469" s="62" t="n"/>
      <c r="N469" s="38" t="n"/>
      <c r="O469" s="62" t="n"/>
      <c r="P469" s="38" t="n"/>
      <c r="Q469" s="62" t="n"/>
      <c r="R469" s="38" t="n"/>
      <c r="S469" s="62" t="n"/>
      <c r="T469" s="38" t="n"/>
      <c r="U469" s="62" t="n"/>
      <c r="V469" s="38" t="n"/>
      <c r="W469" s="62" t="n"/>
      <c r="X469" s="38" t="n"/>
      <c r="Y469" s="62" t="n"/>
      <c r="Z469" s="38" t="n"/>
      <c r="AA469" s="62" t="n"/>
      <c r="AB469" s="38" t="n"/>
      <c r="AC469" s="62" t="n"/>
      <c r="AD469" s="38" t="n"/>
      <c r="AE469" s="38" t="n"/>
      <c r="AF469" s="61">
        <f>IF(COUNTIF($B$5:B469,B469)=1,1,0)</f>
        <v/>
      </c>
      <c r="AG469" s="62" t="inlineStr">
        <is>
          <t>https://www.semana.com/mundo/articulo/nueva-demanda-contra-aranceles-de-donald-trump-medidas-contra-colombia-podrian-caerse/202610/</t>
        </is>
      </c>
    </row>
    <row r="470" ht="15" customHeight="1" s="31">
      <c r="A470" s="38" t="inlineStr">
        <is>
          <t>ART_068</t>
        </is>
      </c>
      <c r="B470" s="38" t="inlineStr">
        <is>
          <t>ART_068_S03</t>
        </is>
      </c>
      <c r="C470" s="38" t="inlineStr">
        <is>
          <t>Semana</t>
        </is>
      </c>
      <c r="D470" s="38" t="inlineStr">
        <is>
          <t>Relación con Estados Unidos</t>
        </is>
      </c>
      <c r="E470" s="38" t="inlineStr">
        <is>
          <t>Noticia dura</t>
        </is>
      </c>
      <c r="F470" s="38" t="inlineStr">
        <is>
          <t>2026-08-03T22:17:10-05:00</t>
        </is>
      </c>
      <c r="G470" s="62" t="inlineStr">
        <is>
          <t>Entre dichos países, estaba incluido Colombia, donde se aplicó gravamen del 12,5%.</t>
        </is>
      </c>
      <c r="H470" s="62"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I470" s="62"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J470" s="38" t="n"/>
      <c r="K470" s="62" t="n"/>
      <c r="L470" s="38" t="n"/>
      <c r="M470" s="62" t="n"/>
      <c r="N470" s="38" t="n"/>
      <c r="O470" s="62" t="n"/>
      <c r="P470" s="38" t="n"/>
      <c r="Q470" s="62" t="n"/>
      <c r="R470" s="38" t="n"/>
      <c r="S470" s="62" t="n"/>
      <c r="T470" s="38" t="n"/>
      <c r="U470" s="62" t="n"/>
      <c r="V470" s="38" t="n"/>
      <c r="W470" s="62" t="n"/>
      <c r="X470" s="38" t="n"/>
      <c r="Y470" s="62" t="n"/>
      <c r="Z470" s="38" t="n"/>
      <c r="AA470" s="62" t="n"/>
      <c r="AB470" s="38" t="n"/>
      <c r="AC470" s="62" t="n"/>
      <c r="AD470" s="38" t="n"/>
      <c r="AE470" s="38" t="n"/>
      <c r="AF470" s="61">
        <f>IF(COUNTIF($B$5:B470,B470)=1,1,0)</f>
        <v/>
      </c>
      <c r="AG470" s="62" t="inlineStr">
        <is>
          <t>https://www.semana.com/mundo/articulo/nueva-demanda-contra-aranceles-de-donald-trump-medidas-contra-colombia-podrian-caerse/202610/</t>
        </is>
      </c>
    </row>
    <row r="471" ht="15" customHeight="1" s="31">
      <c r="A471" s="38" t="inlineStr">
        <is>
          <t>ART_068</t>
        </is>
      </c>
      <c r="B471" s="38" t="inlineStr">
        <is>
          <t>ART_068_S04</t>
        </is>
      </c>
      <c r="C471" s="38" t="inlineStr">
        <is>
          <t>Semana</t>
        </is>
      </c>
      <c r="D471" s="38" t="inlineStr">
        <is>
          <t>Relación con Estados Unidos</t>
        </is>
      </c>
      <c r="E471" s="38" t="inlineStr">
        <is>
          <t>Noticia dura</t>
        </is>
      </c>
      <c r="F471" s="38" t="inlineStr">
        <is>
          <t>2026-08-03T22:17:10-05:00</t>
        </is>
      </c>
      <c r="G471" s="62"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H471" s="62" t="inlineStr">
        <is>
          <t>Entre dichos países, estaba incluido Colombia, donde se aplicó gravamen del 12,5%.</t>
        </is>
      </c>
      <c r="I471" s="62" t="inlineStr">
        <is>
          <t>Los aranceles se impusieron tras investigaciones de la USTR sobre denuncias de “trabajo forzado”, realizadas en virtud de la Sección 301 de la Ley de Comercio de 1974.</t>
        </is>
      </c>
      <c r="J471" s="38" t="n"/>
      <c r="K471" s="62" t="n"/>
      <c r="L471" s="38" t="n"/>
      <c r="M471" s="62" t="n"/>
      <c r="N471" s="38" t="n"/>
      <c r="O471" s="62" t="n"/>
      <c r="P471" s="38" t="n"/>
      <c r="Q471" s="62" t="n"/>
      <c r="R471" s="38" t="n"/>
      <c r="S471" s="62" t="n"/>
      <c r="T471" s="38" t="n"/>
      <c r="U471" s="62" t="n"/>
      <c r="V471" s="38" t="n"/>
      <c r="W471" s="62" t="n"/>
      <c r="X471" s="38" t="n"/>
      <c r="Y471" s="62" t="n"/>
      <c r="Z471" s="38" t="n"/>
      <c r="AA471" s="62" t="n"/>
      <c r="AB471" s="38" t="n"/>
      <c r="AC471" s="62" t="n"/>
      <c r="AD471" s="38" t="n"/>
      <c r="AE471" s="38" t="n"/>
      <c r="AF471" s="61">
        <f>IF(COUNTIF($B$5:B471,B471)=1,1,0)</f>
        <v/>
      </c>
      <c r="AG471" s="62" t="inlineStr">
        <is>
          <t>https://www.semana.com/mundo/articulo/nueva-demanda-contra-aranceles-de-donald-trump-medidas-contra-colombia-podrian-caerse/202610/</t>
        </is>
      </c>
    </row>
    <row r="472" ht="15" customHeight="1" s="31">
      <c r="A472" s="38" t="inlineStr">
        <is>
          <t>ART_068</t>
        </is>
      </c>
      <c r="B472" s="38" t="inlineStr">
        <is>
          <t>ART_068_S05</t>
        </is>
      </c>
      <c r="C472" s="38" t="inlineStr">
        <is>
          <t>Semana</t>
        </is>
      </c>
      <c r="D472" s="38" t="inlineStr">
        <is>
          <t>Relación con Estados Unidos</t>
        </is>
      </c>
      <c r="E472" s="38" t="inlineStr">
        <is>
          <t>Noticia dura</t>
        </is>
      </c>
      <c r="F472" s="38" t="inlineStr">
        <is>
          <t>2026-08-03T22:17:10-05:00</t>
        </is>
      </c>
      <c r="G472" s="62" t="inlineStr">
        <is>
          <t>Los aranceles se impusieron tras investigaciones de la USTR sobre denuncias de “trabajo forzado”, realizadas en virtud de la Sección 301 de la Ley de Comercio de 1974.</t>
        </is>
      </c>
      <c r="H472" s="62"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I472" s="62"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J472" s="38" t="n"/>
      <c r="K472" s="62" t="n"/>
      <c r="L472" s="38" t="n"/>
      <c r="M472" s="62" t="n"/>
      <c r="N472" s="38" t="n"/>
      <c r="O472" s="62" t="n"/>
      <c r="P472" s="38" t="n"/>
      <c r="Q472" s="62" t="n"/>
      <c r="R472" s="38" t="n"/>
      <c r="S472" s="62" t="n"/>
      <c r="T472" s="38" t="n"/>
      <c r="U472" s="62" t="n"/>
      <c r="V472" s="38" t="n"/>
      <c r="W472" s="62" t="n"/>
      <c r="X472" s="38" t="n"/>
      <c r="Y472" s="62" t="n"/>
      <c r="Z472" s="38" t="n"/>
      <c r="AA472" s="62" t="n"/>
      <c r="AB472" s="38" t="n"/>
      <c r="AC472" s="62" t="n"/>
      <c r="AD472" s="38" t="n"/>
      <c r="AE472" s="38" t="n"/>
      <c r="AF472" s="61">
        <f>IF(COUNTIF($B$5:B472,B472)=1,1,0)</f>
        <v/>
      </c>
      <c r="AG472" s="62" t="inlineStr">
        <is>
          <t>https://www.semana.com/mundo/articulo/nueva-demanda-contra-aranceles-de-donald-trump-medidas-contra-colombia-podrian-caerse/202610/</t>
        </is>
      </c>
    </row>
    <row r="473" ht="15" customHeight="1" s="31">
      <c r="A473" s="38" t="inlineStr">
        <is>
          <t>ART_068</t>
        </is>
      </c>
      <c r="B473" s="38" t="inlineStr">
        <is>
          <t>ART_068_S06</t>
        </is>
      </c>
      <c r="C473" s="38" t="inlineStr">
        <is>
          <t>Semana</t>
        </is>
      </c>
      <c r="D473" s="38" t="inlineStr">
        <is>
          <t>Relación con Estados Unidos</t>
        </is>
      </c>
      <c r="E473" s="38" t="inlineStr">
        <is>
          <t>Noticia dura</t>
        </is>
      </c>
      <c r="F473" s="38" t="inlineStr">
        <is>
          <t>2026-08-03T22:17:10-05:00</t>
        </is>
      </c>
      <c r="G473" s="62"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H473" s="62" t="inlineStr">
        <is>
          <t>Los aranceles se impusieron tras investigaciones de la USTR sobre denuncias de “trabajo forzado”, realizadas en virtud de la Sección 301 de la Ley de Comercio de 1974.</t>
        </is>
      </c>
      <c r="I473" s="62" t="inlineStr">
        <is>
          <t>Washington considera que la mayoría de sus socios comerciales, como la Unión Europea, no se atiene a las mismas exigencias de lucha contra el trabajo forzado que mantiene Estados Unidos.</t>
        </is>
      </c>
      <c r="J473" s="38" t="n"/>
      <c r="K473" s="62" t="n"/>
      <c r="L473" s="38" t="n"/>
      <c r="M473" s="62" t="n"/>
      <c r="N473" s="38" t="n"/>
      <c r="O473" s="62" t="n"/>
      <c r="P473" s="38" t="n"/>
      <c r="Q473" s="62" t="n"/>
      <c r="R473" s="38" t="n"/>
      <c r="S473" s="62" t="n"/>
      <c r="T473" s="38" t="n"/>
      <c r="U473" s="62" t="n"/>
      <c r="V473" s="38" t="n"/>
      <c r="W473" s="62" t="n"/>
      <c r="X473" s="38" t="n"/>
      <c r="Y473" s="62" t="n"/>
      <c r="Z473" s="38" t="n"/>
      <c r="AA473" s="62" t="n"/>
      <c r="AB473" s="38" t="n"/>
      <c r="AC473" s="62" t="n"/>
      <c r="AD473" s="38" t="n"/>
      <c r="AE473" s="38" t="n"/>
      <c r="AF473" s="61">
        <f>IF(COUNTIF($B$5:B473,B473)=1,1,0)</f>
        <v/>
      </c>
      <c r="AG473" s="62" t="inlineStr">
        <is>
          <t>https://www.semana.com/mundo/articulo/nueva-demanda-contra-aranceles-de-donald-trump-medidas-contra-colombia-podrian-caerse/202610/</t>
        </is>
      </c>
    </row>
    <row r="474" ht="15" customHeight="1" s="31">
      <c r="A474" s="38" t="inlineStr">
        <is>
          <t>ART_068</t>
        </is>
      </c>
      <c r="B474" s="38" t="inlineStr">
        <is>
          <t>ART_068_S07</t>
        </is>
      </c>
      <c r="C474" s="38" t="inlineStr">
        <is>
          <t>Semana</t>
        </is>
      </c>
      <c r="D474" s="38" t="inlineStr">
        <is>
          <t>Relación con Estados Unidos</t>
        </is>
      </c>
      <c r="E474" s="38" t="inlineStr">
        <is>
          <t>Noticia dura</t>
        </is>
      </c>
      <c r="F474" s="38" t="inlineStr">
        <is>
          <t>2026-08-03T22:17:10-05:00</t>
        </is>
      </c>
      <c r="G474" s="62" t="inlineStr">
        <is>
          <t>Washington considera que la mayoría de sus socios comerciales, como la Unión Europea, no se atiene a las mismas exigencias de lucha contra el trabajo forzado que mantiene Estados Unidos.</t>
        </is>
      </c>
      <c r="H474" s="62"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I474" s="62" t="inlineStr">
        <is>
          <t>Desde que asumió el cargo por su segundo mandato, Trump ha trastocado el comercio mundial al imponer aranceles de amplio alcance tanto a aliados como a adversarios.</t>
        </is>
      </c>
      <c r="J474" s="38" t="n"/>
      <c r="K474" s="62" t="n"/>
      <c r="L474" s="38" t="n"/>
      <c r="M474" s="62" t="n"/>
      <c r="N474" s="38" t="n"/>
      <c r="O474" s="62" t="n"/>
      <c r="P474" s="38" t="n"/>
      <c r="Q474" s="62" t="n"/>
      <c r="R474" s="38" t="n"/>
      <c r="S474" s="62" t="n"/>
      <c r="T474" s="38" t="n"/>
      <c r="U474" s="62" t="n"/>
      <c r="V474" s="38" t="n"/>
      <c r="W474" s="62" t="n"/>
      <c r="X474" s="38" t="n"/>
      <c r="Y474" s="62" t="n"/>
      <c r="Z474" s="38" t="n"/>
      <c r="AA474" s="62" t="n"/>
      <c r="AB474" s="38" t="n"/>
      <c r="AC474" s="62" t="n"/>
      <c r="AD474" s="38" t="n"/>
      <c r="AE474" s="38" t="n"/>
      <c r="AF474" s="61">
        <f>IF(COUNTIF($B$5:B474,B474)=1,1,0)</f>
        <v/>
      </c>
      <c r="AG474" s="62" t="inlineStr">
        <is>
          <t>https://www.semana.com/mundo/articulo/nueva-demanda-contra-aranceles-de-donald-trump-medidas-contra-colombia-podrian-caerse/202610/</t>
        </is>
      </c>
    </row>
    <row r="475" ht="15" customHeight="1" s="31">
      <c r="A475" s="38" t="inlineStr">
        <is>
          <t>ART_068</t>
        </is>
      </c>
      <c r="B475" s="38" t="inlineStr">
        <is>
          <t>ART_068_S08</t>
        </is>
      </c>
      <c r="C475" s="38" t="inlineStr">
        <is>
          <t>Semana</t>
        </is>
      </c>
      <c r="D475" s="38" t="inlineStr">
        <is>
          <t>Relación con Estados Unidos</t>
        </is>
      </c>
      <c r="E475" s="38" t="inlineStr">
        <is>
          <t>Noticia dura</t>
        </is>
      </c>
      <c r="F475" s="38" t="inlineStr">
        <is>
          <t>2026-08-03T22:17:10-05:00</t>
        </is>
      </c>
      <c r="G475" s="62" t="inlineStr">
        <is>
          <t>Desde que asumió el cargo por su segundo mandato, Trump ha trastocado el comercio mundial al imponer aranceles de amplio alcance tanto a aliados como a adversarios.</t>
        </is>
      </c>
      <c r="H475" s="62" t="inlineStr">
        <is>
          <t>Washington considera que la mayoría de sus socios comerciales, como la Unión Europea, no se atiene a las mismas exigencias de lucha contra el trabajo forzado que mantiene Estados Unidos.</t>
        </is>
      </c>
      <c r="I475" s="62" t="inlineStr">
        <is>
          <t>El mandatario ha sostenido que los socios comerciales de Estados Unidos se han estado aprovechando de la mayor economía del mundo y ha buscado utilizar los aranceles como palanca para lograr nuevos acuerdos comerciales.</t>
        </is>
      </c>
      <c r="J475" s="38" t="n"/>
      <c r="K475" s="62" t="n"/>
      <c r="L475" s="38" t="n"/>
      <c r="M475" s="62" t="n"/>
      <c r="N475" s="38" t="n"/>
      <c r="O475" s="62" t="n"/>
      <c r="P475" s="38" t="n"/>
      <c r="Q475" s="62" t="n"/>
      <c r="R475" s="38" t="n"/>
      <c r="S475" s="62" t="n"/>
      <c r="T475" s="38" t="n"/>
      <c r="U475" s="62" t="n"/>
      <c r="V475" s="38" t="n"/>
      <c r="W475" s="62" t="n"/>
      <c r="X475" s="38" t="n"/>
      <c r="Y475" s="62" t="n"/>
      <c r="Z475" s="38" t="n"/>
      <c r="AA475" s="62" t="n"/>
      <c r="AB475" s="38" t="n"/>
      <c r="AC475" s="62" t="n"/>
      <c r="AD475" s="38" t="n"/>
      <c r="AE475" s="38" t="n"/>
      <c r="AF475" s="61">
        <f>IF(COUNTIF($B$5:B475,B475)=1,1,0)</f>
        <v/>
      </c>
      <c r="AG475" s="62" t="inlineStr">
        <is>
          <t>https://www.semana.com/mundo/articulo/nueva-demanda-contra-aranceles-de-donald-trump-medidas-contra-colombia-podrian-caerse/202610/</t>
        </is>
      </c>
    </row>
    <row r="476" ht="15" customHeight="1" s="31">
      <c r="A476" s="38" t="inlineStr">
        <is>
          <t>ART_068</t>
        </is>
      </c>
      <c r="B476" s="38" t="inlineStr">
        <is>
          <t>ART_068_S09</t>
        </is>
      </c>
      <c r="C476" s="38" t="inlineStr">
        <is>
          <t>Semana</t>
        </is>
      </c>
      <c r="D476" s="38" t="inlineStr">
        <is>
          <t>Relación con Estados Unidos</t>
        </is>
      </c>
      <c r="E476" s="38" t="inlineStr">
        <is>
          <t>Noticia dura</t>
        </is>
      </c>
      <c r="F476" s="38" t="inlineStr">
        <is>
          <t>2026-08-03T22:17:10-05:00</t>
        </is>
      </c>
      <c r="G476" s="62" t="inlineStr">
        <is>
          <t>El mandatario ha sostenido que los socios comerciales de Estados Unidos se han estado aprovechando de la mayor economía del mundo y ha buscado utilizar los aranceles como palanca para lograr nuevos acuerdos comerciales.</t>
        </is>
      </c>
      <c r="H476" s="62" t="inlineStr">
        <is>
          <t>Desde que asumió el cargo por su segundo mandato, Trump ha trastocado el comercio mundial al imponer aranceles de amplio alcance tanto a aliados como a adversarios.</t>
        </is>
      </c>
      <c r="I476" s="62" t="inlineStr">
        <is>
          <t>Su primera ronda de aranceles fue anulada por la Corte Suprema de Estados Unidos en febrero, por lo que Trump los reemplazó con un gravamen global del 10 %.</t>
        </is>
      </c>
      <c r="J476" s="38" t="n"/>
      <c r="K476" s="62" t="n"/>
      <c r="L476" s="38" t="n"/>
      <c r="M476" s="62" t="n"/>
      <c r="N476" s="38" t="n"/>
      <c r="O476" s="62" t="n"/>
      <c r="P476" s="38" t="n"/>
      <c r="Q476" s="62" t="n"/>
      <c r="R476" s="38" t="n"/>
      <c r="S476" s="62" t="n"/>
      <c r="T476" s="38" t="n"/>
      <c r="U476" s="62" t="n"/>
      <c r="V476" s="38" t="n"/>
      <c r="W476" s="62" t="n"/>
      <c r="X476" s="38" t="n"/>
      <c r="Y476" s="62" t="n"/>
      <c r="Z476" s="38" t="n"/>
      <c r="AA476" s="62" t="n"/>
      <c r="AB476" s="38" t="n"/>
      <c r="AC476" s="62" t="n"/>
      <c r="AD476" s="38" t="n"/>
      <c r="AE476" s="38" t="n"/>
      <c r="AF476" s="61">
        <f>IF(COUNTIF($B$5:B476,B476)=1,1,0)</f>
        <v/>
      </c>
      <c r="AG476" s="62" t="inlineStr">
        <is>
          <t>https://www.semana.com/mundo/articulo/nueva-demanda-contra-aranceles-de-donald-trump-medidas-contra-colombia-podrian-caerse/202610/</t>
        </is>
      </c>
    </row>
    <row r="477" ht="15" customHeight="1" s="31">
      <c r="A477" s="38" t="inlineStr">
        <is>
          <t>ART_068</t>
        </is>
      </c>
      <c r="B477" s="38" t="inlineStr">
        <is>
          <t>ART_068_S10</t>
        </is>
      </c>
      <c r="C477" s="38" t="inlineStr">
        <is>
          <t>Semana</t>
        </is>
      </c>
      <c r="D477" s="38" t="inlineStr">
        <is>
          <t>Relación con Estados Unidos</t>
        </is>
      </c>
      <c r="E477" s="38" t="inlineStr">
        <is>
          <t>Noticia dura</t>
        </is>
      </c>
      <c r="F477" s="38" t="inlineStr">
        <is>
          <t>2026-08-03T22:17:10-05:00</t>
        </is>
      </c>
      <c r="G477" s="62" t="inlineStr">
        <is>
          <t>Su primera ronda de aranceles fue anulada por la Corte Suprema de Estados Unidos en febrero, por lo que Trump los reemplazó con un gravamen global del 10 %.</t>
        </is>
      </c>
      <c r="H477" s="62" t="inlineStr">
        <is>
          <t>El mandatario ha sostenido que los socios comerciales de Estados Unidos se han estado aprovechando de la mayor economía del mundo y ha buscado utilizar los aranceles como palanca para lograr nuevos acuerdos comerciales.</t>
        </is>
      </c>
      <c r="I477" s="62" t="n"/>
      <c r="J477" s="38" t="n"/>
      <c r="K477" s="62" t="n"/>
      <c r="L477" s="38" t="n"/>
      <c r="M477" s="62" t="n"/>
      <c r="N477" s="38" t="n"/>
      <c r="O477" s="62" t="n"/>
      <c r="P477" s="38" t="n"/>
      <c r="Q477" s="62" t="n"/>
      <c r="R477" s="38" t="n"/>
      <c r="S477" s="62" t="n"/>
      <c r="T477" s="38" t="n"/>
      <c r="U477" s="62" t="n"/>
      <c r="V477" s="38" t="n"/>
      <c r="W477" s="62" t="n"/>
      <c r="X477" s="38" t="n"/>
      <c r="Y477" s="62" t="n"/>
      <c r="Z477" s="38" t="n"/>
      <c r="AA477" s="62" t="n"/>
      <c r="AB477" s="38" t="n"/>
      <c r="AC477" s="62" t="n"/>
      <c r="AD477" s="38" t="n"/>
      <c r="AE477" s="38" t="n"/>
      <c r="AF477" s="61">
        <f>IF(COUNTIF($B$5:B477,B477)=1,1,0)</f>
        <v/>
      </c>
      <c r="AG477" s="62" t="inlineStr">
        <is>
          <t>https://www.semana.com/mundo/articulo/nueva-demanda-contra-aranceles-de-donald-trump-medidas-contra-colombia-podrian-caerse/202610/</t>
        </is>
      </c>
    </row>
    <row r="478" ht="15" customHeight="1" s="31">
      <c r="A478" s="38" t="inlineStr">
        <is>
          <t>ART_069</t>
        </is>
      </c>
      <c r="B478" s="38" t="inlineStr">
        <is>
          <t>ART_069_S01</t>
        </is>
      </c>
      <c r="C478" s="38" t="inlineStr">
        <is>
          <t>Semana</t>
        </is>
      </c>
      <c r="D478" s="38" t="inlineStr">
        <is>
          <t>Transición de gobierno y relación con la oposición</t>
        </is>
      </c>
      <c r="E478" s="38" t="inlineStr">
        <is>
          <t>Opinión-análisis</t>
        </is>
      </c>
      <c r="F478" s="38" t="inlineStr">
        <is>
          <t>2026-07-09T06:58:47-05:00</t>
        </is>
      </c>
      <c r="G478" s="62" t="inlineStr">
        <is>
          <t>El candidato presidencial Iván Cepeda reconoció la victoria de Abelardo de la Espriella un día después de las elecciones presidenciales, manifestando textualmente: “Como candidato del Pacto Histórico y la Alianza por la Vida, y en este estadio del escrutinio, he decidido aceptar el resultado que surge de dicho proceso, que señala que Abelardo de la Espriella es el nuevo presidente de la República.</t>
        </is>
      </c>
      <c r="H478" s="62" t="n"/>
      <c r="I478" s="62" t="inlineStr">
        <is>
          <t>Lo hago como un acto de responsabilidad democrática, para contribuir a la convivencia, a la paz y al diálogo entre colombianos.</t>
        </is>
      </c>
      <c r="J478" s="38" t="n"/>
      <c r="K478" s="62" t="n"/>
      <c r="L478" s="38" t="n"/>
      <c r="M478" s="62" t="n"/>
      <c r="N478" s="38" t="n"/>
      <c r="O478" s="62" t="n"/>
      <c r="P478" s="38" t="n"/>
      <c r="Q478" s="62" t="n"/>
      <c r="R478" s="38" t="n"/>
      <c r="S478" s="62" t="n"/>
      <c r="T478" s="38" t="n"/>
      <c r="U478" s="62" t="n"/>
      <c r="V478" s="38" t="n"/>
      <c r="W478" s="62" t="n"/>
      <c r="X478" s="38" t="n"/>
      <c r="Y478" s="62" t="n"/>
      <c r="Z478" s="38" t="n"/>
      <c r="AA478" s="62" t="n"/>
      <c r="AB478" s="38" t="n"/>
      <c r="AC478" s="62" t="n"/>
      <c r="AD478" s="38" t="n"/>
      <c r="AE478" s="38" t="n"/>
      <c r="AF478" s="61">
        <f>IF(COUNTIF($B$5:B478,B478)=1,1,0)</f>
        <v/>
      </c>
      <c r="AG478" s="62" t="inlineStr">
        <is>
          <t>https://www.semana.com/opinion/articulo/ni-el-pacto-ni-petro-ni-cepeda-pueden-liderar-la-oposicion/202647/</t>
        </is>
      </c>
    </row>
    <row r="479" ht="15" customHeight="1" s="31">
      <c r="A479" s="38" t="inlineStr">
        <is>
          <t>ART_069</t>
        </is>
      </c>
      <c r="B479" s="38" t="inlineStr">
        <is>
          <t>ART_069_S02</t>
        </is>
      </c>
      <c r="C479" s="38" t="inlineStr">
        <is>
          <t>Semana</t>
        </is>
      </c>
      <c r="D479" s="38" t="inlineStr">
        <is>
          <t>Transición de gobierno y relación con la oposición</t>
        </is>
      </c>
      <c r="E479" s="38" t="inlineStr">
        <is>
          <t>Opinión-análisis</t>
        </is>
      </c>
      <c r="F479" s="38" t="inlineStr">
        <is>
          <t>2026-07-09T06:58:47-05:00</t>
        </is>
      </c>
      <c r="G479" s="62" t="inlineStr">
        <is>
          <t>Lo hago como un acto de responsabilidad democrática, para contribuir a la convivencia, a la paz y al diálogo entre colombianos.</t>
        </is>
      </c>
      <c r="H479" s="62" t="inlineStr">
        <is>
          <t>El candidato presidencial Iván Cepeda reconoció la victoria de Abelardo de la Espriella un día después de las elecciones presidenciales, manifestando textualmente: “Como candidato del Pacto Histórico y la Alianza por la Vida, y en este estadio del escrutinio, he decidido aceptar el resultado que surge de dicho proceso, que señala que Abelardo de la Espriella es el nuevo presidente de la República.</t>
        </is>
      </c>
      <c r="I479" s="62" t="inlineStr">
        <is>
          <t>Lo hago porque creemos profundamente en la democracia y estamos convencidos de que las diferencias políticas deben resolverse mediante la participación ciudadana”.</t>
        </is>
      </c>
      <c r="J479" s="38" t="n"/>
      <c r="K479" s="62" t="n"/>
      <c r="L479" s="38" t="n"/>
      <c r="M479" s="62" t="n"/>
      <c r="N479" s="38" t="n"/>
      <c r="O479" s="62" t="n"/>
      <c r="P479" s="38" t="n"/>
      <c r="Q479" s="62" t="n"/>
      <c r="R479" s="38" t="n"/>
      <c r="S479" s="62" t="n"/>
      <c r="T479" s="38" t="n"/>
      <c r="U479" s="62" t="n"/>
      <c r="V479" s="38" t="n"/>
      <c r="W479" s="62" t="n"/>
      <c r="X479" s="38" t="n"/>
      <c r="Y479" s="62" t="n"/>
      <c r="Z479" s="38" t="n"/>
      <c r="AA479" s="62" t="n"/>
      <c r="AB479" s="38" t="n"/>
      <c r="AC479" s="62" t="n"/>
      <c r="AD479" s="38" t="n"/>
      <c r="AE479" s="38" t="n"/>
      <c r="AF479" s="61">
        <f>IF(COUNTIF($B$5:B479,B479)=1,1,0)</f>
        <v/>
      </c>
      <c r="AG479" s="62" t="inlineStr">
        <is>
          <t>https://www.semana.com/opinion/articulo/ni-el-pacto-ni-petro-ni-cepeda-pueden-liderar-la-oposicion/202647/</t>
        </is>
      </c>
    </row>
    <row r="480" ht="15" customHeight="1" s="31">
      <c r="A480" s="38" t="inlineStr">
        <is>
          <t>ART_069</t>
        </is>
      </c>
      <c r="B480" s="38" t="inlineStr">
        <is>
          <t>ART_069_S03</t>
        </is>
      </c>
      <c r="C480" s="38" t="inlineStr">
        <is>
          <t>Semana</t>
        </is>
      </c>
      <c r="D480" s="38" t="inlineStr">
        <is>
          <t>Transición de gobierno y relación con la oposición</t>
        </is>
      </c>
      <c r="E480" s="38" t="inlineStr">
        <is>
          <t>Opinión-análisis</t>
        </is>
      </c>
      <c r="F480" s="38" t="inlineStr">
        <is>
          <t>2026-07-09T06:58:47-05:00</t>
        </is>
      </c>
      <c r="G480" s="62" t="inlineStr">
        <is>
          <t>Lo hago porque creemos profundamente en la democracia y estamos convencidos de que las diferencias políticas deben resolverse mediante la participación ciudadana”.</t>
        </is>
      </c>
      <c r="H480" s="62" t="inlineStr">
        <is>
          <t>Lo hago como un acto de responsabilidad democrática, para contribuir a la convivencia, a la paz y al diálogo entre colombianos.</t>
        </is>
      </c>
      <c r="I480" s="62" t="inlineStr">
        <is>
          <t>Esta jornada resultó histórica por su nivel de participación, dejando al presidente electo de la Espriella con el 49.66% de los sufragios, equivalentes a casi 13 millones de votos, frente al 48.70% obtenido por Cepeda, luego de que el Consejo Nacional Electoral ratificara el triunfo al desestimar por falta de justificación las impugnaciones masivas presentadas por la campaña perdedora.</t>
        </is>
      </c>
      <c r="J480" s="38" t="n"/>
      <c r="K480" s="62" t="n"/>
      <c r="L480" s="38" t="n"/>
      <c r="M480" s="62" t="n"/>
      <c r="N480" s="38" t="n"/>
      <c r="O480" s="62" t="n"/>
      <c r="P480" s="38" t="n"/>
      <c r="Q480" s="62" t="n"/>
      <c r="R480" s="38" t="n"/>
      <c r="S480" s="62" t="n"/>
      <c r="T480" s="38" t="n"/>
      <c r="U480" s="62" t="n"/>
      <c r="V480" s="38" t="n"/>
      <c r="W480" s="62" t="n"/>
      <c r="X480" s="38" t="n"/>
      <c r="Y480" s="62" t="n"/>
      <c r="Z480" s="38" t="n"/>
      <c r="AA480" s="62" t="n"/>
      <c r="AB480" s="38" t="n"/>
      <c r="AC480" s="62" t="n"/>
      <c r="AD480" s="38" t="n"/>
      <c r="AE480" s="38" t="n"/>
      <c r="AF480" s="61">
        <f>IF(COUNTIF($B$5:B480,B480)=1,1,0)</f>
        <v/>
      </c>
      <c r="AG480" s="62" t="inlineStr">
        <is>
          <t>https://www.semana.com/opinion/articulo/ni-el-pacto-ni-petro-ni-cepeda-pueden-liderar-la-oposicion/202647/</t>
        </is>
      </c>
    </row>
    <row r="481" ht="15" customHeight="1" s="31">
      <c r="A481" s="38" t="inlineStr">
        <is>
          <t>ART_069</t>
        </is>
      </c>
      <c r="B481" s="38" t="inlineStr">
        <is>
          <t>ART_069_S04</t>
        </is>
      </c>
      <c r="C481" s="38" t="inlineStr">
        <is>
          <t>Semana</t>
        </is>
      </c>
      <c r="D481" s="38" t="inlineStr">
        <is>
          <t>Transición de gobierno y relación con la oposición</t>
        </is>
      </c>
      <c r="E481" s="38" t="inlineStr">
        <is>
          <t>Opinión-análisis</t>
        </is>
      </c>
      <c r="F481" s="38" t="inlineStr">
        <is>
          <t>2026-07-09T06:58:47-05:00</t>
        </is>
      </c>
      <c r="G481" s="62" t="inlineStr">
        <is>
          <t>Esta jornada resultó histórica por su nivel de participación, dejando al presidente electo de la Espriella con el 49.66% de los sufragios, equivalentes a casi 13 millones de votos, frente al 48.70% obtenido por Cepeda, luego de que el Consejo Nacional Electoral ratificara el triunfo al desestimar por falta de justificación las impugnaciones masivas presentadas por la campaña perdedora.</t>
        </is>
      </c>
      <c r="H481" s="62" t="inlineStr">
        <is>
          <t>Lo hago porque creemos profundamente en la democracia y estamos convencidos de que las diferencias políticas deben resolverse mediante la participación ciudadana”.</t>
        </is>
      </c>
      <c r="I481" s="62" t="inlineStr">
        <is>
          <t>Aunque inicialmente el país recibió con satisfacción la postura madura de Cepeda, su discurso y coherencia cambiaron radicalmente días después, tras reunirse con el mandatario saliente y próximo jefe de la oposición, Gustavo Petro.</t>
        </is>
      </c>
      <c r="J481" s="38" t="n"/>
      <c r="K481" s="62" t="n"/>
      <c r="L481" s="38" t="n"/>
      <c r="M481" s="62" t="n"/>
      <c r="N481" s="38" t="n"/>
      <c r="O481" s="62" t="n"/>
      <c r="P481" s="38" t="n"/>
      <c r="Q481" s="62" t="n"/>
      <c r="R481" s="38" t="n"/>
      <c r="S481" s="62" t="n"/>
      <c r="T481" s="38" t="n"/>
      <c r="U481" s="62" t="n"/>
      <c r="V481" s="38" t="n"/>
      <c r="W481" s="62" t="n"/>
      <c r="X481" s="38" t="n"/>
      <c r="Y481" s="62" t="n"/>
      <c r="Z481" s="38" t="n"/>
      <c r="AA481" s="62" t="n"/>
      <c r="AB481" s="38" t="n"/>
      <c r="AC481" s="62" t="n"/>
      <c r="AD481" s="38" t="n"/>
      <c r="AE481" s="38" t="n"/>
      <c r="AF481" s="61">
        <f>IF(COUNTIF($B$5:B481,B481)=1,1,0)</f>
        <v/>
      </c>
      <c r="AG481" s="62" t="inlineStr">
        <is>
          <t>https://www.semana.com/opinion/articulo/ni-el-pacto-ni-petro-ni-cepeda-pueden-liderar-la-oposicion/202647/</t>
        </is>
      </c>
    </row>
    <row r="482" ht="15" customHeight="1" s="31">
      <c r="A482" s="38" t="inlineStr">
        <is>
          <t>ART_069</t>
        </is>
      </c>
      <c r="B482" s="38" t="inlineStr">
        <is>
          <t>ART_069_S05</t>
        </is>
      </c>
      <c r="C482" s="38" t="inlineStr">
        <is>
          <t>Semana</t>
        </is>
      </c>
      <c r="D482" s="38" t="inlineStr">
        <is>
          <t>Transición de gobierno y relación con la oposición</t>
        </is>
      </c>
      <c r="E482" s="38" t="inlineStr">
        <is>
          <t>Opinión-análisis</t>
        </is>
      </c>
      <c r="F482" s="38" t="inlineStr">
        <is>
          <t>2026-07-09T06:58:47-05:00</t>
        </is>
      </c>
      <c r="G482" s="62" t="inlineStr">
        <is>
          <t>Aunque inicialmente el país recibió con satisfacción la postura madura de Cepeda, su discurso y coherencia cambiaron radicalmente días después, tras reunirse con el mandatario saliente y próximo jefe de la oposición, Gustavo Petro.</t>
        </is>
      </c>
      <c r="H482" s="62" t="inlineStr">
        <is>
          <t>Esta jornada resultó histórica por su nivel de participación, dejando al presidente electo de la Espriella con el 49.66% de los sufragios, equivalentes a casi 13 millones de votos, frente al 48.70% obtenido por Cepeda, luego de que el Consejo Nacional Electoral ratificara el triunfo al desestimar por falta de justificación las impugnaciones masivas presentadas por la campaña perdedora.</t>
        </is>
      </c>
      <c r="I482" s="62" t="inlineStr">
        <is>
          <t>Siguiendo las directrices del actual presidente, Cepeda adoptó un tono de alta confrontación y anunció un bloque opositor conjunto enfocado en promover la desobediencia civil mediante cuestionamientos de poca solidez jurídica, como la doble nacionalidad del mandatario electo, omitiendo que el propio Petro ha gobernado bajo esa misma condición.</t>
        </is>
      </c>
      <c r="J482" s="38" t="n"/>
      <c r="K482" s="62" t="n"/>
      <c r="L482" s="38" t="n"/>
      <c r="M482" s="62" t="n"/>
      <c r="N482" s="38" t="n"/>
      <c r="O482" s="62" t="n"/>
      <c r="P482" s="38" t="n"/>
      <c r="Q482" s="62" t="n"/>
      <c r="R482" s="38" t="n"/>
      <c r="S482" s="62" t="n"/>
      <c r="T482" s="38" t="n"/>
      <c r="U482" s="62" t="n"/>
      <c r="V482" s="38" t="n"/>
      <c r="W482" s="62" t="n"/>
      <c r="X482" s="38" t="n"/>
      <c r="Y482" s="62" t="n"/>
      <c r="Z482" s="38" t="n"/>
      <c r="AA482" s="62" t="n"/>
      <c r="AB482" s="38" t="n"/>
      <c r="AC482" s="62" t="n"/>
      <c r="AD482" s="38" t="n"/>
      <c r="AE482" s="38" t="n"/>
      <c r="AF482" s="61">
        <f>IF(COUNTIF($B$5:B482,B482)=1,1,0)</f>
        <v/>
      </c>
      <c r="AG482" s="62" t="inlineStr">
        <is>
          <t>https://www.semana.com/opinion/articulo/ni-el-pacto-ni-petro-ni-cepeda-pueden-liderar-la-oposicion/202647/</t>
        </is>
      </c>
    </row>
    <row r="483" ht="15" customHeight="1" s="31">
      <c r="A483" s="38" t="inlineStr">
        <is>
          <t>ART_069</t>
        </is>
      </c>
      <c r="B483" s="38" t="inlineStr">
        <is>
          <t>ART_069_S06</t>
        </is>
      </c>
      <c r="C483" s="38" t="inlineStr">
        <is>
          <t>Semana</t>
        </is>
      </c>
      <c r="D483" s="38" t="inlineStr">
        <is>
          <t>Transición de gobierno y relación con la oposición</t>
        </is>
      </c>
      <c r="E483" s="38" t="inlineStr">
        <is>
          <t>Opinión-análisis</t>
        </is>
      </c>
      <c r="F483" s="38" t="inlineStr">
        <is>
          <t>2026-07-09T06:58:47-05:00</t>
        </is>
      </c>
      <c r="G483" s="62" t="inlineStr">
        <is>
          <t>Siguiendo las directrices del actual presidente, Cepeda adoptó un tono de alta confrontación y anunció un bloque opositor conjunto enfocado en promover la desobediencia civil mediante cuestionamientos de poca solidez jurídica, como la doble nacionalidad del mandatario electo, omitiendo que el propio Petro ha gobernado bajo esa misma condición.</t>
        </is>
      </c>
      <c r="H483" s="62" t="inlineStr">
        <is>
          <t>Aunque inicialmente el país recibió con satisfacción la postura madura de Cepeda, su discurso y coherencia cambiaron radicalmente días después, tras reunirse con el mandatario saliente y próximo jefe de la oposición, Gustavo Petro.</t>
        </is>
      </c>
      <c r="I483" s="62" t="inlineStr">
        <is>
          <t>Esta nueva estrategia de resistencia total refleja la línea tradicional del petrismo, la cual suele aceptar formalmente las reglas del juego democrático mientras opera de manera soterrada para condicionarlas y mantener la polarización que caracterizó a su administración durante los últimos cuatro años.</t>
        </is>
      </c>
      <c r="J483" s="38" t="n"/>
      <c r="K483" s="62" t="n"/>
      <c r="L483" s="38" t="n"/>
      <c r="M483" s="62" t="n"/>
      <c r="N483" s="38" t="n"/>
      <c r="O483" s="62" t="n"/>
      <c r="P483" s="38" t="n"/>
      <c r="Q483" s="62" t="n"/>
      <c r="R483" s="38" t="n"/>
      <c r="S483" s="62" t="n"/>
      <c r="T483" s="38" t="n"/>
      <c r="U483" s="62" t="n"/>
      <c r="V483" s="38" t="n"/>
      <c r="W483" s="62" t="n"/>
      <c r="X483" s="38" t="n"/>
      <c r="Y483" s="62" t="n"/>
      <c r="Z483" s="38" t="n"/>
      <c r="AA483" s="62" t="n"/>
      <c r="AB483" s="38" t="n"/>
      <c r="AC483" s="62" t="n"/>
      <c r="AD483" s="38" t="n"/>
      <c r="AE483" s="38" t="n"/>
      <c r="AF483" s="61">
        <f>IF(COUNTIF($B$5:B483,B483)=1,1,0)</f>
        <v/>
      </c>
      <c r="AG483" s="62" t="inlineStr">
        <is>
          <t>https://www.semana.com/opinion/articulo/ni-el-pacto-ni-petro-ni-cepeda-pueden-liderar-la-oposicion/202647/</t>
        </is>
      </c>
    </row>
    <row r="484" ht="15" customHeight="1" s="31">
      <c r="A484" s="38" t="inlineStr">
        <is>
          <t>ART_069</t>
        </is>
      </c>
      <c r="B484" s="38" t="inlineStr">
        <is>
          <t>ART_069_S07</t>
        </is>
      </c>
      <c r="C484" s="38" t="inlineStr">
        <is>
          <t>Semana</t>
        </is>
      </c>
      <c r="D484" s="38" t="inlineStr">
        <is>
          <t>Transición de gobierno y relación con la oposición</t>
        </is>
      </c>
      <c r="E484" s="38" t="inlineStr">
        <is>
          <t>Opinión-análisis</t>
        </is>
      </c>
      <c r="F484" s="38" t="inlineStr">
        <is>
          <t>2026-07-09T06:58:47-05:00</t>
        </is>
      </c>
      <c r="G484" s="62" t="inlineStr">
        <is>
          <t>Esta nueva estrategia de resistencia total refleja la línea tradicional del petrismo, la cual suele aceptar formalmente las reglas del juego democrático mientras opera de manera soterrada para condicionarlas y mantener la polarización que caracterizó a su administración durante los últimos cuatro años.</t>
        </is>
      </c>
      <c r="H484" s="62" t="inlineStr">
        <is>
          <t>Siguiendo las directrices del actual presidente, Cepeda adoptó un tono de alta confrontación y anunció un bloque opositor conjunto enfocado en promover la desobediencia civil mediante cuestionamientos de poca solidez jurídica, como la doble nacionalidad del mandatario electo, omitiendo que el propio Petro ha gobernado bajo esa misma condición.</t>
        </is>
      </c>
      <c r="I484" s="62" t="inlineStr">
        <is>
          <t>Más allá de esta retórica, el verdadero debate radica en el inicio de un nuevo gobierno que promete mano dura, la recuperación institucional y el cierre de una gestión fallida cuya política de “Paz Total” es señalada como una alianza con organizaciones criminales para debilitar la democracia.</t>
        </is>
      </c>
      <c r="J484" s="38" t="n"/>
      <c r="K484" s="62" t="n"/>
      <c r="L484" s="38" t="n"/>
      <c r="M484" s="62" t="n"/>
      <c r="N484" s="38" t="n"/>
      <c r="O484" s="62" t="n"/>
      <c r="P484" s="38" t="n"/>
      <c r="Q484" s="62" t="n"/>
      <c r="R484" s="38" t="n"/>
      <c r="S484" s="62" t="n"/>
      <c r="T484" s="38" t="n"/>
      <c r="U484" s="62" t="n"/>
      <c r="V484" s="38" t="n"/>
      <c r="W484" s="62" t="n"/>
      <c r="X484" s="38" t="n"/>
      <c r="Y484" s="62" t="n"/>
      <c r="Z484" s="38" t="n"/>
      <c r="AA484" s="62" t="n"/>
      <c r="AB484" s="38" t="n"/>
      <c r="AC484" s="62" t="n"/>
      <c r="AD484" s="38" t="n"/>
      <c r="AE484" s="38" t="n"/>
      <c r="AF484" s="61">
        <f>IF(COUNTIF($B$5:B484,B484)=1,1,0)</f>
        <v/>
      </c>
      <c r="AG484" s="62" t="inlineStr">
        <is>
          <t>https://www.semana.com/opinion/articulo/ni-el-pacto-ni-petro-ni-cepeda-pueden-liderar-la-oposicion/202647/</t>
        </is>
      </c>
    </row>
    <row r="485" ht="15" customHeight="1" s="31">
      <c r="A485" s="38" t="inlineStr">
        <is>
          <t>ART_069</t>
        </is>
      </c>
      <c r="B485" s="38" t="inlineStr">
        <is>
          <t>ART_069_S08</t>
        </is>
      </c>
      <c r="C485" s="38" t="inlineStr">
        <is>
          <t>Semana</t>
        </is>
      </c>
      <c r="D485" s="38" t="inlineStr">
        <is>
          <t>Transición de gobierno y relación con la oposición</t>
        </is>
      </c>
      <c r="E485" s="38" t="inlineStr">
        <is>
          <t>Opinión-análisis</t>
        </is>
      </c>
      <c r="F485" s="38" t="inlineStr">
        <is>
          <t>2026-07-09T06:58:47-05:00</t>
        </is>
      </c>
      <c r="G485" s="62" t="inlineStr">
        <is>
          <t>Más allá de esta retórica, el verdadero debate radica en el inicio de un nuevo gobierno que promete mano dura, la recuperación institucional y el cierre de una gestión fallida cuya política de “Paz Total” es señalada como una alianza con organizaciones criminales para debilitar la democracia.</t>
        </is>
      </c>
      <c r="H485" s="62" t="inlineStr">
        <is>
          <t>Esta nueva estrategia de resistencia total refleja la línea tradicional del petrismo, la cual suele aceptar formalmente las reglas del juego democrático mientras opera de manera soterrada para condicionarlas y mantener la polarización que caracterizó a su administración durante los últimos cuatro años.</t>
        </is>
      </c>
      <c r="I485" s="62" t="inlineStr">
        <is>
          <t>En este panorama, surge el interrogante de si un candidato derrotado y su colectividad pueden liderar legítimamente la oposición cuando pesan sobre ellos graves sospechas que aún deben esclarecerse.</t>
        </is>
      </c>
      <c r="J485" s="38" t="n"/>
      <c r="K485" s="62" t="n"/>
      <c r="L485" s="38" t="n"/>
      <c r="M485" s="62" t="n"/>
      <c r="N485" s="38" t="n"/>
      <c r="O485" s="62" t="n"/>
      <c r="P485" s="38" t="n"/>
      <c r="Q485" s="62" t="n"/>
      <c r="R485" s="38" t="n"/>
      <c r="S485" s="62" t="n"/>
      <c r="T485" s="38" t="n"/>
      <c r="U485" s="62" t="n"/>
      <c r="V485" s="38" t="n"/>
      <c r="W485" s="62" t="n"/>
      <c r="X485" s="38" t="n"/>
      <c r="Y485" s="62" t="n"/>
      <c r="Z485" s="38" t="n"/>
      <c r="AA485" s="62" t="n"/>
      <c r="AB485" s="38" t="n"/>
      <c r="AC485" s="62" t="n"/>
      <c r="AD485" s="38" t="n"/>
      <c r="AE485" s="38" t="n"/>
      <c r="AF485" s="61">
        <f>IF(COUNTIF($B$5:B485,B485)=1,1,0)</f>
        <v/>
      </c>
      <c r="AG485" s="62" t="inlineStr">
        <is>
          <t>https://www.semana.com/opinion/articulo/ni-el-pacto-ni-petro-ni-cepeda-pueden-liderar-la-oposicion/202647/</t>
        </is>
      </c>
    </row>
    <row r="486" ht="15" customHeight="1" s="31">
      <c r="A486" s="38" t="inlineStr">
        <is>
          <t>ART_069</t>
        </is>
      </c>
      <c r="B486" s="38" t="inlineStr">
        <is>
          <t>ART_069_S09</t>
        </is>
      </c>
      <c r="C486" s="38" t="inlineStr">
        <is>
          <t>Semana</t>
        </is>
      </c>
      <c r="D486" s="38" t="inlineStr">
        <is>
          <t>Transición de gobierno y relación con la oposición</t>
        </is>
      </c>
      <c r="E486" s="38" t="inlineStr">
        <is>
          <t>Opinión-análisis</t>
        </is>
      </c>
      <c r="F486" s="38" t="inlineStr">
        <is>
          <t>2026-07-09T06:58:47-05:00</t>
        </is>
      </c>
      <c r="G486" s="62" t="inlineStr">
        <is>
          <t>En este panorama, surge el interrogante de si un candidato derrotado y su colectividad pueden liderar legítimamente la oposición cuando pesan sobre ellos graves sospechas que aún deben esclarecerse.</t>
        </is>
      </c>
      <c r="H486" s="62" t="inlineStr">
        <is>
          <t>Más allá de esta retórica, el verdadero debate radica en el inicio de un nuevo gobierno que promete mano dura, la recuperación institucional y el cierre de una gestión fallida cuya política de “Paz Total” es señalada como una alianza con organizaciones criminales para debilitar la democracia.</t>
        </is>
      </c>
      <c r="I486" s="62" t="inlineStr">
        <is>
          <t>Desde una perspectiva de decencia democrática, la respuesta es un no rotundo, ya que no existirá la autoridad moral necesaria para fiscalizar al nuevo gobierno hasta que investigaciones independientes determinen la influencia real del clientelismo y de los sectores vinculados al “Pacto de la Picota” en sus resultados electorales, pues actuar de otra forma equivaldría a “poner al zorro a cuidar el gallinero”.</t>
        </is>
      </c>
      <c r="J486" s="38" t="n"/>
      <c r="K486" s="62" t="n"/>
      <c r="L486" s="38" t="n"/>
      <c r="M486" s="62" t="n"/>
      <c r="N486" s="38" t="n"/>
      <c r="O486" s="62" t="n"/>
      <c r="P486" s="38" t="n"/>
      <c r="Q486" s="62" t="n"/>
      <c r="R486" s="38" t="n"/>
      <c r="S486" s="62" t="n"/>
      <c r="T486" s="38" t="n"/>
      <c r="U486" s="62" t="n"/>
      <c r="V486" s="38" t="n"/>
      <c r="W486" s="62" t="n"/>
      <c r="X486" s="38" t="n"/>
      <c r="Y486" s="62" t="n"/>
      <c r="Z486" s="38" t="n"/>
      <c r="AA486" s="62" t="n"/>
      <c r="AB486" s="38" t="n"/>
      <c r="AC486" s="62" t="n"/>
      <c r="AD486" s="38" t="n"/>
      <c r="AE486" s="38" t="n"/>
      <c r="AF486" s="61">
        <f>IF(COUNTIF($B$5:B486,B486)=1,1,0)</f>
        <v/>
      </c>
      <c r="AG486" s="62" t="inlineStr">
        <is>
          <t>https://www.semana.com/opinion/articulo/ni-el-pacto-ni-petro-ni-cepeda-pueden-liderar-la-oposicion/202647/</t>
        </is>
      </c>
    </row>
    <row r="487" ht="15" customHeight="1" s="31">
      <c r="A487" s="38" t="inlineStr">
        <is>
          <t>ART_069</t>
        </is>
      </c>
      <c r="B487" s="38" t="inlineStr">
        <is>
          <t>ART_069_S10</t>
        </is>
      </c>
      <c r="C487" s="38" t="inlineStr">
        <is>
          <t>Semana</t>
        </is>
      </c>
      <c r="D487" s="38" t="inlineStr">
        <is>
          <t>Transición de gobierno y relación con la oposición</t>
        </is>
      </c>
      <c r="E487" s="38" t="inlineStr">
        <is>
          <t>Opinión-análisis</t>
        </is>
      </c>
      <c r="F487" s="38" t="inlineStr">
        <is>
          <t>2026-07-09T06:58:47-05:00</t>
        </is>
      </c>
      <c r="G487" s="62" t="inlineStr">
        <is>
          <t>Desde una perspectiva de decencia democrática, la respuesta es un no rotundo, ya que no existirá la autoridad moral necesaria para fiscalizar al nuevo gobierno hasta que investigaciones independientes determinen la influencia real del clientelismo y de los sectores vinculados al “Pacto de la Picota” en sus resultados electorales, pues actuar de otra forma equivaldría a “poner al zorro a cuidar el gallinero”.</t>
        </is>
      </c>
      <c r="H487" s="62" t="inlineStr">
        <is>
          <t>En este panorama, surge el interrogante de si un candidato derrotado y su colectividad pueden liderar legítimamente la oposición cuando pesan sobre ellos graves sospechas que aún deben esclarecerse.</t>
        </is>
      </c>
      <c r="I487" s="62" t="n"/>
      <c r="J487" s="38" t="n"/>
      <c r="K487" s="62" t="n"/>
      <c r="L487" s="38" t="n"/>
      <c r="M487" s="62" t="n"/>
      <c r="N487" s="38" t="n"/>
      <c r="O487" s="62" t="n"/>
      <c r="P487" s="38" t="n"/>
      <c r="Q487" s="62" t="n"/>
      <c r="R487" s="38" t="n"/>
      <c r="S487" s="62" t="n"/>
      <c r="T487" s="38" t="n"/>
      <c r="U487" s="62" t="n"/>
      <c r="V487" s="38" t="n"/>
      <c r="W487" s="62" t="n"/>
      <c r="X487" s="38" t="n"/>
      <c r="Y487" s="62" t="n"/>
      <c r="Z487" s="38" t="n"/>
      <c r="AA487" s="62" t="n"/>
      <c r="AB487" s="38" t="n"/>
      <c r="AC487" s="62" t="n"/>
      <c r="AD487" s="38" t="n"/>
      <c r="AE487" s="38" t="n"/>
      <c r="AF487" s="61">
        <f>IF(COUNTIF($B$5:B487,B487)=1,1,0)</f>
        <v/>
      </c>
      <c r="AG487" s="62" t="inlineStr">
        <is>
          <t>https://www.semana.com/opinion/articulo/ni-el-pacto-ni-petro-ni-cepeda-pueden-liderar-la-oposicion/202647/</t>
        </is>
      </c>
    </row>
    <row r="488" ht="15" customHeight="1" s="31">
      <c r="A488" s="38" t="inlineStr">
        <is>
          <t>ART_070</t>
        </is>
      </c>
      <c r="B488" s="38" t="inlineStr">
        <is>
          <t>ART_070_S01</t>
        </is>
      </c>
      <c r="C488" s="38" t="inlineStr">
        <is>
          <t>Infobae Colombia</t>
        </is>
      </c>
      <c r="D488" s="38" t="inlineStr">
        <is>
          <t>Relación con Estados Unidos</t>
        </is>
      </c>
      <c r="E488" s="38" t="inlineStr">
        <is>
          <t>Noticia dura</t>
        </is>
      </c>
      <c r="F488" s="38" t="inlineStr">
        <is>
          <t>2026-09-04T14:03:58Z</t>
        </is>
      </c>
      <c r="G488" s="62" t="inlineStr">
        <is>
          <t>El secretario de Estado de Estados Unidos, Marco Rubio, realizará una visita oficial a Colombia entre el 8 y el 10 de septiembre.</t>
        </is>
      </c>
      <c r="H488" s="62" t="inlineStr"/>
      <c r="I488" s="62" t="inlineStr">
        <is>
          <t>La agenda incluirá una reunión con el presidente Abelardo de la Espriella y conversaciones sobre el respaldo estadounidense a la respuesta ante el terremoto del 10 de agosto, la lucha contra el narcoterrorismo y la relación comercial bilateral.</t>
        </is>
      </c>
      <c r="J488" s="38" t="n"/>
      <c r="K488" s="62" t="n"/>
      <c r="L488" s="38" t="n"/>
      <c r="M488" s="62" t="n"/>
      <c r="N488" s="38" t="n"/>
      <c r="O488" s="62" t="n"/>
      <c r="P488" s="38" t="n"/>
      <c r="Q488" s="62" t="n"/>
      <c r="R488" s="38" t="n"/>
      <c r="S488" s="62" t="n"/>
      <c r="T488" s="38" t="n"/>
      <c r="U488" s="62" t="n"/>
      <c r="V488" s="38" t="n"/>
      <c r="W488" s="62" t="n"/>
      <c r="X488" s="38" t="n"/>
      <c r="Y488" s="62" t="n"/>
      <c r="Z488" s="38" t="n"/>
      <c r="AA488" s="62" t="n"/>
      <c r="AB488" s="38" t="n"/>
      <c r="AC488" s="62" t="n"/>
      <c r="AD488" s="38" t="n"/>
      <c r="AE488" s="38" t="n"/>
      <c r="AF488" s="61">
        <f>IF(COUNTIF($B$5:B488,B488)=1,1,0)</f>
        <v/>
      </c>
      <c r="AG488" s="62" t="inlineStr">
        <is>
          <t>https://www.infobae.com/colombia/2026/09/04/marco-rubio-confirmo-visita-a-colombia-entre-el-8-y-el-10-de-septiembre-se-reunira-con-abelardo-de-la-espriella-para-hablar-de-aranceles-y-cooperacion-antidrogas/</t>
        </is>
      </c>
    </row>
    <row r="489" ht="15" customHeight="1" s="31">
      <c r="A489" s="38" t="inlineStr">
        <is>
          <t>ART_070</t>
        </is>
      </c>
      <c r="B489" s="38" t="inlineStr">
        <is>
          <t>ART_070_S02</t>
        </is>
      </c>
      <c r="C489" s="38" t="inlineStr">
        <is>
          <t>Infobae Colombia</t>
        </is>
      </c>
      <c r="D489" s="38" t="inlineStr">
        <is>
          <t>Relación con Estados Unidos</t>
        </is>
      </c>
      <c r="E489" s="38" t="inlineStr">
        <is>
          <t>Noticia dura</t>
        </is>
      </c>
      <c r="F489" s="38" t="inlineStr">
        <is>
          <t>2026-09-04T14:03:58Z</t>
        </is>
      </c>
      <c r="G489" s="62" t="inlineStr">
        <is>
          <t>La agenda incluirá una reunión con el presidente Abelardo de la Espriella y conversaciones sobre el respaldo estadounidense a la respuesta ante el terremoto del 10 de agosto, la lucha contra el narcoterrorismo y la relación comercial bilateral.</t>
        </is>
      </c>
      <c r="H489" s="62" t="inlineStr">
        <is>
          <t>El secretario de Estado de Estados Unidos, Marco Rubio, realizará una visita oficial a Colombia entre el 8 y el 10 de septiembre.</t>
        </is>
      </c>
      <c r="I489" s="62" t="inlineStr">
        <is>
          <t>“El secretario de Estado Marco Rubio viajará a Colombia, Ecuador y Perú del 8 al 10 de septiembre para fortalecer las asociaciones clave de Estados Unidos en nuestra región”, se lee en el comunicado expedido por el Departamento de Estado de los Estados Unidos.</t>
        </is>
      </c>
      <c r="J489" s="38" t="n"/>
      <c r="K489" s="62" t="n"/>
      <c r="L489" s="38" t="n"/>
      <c r="M489" s="62" t="n"/>
      <c r="N489" s="38" t="n"/>
      <c r="O489" s="62" t="n"/>
      <c r="P489" s="38" t="n"/>
      <c r="Q489" s="62" t="n"/>
      <c r="R489" s="38" t="n"/>
      <c r="S489" s="62" t="n"/>
      <c r="T489" s="38" t="n"/>
      <c r="U489" s="62" t="n"/>
      <c r="V489" s="38" t="n"/>
      <c r="W489" s="62" t="n"/>
      <c r="X489" s="38" t="n"/>
      <c r="Y489" s="62" t="n"/>
      <c r="Z489" s="38" t="n"/>
      <c r="AA489" s="62" t="n"/>
      <c r="AB489" s="38" t="n"/>
      <c r="AC489" s="62" t="n"/>
      <c r="AD489" s="38" t="n"/>
      <c r="AE489" s="38" t="n"/>
      <c r="AF489" s="61">
        <f>IF(COUNTIF($B$5:B489,B489)=1,1,0)</f>
        <v/>
      </c>
      <c r="AG489" s="62" t="inlineStr">
        <is>
          <t>https://www.infobae.com/colombia/2026/09/04/marco-rubio-confirmo-visita-a-colombia-entre-el-8-y-el-10-de-septiembre-se-reunira-con-abelardo-de-la-espriella-para-hablar-de-aranceles-y-cooperacion-antidrogas/</t>
        </is>
      </c>
    </row>
    <row r="490" ht="15" customHeight="1" s="31">
      <c r="A490" s="38" t="inlineStr">
        <is>
          <t>ART_070</t>
        </is>
      </c>
      <c r="B490" s="38" t="inlineStr">
        <is>
          <t>ART_070_S03</t>
        </is>
      </c>
      <c r="C490" s="38" t="inlineStr">
        <is>
          <t>Infobae Colombia</t>
        </is>
      </c>
      <c r="D490" s="38" t="inlineStr">
        <is>
          <t>Relación con Estados Unidos</t>
        </is>
      </c>
      <c r="E490" s="38" t="inlineStr">
        <is>
          <t>Noticia dura</t>
        </is>
      </c>
      <c r="F490" s="38" t="inlineStr">
        <is>
          <t>2026-09-04T14:03:58Z</t>
        </is>
      </c>
      <c r="G490" s="62" t="inlineStr">
        <is>
          <t>“El secretario de Estado Marco Rubio viajará a Colombia, Ecuador y Perú del 8 al 10 de septiembre para fortalecer las asociaciones clave de Estados Unidos en nuestra región”, se lee en el comunicado expedido por el Departamento de Estado de los Estados Unidos.</t>
        </is>
      </c>
      <c r="H490" s="62" t="inlineStr">
        <is>
          <t>La agenda incluirá una reunión con el presidente Abelardo de la Espriella y conversaciones sobre el respaldo estadounidense a la respuesta ante el terremoto del 10 de agosto, la lucha contra el narcoterrorismo y la relación comercial bilateral.</t>
        </is>
      </c>
      <c r="I490" s="62" t="inlineStr">
        <is>
          <t>En el caso colombiano, la visita llegará después de los contactos entre De la Espriella y la administración de Donald Trump por los aranceles que afectan a productos del país.</t>
        </is>
      </c>
      <c r="J490" s="38" t="n"/>
      <c r="K490" s="62" t="n"/>
      <c r="L490" s="38" t="n"/>
      <c r="M490" s="62" t="n"/>
      <c r="N490" s="38" t="n"/>
      <c r="O490" s="62" t="n"/>
      <c r="P490" s="38" t="n"/>
      <c r="Q490" s="62" t="n"/>
      <c r="R490" s="38" t="n"/>
      <c r="S490" s="62" t="n"/>
      <c r="T490" s="38" t="n"/>
      <c r="U490" s="62" t="n"/>
      <c r="V490" s="38" t="n"/>
      <c r="W490" s="62" t="n"/>
      <c r="X490" s="38" t="n"/>
      <c r="Y490" s="62" t="n"/>
      <c r="Z490" s="38" t="n"/>
      <c r="AA490" s="62" t="n"/>
      <c r="AB490" s="38" t="n"/>
      <c r="AC490" s="62" t="n"/>
      <c r="AD490" s="38" t="n"/>
      <c r="AE490" s="38" t="n"/>
      <c r="AF490" s="61">
        <f>IF(COUNTIF($B$5:B490,B490)=1,1,0)</f>
        <v/>
      </c>
      <c r="AG490" s="62" t="inlineStr">
        <is>
          <t>https://www.infobae.com/colombia/2026/09/04/marco-rubio-confirmo-visita-a-colombia-entre-el-8-y-el-10-de-septiembre-se-reunira-con-abelardo-de-la-espriella-para-hablar-de-aranceles-y-cooperacion-antidrogas/</t>
        </is>
      </c>
    </row>
    <row r="491" ht="15" customHeight="1" s="31">
      <c r="A491" s="38" t="inlineStr">
        <is>
          <t>ART_070</t>
        </is>
      </c>
      <c r="B491" s="38" t="inlineStr">
        <is>
          <t>ART_070_S04</t>
        </is>
      </c>
      <c r="C491" s="38" t="inlineStr">
        <is>
          <t>Infobae Colombia</t>
        </is>
      </c>
      <c r="D491" s="38" t="inlineStr">
        <is>
          <t>Relación con Estados Unidos</t>
        </is>
      </c>
      <c r="E491" s="38" t="inlineStr">
        <is>
          <t>Noticia dura</t>
        </is>
      </c>
      <c r="F491" s="38" t="inlineStr">
        <is>
          <t>2026-09-04T14:03:58Z</t>
        </is>
      </c>
      <c r="G491" s="62" t="inlineStr">
        <is>
          <t>En el caso colombiano, la visita llegará después de los contactos entre De la Espriella y la administración de Donald Trump por los aranceles que afectan a productos del país.</t>
        </is>
      </c>
      <c r="H491" s="62" t="inlineStr">
        <is>
          <t>“El secretario de Estado Marco Rubio viajará a Colombia, Ecuador y Perú del 8 al 10 de septiembre para fortalecer las asociaciones clave de Estados Unidos en nuestra región”, se lee en el comunicado expedido por el Departamento de Estado de los Estados Unidos.</t>
        </is>
      </c>
      <c r="I491" s="62" t="inlineStr">
        <is>
          <t>“El secretario de Estado Marco Rubio viajará a Colombia, Ecuador y Perú del 8 al 10 de septiembre para fortalecer las asociaciones clave de Estados Unidos en nuestra región”, señaló el comunicado oficial.</t>
        </is>
      </c>
      <c r="J491" s="38" t="n"/>
      <c r="K491" s="62" t="n"/>
      <c r="L491" s="38" t="n"/>
      <c r="M491" s="62" t="n"/>
      <c r="N491" s="38" t="n"/>
      <c r="O491" s="62" t="n"/>
      <c r="P491" s="38" t="n"/>
      <c r="Q491" s="62" t="n"/>
      <c r="R491" s="38" t="n"/>
      <c r="S491" s="62" t="n"/>
      <c r="T491" s="38" t="n"/>
      <c r="U491" s="62" t="n"/>
      <c r="V491" s="38" t="n"/>
      <c r="W491" s="62" t="n"/>
      <c r="X491" s="38" t="n"/>
      <c r="Y491" s="62" t="n"/>
      <c r="Z491" s="38" t="n"/>
      <c r="AA491" s="62" t="n"/>
      <c r="AB491" s="38" t="n"/>
      <c r="AC491" s="62" t="n"/>
      <c r="AD491" s="38" t="n"/>
      <c r="AE491" s="38" t="n"/>
      <c r="AF491" s="61">
        <f>IF(COUNTIF($B$5:B491,B491)=1,1,0)</f>
        <v/>
      </c>
      <c r="AG491" s="62" t="inlineStr">
        <is>
          <t>https://www.infobae.com/colombia/2026/09/04/marco-rubio-confirmo-visita-a-colombia-entre-el-8-y-el-10-de-septiembre-se-reunira-con-abelardo-de-la-espriella-para-hablar-de-aranceles-y-cooperacion-antidrogas/</t>
        </is>
      </c>
    </row>
    <row r="492" ht="15" customHeight="1" s="31">
      <c r="A492" s="38" t="inlineStr">
        <is>
          <t>ART_070</t>
        </is>
      </c>
      <c r="B492" s="38" t="inlineStr">
        <is>
          <t>ART_070_S05</t>
        </is>
      </c>
      <c r="C492" s="38" t="inlineStr">
        <is>
          <t>Infobae Colombia</t>
        </is>
      </c>
      <c r="D492" s="38" t="inlineStr">
        <is>
          <t>Relación con Estados Unidos</t>
        </is>
      </c>
      <c r="E492" s="38" t="inlineStr">
        <is>
          <t>Noticia dura</t>
        </is>
      </c>
      <c r="F492" s="38" t="inlineStr">
        <is>
          <t>2026-09-04T14:03:58Z</t>
        </is>
      </c>
      <c r="G492" s="62" t="inlineStr">
        <is>
          <t>“El secretario de Estado Marco Rubio viajará a Colombia, Ecuador y Perú del 8 al 10 de septiembre para fortalecer las asociaciones clave de Estados Unidos en nuestra región”, señaló el comunicado oficial.</t>
        </is>
      </c>
      <c r="H492" s="62" t="inlineStr">
        <is>
          <t>En el caso colombiano, la visita llegará después de los contactos entre De la Espriella y la administración de Donald Trump por los aranceles que afectan a productos del país.</t>
        </is>
      </c>
      <c r="I492" s="62" t="inlineStr">
        <is>
          <t>“Durante el viaje, se reunirá con el nuevo Gobierno de De La Espriella en Colombia, con el presidente Noboa en Ecuador y con el nuevo Gobierno de Fujimori en Perú para dialogar sobre el apoyo de Estados Unidos a la respuesta de Colombia ante el terremoto; el refuerzo de la cooperación en la lucha conjunta contra el narcoterrorismo que amenaza a nuestro hemisferio; y las ventajas de unas relaciones comerciales más estrechas entre nuestros países”, se añade en el documento.</t>
        </is>
      </c>
      <c r="J492" s="38" t="n"/>
      <c r="K492" s="62" t="n"/>
      <c r="L492" s="38" t="n"/>
      <c r="M492" s="62" t="n"/>
      <c r="N492" s="38" t="n"/>
      <c r="O492" s="62" t="n"/>
      <c r="P492" s="38" t="n"/>
      <c r="Q492" s="62" t="n"/>
      <c r="R492" s="38" t="n"/>
      <c r="S492" s="62" t="n"/>
      <c r="T492" s="38" t="n"/>
      <c r="U492" s="62" t="n"/>
      <c r="V492" s="38" t="n"/>
      <c r="W492" s="62" t="n"/>
      <c r="X492" s="38" t="n"/>
      <c r="Y492" s="62" t="n"/>
      <c r="Z492" s="38" t="n"/>
      <c r="AA492" s="62" t="n"/>
      <c r="AB492" s="38" t="n"/>
      <c r="AC492" s="62" t="n"/>
      <c r="AD492" s="38" t="n"/>
      <c r="AE492" s="38" t="n"/>
      <c r="AF492" s="61">
        <f>IF(COUNTIF($B$5:B492,B492)=1,1,0)</f>
        <v/>
      </c>
      <c r="AG492" s="62" t="inlineStr">
        <is>
          <t>https://www.infobae.com/colombia/2026/09/04/marco-rubio-confirmo-visita-a-colombia-entre-el-8-y-el-10-de-septiembre-se-reunira-con-abelardo-de-la-espriella-para-hablar-de-aranceles-y-cooperacion-antidrogas/</t>
        </is>
      </c>
    </row>
    <row r="493" ht="15" customHeight="1" s="31">
      <c r="A493" s="38" t="inlineStr">
        <is>
          <t>ART_070</t>
        </is>
      </c>
      <c r="B493" s="38" t="inlineStr">
        <is>
          <t>ART_070_S06</t>
        </is>
      </c>
      <c r="C493" s="38" t="inlineStr">
        <is>
          <t>Infobae Colombia</t>
        </is>
      </c>
      <c r="D493" s="38" t="inlineStr">
        <is>
          <t>Relación con Estados Unidos</t>
        </is>
      </c>
      <c r="E493" s="38" t="inlineStr">
        <is>
          <t>Noticia dura</t>
        </is>
      </c>
      <c r="F493" s="38" t="inlineStr">
        <is>
          <t>2026-09-04T14:03:58Z</t>
        </is>
      </c>
      <c r="G493" s="62" t="inlineStr">
        <is>
          <t>“Durante el viaje, se reunirá con el nuevo Gobierno de De La Espriella en Colombia, con el presidente Noboa en Ecuador y con el nuevo Gobierno de Fujimori en Perú para dialogar sobre el apoyo de Estados Unidos a la respuesta de Colombia ante el terremoto; el refuerzo de la cooperación en la lucha conjunta contra el narcoterrorismo que amenaza a nuestro hemisferio; y las ventajas de unas relaciones comerciales más estrechas entre nuestros países”, se añade en el documento.</t>
        </is>
      </c>
      <c r="H493" s="62" t="inlineStr">
        <is>
          <t>“El secretario de Estado Marco Rubio viajará a Colombia, Ecuador y Perú del 8 al 10 de septiembre para fortalecer las asociaciones clave de Estados Unidos en nuestra región”, señaló el comunicado oficial.</t>
        </is>
      </c>
      <c r="I493" s="62" t="inlineStr"/>
      <c r="J493" s="38" t="n"/>
      <c r="K493" s="62" t="n"/>
      <c r="L493" s="38" t="n"/>
      <c r="M493" s="62" t="n"/>
      <c r="N493" s="38" t="n"/>
      <c r="O493" s="62" t="n"/>
      <c r="P493" s="38" t="n"/>
      <c r="Q493" s="62" t="n"/>
      <c r="R493" s="38" t="n"/>
      <c r="S493" s="62" t="n"/>
      <c r="T493" s="38" t="n"/>
      <c r="U493" s="62" t="n"/>
      <c r="V493" s="38" t="n"/>
      <c r="W493" s="62" t="n"/>
      <c r="X493" s="38" t="n"/>
      <c r="Y493" s="62" t="n"/>
      <c r="Z493" s="38" t="n"/>
      <c r="AA493" s="62" t="n"/>
      <c r="AB493" s="38" t="n"/>
      <c r="AC493" s="62" t="n"/>
      <c r="AD493" s="38" t="n"/>
      <c r="AE493" s="38" t="n"/>
      <c r="AF493" s="61">
        <f>IF(COUNTIF($B$5:B493,B493)=1,1,0)</f>
        <v/>
      </c>
      <c r="AG493" s="62" t="inlineStr">
        <is>
          <t>https://www.infobae.com/colombia/2026/09/04/marco-rubio-confirmo-visita-a-colombia-entre-el-8-y-el-10-de-septiembre-se-reunira-con-abelardo-de-la-espriella-para-hablar-de-aranceles-y-cooperacion-antidrogas/</t>
        </is>
      </c>
    </row>
    <row r="494" ht="15" customHeight="1" s="31">
      <c r="A494" s="38" t="inlineStr">
        <is>
          <t>ART_071</t>
        </is>
      </c>
      <c r="B494" s="38" t="inlineStr">
        <is>
          <t>ART_071_S01</t>
        </is>
      </c>
      <c r="C494" s="38" t="inlineStr">
        <is>
          <t>El Espectador</t>
        </is>
      </c>
      <c r="D494" s="38" t="inlineStr">
        <is>
          <t>Transición de gobierno y relación con la oposición</t>
        </is>
      </c>
      <c r="E494" s="38" t="inlineStr">
        <is>
          <t>Opinión-análisis</t>
        </is>
      </c>
      <c r="F494" s="38" t="inlineStr">
        <is>
          <t>2026-07-15T00:05:00-05:00</t>
        </is>
      </c>
      <c r="G494" s="62" t="inlineStr">
        <is>
          <t>En el país de los nuevos “refundadores de la patria”, todos los caminos conducen a Barranquilla.</t>
        </is>
      </c>
      <c r="H494" s="62" t="inlineStr"/>
      <c r="I494" s="62" t="inlineStr">
        <is>
          <t>Pero ya no con la concepción del Pacto de Ralito del año 2001 –que fue firmado entre los más sanguinarios capos paramilitares y un centenar de caciques políticos de la costa Caribe con el fin de apropiarse del Estado de Colombia–, sino mediante el camino legal de las elecciones presidenciales de este 2026 ¡Quién lo creyera!</t>
        </is>
      </c>
      <c r="J494" s="38" t="n"/>
      <c r="K494" s="62" t="n"/>
      <c r="L494" s="38" t="n"/>
      <c r="M494" s="62" t="n"/>
      <c r="N494" s="38" t="n"/>
      <c r="O494" s="62" t="n"/>
      <c r="P494" s="38" t="n"/>
      <c r="Q494" s="62" t="n"/>
      <c r="R494" s="38" t="n"/>
      <c r="S494" s="62" t="n"/>
      <c r="T494" s="38" t="n"/>
      <c r="U494" s="62" t="n"/>
      <c r="V494" s="38" t="n"/>
      <c r="W494" s="62" t="n"/>
      <c r="X494" s="38" t="n"/>
      <c r="Y494" s="62" t="n"/>
      <c r="Z494" s="38" t="n"/>
      <c r="AA494" s="62" t="n"/>
      <c r="AB494" s="38" t="n"/>
      <c r="AC494" s="62" t="n"/>
      <c r="AD494" s="38" t="n"/>
      <c r="AE494" s="38" t="n"/>
      <c r="AF494" s="61">
        <f>IF(COUNTIF($B$5:B494,B494)=1,1,0)</f>
        <v/>
      </c>
      <c r="AG494" s="62" t="inlineStr">
        <is>
          <t>https://www.elespectador.com/opinion/columnistas/cecilia-orozco-tascon/el-pacto-de-los-poderosos-de-barranquilla-con-de-la-espriella/</t>
        </is>
      </c>
    </row>
    <row r="495" ht="15" customHeight="1" s="31">
      <c r="A495" s="38" t="inlineStr">
        <is>
          <t>ART_071</t>
        </is>
      </c>
      <c r="B495" s="38" t="inlineStr">
        <is>
          <t>ART_071_S02</t>
        </is>
      </c>
      <c r="C495" s="38" t="inlineStr">
        <is>
          <t>El Espectador</t>
        </is>
      </c>
      <c r="D495" s="38" t="inlineStr">
        <is>
          <t>Transición de gobierno y relación con la oposición</t>
        </is>
      </c>
      <c r="E495" s="38" t="inlineStr">
        <is>
          <t>Opinión-análisis</t>
        </is>
      </c>
      <c r="F495" s="38" t="inlineStr">
        <is>
          <t>2026-07-15T00:05:00-05:00</t>
        </is>
      </c>
      <c r="G495" s="62" t="inlineStr">
        <is>
          <t>Pero ya no con la concepción del Pacto de Ralito del año 2001 –que fue firmado entre los más sanguinarios capos paramilitares y un centenar de caciques políticos de la costa Caribe con el fin de apropiarse del Estado de Colombia–, sino mediante el camino legal de las elecciones presidenciales de este 2026 ¡Quién lo creyera!</t>
        </is>
      </c>
      <c r="H495" s="62" t="inlineStr">
        <is>
          <t>En el país de los nuevos “refundadores de la patria”, todos los caminos conducen a Barranquilla.</t>
        </is>
      </c>
      <c r="I495" s="62" t="inlineStr">
        <is>
          <t>Hasta el propio Mancuso, el macrocriminal líder del acuerdo secreto de hace 25 años, quien, ahora desmovilizado, ha dicho que conoce al presidente entrante desde niño y sostiene que su amistad perdura, debe estar sorprendido con la similitud de propósitos del país que, en su momento, soñaron él y Carlos Castaño, y el de ultraderecha que proyecta ejecutar la administración electa.</t>
        </is>
      </c>
      <c r="J495" s="38" t="n"/>
      <c r="K495" s="62" t="n"/>
      <c r="L495" s="38" t="n"/>
      <c r="M495" s="62" t="n"/>
      <c r="N495" s="38" t="n"/>
      <c r="O495" s="62" t="n"/>
      <c r="P495" s="38" t="n"/>
      <c r="Q495" s="62" t="n"/>
      <c r="R495" s="38" t="n"/>
      <c r="S495" s="62" t="n"/>
      <c r="T495" s="38" t="n"/>
      <c r="U495" s="62" t="n"/>
      <c r="V495" s="38" t="n"/>
      <c r="W495" s="62" t="n"/>
      <c r="X495" s="38" t="n"/>
      <c r="Y495" s="62" t="n"/>
      <c r="Z495" s="38" t="n"/>
      <c r="AA495" s="62" t="n"/>
      <c r="AB495" s="38" t="n"/>
      <c r="AC495" s="62" t="n"/>
      <c r="AD495" s="38" t="n"/>
      <c r="AE495" s="38" t="n"/>
      <c r="AF495" s="61">
        <f>IF(COUNTIF($B$5:B495,B495)=1,1,0)</f>
        <v/>
      </c>
      <c r="AG495" s="62" t="inlineStr">
        <is>
          <t>https://www.elespectador.com/opinion/columnistas/cecilia-orozco-tascon/el-pacto-de-los-poderosos-de-barranquilla-con-de-la-espriella/</t>
        </is>
      </c>
    </row>
    <row r="496" ht="15" customHeight="1" s="31">
      <c r="A496" s="38" t="inlineStr">
        <is>
          <t>ART_071</t>
        </is>
      </c>
      <c r="B496" s="38" t="inlineStr">
        <is>
          <t>ART_071_S03</t>
        </is>
      </c>
      <c r="C496" s="38" t="inlineStr">
        <is>
          <t>El Espectador</t>
        </is>
      </c>
      <c r="D496" s="38" t="inlineStr">
        <is>
          <t>Transición de gobierno y relación con la oposición</t>
        </is>
      </c>
      <c r="E496" s="38" t="inlineStr">
        <is>
          <t>Opinión-análisis</t>
        </is>
      </c>
      <c r="F496" s="38" t="inlineStr">
        <is>
          <t>2026-07-15T00:05:00-05:00</t>
        </is>
      </c>
      <c r="G496" s="62" t="inlineStr">
        <is>
          <t>Hasta el propio Mancuso, el macrocriminal líder del acuerdo secreto de hace 25 años, quien, ahora desmovilizado, ha dicho que conoce al presidente entrante desde niño y sostiene que su amistad perdura, debe estar sorprendido con la similitud de propósitos del país que, en su momento, soñaron él y Carlos Castaño, y el de ultraderecha que proyecta ejecutar la administración electa.</t>
        </is>
      </c>
      <c r="H496" s="62" t="inlineStr">
        <is>
          <t>Pero ya no con la concepción del Pacto de Ralito del año 2001 –que fue firmado entre los más sanguinarios capos paramilitares y un centenar de caciques políticos de la costa Caribe con el fin de apropiarse del Estado de Colombia–, sino mediante el camino legal de las elecciones presidenciales de este 2026 ¡Quién lo creyera!</t>
        </is>
      </c>
      <c r="I496" s="62" t="inlineStr">
        <is>
          <t>Barranquilla, la tierra dominada por los Char, los Gerlein, los Cepeda (de Efraín), etc., pero, principalmente, por la familia Char que compartirá ahora su “trono” con el mandatario que asumirá el próximo 7 de agosto, también será sede del Gobierno Nacional, según ha anunciado el entorno de De la Espriella quien, sin ser oriundo de la capital del Atlántico, sí es su hijo adoptivo: no hay otro lugar en esta nación, en que se sienta más a gusto, más arropado por sus aliados y, por tanto, más tranquilo (ver).</t>
        </is>
      </c>
      <c r="J496" s="38" t="n"/>
      <c r="K496" s="62" t="n"/>
      <c r="L496" s="38" t="n"/>
      <c r="M496" s="62" t="n"/>
      <c r="N496" s="38" t="n"/>
      <c r="O496" s="62" t="n"/>
      <c r="P496" s="38" t="n"/>
      <c r="Q496" s="62" t="n"/>
      <c r="R496" s="38" t="n"/>
      <c r="S496" s="62" t="n"/>
      <c r="T496" s="38" t="n"/>
      <c r="U496" s="62" t="n"/>
      <c r="V496" s="38" t="n"/>
      <c r="W496" s="62" t="n"/>
      <c r="X496" s="38" t="n"/>
      <c r="Y496" s="62" t="n"/>
      <c r="Z496" s="38" t="n"/>
      <c r="AA496" s="62" t="n"/>
      <c r="AB496" s="38" t="n"/>
      <c r="AC496" s="62" t="n"/>
      <c r="AD496" s="38" t="n"/>
      <c r="AE496" s="38" t="n"/>
      <c r="AF496" s="61">
        <f>IF(COUNTIF($B$5:B496,B496)=1,1,0)</f>
        <v/>
      </c>
      <c r="AG496" s="62" t="inlineStr">
        <is>
          <t>https://www.elespectador.com/opinion/columnistas/cecilia-orozco-tascon/el-pacto-de-los-poderosos-de-barranquilla-con-de-la-espriella/</t>
        </is>
      </c>
    </row>
    <row r="497" ht="15" customHeight="1" s="31">
      <c r="A497" s="38" t="inlineStr">
        <is>
          <t>ART_071</t>
        </is>
      </c>
      <c r="B497" s="38" t="inlineStr">
        <is>
          <t>ART_071_S04</t>
        </is>
      </c>
      <c r="C497" s="38" t="inlineStr">
        <is>
          <t>El Espectador</t>
        </is>
      </c>
      <c r="D497" s="38" t="inlineStr">
        <is>
          <t>Transición de gobierno y relación con la oposición</t>
        </is>
      </c>
      <c r="E497" s="38" t="inlineStr">
        <is>
          <t>Opinión-análisis</t>
        </is>
      </c>
      <c r="F497" s="38" t="inlineStr">
        <is>
          <t>2026-07-15T00:05:00-05:00</t>
        </is>
      </c>
      <c r="G497" s="62" t="inlineStr">
        <is>
          <t>Barranquilla, la tierra dominada por los Char, los Gerlein, los Cepeda (de Efraín), etc., pero, principalmente, por la familia Char que compartirá ahora su “trono” con el mandatario que asumirá el próximo 7 de agosto, también será sede del Gobierno Nacional, según ha anunciado el entorno de De la Espriella quien, sin ser oriundo de la capital del Atlántico, sí es su hijo adoptivo: no hay otro lugar en esta nación, en que se sienta más a gusto, más arropado por sus aliados y, por tanto, más tranquilo (ver).</t>
        </is>
      </c>
      <c r="H497" s="62" t="inlineStr">
        <is>
          <t>Hasta el propio Mancuso, el macrocriminal líder del acuerdo secreto de hace 25 años, quien, ahora desmovilizado, ha dicho que conoce al presidente entrante desde niño y sostiene que su amistad perdura, debe estar sorprendido con la similitud de propósitos del país que, en su momento, soñaron él y Carlos Castaño, y el de ultraderecha que proyecta ejecutar la administración electa.</t>
        </is>
      </c>
      <c r="I497" s="62" t="inlineStr">
        <is>
          <t>Barranquilla es, además de su residencia cuando se encontraba de visita temporal en este país, la ciudad en donde el electo gobernante instaló una de sus oficinas particulares, y desde la cual podrá seguir concretando sus negocios privados, lejos de la vigilancia de los periodistas inquisitivos que, aún, trabajan en Bogotá.</t>
        </is>
      </c>
      <c r="J497" s="38" t="n"/>
      <c r="K497" s="62" t="n"/>
      <c r="L497" s="38" t="n"/>
      <c r="M497" s="62" t="n"/>
      <c r="N497" s="38" t="n"/>
      <c r="O497" s="62" t="n"/>
      <c r="P497" s="38" t="n"/>
      <c r="Q497" s="62" t="n"/>
      <c r="R497" s="38" t="n"/>
      <c r="S497" s="62" t="n"/>
      <c r="T497" s="38" t="n"/>
      <c r="U497" s="62" t="n"/>
      <c r="V497" s="38" t="n"/>
      <c r="W497" s="62" t="n"/>
      <c r="X497" s="38" t="n"/>
      <c r="Y497" s="62" t="n"/>
      <c r="Z497" s="38" t="n"/>
      <c r="AA497" s="62" t="n"/>
      <c r="AB497" s="38" t="n"/>
      <c r="AC497" s="62" t="n"/>
      <c r="AD497" s="38" t="n"/>
      <c r="AE497" s="38" t="n"/>
      <c r="AF497" s="61">
        <f>IF(COUNTIF($B$5:B497,B497)=1,1,0)</f>
        <v/>
      </c>
      <c r="AG497" s="62" t="inlineStr">
        <is>
          <t>https://www.elespectador.com/opinion/columnistas/cecilia-orozco-tascon/el-pacto-de-los-poderosos-de-barranquilla-con-de-la-espriella/</t>
        </is>
      </c>
    </row>
    <row r="498" ht="15" customHeight="1" s="31">
      <c r="A498" s="38" t="inlineStr">
        <is>
          <t>ART_071</t>
        </is>
      </c>
      <c r="B498" s="38" t="inlineStr">
        <is>
          <t>ART_071_S05</t>
        </is>
      </c>
      <c r="C498" s="38" t="inlineStr">
        <is>
          <t>El Espectador</t>
        </is>
      </c>
      <c r="D498" s="38" t="inlineStr">
        <is>
          <t>Transición de gobierno y relación con la oposición</t>
        </is>
      </c>
      <c r="E498" s="38" t="inlineStr">
        <is>
          <t>Opinión-análisis</t>
        </is>
      </c>
      <c r="F498" s="38" t="inlineStr">
        <is>
          <t>2026-07-15T00:05:00-05:00</t>
        </is>
      </c>
      <c r="G498" s="62" t="inlineStr">
        <is>
          <t>Barranquilla es, además de su residencia cuando se encontraba de visita temporal en este país, la ciudad en donde el electo gobernante instaló una de sus oficinas particulares, y desde la cual podrá seguir concretando sus negocios privados, lejos de la vigilancia de los periodistas inquisitivos que, aún, trabajan en Bogotá.</t>
        </is>
      </c>
      <c r="H498" s="62" t="inlineStr">
        <is>
          <t>Barranquilla, la tierra dominada por los Char, los Gerlein, los Cepeda (de Efraín), etc., pero, principalmente, por la familia Char que compartirá ahora su “trono” con el mandatario que asumirá el próximo 7 de agosto, también será sede del Gobierno Nacional, según ha anunciado el entorno de De la Espriella quien, sin ser oriundo de la capital del Atlántico, sí es su hijo adoptivo: no hay otro lugar en esta nación, en que se sienta más a gusto, más arropado por sus aliados y, por tanto, más tranquilo (ver).</t>
        </is>
      </c>
      <c r="I498" s="62" t="inlineStr">
        <is>
          <t>Salvo contadísimas excepciones, y como se conoce hace tiempo, el principal periódico regional y los otros medios barranquilleros tradicionales funcionan bajo el dominio y permiso económico de la clase política local, léase (otra vez) los Char.</t>
        </is>
      </c>
      <c r="J498" s="38" t="n"/>
      <c r="K498" s="62" t="n"/>
      <c r="L498" s="38" t="n"/>
      <c r="M498" s="62" t="n"/>
      <c r="N498" s="38" t="n"/>
      <c r="O498" s="62" t="n"/>
      <c r="P498" s="38" t="n"/>
      <c r="Q498" s="62" t="n"/>
      <c r="R498" s="38" t="n"/>
      <c r="S498" s="62" t="n"/>
      <c r="T498" s="38" t="n"/>
      <c r="U498" s="62" t="n"/>
      <c r="V498" s="38" t="n"/>
      <c r="W498" s="62" t="n"/>
      <c r="X498" s="38" t="n"/>
      <c r="Y498" s="62" t="n"/>
      <c r="Z498" s="38" t="n"/>
      <c r="AA498" s="62" t="n"/>
      <c r="AB498" s="38" t="n"/>
      <c r="AC498" s="62" t="n"/>
      <c r="AD498" s="38" t="n"/>
      <c r="AE498" s="38" t="n"/>
      <c r="AF498" s="61">
        <f>IF(COUNTIF($B$5:B498,B498)=1,1,0)</f>
        <v/>
      </c>
      <c r="AG498" s="62" t="inlineStr">
        <is>
          <t>https://www.elespectador.com/opinion/columnistas/cecilia-orozco-tascon/el-pacto-de-los-poderosos-de-barranquilla-con-de-la-espriella/</t>
        </is>
      </c>
    </row>
    <row r="499" ht="15" customHeight="1" s="31">
      <c r="A499" s="38" t="inlineStr">
        <is>
          <t>ART_071</t>
        </is>
      </c>
      <c r="B499" s="38" t="inlineStr">
        <is>
          <t>ART_071_S06</t>
        </is>
      </c>
      <c r="C499" s="38" t="inlineStr">
        <is>
          <t>El Espectador</t>
        </is>
      </c>
      <c r="D499" s="38" t="inlineStr">
        <is>
          <t>Transición de gobierno y relación con la oposición</t>
        </is>
      </c>
      <c r="E499" s="38" t="inlineStr">
        <is>
          <t>Opinión-análisis</t>
        </is>
      </c>
      <c r="F499" s="38" t="inlineStr">
        <is>
          <t>2026-07-15T00:05:00-05:00</t>
        </is>
      </c>
      <c r="G499" s="62" t="inlineStr">
        <is>
          <t>Salvo contadísimas excepciones, y como se conoce hace tiempo, el principal periódico regional y los otros medios barranquilleros tradicionales funcionan bajo el dominio y permiso económico de la clase política local, léase (otra vez) los Char.</t>
        </is>
      </c>
      <c r="H499" s="62" t="inlineStr">
        <is>
          <t>Barranquilla es, además de su residencia cuando se encontraba de visita temporal en este país, la ciudad en donde el electo gobernante instaló una de sus oficinas particulares, y desde la cual podrá seguir concretando sus negocios privados, lejos de la vigilancia de los periodistas inquisitivos que, aún, trabajan en Bogotá.</t>
        </is>
      </c>
      <c r="I499" s="62" t="inlineStr">
        <is>
          <t>Es así que, si se ejecuta su intención de gobernar desde esa capital caribeña, la austeridad prometida en campaña para recuperar el presupuesto que habría dilapidado el gobierno saliente empezará a quedar reducida a un relumbrón.</t>
        </is>
      </c>
      <c r="J499" s="38" t="n"/>
      <c r="K499" s="62" t="n"/>
      <c r="L499" s="38" t="n"/>
      <c r="M499" s="62" t="n"/>
      <c r="N499" s="38" t="n"/>
      <c r="O499" s="62" t="n"/>
      <c r="P499" s="38" t="n"/>
      <c r="Q499" s="62" t="n"/>
      <c r="R499" s="38" t="n"/>
      <c r="S499" s="62" t="n"/>
      <c r="T499" s="38" t="n"/>
      <c r="U499" s="62" t="n"/>
      <c r="V499" s="38" t="n"/>
      <c r="W499" s="62" t="n"/>
      <c r="X499" s="38" t="n"/>
      <c r="Y499" s="62" t="n"/>
      <c r="Z499" s="38" t="n"/>
      <c r="AA499" s="62" t="n"/>
      <c r="AB499" s="38" t="n"/>
      <c r="AC499" s="62" t="n"/>
      <c r="AD499" s="38" t="n"/>
      <c r="AE499" s="38" t="n"/>
      <c r="AF499" s="61">
        <f>IF(COUNTIF($B$5:B499,B499)=1,1,0)</f>
        <v/>
      </c>
      <c r="AG499" s="62" t="inlineStr">
        <is>
          <t>https://www.elespectador.com/opinion/columnistas/cecilia-orozco-tascon/el-pacto-de-los-poderosos-de-barranquilla-con-de-la-espriella/</t>
        </is>
      </c>
    </row>
    <row r="500" ht="15" customHeight="1" s="31">
      <c r="A500" s="38" t="inlineStr">
        <is>
          <t>ART_071</t>
        </is>
      </c>
      <c r="B500" s="38" t="inlineStr">
        <is>
          <t>ART_071_S07</t>
        </is>
      </c>
      <c r="C500" s="38" t="inlineStr">
        <is>
          <t>El Espectador</t>
        </is>
      </c>
      <c r="D500" s="38" t="inlineStr">
        <is>
          <t>Transición de gobierno y relación con la oposición</t>
        </is>
      </c>
      <c r="E500" s="38" t="inlineStr">
        <is>
          <t>Opinión-análisis</t>
        </is>
      </c>
      <c r="F500" s="38" t="inlineStr">
        <is>
          <t>2026-07-15T00:05:00-05:00</t>
        </is>
      </c>
      <c r="G500" s="62" t="inlineStr">
        <is>
          <t>Es así que, si se ejecuta su intención de gobernar desde esa capital caribeña, la austeridad prometida en campaña para recuperar el presupuesto que habría dilapidado el gobierno saliente empezará a quedar reducida a un relumbrón.</t>
        </is>
      </c>
      <c r="H500" s="62" t="inlineStr">
        <is>
          <t>Salvo contadísimas excepciones, y como se conoce hace tiempo, el principal periódico regional y los otros medios barranquilleros tradicionales funcionan bajo el dominio y permiso económico de la clase política local, léase (otra vez) los Char.</t>
        </is>
      </c>
      <c r="I500" s="62" t="inlineStr">
        <is>
          <t>Mover la sede del Ejecutivo, hoy en la Casa de Nariño, al edificio de la Antigua Aduana, mencionado como próximo despacho presidencial (¿cuánto costará el uso permanente de semejante joya arquitectónica?), valdrá una verdadera fortuna puesto que con el presidente, tendrán que mudarse la mayoría de las oficinas de apoyo que tiene la jefatura de Estado, sin contar con los ministros y sus propios equipos, con los directores de departamentos e, incluso, con los congresistas con los que el Ejecutivo interactúa coordina y armoniza políticas, proyectos y propuestas de manera cotidiana (ver).</t>
        </is>
      </c>
      <c r="J500" s="38" t="n"/>
      <c r="K500" s="62" t="n"/>
      <c r="L500" s="38" t="n"/>
      <c r="M500" s="62" t="n"/>
      <c r="N500" s="38" t="n"/>
      <c r="O500" s="62" t="n"/>
      <c r="P500" s="38" t="n"/>
      <c r="Q500" s="62" t="n"/>
      <c r="R500" s="38" t="n"/>
      <c r="S500" s="62" t="n"/>
      <c r="T500" s="38" t="n"/>
      <c r="U500" s="62" t="n"/>
      <c r="V500" s="38" t="n"/>
      <c r="W500" s="62" t="n"/>
      <c r="X500" s="38" t="n"/>
      <c r="Y500" s="62" t="n"/>
      <c r="Z500" s="38" t="n"/>
      <c r="AA500" s="62" t="n"/>
      <c r="AB500" s="38" t="n"/>
      <c r="AC500" s="62" t="n"/>
      <c r="AD500" s="38" t="n"/>
      <c r="AE500" s="38" t="n"/>
      <c r="AF500" s="61">
        <f>IF(COUNTIF($B$5:B500,B500)=1,1,0)</f>
        <v/>
      </c>
      <c r="AG500" s="62" t="inlineStr">
        <is>
          <t>https://www.elespectador.com/opinion/columnistas/cecilia-orozco-tascon/el-pacto-de-los-poderosos-de-barranquilla-con-de-la-espriella/</t>
        </is>
      </c>
    </row>
    <row r="501" ht="15" customHeight="1" s="31">
      <c r="A501" s="38" t="inlineStr">
        <is>
          <t>ART_071</t>
        </is>
      </c>
      <c r="B501" s="38" t="inlineStr">
        <is>
          <t>ART_071_S08</t>
        </is>
      </c>
      <c r="C501" s="38" t="inlineStr">
        <is>
          <t>El Espectador</t>
        </is>
      </c>
      <c r="D501" s="38" t="inlineStr">
        <is>
          <t>Transición de gobierno y relación con la oposición</t>
        </is>
      </c>
      <c r="E501" s="38" t="inlineStr">
        <is>
          <t>Opinión-análisis</t>
        </is>
      </c>
      <c r="F501" s="38" t="inlineStr">
        <is>
          <t>2026-07-15T00:05:00-05:00</t>
        </is>
      </c>
      <c r="G501" s="62" t="inlineStr">
        <is>
          <t>Mover la sede del Ejecutivo, hoy en la Casa de Nariño, al edificio de la Antigua Aduana, mencionado como próximo despacho presidencial (¿cuánto costará el uso permanente de semejante joya arquitectónica?), valdrá una verdadera fortuna puesto que con el presidente, tendrán que mudarse la mayoría de las oficinas de apoyo que tiene la jefatura de Estado, sin contar con los ministros y sus propios equipos, con los directores de departamentos e, incluso, con los congresistas con los que el Ejecutivo interactúa coordina y armoniza políticas, proyectos y propuestas de manera cotidiana (ver).</t>
        </is>
      </c>
      <c r="H501" s="62" t="inlineStr">
        <is>
          <t>Es así que, si se ejecuta su intención de gobernar desde esa capital caribeña, la austeridad prometida en campaña para recuperar el presupuesto que habría dilapidado el gobierno saliente empezará a quedar reducida a un relumbrón.</t>
        </is>
      </c>
      <c r="I501" s="62" t="inlineStr">
        <is>
          <t>¿El gabinete ministerial y sus asesores tendrán que viajar dos o tres veces por semana para asistir a los consejos o, simplemente, para hablar sobre asuntos de reserva con el mandatario que, por prudencia, no se puedan tramitar por medios digitales?</t>
        </is>
      </c>
      <c r="J501" s="38" t="n"/>
      <c r="K501" s="62" t="n"/>
      <c r="L501" s="38" t="n"/>
      <c r="M501" s="62" t="n"/>
      <c r="N501" s="38" t="n"/>
      <c r="O501" s="62" t="n"/>
      <c r="P501" s="38" t="n"/>
      <c r="Q501" s="62" t="n"/>
      <c r="R501" s="38" t="n"/>
      <c r="S501" s="62" t="n"/>
      <c r="T501" s="38" t="n"/>
      <c r="U501" s="62" t="n"/>
      <c r="V501" s="38" t="n"/>
      <c r="W501" s="62" t="n"/>
      <c r="X501" s="38" t="n"/>
      <c r="Y501" s="62" t="n"/>
      <c r="Z501" s="38" t="n"/>
      <c r="AA501" s="62" t="n"/>
      <c r="AB501" s="38" t="n"/>
      <c r="AC501" s="62" t="n"/>
      <c r="AD501" s="38" t="n"/>
      <c r="AE501" s="38" t="n"/>
      <c r="AF501" s="61">
        <f>IF(COUNTIF($B$5:B501,B501)=1,1,0)</f>
        <v/>
      </c>
      <c r="AG501" s="62" t="inlineStr">
        <is>
          <t>https://www.elespectador.com/opinion/columnistas/cecilia-orozco-tascon/el-pacto-de-los-poderosos-de-barranquilla-con-de-la-espriella/</t>
        </is>
      </c>
    </row>
    <row r="502" ht="15" customHeight="1" s="31">
      <c r="A502" s="38" t="inlineStr">
        <is>
          <t>ART_071</t>
        </is>
      </c>
      <c r="B502" s="38" t="inlineStr">
        <is>
          <t>ART_071_S09</t>
        </is>
      </c>
      <c r="C502" s="38" t="inlineStr">
        <is>
          <t>El Espectador</t>
        </is>
      </c>
      <c r="D502" s="38" t="inlineStr">
        <is>
          <t>Transición de gobierno y relación con la oposición</t>
        </is>
      </c>
      <c r="E502" s="38" t="inlineStr">
        <is>
          <t>Opinión-análisis</t>
        </is>
      </c>
      <c r="F502" s="38" t="inlineStr">
        <is>
          <t>2026-07-15T00:05:00-05:00</t>
        </is>
      </c>
      <c r="G502" s="62" t="inlineStr">
        <is>
          <t>¿El gabinete ministerial y sus asesores tendrán que viajar dos o tres veces por semana para asistir a los consejos o, simplemente, para hablar sobre asuntos de reserva con el mandatario que, por prudencia, no se puedan tramitar por medios digitales?</t>
        </is>
      </c>
      <c r="H502" s="62" t="inlineStr">
        <is>
          <t>Mover la sede del Ejecutivo, hoy en la Casa de Nariño, al edificio de la Antigua Aduana, mencionado como próximo despacho presidencial (¿cuánto costará el uso permanente de semejante joya arquitectónica?), valdrá una verdadera fortuna puesto que con el presidente, tendrán que mudarse la mayoría de las oficinas de apoyo que tiene la jefatura de Estado, sin contar con los ministros y sus propios equipos, con los directores de departamentos e, incluso, con los congresistas con los que el Ejecutivo interactúa coordina y armoniza políticas, proyectos y propuestas de manera cotidiana (ver).</t>
        </is>
      </c>
      <c r="I502" s="62" t="inlineStr">
        <is>
          <t>¿Cada ministro tendrá que alquilar oficinas en la capital política de facto que se instalará en tierra atlanticense por mero capricho?</t>
        </is>
      </c>
      <c r="J502" s="38" t="n"/>
      <c r="K502" s="62" t="n"/>
      <c r="L502" s="38" t="n"/>
      <c r="M502" s="62" t="n"/>
      <c r="N502" s="38" t="n"/>
      <c r="O502" s="62" t="n"/>
      <c r="P502" s="38" t="n"/>
      <c r="Q502" s="62" t="n"/>
      <c r="R502" s="38" t="n"/>
      <c r="S502" s="62" t="n"/>
      <c r="T502" s="38" t="n"/>
      <c r="U502" s="62" t="n"/>
      <c r="V502" s="38" t="n"/>
      <c r="W502" s="62" t="n"/>
      <c r="X502" s="38" t="n"/>
      <c r="Y502" s="62" t="n"/>
      <c r="Z502" s="38" t="n"/>
      <c r="AA502" s="62" t="n"/>
      <c r="AB502" s="38" t="n"/>
      <c r="AC502" s="62" t="n"/>
      <c r="AD502" s="38" t="n"/>
      <c r="AE502" s="38" t="n"/>
      <c r="AF502" s="61">
        <f>IF(COUNTIF($B$5:B502,B502)=1,1,0)</f>
        <v/>
      </c>
      <c r="AG502" s="62" t="inlineStr">
        <is>
          <t>https://www.elespectador.com/opinion/columnistas/cecilia-orozco-tascon/el-pacto-de-los-poderosos-de-barranquilla-con-de-la-espriella/</t>
        </is>
      </c>
    </row>
    <row r="503" ht="15" customHeight="1" s="31">
      <c r="A503" s="38" t="inlineStr">
        <is>
          <t>ART_071</t>
        </is>
      </c>
      <c r="B503" s="38" t="inlineStr">
        <is>
          <t>ART_071_S10</t>
        </is>
      </c>
      <c r="C503" s="38" t="inlineStr">
        <is>
          <t>El Espectador</t>
        </is>
      </c>
      <c r="D503" s="38" t="inlineStr">
        <is>
          <t>Transición de gobierno y relación con la oposición</t>
        </is>
      </c>
      <c r="E503" s="38" t="inlineStr">
        <is>
          <t>Opinión-análisis</t>
        </is>
      </c>
      <c r="F503" s="38" t="inlineStr">
        <is>
          <t>2026-07-15T00:05:00-05:00</t>
        </is>
      </c>
      <c r="G503" s="62" t="inlineStr">
        <is>
          <t>¿Cada ministro tendrá que alquilar oficinas en la capital política de facto que se instalará en tierra atlanticense por mero capricho?</t>
        </is>
      </c>
      <c r="H503" s="62" t="inlineStr">
        <is>
          <t>¿El gabinete ministerial y sus asesores tendrán que viajar dos o tres veces por semana para asistir a los consejos o, simplemente, para hablar sobre asuntos de reserva con el mandatario que, por prudencia, no se puedan tramitar por medios digitales?</t>
        </is>
      </c>
      <c r="I503" s="62" t="inlineStr">
        <is>
          <t>La guardia presidencial, el cuerpo de policías, el grupo de escoltas y asistentes, ¿tendrán guarniciones en Barranquilla?</t>
        </is>
      </c>
      <c r="J503" s="38" t="n"/>
      <c r="K503" s="62" t="n"/>
      <c r="L503" s="38" t="n"/>
      <c r="M503" s="62" t="n"/>
      <c r="N503" s="38" t="n"/>
      <c r="O503" s="62" t="n"/>
      <c r="P503" s="38" t="n"/>
      <c r="Q503" s="62" t="n"/>
      <c r="R503" s="38" t="n"/>
      <c r="S503" s="62" t="n"/>
      <c r="T503" s="38" t="n"/>
      <c r="U503" s="62" t="n"/>
      <c r="V503" s="38" t="n"/>
      <c r="W503" s="62" t="n"/>
      <c r="X503" s="38" t="n"/>
      <c r="Y503" s="62" t="n"/>
      <c r="Z503" s="38" t="n"/>
      <c r="AA503" s="62" t="n"/>
      <c r="AB503" s="38" t="n"/>
      <c r="AC503" s="62" t="n"/>
      <c r="AD503" s="38" t="n"/>
      <c r="AE503" s="38" t="n"/>
      <c r="AF503" s="61">
        <f>IF(COUNTIF($B$5:B503,B503)=1,1,0)</f>
        <v/>
      </c>
      <c r="AG503" s="62" t="inlineStr">
        <is>
          <t>https://www.elespectador.com/opinion/columnistas/cecilia-orozco-tascon/el-pacto-de-los-poderosos-de-barranquilla-con-de-la-espriella/</t>
        </is>
      </c>
    </row>
    <row r="504" ht="15" customHeight="1" s="31">
      <c r="A504" s="38" t="inlineStr">
        <is>
          <t>ART_071</t>
        </is>
      </c>
      <c r="B504" s="38" t="inlineStr">
        <is>
          <t>ART_071_S11</t>
        </is>
      </c>
      <c r="C504" s="38" t="inlineStr">
        <is>
          <t>El Espectador</t>
        </is>
      </c>
      <c r="D504" s="38" t="inlineStr">
        <is>
          <t>Transición de gobierno y relación con la oposición</t>
        </is>
      </c>
      <c r="E504" s="38" t="inlineStr">
        <is>
          <t>Opinión-análisis</t>
        </is>
      </c>
      <c r="F504" s="38" t="inlineStr">
        <is>
          <t>2026-07-15T00:05:00-05:00</t>
        </is>
      </c>
      <c r="G504" s="62" t="inlineStr">
        <is>
          <t>La guardia presidencial, el cuerpo de policías, el grupo de escoltas y asistentes, ¿tendrán guarniciones en Barranquilla?</t>
        </is>
      </c>
      <c r="H504" s="62" t="inlineStr">
        <is>
          <t>¿Cada ministro tendrá que alquilar oficinas en la capital política de facto que se instalará en tierra atlanticense por mero capricho?</t>
        </is>
      </c>
      <c r="I504" s="62" t="inlineStr">
        <is>
          <t>¿Dónde se podrán albergar 100, 200, 300 hombres y mujeres de las fuerzas de seguridad y a cuál costo?</t>
        </is>
      </c>
      <c r="J504" s="38" t="n"/>
      <c r="K504" s="62" t="n"/>
      <c r="L504" s="38" t="n"/>
      <c r="M504" s="62" t="n"/>
      <c r="N504" s="38" t="n"/>
      <c r="O504" s="62" t="n"/>
      <c r="P504" s="38" t="n"/>
      <c r="Q504" s="62" t="n"/>
      <c r="R504" s="38" t="n"/>
      <c r="S504" s="62" t="n"/>
      <c r="T504" s="38" t="n"/>
      <c r="U504" s="62" t="n"/>
      <c r="V504" s="38" t="n"/>
      <c r="W504" s="62" t="n"/>
      <c r="X504" s="38" t="n"/>
      <c r="Y504" s="62" t="n"/>
      <c r="Z504" s="38" t="n"/>
      <c r="AA504" s="62" t="n"/>
      <c r="AB504" s="38" t="n"/>
      <c r="AC504" s="62" t="n"/>
      <c r="AD504" s="38" t="n"/>
      <c r="AE504" s="38" t="n"/>
      <c r="AF504" s="61">
        <f>IF(COUNTIF($B$5:B504,B504)=1,1,0)</f>
        <v/>
      </c>
      <c r="AG504" s="62" t="inlineStr">
        <is>
          <t>https://www.elespectador.com/opinion/columnistas/cecilia-orozco-tascon/el-pacto-de-los-poderosos-de-barranquilla-con-de-la-espriella/</t>
        </is>
      </c>
    </row>
    <row r="505" ht="15" customHeight="1" s="31">
      <c r="A505" s="38" t="inlineStr">
        <is>
          <t>ART_071</t>
        </is>
      </c>
      <c r="B505" s="38" t="inlineStr">
        <is>
          <t>ART_071_S12</t>
        </is>
      </c>
      <c r="C505" s="38" t="inlineStr">
        <is>
          <t>El Espectador</t>
        </is>
      </c>
      <c r="D505" s="38" t="inlineStr">
        <is>
          <t>Transición de gobierno y relación con la oposición</t>
        </is>
      </c>
      <c r="E505" s="38" t="inlineStr">
        <is>
          <t>Opinión-análisis</t>
        </is>
      </c>
      <c r="F505" s="38" t="inlineStr">
        <is>
          <t>2026-07-15T00:05:00-05:00</t>
        </is>
      </c>
      <c r="G505" s="62" t="inlineStr">
        <is>
          <t>¿Dónde se podrán albergar 100, 200, 300 hombres y mujeres de las fuerzas de seguridad y a cuál costo?</t>
        </is>
      </c>
      <c r="H505" s="62" t="inlineStr">
        <is>
          <t>La guardia presidencial, el cuerpo de policías, el grupo de escoltas y asistentes, ¿tendrán guarniciones en Barranquilla?</t>
        </is>
      </c>
      <c r="I505" s="62" t="inlineStr">
        <is>
          <t>¿En cuánto se incrementarán los viajes aéreos de una a otra urbe y cuál presupuesto aguantará semejante despilfarro?</t>
        </is>
      </c>
      <c r="J505" s="38" t="n"/>
      <c r="K505" s="62" t="n"/>
      <c r="L505" s="38" t="n"/>
      <c r="M505" s="62" t="n"/>
      <c r="N505" s="38" t="n"/>
      <c r="O505" s="62" t="n"/>
      <c r="P505" s="38" t="n"/>
      <c r="Q505" s="62" t="n"/>
      <c r="R505" s="38" t="n"/>
      <c r="S505" s="62" t="n"/>
      <c r="T505" s="38" t="n"/>
      <c r="U505" s="62" t="n"/>
      <c r="V505" s="38" t="n"/>
      <c r="W505" s="62" t="n"/>
      <c r="X505" s="38" t="n"/>
      <c r="Y505" s="62" t="n"/>
      <c r="Z505" s="38" t="n"/>
      <c r="AA505" s="62" t="n"/>
      <c r="AB505" s="38" t="n"/>
      <c r="AC505" s="62" t="n"/>
      <c r="AD505" s="38" t="n"/>
      <c r="AE505" s="38" t="n"/>
      <c r="AF505" s="61">
        <f>IF(COUNTIF($B$5:B505,B505)=1,1,0)</f>
        <v/>
      </c>
      <c r="AG505" s="62" t="inlineStr">
        <is>
          <t>https://www.elespectador.com/opinion/columnistas/cecilia-orozco-tascon/el-pacto-de-los-poderosos-de-barranquilla-con-de-la-espriella/</t>
        </is>
      </c>
    </row>
    <row r="506" ht="15" customHeight="1" s="31">
      <c r="A506" s="38" t="inlineStr">
        <is>
          <t>ART_071</t>
        </is>
      </c>
      <c r="B506" s="38" t="inlineStr">
        <is>
          <t>ART_071_S13</t>
        </is>
      </c>
      <c r="C506" s="38" t="inlineStr">
        <is>
          <t>El Espectador</t>
        </is>
      </c>
      <c r="D506" s="38" t="inlineStr">
        <is>
          <t>Transición de gobierno y relación con la oposición</t>
        </is>
      </c>
      <c r="E506" s="38" t="inlineStr">
        <is>
          <t>Opinión-análisis</t>
        </is>
      </c>
      <c r="F506" s="38" t="inlineStr">
        <is>
          <t>2026-07-15T00:05:00-05:00</t>
        </is>
      </c>
      <c r="G506" s="62" t="inlineStr">
        <is>
          <t>¿En cuánto se incrementarán los viajes aéreos de una a otra urbe y cuál presupuesto aguantará semejante despilfarro?</t>
        </is>
      </c>
      <c r="H506" s="62" t="inlineStr">
        <is>
          <t>¿Dónde se podrán albergar 100, 200, 300 hombres y mujeres de las fuerzas de seguridad y a cuál costo?</t>
        </is>
      </c>
      <c r="I506" s="62" t="inlineStr">
        <is>
          <t>Ah, pero como llegamos a la era de los milagros, podemos dormir tranquilos: Dios proveerá, como dijo el bíblico Abraham.</t>
        </is>
      </c>
      <c r="J506" s="38" t="n"/>
      <c r="K506" s="62" t="n"/>
      <c r="L506" s="38" t="n"/>
      <c r="M506" s="62" t="n"/>
      <c r="N506" s="38" t="n"/>
      <c r="O506" s="62" t="n"/>
      <c r="P506" s="38" t="n"/>
      <c r="Q506" s="62" t="n"/>
      <c r="R506" s="38" t="n"/>
      <c r="S506" s="62" t="n"/>
      <c r="T506" s="38" t="n"/>
      <c r="U506" s="62" t="n"/>
      <c r="V506" s="38" t="n"/>
      <c r="W506" s="62" t="n"/>
      <c r="X506" s="38" t="n"/>
      <c r="Y506" s="62" t="n"/>
      <c r="Z506" s="38" t="n"/>
      <c r="AA506" s="62" t="n"/>
      <c r="AB506" s="38" t="n"/>
      <c r="AC506" s="62" t="n"/>
      <c r="AD506" s="38" t="n"/>
      <c r="AE506" s="38" t="n"/>
      <c r="AF506" s="61">
        <f>IF(COUNTIF($B$5:B506,B506)=1,1,0)</f>
        <v/>
      </c>
      <c r="AG506" s="62" t="inlineStr">
        <is>
          <t>https://www.elespectador.com/opinion/columnistas/cecilia-orozco-tascon/el-pacto-de-los-poderosos-de-barranquilla-con-de-la-espriella/</t>
        </is>
      </c>
    </row>
    <row r="507" ht="15" customHeight="1" s="31">
      <c r="A507" s="38" t="inlineStr">
        <is>
          <t>ART_071</t>
        </is>
      </c>
      <c r="B507" s="38" t="inlineStr">
        <is>
          <t>ART_071_S14</t>
        </is>
      </c>
      <c r="C507" s="38" t="inlineStr">
        <is>
          <t>El Espectador</t>
        </is>
      </c>
      <c r="D507" s="38" t="inlineStr">
        <is>
          <t>Transición de gobierno y relación con la oposición</t>
        </is>
      </c>
      <c r="E507" s="38" t="inlineStr">
        <is>
          <t>Opinión-análisis</t>
        </is>
      </c>
      <c r="F507" s="38" t="inlineStr">
        <is>
          <t>2026-07-15T00:05:00-05:00</t>
        </is>
      </c>
      <c r="G507" s="62" t="inlineStr">
        <is>
          <t>Ah, pero como llegamos a la era de los milagros, podemos dormir tranquilos: Dios proveerá, como dijo el bíblico Abraham.</t>
        </is>
      </c>
      <c r="H507" s="62" t="inlineStr">
        <is>
          <t>¿En cuánto se incrementarán los viajes aéreos de una a otra urbe y cuál presupuesto aguantará semejante despilfarro?</t>
        </is>
      </c>
      <c r="I507" s="62" t="inlineStr"/>
      <c r="J507" s="38" t="n"/>
      <c r="K507" s="62" t="n"/>
      <c r="L507" s="38" t="n"/>
      <c r="M507" s="62" t="n"/>
      <c r="N507" s="38" t="n"/>
      <c r="O507" s="62" t="n"/>
      <c r="P507" s="38" t="n"/>
      <c r="Q507" s="62" t="n"/>
      <c r="R507" s="38" t="n"/>
      <c r="S507" s="62" t="n"/>
      <c r="T507" s="38" t="n"/>
      <c r="U507" s="62" t="n"/>
      <c r="V507" s="38" t="n"/>
      <c r="W507" s="62" t="n"/>
      <c r="X507" s="38" t="n"/>
      <c r="Y507" s="62" t="n"/>
      <c r="Z507" s="38" t="n"/>
      <c r="AA507" s="62" t="n"/>
      <c r="AB507" s="38" t="n"/>
      <c r="AC507" s="62" t="n"/>
      <c r="AD507" s="38" t="n"/>
      <c r="AE507" s="38" t="n"/>
      <c r="AF507" s="61">
        <f>IF(COUNTIF($B$5:B507,B507)=1,1,0)</f>
        <v/>
      </c>
      <c r="AG507" s="62" t="inlineStr">
        <is>
          <t>https://www.elespectador.com/opinion/columnistas/cecilia-orozco-tascon/el-pacto-de-los-poderosos-de-barranquilla-con-de-la-espriella/</t>
        </is>
      </c>
    </row>
    <row r="508" ht="15" customHeight="1" s="31">
      <c r="A508" s="38" t="n"/>
      <c r="B508" s="38" t="n"/>
      <c r="C508" s="38" t="n"/>
      <c r="D508" s="38" t="n"/>
      <c r="E508" s="38" t="n"/>
      <c r="F508" s="38" t="n"/>
      <c r="G508" s="62" t="n"/>
      <c r="H508" s="62" t="n"/>
      <c r="I508" s="62" t="n"/>
      <c r="J508" s="38" t="n"/>
      <c r="K508" s="62" t="n"/>
      <c r="L508" s="38" t="n"/>
      <c r="M508" s="62" t="n"/>
      <c r="N508" s="38" t="n"/>
      <c r="O508" s="62" t="n"/>
      <c r="P508" s="38" t="n"/>
      <c r="Q508" s="62" t="n"/>
      <c r="R508" s="38" t="n"/>
      <c r="S508" s="62" t="n"/>
      <c r="T508" s="38" t="n"/>
      <c r="U508" s="62" t="n"/>
      <c r="V508" s="38" t="n"/>
      <c r="W508" s="62" t="n"/>
      <c r="X508" s="38" t="n"/>
      <c r="Y508" s="62" t="n"/>
      <c r="Z508" s="38" t="n"/>
      <c r="AA508" s="62" t="n"/>
      <c r="AB508" s="38" t="n"/>
      <c r="AC508" s="62" t="n"/>
      <c r="AD508" s="38" t="n"/>
      <c r="AE508" s="38" t="n"/>
      <c r="AF508" s="61">
        <f>IF(COUNTIF($B$5:B508,B508)=1,1,0)</f>
        <v/>
      </c>
      <c r="AG508" s="62" t="n"/>
    </row>
    <row r="509" ht="15" customHeight="1" s="31">
      <c r="A509" s="38" t="n"/>
      <c r="B509" s="38" t="n"/>
      <c r="C509" s="38" t="n"/>
      <c r="D509" s="38" t="n"/>
      <c r="E509" s="38" t="n"/>
      <c r="F509" s="38" t="n"/>
      <c r="G509" s="62" t="n"/>
      <c r="H509" s="62" t="n"/>
      <c r="I509" s="62" t="n"/>
      <c r="J509" s="38" t="n"/>
      <c r="K509" s="62" t="n"/>
      <c r="L509" s="38" t="n"/>
      <c r="M509" s="62" t="n"/>
      <c r="N509" s="38" t="n"/>
      <c r="O509" s="62" t="n"/>
      <c r="P509" s="38" t="n"/>
      <c r="Q509" s="62" t="n"/>
      <c r="R509" s="38" t="n"/>
      <c r="S509" s="62" t="n"/>
      <c r="T509" s="38" t="n"/>
      <c r="U509" s="62" t="n"/>
      <c r="V509" s="38" t="n"/>
      <c r="W509" s="62" t="n"/>
      <c r="X509" s="38" t="n"/>
      <c r="Y509" s="62" t="n"/>
      <c r="Z509" s="38" t="n"/>
      <c r="AA509" s="62" t="n"/>
      <c r="AB509" s="38" t="n"/>
      <c r="AC509" s="62" t="n"/>
      <c r="AD509" s="38" t="n"/>
      <c r="AE509" s="38" t="n"/>
      <c r="AF509" s="61">
        <f>IF(COUNTIF($B$5:B509,B509)=1,1,0)</f>
        <v/>
      </c>
      <c r="AG509" s="62" t="n"/>
    </row>
    <row r="510" ht="15" customHeight="1" s="31">
      <c r="A510" s="38" t="n"/>
      <c r="B510" s="38" t="n"/>
      <c r="C510" s="38" t="n"/>
      <c r="D510" s="38" t="n"/>
      <c r="E510" s="38" t="n"/>
      <c r="F510" s="38" t="n"/>
      <c r="G510" s="62" t="n"/>
      <c r="H510" s="62" t="n"/>
      <c r="I510" s="62" t="n"/>
      <c r="J510" s="38" t="n"/>
      <c r="K510" s="62" t="n"/>
      <c r="L510" s="38" t="n"/>
      <c r="M510" s="62" t="n"/>
      <c r="N510" s="38" t="n"/>
      <c r="O510" s="62" t="n"/>
      <c r="P510" s="38" t="n"/>
      <c r="Q510" s="62" t="n"/>
      <c r="R510" s="38" t="n"/>
      <c r="S510" s="62" t="n"/>
      <c r="T510" s="38" t="n"/>
      <c r="U510" s="62" t="n"/>
      <c r="V510" s="38" t="n"/>
      <c r="W510" s="62" t="n"/>
      <c r="X510" s="38" t="n"/>
      <c r="Y510" s="62" t="n"/>
      <c r="Z510" s="38" t="n"/>
      <c r="AA510" s="62" t="n"/>
      <c r="AB510" s="38" t="n"/>
      <c r="AC510" s="62" t="n"/>
      <c r="AD510" s="38" t="n"/>
      <c r="AE510" s="38" t="n"/>
      <c r="AF510" s="61">
        <f>IF(COUNTIF($B$5:B510,B510)=1,1,0)</f>
        <v/>
      </c>
      <c r="AG510" s="62" t="n"/>
    </row>
    <row r="511" ht="15" customHeight="1" s="31">
      <c r="A511" s="38" t="n"/>
      <c r="B511" s="38" t="n"/>
      <c r="C511" s="38" t="n"/>
      <c r="D511" s="38" t="n"/>
      <c r="E511" s="38" t="n"/>
      <c r="F511" s="38" t="n"/>
      <c r="G511" s="62" t="n"/>
      <c r="H511" s="62" t="n"/>
      <c r="I511" s="62" t="n"/>
      <c r="J511" s="38" t="n"/>
      <c r="K511" s="62" t="n"/>
      <c r="L511" s="38" t="n"/>
      <c r="M511" s="62" t="n"/>
      <c r="N511" s="38" t="n"/>
      <c r="O511" s="62" t="n"/>
      <c r="P511" s="38" t="n"/>
      <c r="Q511" s="62" t="n"/>
      <c r="R511" s="38" t="n"/>
      <c r="S511" s="62" t="n"/>
      <c r="T511" s="38" t="n"/>
      <c r="U511" s="62" t="n"/>
      <c r="V511" s="38" t="n"/>
      <c r="W511" s="62" t="n"/>
      <c r="X511" s="38" t="n"/>
      <c r="Y511" s="62" t="n"/>
      <c r="Z511" s="38" t="n"/>
      <c r="AA511" s="62" t="n"/>
      <c r="AB511" s="38" t="n"/>
      <c r="AC511" s="62" t="n"/>
      <c r="AD511" s="38" t="n"/>
      <c r="AE511" s="38" t="n"/>
      <c r="AF511" s="61">
        <f>IF(COUNTIF($B$5:B511,B511)=1,1,0)</f>
        <v/>
      </c>
      <c r="AG511" s="62" t="n"/>
    </row>
    <row r="512" ht="15" customHeight="1" s="31">
      <c r="A512" s="38" t="n"/>
      <c r="B512" s="38" t="n"/>
      <c r="C512" s="38" t="n"/>
      <c r="D512" s="38" t="n"/>
      <c r="E512" s="38" t="n"/>
      <c r="F512" s="38" t="n"/>
      <c r="G512" s="62" t="n"/>
      <c r="H512" s="62" t="n"/>
      <c r="I512" s="62" t="n"/>
      <c r="J512" s="38" t="n"/>
      <c r="K512" s="62" t="n"/>
      <c r="L512" s="38" t="n"/>
      <c r="M512" s="62" t="n"/>
      <c r="N512" s="38" t="n"/>
      <c r="O512" s="62" t="n"/>
      <c r="P512" s="38" t="n"/>
      <c r="Q512" s="62" t="n"/>
      <c r="R512" s="38" t="n"/>
      <c r="S512" s="62" t="n"/>
      <c r="T512" s="38" t="n"/>
      <c r="U512" s="62" t="n"/>
      <c r="V512" s="38" t="n"/>
      <c r="W512" s="62" t="n"/>
      <c r="X512" s="38" t="n"/>
      <c r="Y512" s="62" t="n"/>
      <c r="Z512" s="38" t="n"/>
      <c r="AA512" s="62" t="n"/>
      <c r="AB512" s="38" t="n"/>
      <c r="AC512" s="62" t="n"/>
      <c r="AD512" s="38" t="n"/>
      <c r="AE512" s="38" t="n"/>
      <c r="AF512" s="61">
        <f>IF(COUNTIF($B$5:B512,B512)=1,1,0)</f>
        <v/>
      </c>
      <c r="AG512" s="62" t="n"/>
    </row>
    <row r="513" ht="15" customHeight="1" s="31">
      <c r="A513" s="38" t="n"/>
      <c r="B513" s="38" t="n"/>
      <c r="C513" s="38" t="n"/>
      <c r="D513" s="38" t="n"/>
      <c r="E513" s="38" t="n"/>
      <c r="F513" s="38" t="n"/>
      <c r="G513" s="62" t="n"/>
      <c r="H513" s="62" t="n"/>
      <c r="I513" s="62" t="n"/>
      <c r="J513" s="38" t="n"/>
      <c r="K513" s="62" t="n"/>
      <c r="L513" s="38" t="n"/>
      <c r="M513" s="62" t="n"/>
      <c r="N513" s="38" t="n"/>
      <c r="O513" s="62" t="n"/>
      <c r="P513" s="38" t="n"/>
      <c r="Q513" s="62" t="n"/>
      <c r="R513" s="38" t="n"/>
      <c r="S513" s="62" t="n"/>
      <c r="T513" s="38" t="n"/>
      <c r="U513" s="62" t="n"/>
      <c r="V513" s="38" t="n"/>
      <c r="W513" s="62" t="n"/>
      <c r="X513" s="38" t="n"/>
      <c r="Y513" s="62" t="n"/>
      <c r="Z513" s="38" t="n"/>
      <c r="AA513" s="62" t="n"/>
      <c r="AB513" s="38" t="n"/>
      <c r="AC513" s="62" t="n"/>
      <c r="AD513" s="38" t="n"/>
      <c r="AE513" s="38" t="n"/>
      <c r="AF513" s="61">
        <f>IF(COUNTIF($B$5:B513,B513)=1,1,0)</f>
        <v/>
      </c>
      <c r="AG513" s="62" t="n"/>
    </row>
    <row r="514" ht="15" customHeight="1" s="31">
      <c r="A514" s="38" t="n"/>
      <c r="B514" s="38" t="n"/>
      <c r="C514" s="38" t="n"/>
      <c r="D514" s="38" t="n"/>
      <c r="E514" s="38" t="n"/>
      <c r="F514" s="38" t="n"/>
      <c r="G514" s="62" t="n"/>
      <c r="H514" s="62" t="n"/>
      <c r="I514" s="62" t="n"/>
      <c r="J514" s="38" t="n"/>
      <c r="K514" s="62" t="n"/>
      <c r="L514" s="38" t="n"/>
      <c r="M514" s="62" t="n"/>
      <c r="N514" s="38" t="n"/>
      <c r="O514" s="62" t="n"/>
      <c r="P514" s="38" t="n"/>
      <c r="Q514" s="62" t="n"/>
      <c r="R514" s="38" t="n"/>
      <c r="S514" s="62" t="n"/>
      <c r="T514" s="38" t="n"/>
      <c r="U514" s="62" t="n"/>
      <c r="V514" s="38" t="n"/>
      <c r="W514" s="62" t="n"/>
      <c r="X514" s="38" t="n"/>
      <c r="Y514" s="62" t="n"/>
      <c r="Z514" s="38" t="n"/>
      <c r="AA514" s="62" t="n"/>
      <c r="AB514" s="38" t="n"/>
      <c r="AC514" s="62" t="n"/>
      <c r="AD514" s="38" t="n"/>
      <c r="AE514" s="38" t="n"/>
      <c r="AF514" s="61">
        <f>IF(COUNTIF($B$5:B514,B514)=1,1,0)</f>
        <v/>
      </c>
      <c r="AG514" s="62" t="n"/>
    </row>
    <row r="515" ht="15" customHeight="1" s="31">
      <c r="A515" s="38" t="n"/>
      <c r="B515" s="38" t="n"/>
      <c r="C515" s="38" t="n"/>
      <c r="D515" s="38" t="n"/>
      <c r="E515" s="38" t="n"/>
      <c r="F515" s="38" t="n"/>
      <c r="G515" s="62" t="n"/>
      <c r="H515" s="62" t="n"/>
      <c r="I515" s="62" t="n"/>
      <c r="J515" s="38" t="n"/>
      <c r="K515" s="62" t="n"/>
      <c r="L515" s="38" t="n"/>
      <c r="M515" s="62" t="n"/>
      <c r="N515" s="38" t="n"/>
      <c r="O515" s="62" t="n"/>
      <c r="P515" s="38" t="n"/>
      <c r="Q515" s="62" t="n"/>
      <c r="R515" s="38" t="n"/>
      <c r="S515" s="62" t="n"/>
      <c r="T515" s="38" t="n"/>
      <c r="U515" s="62" t="n"/>
      <c r="V515" s="38" t="n"/>
      <c r="W515" s="62" t="n"/>
      <c r="X515" s="38" t="n"/>
      <c r="Y515" s="62" t="n"/>
      <c r="Z515" s="38" t="n"/>
      <c r="AA515" s="62" t="n"/>
      <c r="AB515" s="38" t="n"/>
      <c r="AC515" s="62" t="n"/>
      <c r="AD515" s="38" t="n"/>
      <c r="AE515" s="38" t="n"/>
      <c r="AF515" s="61">
        <f>IF(COUNTIF($B$5:B515,B515)=1,1,0)</f>
        <v/>
      </c>
      <c r="AG515" s="62" t="n"/>
    </row>
    <row r="516" ht="15" customHeight="1" s="31">
      <c r="A516" s="38" t="n"/>
      <c r="B516" s="38" t="n"/>
      <c r="C516" s="38" t="n"/>
      <c r="D516" s="38" t="n"/>
      <c r="E516" s="38" t="n"/>
      <c r="F516" s="38" t="n"/>
      <c r="G516" s="62" t="n"/>
      <c r="H516" s="62" t="n"/>
      <c r="I516" s="62" t="n"/>
      <c r="J516" s="38" t="n"/>
      <c r="K516" s="62" t="n"/>
      <c r="L516" s="38" t="n"/>
      <c r="M516" s="62" t="n"/>
      <c r="N516" s="38" t="n"/>
      <c r="O516" s="62" t="n"/>
      <c r="P516" s="38" t="n"/>
      <c r="Q516" s="62" t="n"/>
      <c r="R516" s="38" t="n"/>
      <c r="S516" s="62" t="n"/>
      <c r="T516" s="38" t="n"/>
      <c r="U516" s="62" t="n"/>
      <c r="V516" s="38" t="n"/>
      <c r="W516" s="62" t="n"/>
      <c r="X516" s="38" t="n"/>
      <c r="Y516" s="62" t="n"/>
      <c r="Z516" s="38" t="n"/>
      <c r="AA516" s="62" t="n"/>
      <c r="AB516" s="38" t="n"/>
      <c r="AC516" s="62" t="n"/>
      <c r="AD516" s="38" t="n"/>
      <c r="AE516" s="38" t="n"/>
      <c r="AF516" s="61">
        <f>IF(COUNTIF($B$5:B516,B516)=1,1,0)</f>
        <v/>
      </c>
      <c r="AG516" s="62" t="n"/>
    </row>
    <row r="517" ht="15" customHeight="1" s="31">
      <c r="A517" s="38" t="n"/>
      <c r="B517" s="38" t="n"/>
      <c r="C517" s="38" t="n"/>
      <c r="D517" s="38" t="n"/>
      <c r="E517" s="38" t="n"/>
      <c r="F517" s="38" t="n"/>
      <c r="G517" s="62" t="n"/>
      <c r="H517" s="62" t="n"/>
      <c r="I517" s="62" t="n"/>
      <c r="J517" s="38" t="n"/>
      <c r="K517" s="62" t="n"/>
      <c r="L517" s="38" t="n"/>
      <c r="M517" s="62" t="n"/>
      <c r="N517" s="38" t="n"/>
      <c r="O517" s="62" t="n"/>
      <c r="P517" s="38" t="n"/>
      <c r="Q517" s="62" t="n"/>
      <c r="R517" s="38" t="n"/>
      <c r="S517" s="62" t="n"/>
      <c r="T517" s="38" t="n"/>
      <c r="U517" s="62" t="n"/>
      <c r="V517" s="38" t="n"/>
      <c r="W517" s="62" t="n"/>
      <c r="X517" s="38" t="n"/>
      <c r="Y517" s="62" t="n"/>
      <c r="Z517" s="38" t="n"/>
      <c r="AA517" s="62" t="n"/>
      <c r="AB517" s="38" t="n"/>
      <c r="AC517" s="62" t="n"/>
      <c r="AD517" s="38" t="n"/>
      <c r="AE517" s="38" t="n"/>
      <c r="AF517" s="61">
        <f>IF(COUNTIF($B$5:B517,B517)=1,1,0)</f>
        <v/>
      </c>
      <c r="AG517" s="62" t="n"/>
    </row>
    <row r="518" ht="15" customHeight="1" s="31">
      <c r="A518" s="38" t="n"/>
      <c r="B518" s="38" t="n"/>
      <c r="C518" s="38" t="n"/>
      <c r="D518" s="38" t="n"/>
      <c r="E518" s="38" t="n"/>
      <c r="F518" s="38" t="n"/>
      <c r="G518" s="62" t="n"/>
      <c r="H518" s="62" t="n"/>
      <c r="I518" s="62" t="n"/>
      <c r="J518" s="38" t="n"/>
      <c r="K518" s="62" t="n"/>
      <c r="L518" s="38" t="n"/>
      <c r="M518" s="62" t="n"/>
      <c r="N518" s="38" t="n"/>
      <c r="O518" s="62" t="n"/>
      <c r="P518" s="38" t="n"/>
      <c r="Q518" s="62" t="n"/>
      <c r="R518" s="38" t="n"/>
      <c r="S518" s="62" t="n"/>
      <c r="T518" s="38" t="n"/>
      <c r="U518" s="62" t="n"/>
      <c r="V518" s="38" t="n"/>
      <c r="W518" s="62" t="n"/>
      <c r="X518" s="38" t="n"/>
      <c r="Y518" s="62" t="n"/>
      <c r="Z518" s="38" t="n"/>
      <c r="AA518" s="62" t="n"/>
      <c r="AB518" s="38" t="n"/>
      <c r="AC518" s="62" t="n"/>
      <c r="AD518" s="38" t="n"/>
      <c r="AE518" s="38" t="n"/>
      <c r="AF518" s="61">
        <f>IF(COUNTIF($B$5:B518,B518)=1,1,0)</f>
        <v/>
      </c>
      <c r="AG518" s="62" t="n"/>
    </row>
    <row r="519" ht="15" customHeight="1" s="31">
      <c r="A519" s="38" t="n"/>
      <c r="B519" s="38" t="n"/>
      <c r="C519" s="38" t="n"/>
      <c r="D519" s="38" t="n"/>
      <c r="E519" s="38" t="n"/>
      <c r="F519" s="38" t="n"/>
      <c r="G519" s="62" t="n"/>
      <c r="H519" s="62" t="n"/>
      <c r="I519" s="62" t="n"/>
      <c r="J519" s="38" t="n"/>
      <c r="K519" s="62" t="n"/>
      <c r="L519" s="38" t="n"/>
      <c r="M519" s="62" t="n"/>
      <c r="N519" s="38" t="n"/>
      <c r="O519" s="62" t="n"/>
      <c r="P519" s="38" t="n"/>
      <c r="Q519" s="62" t="n"/>
      <c r="R519" s="38" t="n"/>
      <c r="S519" s="62" t="n"/>
      <c r="T519" s="38" t="n"/>
      <c r="U519" s="62" t="n"/>
      <c r="V519" s="38" t="n"/>
      <c r="W519" s="62" t="n"/>
      <c r="X519" s="38" t="n"/>
      <c r="Y519" s="62" t="n"/>
      <c r="Z519" s="38" t="n"/>
      <c r="AA519" s="62" t="n"/>
      <c r="AB519" s="38" t="n"/>
      <c r="AC519" s="62" t="n"/>
      <c r="AD519" s="38" t="n"/>
      <c r="AE519" s="38" t="n"/>
      <c r="AF519" s="61">
        <f>IF(COUNTIF($B$5:B519,B519)=1,1,0)</f>
        <v/>
      </c>
      <c r="AG519" s="62" t="n"/>
    </row>
    <row r="520" ht="15" customHeight="1" s="31">
      <c r="A520" s="38" t="n"/>
      <c r="B520" s="38" t="n"/>
      <c r="C520" s="38" t="n"/>
      <c r="D520" s="38" t="n"/>
      <c r="E520" s="38" t="n"/>
      <c r="F520" s="38" t="n"/>
      <c r="G520" s="62" t="n"/>
      <c r="H520" s="62" t="n"/>
      <c r="I520" s="62" t="n"/>
      <c r="J520" s="38" t="n"/>
      <c r="K520" s="62" t="n"/>
      <c r="L520" s="38" t="n"/>
      <c r="M520" s="62" t="n"/>
      <c r="N520" s="38" t="n"/>
      <c r="O520" s="62" t="n"/>
      <c r="P520" s="38" t="n"/>
      <c r="Q520" s="62" t="n"/>
      <c r="R520" s="38" t="n"/>
      <c r="S520" s="62" t="n"/>
      <c r="T520" s="38" t="n"/>
      <c r="U520" s="62" t="n"/>
      <c r="V520" s="38" t="n"/>
      <c r="W520" s="62" t="n"/>
      <c r="X520" s="38" t="n"/>
      <c r="Y520" s="62" t="n"/>
      <c r="Z520" s="38" t="n"/>
      <c r="AA520" s="62" t="n"/>
      <c r="AB520" s="38" t="n"/>
      <c r="AC520" s="62" t="n"/>
      <c r="AD520" s="38" t="n"/>
      <c r="AE520" s="38" t="n"/>
      <c r="AF520" s="61">
        <f>IF(COUNTIF($B$5:B520,B520)=1,1,0)</f>
        <v/>
      </c>
      <c r="AG520" s="62" t="n"/>
    </row>
    <row r="521" ht="15" customHeight="1" s="31">
      <c r="A521" s="38" t="n"/>
      <c r="B521" s="38" t="n"/>
      <c r="C521" s="38" t="n"/>
      <c r="D521" s="38" t="n"/>
      <c r="E521" s="38" t="n"/>
      <c r="F521" s="38" t="n"/>
      <c r="G521" s="62" t="n"/>
      <c r="H521" s="62" t="n"/>
      <c r="I521" s="62" t="n"/>
      <c r="J521" s="38" t="n"/>
      <c r="K521" s="62" t="n"/>
      <c r="L521" s="38" t="n"/>
      <c r="M521" s="62" t="n"/>
      <c r="N521" s="38" t="n"/>
      <c r="O521" s="62" t="n"/>
      <c r="P521" s="38" t="n"/>
      <c r="Q521" s="62" t="n"/>
      <c r="R521" s="38" t="n"/>
      <c r="S521" s="62" t="n"/>
      <c r="T521" s="38" t="n"/>
      <c r="U521" s="62" t="n"/>
      <c r="V521" s="38" t="n"/>
      <c r="W521" s="62" t="n"/>
      <c r="X521" s="38" t="n"/>
      <c r="Y521" s="62" t="n"/>
      <c r="Z521" s="38" t="n"/>
      <c r="AA521" s="62" t="n"/>
      <c r="AB521" s="38" t="n"/>
      <c r="AC521" s="62" t="n"/>
      <c r="AD521" s="38" t="n"/>
      <c r="AE521" s="38" t="n"/>
      <c r="AF521" s="61">
        <f>IF(COUNTIF($B$5:B521,B521)=1,1,0)</f>
        <v/>
      </c>
      <c r="AG521" s="62" t="n"/>
    </row>
    <row r="522" ht="15" customHeight="1" s="31">
      <c r="A522" s="38" t="n"/>
      <c r="B522" s="38" t="n"/>
      <c r="C522" s="38" t="n"/>
      <c r="D522" s="38" t="n"/>
      <c r="E522" s="38" t="n"/>
      <c r="F522" s="38" t="n"/>
      <c r="G522" s="62" t="n"/>
      <c r="H522" s="62" t="n"/>
      <c r="I522" s="62" t="n"/>
      <c r="J522" s="38" t="n"/>
      <c r="K522" s="62" t="n"/>
      <c r="L522" s="38" t="n"/>
      <c r="M522" s="62" t="n"/>
      <c r="N522" s="38" t="n"/>
      <c r="O522" s="62" t="n"/>
      <c r="P522" s="38" t="n"/>
      <c r="Q522" s="62" t="n"/>
      <c r="R522" s="38" t="n"/>
      <c r="S522" s="62" t="n"/>
      <c r="T522" s="38" t="n"/>
      <c r="U522" s="62" t="n"/>
      <c r="V522" s="38" t="n"/>
      <c r="W522" s="62" t="n"/>
      <c r="X522" s="38" t="n"/>
      <c r="Y522" s="62" t="n"/>
      <c r="Z522" s="38" t="n"/>
      <c r="AA522" s="62" t="n"/>
      <c r="AB522" s="38" t="n"/>
      <c r="AC522" s="62" t="n"/>
      <c r="AD522" s="38" t="n"/>
      <c r="AE522" s="38" t="n"/>
      <c r="AF522" s="61">
        <f>IF(COUNTIF($B$5:B522,B522)=1,1,0)</f>
        <v/>
      </c>
      <c r="AG522" s="62" t="n"/>
    </row>
    <row r="523" ht="15" customHeight="1" s="31">
      <c r="A523" s="38" t="n"/>
      <c r="B523" s="38" t="n"/>
      <c r="C523" s="38" t="n"/>
      <c r="D523" s="38" t="n"/>
      <c r="E523" s="38" t="n"/>
      <c r="F523" s="38" t="n"/>
      <c r="G523" s="62" t="n"/>
      <c r="H523" s="62" t="n"/>
      <c r="I523" s="62" t="n"/>
      <c r="J523" s="38" t="n"/>
      <c r="K523" s="62" t="n"/>
      <c r="L523" s="38" t="n"/>
      <c r="M523" s="62" t="n"/>
      <c r="N523" s="38" t="n"/>
      <c r="O523" s="62" t="n"/>
      <c r="P523" s="38" t="n"/>
      <c r="Q523" s="62" t="n"/>
      <c r="R523" s="38" t="n"/>
      <c r="S523" s="62" t="n"/>
      <c r="T523" s="38" t="n"/>
      <c r="U523" s="62" t="n"/>
      <c r="V523" s="38" t="n"/>
      <c r="W523" s="62" t="n"/>
      <c r="X523" s="38" t="n"/>
      <c r="Y523" s="62" t="n"/>
      <c r="Z523" s="38" t="n"/>
      <c r="AA523" s="62" t="n"/>
      <c r="AB523" s="38" t="n"/>
      <c r="AC523" s="62" t="n"/>
      <c r="AD523" s="38" t="n"/>
      <c r="AE523" s="38" t="n"/>
      <c r="AF523" s="61">
        <f>IF(COUNTIF($B$5:B523,B523)=1,1,0)</f>
        <v/>
      </c>
      <c r="AG523" s="62" t="n"/>
    </row>
    <row r="524" ht="15" customHeight="1" s="31">
      <c r="A524" s="38" t="n"/>
      <c r="B524" s="38" t="n"/>
      <c r="C524" s="38" t="n"/>
      <c r="D524" s="38" t="n"/>
      <c r="E524" s="38" t="n"/>
      <c r="F524" s="38" t="n"/>
      <c r="G524" s="62" t="n"/>
      <c r="H524" s="62" t="n"/>
      <c r="I524" s="62" t="n"/>
      <c r="J524" s="38" t="n"/>
      <c r="K524" s="62" t="n"/>
      <c r="L524" s="38" t="n"/>
      <c r="M524" s="62" t="n"/>
      <c r="N524" s="38" t="n"/>
      <c r="O524" s="62" t="n"/>
      <c r="P524" s="38" t="n"/>
      <c r="Q524" s="62" t="n"/>
      <c r="R524" s="38" t="n"/>
      <c r="S524" s="62" t="n"/>
      <c r="T524" s="38" t="n"/>
      <c r="U524" s="62" t="n"/>
      <c r="V524" s="38" t="n"/>
      <c r="W524" s="62" t="n"/>
      <c r="X524" s="38" t="n"/>
      <c r="Y524" s="62" t="n"/>
      <c r="Z524" s="38" t="n"/>
      <c r="AA524" s="62" t="n"/>
      <c r="AB524" s="38" t="n"/>
      <c r="AC524" s="62" t="n"/>
      <c r="AD524" s="38" t="n"/>
      <c r="AE524" s="38" t="n"/>
      <c r="AF524" s="61">
        <f>IF(COUNTIF($B$5:B524,B524)=1,1,0)</f>
        <v/>
      </c>
      <c r="AG524" s="62" t="n"/>
    </row>
    <row r="525" ht="15" customHeight="1" s="31">
      <c r="A525" s="38" t="n"/>
      <c r="B525" s="38" t="n"/>
      <c r="C525" s="38" t="n"/>
      <c r="D525" s="38" t="n"/>
      <c r="E525" s="38" t="n"/>
      <c r="F525" s="38" t="n"/>
      <c r="G525" s="62" t="n"/>
      <c r="H525" s="62" t="n"/>
      <c r="I525" s="62" t="n"/>
      <c r="J525" s="38" t="n"/>
      <c r="K525" s="62" t="n"/>
      <c r="L525" s="38" t="n"/>
      <c r="M525" s="62" t="n"/>
      <c r="N525" s="38" t="n"/>
      <c r="O525" s="62" t="n"/>
      <c r="P525" s="38" t="n"/>
      <c r="Q525" s="62" t="n"/>
      <c r="R525" s="38" t="n"/>
      <c r="S525" s="62" t="n"/>
      <c r="T525" s="38" t="n"/>
      <c r="U525" s="62" t="n"/>
      <c r="V525" s="38" t="n"/>
      <c r="W525" s="62" t="n"/>
      <c r="X525" s="38" t="n"/>
      <c r="Y525" s="62" t="n"/>
      <c r="Z525" s="38" t="n"/>
      <c r="AA525" s="62" t="n"/>
      <c r="AB525" s="38" t="n"/>
      <c r="AC525" s="62" t="n"/>
      <c r="AD525" s="38" t="n"/>
      <c r="AE525" s="38" t="n"/>
      <c r="AF525" s="61">
        <f>IF(COUNTIF($B$5:B525,B525)=1,1,0)</f>
        <v/>
      </c>
      <c r="AG525" s="62" t="n"/>
    </row>
    <row r="526" ht="15" customHeight="1" s="31">
      <c r="A526" s="38" t="n"/>
      <c r="B526" s="38" t="n"/>
      <c r="C526" s="38" t="n"/>
      <c r="D526" s="38" t="n"/>
      <c r="E526" s="38" t="n"/>
      <c r="F526" s="38" t="n"/>
      <c r="G526" s="62" t="n"/>
      <c r="H526" s="62" t="n"/>
      <c r="I526" s="62" t="n"/>
      <c r="J526" s="38" t="n"/>
      <c r="K526" s="62" t="n"/>
      <c r="L526" s="38" t="n"/>
      <c r="M526" s="62" t="n"/>
      <c r="N526" s="38" t="n"/>
      <c r="O526" s="62" t="n"/>
      <c r="P526" s="38" t="n"/>
      <c r="Q526" s="62" t="n"/>
      <c r="R526" s="38" t="n"/>
      <c r="S526" s="62" t="n"/>
      <c r="T526" s="38" t="n"/>
      <c r="U526" s="62" t="n"/>
      <c r="V526" s="38" t="n"/>
      <c r="W526" s="62" t="n"/>
      <c r="X526" s="38" t="n"/>
      <c r="Y526" s="62" t="n"/>
      <c r="Z526" s="38" t="n"/>
      <c r="AA526" s="62" t="n"/>
      <c r="AB526" s="38" t="n"/>
      <c r="AC526" s="62" t="n"/>
      <c r="AD526" s="38" t="n"/>
      <c r="AE526" s="38" t="n"/>
      <c r="AF526" s="61">
        <f>IF(COUNTIF($B$5:B526,B526)=1,1,0)</f>
        <v/>
      </c>
      <c r="AG526" s="62" t="n"/>
    </row>
    <row r="527" ht="15" customHeight="1" s="31">
      <c r="A527" s="38" t="n"/>
      <c r="B527" s="38" t="n"/>
      <c r="C527" s="38" t="n"/>
      <c r="D527" s="38" t="n"/>
      <c r="E527" s="38" t="n"/>
      <c r="F527" s="38" t="n"/>
      <c r="G527" s="62" t="n"/>
      <c r="H527" s="62" t="n"/>
      <c r="I527" s="62" t="n"/>
      <c r="J527" s="38" t="n"/>
      <c r="K527" s="62" t="n"/>
      <c r="L527" s="38" t="n"/>
      <c r="M527" s="62" t="n"/>
      <c r="N527" s="38" t="n"/>
      <c r="O527" s="62" t="n"/>
      <c r="P527" s="38" t="n"/>
      <c r="Q527" s="62" t="n"/>
      <c r="R527" s="38" t="n"/>
      <c r="S527" s="62" t="n"/>
      <c r="T527" s="38" t="n"/>
      <c r="U527" s="62" t="n"/>
      <c r="V527" s="38" t="n"/>
      <c r="W527" s="62" t="n"/>
      <c r="X527" s="38" t="n"/>
      <c r="Y527" s="62" t="n"/>
      <c r="Z527" s="38" t="n"/>
      <c r="AA527" s="62" t="n"/>
      <c r="AB527" s="38" t="n"/>
      <c r="AC527" s="62" t="n"/>
      <c r="AD527" s="38" t="n"/>
      <c r="AE527" s="38" t="n"/>
      <c r="AF527" s="61">
        <f>IF(COUNTIF($B$5:B527,B527)=1,1,0)</f>
        <v/>
      </c>
      <c r="AG527" s="62" t="n"/>
    </row>
    <row r="528" ht="15" customHeight="1" s="31">
      <c r="A528" s="38" t="n"/>
      <c r="B528" s="38" t="n"/>
      <c r="C528" s="38" t="n"/>
      <c r="D528" s="38" t="n"/>
      <c r="E528" s="38" t="n"/>
      <c r="F528" s="38" t="n"/>
      <c r="G528" s="62" t="n"/>
      <c r="H528" s="62" t="n"/>
      <c r="I528" s="62" t="n"/>
      <c r="J528" s="38" t="n"/>
      <c r="K528" s="62" t="n"/>
      <c r="L528" s="38" t="n"/>
      <c r="M528" s="62" t="n"/>
      <c r="N528" s="38" t="n"/>
      <c r="O528" s="62" t="n"/>
      <c r="P528" s="38" t="n"/>
      <c r="Q528" s="62" t="n"/>
      <c r="R528" s="38" t="n"/>
      <c r="S528" s="62" t="n"/>
      <c r="T528" s="38" t="n"/>
      <c r="U528" s="62" t="n"/>
      <c r="V528" s="38" t="n"/>
      <c r="W528" s="62" t="n"/>
      <c r="X528" s="38" t="n"/>
      <c r="Y528" s="62" t="n"/>
      <c r="Z528" s="38" t="n"/>
      <c r="AA528" s="62" t="n"/>
      <c r="AB528" s="38" t="n"/>
      <c r="AC528" s="62" t="n"/>
      <c r="AD528" s="38" t="n"/>
      <c r="AE528" s="38" t="n"/>
      <c r="AF528" s="61">
        <f>IF(COUNTIF($B$5:B528,B528)=1,1,0)</f>
        <v/>
      </c>
      <c r="AG528" s="62" t="n"/>
    </row>
    <row r="529" ht="15" customHeight="1" s="31">
      <c r="A529" s="38" t="n"/>
      <c r="B529" s="38" t="n"/>
      <c r="C529" s="38" t="n"/>
      <c r="D529" s="38" t="n"/>
      <c r="E529" s="38" t="n"/>
      <c r="F529" s="38" t="n"/>
      <c r="G529" s="62" t="n"/>
      <c r="H529" s="62" t="n"/>
      <c r="I529" s="62" t="n"/>
      <c r="J529" s="38" t="n"/>
      <c r="K529" s="62" t="n"/>
      <c r="L529" s="38" t="n"/>
      <c r="M529" s="62" t="n"/>
      <c r="N529" s="38" t="n"/>
      <c r="O529" s="62" t="n"/>
      <c r="P529" s="38" t="n"/>
      <c r="Q529" s="62" t="n"/>
      <c r="R529" s="38" t="n"/>
      <c r="S529" s="62" t="n"/>
      <c r="T529" s="38" t="n"/>
      <c r="U529" s="62" t="n"/>
      <c r="V529" s="38" t="n"/>
      <c r="W529" s="62" t="n"/>
      <c r="X529" s="38" t="n"/>
      <c r="Y529" s="62" t="n"/>
      <c r="Z529" s="38" t="n"/>
      <c r="AA529" s="62" t="n"/>
      <c r="AB529" s="38" t="n"/>
      <c r="AC529" s="62" t="n"/>
      <c r="AD529" s="38" t="n"/>
      <c r="AE529" s="38" t="n"/>
      <c r="AF529" s="61">
        <f>IF(COUNTIF($B$5:B529,B529)=1,1,0)</f>
        <v/>
      </c>
      <c r="AG529" s="62" t="n"/>
    </row>
    <row r="530" ht="15" customHeight="1" s="31">
      <c r="A530" s="38" t="n"/>
      <c r="B530" s="38" t="n"/>
      <c r="C530" s="38" t="n"/>
      <c r="D530" s="38" t="n"/>
      <c r="E530" s="38" t="n"/>
      <c r="F530" s="38" t="n"/>
      <c r="G530" s="62" t="n"/>
      <c r="H530" s="62" t="n"/>
      <c r="I530" s="62" t="n"/>
      <c r="J530" s="38" t="n"/>
      <c r="K530" s="62" t="n"/>
      <c r="L530" s="38" t="n"/>
      <c r="M530" s="62" t="n"/>
      <c r="N530" s="38" t="n"/>
      <c r="O530" s="62" t="n"/>
      <c r="P530" s="38" t="n"/>
      <c r="Q530" s="62" t="n"/>
      <c r="R530" s="38" t="n"/>
      <c r="S530" s="62" t="n"/>
      <c r="T530" s="38" t="n"/>
      <c r="U530" s="62" t="n"/>
      <c r="V530" s="38" t="n"/>
      <c r="W530" s="62" t="n"/>
      <c r="X530" s="38" t="n"/>
      <c r="Y530" s="62" t="n"/>
      <c r="Z530" s="38" t="n"/>
      <c r="AA530" s="62" t="n"/>
      <c r="AB530" s="38" t="n"/>
      <c r="AC530" s="62" t="n"/>
      <c r="AD530" s="38" t="n"/>
      <c r="AE530" s="38" t="n"/>
      <c r="AF530" s="61">
        <f>IF(COUNTIF($B$5:B530,B530)=1,1,0)</f>
        <v/>
      </c>
      <c r="AG530" s="62" t="n"/>
    </row>
    <row r="531" ht="15" customHeight="1" s="31">
      <c r="A531" s="38" t="n"/>
      <c r="B531" s="38" t="n"/>
      <c r="C531" s="38" t="n"/>
      <c r="D531" s="38" t="n"/>
      <c r="E531" s="38" t="n"/>
      <c r="F531" s="38" t="n"/>
      <c r="G531" s="62" t="n"/>
      <c r="H531" s="62" t="n"/>
      <c r="I531" s="62" t="n"/>
      <c r="J531" s="38" t="n"/>
      <c r="K531" s="62" t="n"/>
      <c r="L531" s="38" t="n"/>
      <c r="M531" s="62" t="n"/>
      <c r="N531" s="38" t="n"/>
      <c r="O531" s="62" t="n"/>
      <c r="P531" s="38" t="n"/>
      <c r="Q531" s="62" t="n"/>
      <c r="R531" s="38" t="n"/>
      <c r="S531" s="62" t="n"/>
      <c r="T531" s="38" t="n"/>
      <c r="U531" s="62" t="n"/>
      <c r="V531" s="38" t="n"/>
      <c r="W531" s="62" t="n"/>
      <c r="X531" s="38" t="n"/>
      <c r="Y531" s="62" t="n"/>
      <c r="Z531" s="38" t="n"/>
      <c r="AA531" s="62" t="n"/>
      <c r="AB531" s="38" t="n"/>
      <c r="AC531" s="62" t="n"/>
      <c r="AD531" s="38" t="n"/>
      <c r="AE531" s="38" t="n"/>
      <c r="AF531" s="61">
        <f>IF(COUNTIF($B$5:B531,B531)=1,1,0)</f>
        <v/>
      </c>
      <c r="AG531" s="62" t="n"/>
    </row>
    <row r="532" ht="15" customHeight="1" s="31">
      <c r="A532" s="38" t="n"/>
      <c r="B532" s="38" t="n"/>
      <c r="C532" s="38" t="n"/>
      <c r="D532" s="38" t="n"/>
      <c r="E532" s="38" t="n"/>
      <c r="F532" s="38" t="n"/>
      <c r="G532" s="62" t="n"/>
      <c r="H532" s="62" t="n"/>
      <c r="I532" s="62" t="n"/>
      <c r="J532" s="38" t="n"/>
      <c r="K532" s="62" t="n"/>
      <c r="L532" s="38" t="n"/>
      <c r="M532" s="62" t="n"/>
      <c r="N532" s="38" t="n"/>
      <c r="O532" s="62" t="n"/>
      <c r="P532" s="38" t="n"/>
      <c r="Q532" s="62" t="n"/>
      <c r="R532" s="38" t="n"/>
      <c r="S532" s="62" t="n"/>
      <c r="T532" s="38" t="n"/>
      <c r="U532" s="62" t="n"/>
      <c r="V532" s="38" t="n"/>
      <c r="W532" s="62" t="n"/>
      <c r="X532" s="38" t="n"/>
      <c r="Y532" s="62" t="n"/>
      <c r="Z532" s="38" t="n"/>
      <c r="AA532" s="62" t="n"/>
      <c r="AB532" s="38" t="n"/>
      <c r="AC532" s="62" t="n"/>
      <c r="AD532" s="38" t="n"/>
      <c r="AE532" s="38" t="n"/>
      <c r="AF532" s="61">
        <f>IF(COUNTIF($B$5:B532,B532)=1,1,0)</f>
        <v/>
      </c>
      <c r="AG532" s="62" t="n"/>
    </row>
    <row r="533" ht="15" customHeight="1" s="31">
      <c r="A533" s="38" t="n"/>
      <c r="B533" s="38" t="n"/>
      <c r="C533" s="38" t="n"/>
      <c r="D533" s="38" t="n"/>
      <c r="E533" s="38" t="n"/>
      <c r="F533" s="38" t="n"/>
      <c r="G533" s="62" t="n"/>
      <c r="H533" s="62" t="n"/>
      <c r="I533" s="62" t="n"/>
      <c r="J533" s="38" t="n"/>
      <c r="K533" s="62" t="n"/>
      <c r="L533" s="38" t="n"/>
      <c r="M533" s="62" t="n"/>
      <c r="N533" s="38" t="n"/>
      <c r="O533" s="62" t="n"/>
      <c r="P533" s="38" t="n"/>
      <c r="Q533" s="62" t="n"/>
      <c r="R533" s="38" t="n"/>
      <c r="S533" s="62" t="n"/>
      <c r="T533" s="38" t="n"/>
      <c r="U533" s="62" t="n"/>
      <c r="V533" s="38" t="n"/>
      <c r="W533" s="62" t="n"/>
      <c r="X533" s="38" t="n"/>
      <c r="Y533" s="62" t="n"/>
      <c r="Z533" s="38" t="n"/>
      <c r="AA533" s="62" t="n"/>
      <c r="AB533" s="38" t="n"/>
      <c r="AC533" s="62" t="n"/>
      <c r="AD533" s="38" t="n"/>
      <c r="AE533" s="38" t="n"/>
      <c r="AF533" s="61">
        <f>IF(COUNTIF($B$5:B533,B533)=1,1,0)</f>
        <v/>
      </c>
      <c r="AG533" s="62" t="n"/>
    </row>
    <row r="534" ht="15" customHeight="1" s="31">
      <c r="A534" s="38" t="n"/>
      <c r="B534" s="38" t="n"/>
      <c r="C534" s="38" t="n"/>
      <c r="D534" s="38" t="n"/>
      <c r="E534" s="38" t="n"/>
      <c r="F534" s="38" t="n"/>
      <c r="G534" s="62" t="n"/>
      <c r="H534" s="62" t="n"/>
      <c r="I534" s="62" t="n"/>
      <c r="J534" s="38" t="n"/>
      <c r="K534" s="62" t="n"/>
      <c r="L534" s="38" t="n"/>
      <c r="M534" s="62" t="n"/>
      <c r="N534" s="38" t="n"/>
      <c r="O534" s="62" t="n"/>
      <c r="P534" s="38" t="n"/>
      <c r="Q534" s="62" t="n"/>
      <c r="R534" s="38" t="n"/>
      <c r="S534" s="62" t="n"/>
      <c r="T534" s="38" t="n"/>
      <c r="U534" s="62" t="n"/>
      <c r="V534" s="38" t="n"/>
      <c r="W534" s="62" t="n"/>
      <c r="X534" s="38" t="n"/>
      <c r="Y534" s="62" t="n"/>
      <c r="Z534" s="38" t="n"/>
      <c r="AA534" s="62" t="n"/>
      <c r="AB534" s="38" t="n"/>
      <c r="AC534" s="62" t="n"/>
      <c r="AD534" s="38" t="n"/>
      <c r="AE534" s="38" t="n"/>
      <c r="AF534" s="61">
        <f>IF(COUNTIF($B$5:B534,B534)=1,1,0)</f>
        <v/>
      </c>
      <c r="AG534" s="62" t="n"/>
    </row>
    <row r="535" ht="15" customHeight="1" s="31">
      <c r="A535" s="38" t="n"/>
      <c r="B535" s="38" t="n"/>
      <c r="C535" s="38" t="n"/>
      <c r="D535" s="38" t="n"/>
      <c r="E535" s="38" t="n"/>
      <c r="F535" s="38" t="n"/>
      <c r="G535" s="62" t="n"/>
      <c r="H535" s="62" t="n"/>
      <c r="I535" s="62" t="n"/>
      <c r="J535" s="38" t="n"/>
      <c r="K535" s="62" t="n"/>
      <c r="L535" s="38" t="n"/>
      <c r="M535" s="62" t="n"/>
      <c r="N535" s="38" t="n"/>
      <c r="O535" s="62" t="n"/>
      <c r="P535" s="38" t="n"/>
      <c r="Q535" s="62" t="n"/>
      <c r="R535" s="38" t="n"/>
      <c r="S535" s="62" t="n"/>
      <c r="T535" s="38" t="n"/>
      <c r="U535" s="62" t="n"/>
      <c r="V535" s="38" t="n"/>
      <c r="W535" s="62" t="n"/>
      <c r="X535" s="38" t="n"/>
      <c r="Y535" s="62" t="n"/>
      <c r="Z535" s="38" t="n"/>
      <c r="AA535" s="62" t="n"/>
      <c r="AB535" s="38" t="n"/>
      <c r="AC535" s="62" t="n"/>
      <c r="AD535" s="38" t="n"/>
      <c r="AE535" s="38" t="n"/>
      <c r="AF535" s="61">
        <f>IF(COUNTIF($B$5:B535,B535)=1,1,0)</f>
        <v/>
      </c>
      <c r="AG535" s="62" t="n"/>
    </row>
    <row r="536" ht="15" customHeight="1" s="31">
      <c r="A536" s="38" t="n"/>
      <c r="B536" s="38" t="n"/>
      <c r="C536" s="38" t="n"/>
      <c r="D536" s="38" t="n"/>
      <c r="E536" s="38" t="n"/>
      <c r="F536" s="38" t="n"/>
      <c r="G536" s="62" t="n"/>
      <c r="H536" s="62" t="n"/>
      <c r="I536" s="62" t="n"/>
      <c r="J536" s="38" t="n"/>
      <c r="K536" s="62" t="n"/>
      <c r="L536" s="38" t="n"/>
      <c r="M536" s="62" t="n"/>
      <c r="N536" s="38" t="n"/>
      <c r="O536" s="62" t="n"/>
      <c r="P536" s="38" t="n"/>
      <c r="Q536" s="62" t="n"/>
      <c r="R536" s="38" t="n"/>
      <c r="S536" s="62" t="n"/>
      <c r="T536" s="38" t="n"/>
      <c r="U536" s="62" t="n"/>
      <c r="V536" s="38" t="n"/>
      <c r="W536" s="62" t="n"/>
      <c r="X536" s="38" t="n"/>
      <c r="Y536" s="62" t="n"/>
      <c r="Z536" s="38" t="n"/>
      <c r="AA536" s="62" t="n"/>
      <c r="AB536" s="38" t="n"/>
      <c r="AC536" s="62" t="n"/>
      <c r="AD536" s="38" t="n"/>
      <c r="AE536" s="38" t="n"/>
      <c r="AF536" s="61">
        <f>IF(COUNTIF($B$5:B536,B536)=1,1,0)</f>
        <v/>
      </c>
      <c r="AG536" s="62" t="n"/>
    </row>
    <row r="537" ht="15" customHeight="1" s="31">
      <c r="A537" s="38" t="n"/>
      <c r="B537" s="38" t="n"/>
      <c r="C537" s="38" t="n"/>
      <c r="D537" s="38" t="n"/>
      <c r="E537" s="38" t="n"/>
      <c r="F537" s="38" t="n"/>
      <c r="G537" s="62" t="n"/>
      <c r="H537" s="62" t="n"/>
      <c r="I537" s="62" t="n"/>
      <c r="J537" s="38" t="n"/>
      <c r="K537" s="62" t="n"/>
      <c r="L537" s="38" t="n"/>
      <c r="M537" s="62" t="n"/>
      <c r="N537" s="38" t="n"/>
      <c r="O537" s="62" t="n"/>
      <c r="P537" s="38" t="n"/>
      <c r="Q537" s="62" t="n"/>
      <c r="R537" s="38" t="n"/>
      <c r="S537" s="62" t="n"/>
      <c r="T537" s="38" t="n"/>
      <c r="U537" s="62" t="n"/>
      <c r="V537" s="38" t="n"/>
      <c r="W537" s="62" t="n"/>
      <c r="X537" s="38" t="n"/>
      <c r="Y537" s="62" t="n"/>
      <c r="Z537" s="38" t="n"/>
      <c r="AA537" s="62" t="n"/>
      <c r="AB537" s="38" t="n"/>
      <c r="AC537" s="62" t="n"/>
      <c r="AD537" s="38" t="n"/>
      <c r="AE537" s="38" t="n"/>
      <c r="AF537" s="61">
        <f>IF(COUNTIF($B$5:B537,B537)=1,1,0)</f>
        <v/>
      </c>
      <c r="AG537" s="62" t="n"/>
    </row>
    <row r="538" ht="15" customHeight="1" s="31">
      <c r="A538" s="38" t="n"/>
      <c r="B538" s="38" t="n"/>
      <c r="C538" s="38" t="n"/>
      <c r="D538" s="38" t="n"/>
      <c r="E538" s="38" t="n"/>
      <c r="F538" s="38" t="n"/>
      <c r="G538" s="62" t="n"/>
      <c r="H538" s="62" t="n"/>
      <c r="I538" s="62" t="n"/>
      <c r="J538" s="38" t="n"/>
      <c r="K538" s="62" t="n"/>
      <c r="L538" s="38" t="n"/>
      <c r="M538" s="62" t="n"/>
      <c r="N538" s="38" t="n"/>
      <c r="O538" s="62" t="n"/>
      <c r="P538" s="38" t="n"/>
      <c r="Q538" s="62" t="n"/>
      <c r="R538" s="38" t="n"/>
      <c r="S538" s="62" t="n"/>
      <c r="T538" s="38" t="n"/>
      <c r="U538" s="62" t="n"/>
      <c r="V538" s="38" t="n"/>
      <c r="W538" s="62" t="n"/>
      <c r="X538" s="38" t="n"/>
      <c r="Y538" s="62" t="n"/>
      <c r="Z538" s="38" t="n"/>
      <c r="AA538" s="62" t="n"/>
      <c r="AB538" s="38" t="n"/>
      <c r="AC538" s="62" t="n"/>
      <c r="AD538" s="38" t="n"/>
      <c r="AE538" s="38" t="n"/>
      <c r="AF538" s="61">
        <f>IF(COUNTIF($B$5:B538,B538)=1,1,0)</f>
        <v/>
      </c>
      <c r="AG538" s="62" t="n"/>
    </row>
    <row r="539" ht="15" customHeight="1" s="31">
      <c r="A539" s="38" t="n"/>
      <c r="B539" s="38" t="n"/>
      <c r="C539" s="38" t="n"/>
      <c r="D539" s="38" t="n"/>
      <c r="E539" s="38" t="n"/>
      <c r="F539" s="38" t="n"/>
      <c r="G539" s="62" t="n"/>
      <c r="H539" s="62" t="n"/>
      <c r="I539" s="62" t="n"/>
      <c r="J539" s="38" t="n"/>
      <c r="K539" s="62" t="n"/>
      <c r="L539" s="38" t="n"/>
      <c r="M539" s="62" t="n"/>
      <c r="N539" s="38" t="n"/>
      <c r="O539" s="62" t="n"/>
      <c r="P539" s="38" t="n"/>
      <c r="Q539" s="62" t="n"/>
      <c r="R539" s="38" t="n"/>
      <c r="S539" s="62" t="n"/>
      <c r="T539" s="38" t="n"/>
      <c r="U539" s="62" t="n"/>
      <c r="V539" s="38" t="n"/>
      <c r="W539" s="62" t="n"/>
      <c r="X539" s="38" t="n"/>
      <c r="Y539" s="62" t="n"/>
      <c r="Z539" s="38" t="n"/>
      <c r="AA539" s="62" t="n"/>
      <c r="AB539" s="38" t="n"/>
      <c r="AC539" s="62" t="n"/>
      <c r="AD539" s="38" t="n"/>
      <c r="AE539" s="38" t="n"/>
      <c r="AF539" s="61">
        <f>IF(COUNTIF($B$5:B539,B539)=1,1,0)</f>
        <v/>
      </c>
      <c r="AG539" s="62" t="n"/>
    </row>
    <row r="540" ht="15" customHeight="1" s="31">
      <c r="A540" s="38" t="n"/>
      <c r="B540" s="38" t="n"/>
      <c r="C540" s="38" t="n"/>
      <c r="D540" s="38" t="n"/>
      <c r="E540" s="38" t="n"/>
      <c r="F540" s="38" t="n"/>
      <c r="G540" s="62" t="n"/>
      <c r="H540" s="62" t="n"/>
      <c r="I540" s="62" t="n"/>
      <c r="J540" s="38" t="n"/>
      <c r="K540" s="62" t="n"/>
      <c r="L540" s="38" t="n"/>
      <c r="M540" s="62" t="n"/>
      <c r="N540" s="38" t="n"/>
      <c r="O540" s="62" t="n"/>
      <c r="P540" s="38" t="n"/>
      <c r="Q540" s="62" t="n"/>
      <c r="R540" s="38" t="n"/>
      <c r="S540" s="62" t="n"/>
      <c r="T540" s="38" t="n"/>
      <c r="U540" s="62" t="n"/>
      <c r="V540" s="38" t="n"/>
      <c r="W540" s="62" t="n"/>
      <c r="X540" s="38" t="n"/>
      <c r="Y540" s="62" t="n"/>
      <c r="Z540" s="38" t="n"/>
      <c r="AA540" s="62" t="n"/>
      <c r="AB540" s="38" t="n"/>
      <c r="AC540" s="62" t="n"/>
      <c r="AD540" s="38" t="n"/>
      <c r="AE540" s="38" t="n"/>
      <c r="AF540" s="61">
        <f>IF(COUNTIF($B$5:B540,B540)=1,1,0)</f>
        <v/>
      </c>
      <c r="AG540" s="62" t="n"/>
    </row>
    <row r="541" ht="15" customHeight="1" s="31">
      <c r="A541" s="38" t="n"/>
      <c r="B541" s="38" t="n"/>
      <c r="C541" s="38" t="n"/>
      <c r="D541" s="38" t="n"/>
      <c r="E541" s="38" t="n"/>
      <c r="F541" s="38" t="n"/>
      <c r="G541" s="62" t="n"/>
      <c r="H541" s="62" t="n"/>
      <c r="I541" s="62" t="n"/>
      <c r="J541" s="38" t="n"/>
      <c r="K541" s="62" t="n"/>
      <c r="L541" s="38" t="n"/>
      <c r="M541" s="62" t="n"/>
      <c r="N541" s="38" t="n"/>
      <c r="O541" s="62" t="n"/>
      <c r="P541" s="38" t="n"/>
      <c r="Q541" s="62" t="n"/>
      <c r="R541" s="38" t="n"/>
      <c r="S541" s="62" t="n"/>
      <c r="T541" s="38" t="n"/>
      <c r="U541" s="62" t="n"/>
      <c r="V541" s="38" t="n"/>
      <c r="W541" s="62" t="n"/>
      <c r="X541" s="38" t="n"/>
      <c r="Y541" s="62" t="n"/>
      <c r="Z541" s="38" t="n"/>
      <c r="AA541" s="62" t="n"/>
      <c r="AB541" s="38" t="n"/>
      <c r="AC541" s="62" t="n"/>
      <c r="AD541" s="38" t="n"/>
      <c r="AE541" s="38" t="n"/>
      <c r="AF541" s="61">
        <f>IF(COUNTIF($B$5:B541,B541)=1,1,0)</f>
        <v/>
      </c>
      <c r="AG541" s="62" t="n"/>
    </row>
    <row r="542" ht="15" customHeight="1" s="31">
      <c r="A542" s="38" t="n"/>
      <c r="B542" s="38" t="n"/>
      <c r="C542" s="38" t="n"/>
      <c r="D542" s="38" t="n"/>
      <c r="E542" s="38" t="n"/>
      <c r="F542" s="38" t="n"/>
      <c r="G542" s="62" t="n"/>
      <c r="H542" s="62" t="n"/>
      <c r="I542" s="62" t="n"/>
      <c r="J542" s="38" t="n"/>
      <c r="K542" s="62" t="n"/>
      <c r="L542" s="38" t="n"/>
      <c r="M542" s="62" t="n"/>
      <c r="N542" s="38" t="n"/>
      <c r="O542" s="62" t="n"/>
      <c r="P542" s="38" t="n"/>
      <c r="Q542" s="62" t="n"/>
      <c r="R542" s="38" t="n"/>
      <c r="S542" s="62" t="n"/>
      <c r="T542" s="38" t="n"/>
      <c r="U542" s="62" t="n"/>
      <c r="V542" s="38" t="n"/>
      <c r="W542" s="62" t="n"/>
      <c r="X542" s="38" t="n"/>
      <c r="Y542" s="62" t="n"/>
      <c r="Z542" s="38" t="n"/>
      <c r="AA542" s="62" t="n"/>
      <c r="AB542" s="38" t="n"/>
      <c r="AC542" s="62" t="n"/>
      <c r="AD542" s="38" t="n"/>
      <c r="AE542" s="38" t="n"/>
      <c r="AF542" s="61">
        <f>IF(COUNTIF($B$5:B542,B542)=1,1,0)</f>
        <v/>
      </c>
      <c r="AG542" s="62" t="n"/>
    </row>
    <row r="543" ht="15" customHeight="1" s="31">
      <c r="A543" s="38" t="n"/>
      <c r="B543" s="38" t="n"/>
      <c r="C543" s="38" t="n"/>
      <c r="D543" s="38" t="n"/>
      <c r="E543" s="38" t="n"/>
      <c r="F543" s="38" t="n"/>
      <c r="G543" s="62" t="n"/>
      <c r="H543" s="62" t="n"/>
      <c r="I543" s="62" t="n"/>
      <c r="J543" s="38" t="n"/>
      <c r="K543" s="62" t="n"/>
      <c r="L543" s="38" t="n"/>
      <c r="M543" s="62" t="n"/>
      <c r="N543" s="38" t="n"/>
      <c r="O543" s="62" t="n"/>
      <c r="P543" s="38" t="n"/>
      <c r="Q543" s="62" t="n"/>
      <c r="R543" s="38" t="n"/>
      <c r="S543" s="62" t="n"/>
      <c r="T543" s="38" t="n"/>
      <c r="U543" s="62" t="n"/>
      <c r="V543" s="38" t="n"/>
      <c r="W543" s="62" t="n"/>
      <c r="X543" s="38" t="n"/>
      <c r="Y543" s="62" t="n"/>
      <c r="Z543" s="38" t="n"/>
      <c r="AA543" s="62" t="n"/>
      <c r="AB543" s="38" t="n"/>
      <c r="AC543" s="62" t="n"/>
      <c r="AD543" s="38" t="n"/>
      <c r="AE543" s="38" t="n"/>
      <c r="AF543" s="61">
        <f>IF(COUNTIF($B$5:B543,B543)=1,1,0)</f>
        <v/>
      </c>
      <c r="AG543" s="62" t="n"/>
    </row>
    <row r="544" ht="15" customHeight="1" s="31">
      <c r="A544" s="38" t="n"/>
      <c r="B544" s="38" t="n"/>
      <c r="C544" s="38" t="n"/>
      <c r="D544" s="38" t="n"/>
      <c r="E544" s="38" t="n"/>
      <c r="F544" s="38" t="n"/>
      <c r="G544" s="62" t="n"/>
      <c r="H544" s="62" t="n"/>
      <c r="I544" s="62" t="n"/>
      <c r="J544" s="38" t="n"/>
      <c r="K544" s="62" t="n"/>
      <c r="L544" s="38" t="n"/>
      <c r="M544" s="62" t="n"/>
      <c r="N544" s="38" t="n"/>
      <c r="O544" s="62" t="n"/>
      <c r="P544" s="38" t="n"/>
      <c r="Q544" s="62" t="n"/>
      <c r="R544" s="38" t="n"/>
      <c r="S544" s="62" t="n"/>
      <c r="T544" s="38" t="n"/>
      <c r="U544" s="62" t="n"/>
      <c r="V544" s="38" t="n"/>
      <c r="W544" s="62" t="n"/>
      <c r="X544" s="38" t="n"/>
      <c r="Y544" s="62" t="n"/>
      <c r="Z544" s="38" t="n"/>
      <c r="AA544" s="62" t="n"/>
      <c r="AB544" s="38" t="n"/>
      <c r="AC544" s="62" t="n"/>
      <c r="AD544" s="38" t="n"/>
      <c r="AE544" s="38" t="n"/>
      <c r="AF544" s="61">
        <f>IF(COUNTIF($B$5:B544,B544)=1,1,0)</f>
        <v/>
      </c>
      <c r="AG544" s="62" t="n"/>
    </row>
    <row r="545" ht="15" customHeight="1" s="31">
      <c r="A545" s="38" t="n"/>
      <c r="B545" s="38" t="n"/>
      <c r="C545" s="38" t="n"/>
      <c r="D545" s="38" t="n"/>
      <c r="E545" s="38" t="n"/>
      <c r="F545" s="38" t="n"/>
      <c r="G545" s="62" t="n"/>
      <c r="H545" s="62" t="n"/>
      <c r="I545" s="62" t="n"/>
      <c r="J545" s="38" t="n"/>
      <c r="K545" s="62" t="n"/>
      <c r="L545" s="38" t="n"/>
      <c r="M545" s="62" t="n"/>
      <c r="N545" s="38" t="n"/>
      <c r="O545" s="62" t="n"/>
      <c r="P545" s="38" t="n"/>
      <c r="Q545" s="62" t="n"/>
      <c r="R545" s="38" t="n"/>
      <c r="S545" s="62" t="n"/>
      <c r="T545" s="38" t="n"/>
      <c r="U545" s="62" t="n"/>
      <c r="V545" s="38" t="n"/>
      <c r="W545" s="62" t="n"/>
      <c r="X545" s="38" t="n"/>
      <c r="Y545" s="62" t="n"/>
      <c r="Z545" s="38" t="n"/>
      <c r="AA545" s="62" t="n"/>
      <c r="AB545" s="38" t="n"/>
      <c r="AC545" s="62" t="n"/>
      <c r="AD545" s="38" t="n"/>
      <c r="AE545" s="38" t="n"/>
      <c r="AF545" s="61">
        <f>IF(COUNTIF($B$5:B545,B545)=1,1,0)</f>
        <v/>
      </c>
      <c r="AG545" s="62" t="n"/>
    </row>
    <row r="546" ht="15" customHeight="1" s="31">
      <c r="A546" s="38" t="n"/>
      <c r="B546" s="38" t="n"/>
      <c r="C546" s="38" t="n"/>
      <c r="D546" s="38" t="n"/>
      <c r="E546" s="38" t="n"/>
      <c r="F546" s="38" t="n"/>
      <c r="G546" s="62" t="n"/>
      <c r="H546" s="62" t="n"/>
      <c r="I546" s="62" t="n"/>
      <c r="J546" s="38" t="n"/>
      <c r="K546" s="62" t="n"/>
      <c r="L546" s="38" t="n"/>
      <c r="M546" s="62" t="n"/>
      <c r="N546" s="38" t="n"/>
      <c r="O546" s="62" t="n"/>
      <c r="P546" s="38" t="n"/>
      <c r="Q546" s="62" t="n"/>
      <c r="R546" s="38" t="n"/>
      <c r="S546" s="62" t="n"/>
      <c r="T546" s="38" t="n"/>
      <c r="U546" s="62" t="n"/>
      <c r="V546" s="38" t="n"/>
      <c r="W546" s="62" t="n"/>
      <c r="X546" s="38" t="n"/>
      <c r="Y546" s="62" t="n"/>
      <c r="Z546" s="38" t="n"/>
      <c r="AA546" s="62" t="n"/>
      <c r="AB546" s="38" t="n"/>
      <c r="AC546" s="62" t="n"/>
      <c r="AD546" s="38" t="n"/>
      <c r="AE546" s="38" t="n"/>
      <c r="AF546" s="61">
        <f>IF(COUNTIF($B$5:B546,B546)=1,1,0)</f>
        <v/>
      </c>
      <c r="AG546" s="62" t="n"/>
    </row>
    <row r="547" ht="15" customHeight="1" s="31">
      <c r="A547" s="38" t="n"/>
      <c r="B547" s="38" t="n"/>
      <c r="C547" s="38" t="n"/>
      <c r="D547" s="38" t="n"/>
      <c r="E547" s="38" t="n"/>
      <c r="F547" s="38" t="n"/>
      <c r="G547" s="62" t="n"/>
      <c r="H547" s="62" t="n"/>
      <c r="I547" s="62" t="n"/>
      <c r="J547" s="38" t="n"/>
      <c r="K547" s="62" t="n"/>
      <c r="L547" s="38" t="n"/>
      <c r="M547" s="62" t="n"/>
      <c r="N547" s="38" t="n"/>
      <c r="O547" s="62" t="n"/>
      <c r="P547" s="38" t="n"/>
      <c r="Q547" s="62" t="n"/>
      <c r="R547" s="38" t="n"/>
      <c r="S547" s="62" t="n"/>
      <c r="T547" s="38" t="n"/>
      <c r="U547" s="62" t="n"/>
      <c r="V547" s="38" t="n"/>
      <c r="W547" s="62" t="n"/>
      <c r="X547" s="38" t="n"/>
      <c r="Y547" s="62" t="n"/>
      <c r="Z547" s="38" t="n"/>
      <c r="AA547" s="62" t="n"/>
      <c r="AB547" s="38" t="n"/>
      <c r="AC547" s="62" t="n"/>
      <c r="AD547" s="38" t="n"/>
      <c r="AE547" s="38" t="n"/>
      <c r="AF547" s="61">
        <f>IF(COUNTIF($B$5:B547,B547)=1,1,0)</f>
        <v/>
      </c>
      <c r="AG547" s="62" t="n"/>
    </row>
    <row r="548" ht="15" customHeight="1" s="31">
      <c r="A548" s="38" t="n"/>
      <c r="B548" s="38" t="n"/>
      <c r="C548" s="38" t="n"/>
      <c r="D548" s="38" t="n"/>
      <c r="E548" s="38" t="n"/>
      <c r="F548" s="38" t="n"/>
      <c r="G548" s="62" t="n"/>
      <c r="H548" s="62" t="n"/>
      <c r="I548" s="62" t="n"/>
      <c r="J548" s="38" t="n"/>
      <c r="K548" s="62" t="n"/>
      <c r="L548" s="38" t="n"/>
      <c r="M548" s="62" t="n"/>
      <c r="N548" s="38" t="n"/>
      <c r="O548" s="62" t="n"/>
      <c r="P548" s="38" t="n"/>
      <c r="Q548" s="62" t="n"/>
      <c r="R548" s="38" t="n"/>
      <c r="S548" s="62" t="n"/>
      <c r="T548" s="38" t="n"/>
      <c r="U548" s="62" t="n"/>
      <c r="V548" s="38" t="n"/>
      <c r="W548" s="62" t="n"/>
      <c r="X548" s="38" t="n"/>
      <c r="Y548" s="62" t="n"/>
      <c r="Z548" s="38" t="n"/>
      <c r="AA548" s="62" t="n"/>
      <c r="AB548" s="38" t="n"/>
      <c r="AC548" s="62" t="n"/>
      <c r="AD548" s="38" t="n"/>
      <c r="AE548" s="38" t="n"/>
      <c r="AF548" s="61">
        <f>IF(COUNTIF($B$5:B548,B548)=1,1,0)</f>
        <v/>
      </c>
      <c r="AG548" s="62" t="n"/>
    </row>
    <row r="549" ht="15" customHeight="1" s="31">
      <c r="A549" s="38" t="n"/>
      <c r="B549" s="38" t="n"/>
      <c r="C549" s="38" t="n"/>
      <c r="D549" s="38" t="n"/>
      <c r="E549" s="38" t="n"/>
      <c r="F549" s="38" t="n"/>
      <c r="G549" s="62" t="n"/>
      <c r="H549" s="62" t="n"/>
      <c r="I549" s="62" t="n"/>
      <c r="J549" s="38" t="n"/>
      <c r="K549" s="62" t="n"/>
      <c r="L549" s="38" t="n"/>
      <c r="M549" s="62" t="n"/>
      <c r="N549" s="38" t="n"/>
      <c r="O549" s="62" t="n"/>
      <c r="P549" s="38" t="n"/>
      <c r="Q549" s="62" t="n"/>
      <c r="R549" s="38" t="n"/>
      <c r="S549" s="62" t="n"/>
      <c r="T549" s="38" t="n"/>
      <c r="U549" s="62" t="n"/>
      <c r="V549" s="38" t="n"/>
      <c r="W549" s="62" t="n"/>
      <c r="X549" s="38" t="n"/>
      <c r="Y549" s="62" t="n"/>
      <c r="Z549" s="38" t="n"/>
      <c r="AA549" s="62" t="n"/>
      <c r="AB549" s="38" t="n"/>
      <c r="AC549" s="62" t="n"/>
      <c r="AD549" s="38" t="n"/>
      <c r="AE549" s="38" t="n"/>
      <c r="AF549" s="61">
        <f>IF(COUNTIF($B$5:B549,B549)=1,1,0)</f>
        <v/>
      </c>
      <c r="AG549" s="62" t="n"/>
    </row>
    <row r="550" ht="15" customHeight="1" s="31">
      <c r="A550" s="38" t="n"/>
      <c r="B550" s="38" t="n"/>
      <c r="C550" s="38" t="n"/>
      <c r="D550" s="38" t="n"/>
      <c r="E550" s="38" t="n"/>
      <c r="F550" s="38" t="n"/>
      <c r="G550" s="62" t="n"/>
      <c r="H550" s="62" t="n"/>
      <c r="I550" s="62" t="n"/>
      <c r="J550" s="38" t="n"/>
      <c r="K550" s="62" t="n"/>
      <c r="L550" s="38" t="n"/>
      <c r="M550" s="62" t="n"/>
      <c r="N550" s="38" t="n"/>
      <c r="O550" s="62" t="n"/>
      <c r="P550" s="38" t="n"/>
      <c r="Q550" s="62" t="n"/>
      <c r="R550" s="38" t="n"/>
      <c r="S550" s="62" t="n"/>
      <c r="T550" s="38" t="n"/>
      <c r="U550" s="62" t="n"/>
      <c r="V550" s="38" t="n"/>
      <c r="W550" s="62" t="n"/>
      <c r="X550" s="38" t="n"/>
      <c r="Y550" s="62" t="n"/>
      <c r="Z550" s="38" t="n"/>
      <c r="AA550" s="62" t="n"/>
      <c r="AB550" s="38" t="n"/>
      <c r="AC550" s="62" t="n"/>
      <c r="AD550" s="38" t="n"/>
      <c r="AE550" s="38" t="n"/>
      <c r="AF550" s="61">
        <f>IF(COUNTIF($B$5:B550,B550)=1,1,0)</f>
        <v/>
      </c>
      <c r="AG550" s="62" t="n"/>
    </row>
    <row r="551" ht="15" customHeight="1" s="31">
      <c r="A551" s="38" t="n"/>
      <c r="B551" s="38" t="n"/>
      <c r="C551" s="38" t="n"/>
      <c r="D551" s="38" t="n"/>
      <c r="E551" s="38" t="n"/>
      <c r="F551" s="38" t="n"/>
      <c r="G551" s="62" t="n"/>
      <c r="H551" s="62" t="n"/>
      <c r="I551" s="62" t="n"/>
      <c r="J551" s="38" t="n"/>
      <c r="K551" s="62" t="n"/>
      <c r="L551" s="38" t="n"/>
      <c r="M551" s="62" t="n"/>
      <c r="N551" s="38" t="n"/>
      <c r="O551" s="62" t="n"/>
      <c r="P551" s="38" t="n"/>
      <c r="Q551" s="62" t="n"/>
      <c r="R551" s="38" t="n"/>
      <c r="S551" s="62" t="n"/>
      <c r="T551" s="38" t="n"/>
      <c r="U551" s="62" t="n"/>
      <c r="V551" s="38" t="n"/>
      <c r="W551" s="62" t="n"/>
      <c r="X551" s="38" t="n"/>
      <c r="Y551" s="62" t="n"/>
      <c r="Z551" s="38" t="n"/>
      <c r="AA551" s="62" t="n"/>
      <c r="AB551" s="38" t="n"/>
      <c r="AC551" s="62" t="n"/>
      <c r="AD551" s="38" t="n"/>
      <c r="AE551" s="38" t="n"/>
      <c r="AF551" s="61">
        <f>IF(COUNTIF($B$5:B551,B551)=1,1,0)</f>
        <v/>
      </c>
      <c r="AG551" s="62" t="n"/>
    </row>
    <row r="552" ht="15" customHeight="1" s="31">
      <c r="A552" s="38" t="n"/>
      <c r="B552" s="38" t="n"/>
      <c r="C552" s="38" t="n"/>
      <c r="D552" s="38" t="n"/>
      <c r="E552" s="38" t="n"/>
      <c r="F552" s="38" t="n"/>
      <c r="G552" s="62" t="n"/>
      <c r="H552" s="62" t="n"/>
      <c r="I552" s="62" t="n"/>
      <c r="J552" s="38" t="n"/>
      <c r="K552" s="62" t="n"/>
      <c r="L552" s="38" t="n"/>
      <c r="M552" s="62" t="n"/>
      <c r="N552" s="38" t="n"/>
      <c r="O552" s="62" t="n"/>
      <c r="P552" s="38" t="n"/>
      <c r="Q552" s="62" t="n"/>
      <c r="R552" s="38" t="n"/>
      <c r="S552" s="62" t="n"/>
      <c r="T552" s="38" t="n"/>
      <c r="U552" s="62" t="n"/>
      <c r="V552" s="38" t="n"/>
      <c r="W552" s="62" t="n"/>
      <c r="X552" s="38" t="n"/>
      <c r="Y552" s="62" t="n"/>
      <c r="Z552" s="38" t="n"/>
      <c r="AA552" s="62" t="n"/>
      <c r="AB552" s="38" t="n"/>
      <c r="AC552" s="62" t="n"/>
      <c r="AD552" s="38" t="n"/>
      <c r="AE552" s="38" t="n"/>
      <c r="AF552" s="61">
        <f>IF(COUNTIF($B$5:B552,B552)=1,1,0)</f>
        <v/>
      </c>
      <c r="AG552" s="62" t="n"/>
    </row>
    <row r="553" ht="15" customHeight="1" s="31">
      <c r="A553" s="38" t="n"/>
      <c r="B553" s="38" t="n"/>
      <c r="C553" s="38" t="n"/>
      <c r="D553" s="38" t="n"/>
      <c r="E553" s="38" t="n"/>
      <c r="F553" s="38" t="n"/>
      <c r="G553" s="62" t="n"/>
      <c r="H553" s="62" t="n"/>
      <c r="I553" s="62" t="n"/>
      <c r="J553" s="38" t="n"/>
      <c r="K553" s="62" t="n"/>
      <c r="L553" s="38" t="n"/>
      <c r="M553" s="62" t="n"/>
      <c r="N553" s="38" t="n"/>
      <c r="O553" s="62" t="n"/>
      <c r="P553" s="38" t="n"/>
      <c r="Q553" s="62" t="n"/>
      <c r="R553" s="38" t="n"/>
      <c r="S553" s="62" t="n"/>
      <c r="T553" s="38" t="n"/>
      <c r="U553" s="62" t="n"/>
      <c r="V553" s="38" t="n"/>
      <c r="W553" s="62" t="n"/>
      <c r="X553" s="38" t="n"/>
      <c r="Y553" s="62" t="n"/>
      <c r="Z553" s="38" t="n"/>
      <c r="AA553" s="62" t="n"/>
      <c r="AB553" s="38" t="n"/>
      <c r="AC553" s="62" t="n"/>
      <c r="AD553" s="38" t="n"/>
      <c r="AE553" s="38" t="n"/>
      <c r="AF553" s="61">
        <f>IF(COUNTIF($B$5:B553,B553)=1,1,0)</f>
        <v/>
      </c>
      <c r="AG553" s="62" t="n"/>
    </row>
    <row r="554" ht="15" customHeight="1" s="31">
      <c r="A554" s="38" t="n"/>
      <c r="B554" s="38" t="n"/>
      <c r="C554" s="38" t="n"/>
      <c r="D554" s="38" t="n"/>
      <c r="E554" s="38" t="n"/>
      <c r="F554" s="38" t="n"/>
      <c r="G554" s="62" t="n"/>
      <c r="H554" s="62" t="n"/>
      <c r="I554" s="62" t="n"/>
      <c r="J554" s="38" t="n"/>
      <c r="K554" s="62" t="n"/>
      <c r="L554" s="38" t="n"/>
      <c r="M554" s="62" t="n"/>
      <c r="N554" s="38" t="n"/>
      <c r="O554" s="62" t="n"/>
      <c r="P554" s="38" t="n"/>
      <c r="Q554" s="62" t="n"/>
      <c r="R554" s="38" t="n"/>
      <c r="S554" s="62" t="n"/>
      <c r="T554" s="38" t="n"/>
      <c r="U554" s="62" t="n"/>
      <c r="V554" s="38" t="n"/>
      <c r="W554" s="62" t="n"/>
      <c r="X554" s="38" t="n"/>
      <c r="Y554" s="62" t="n"/>
      <c r="Z554" s="38" t="n"/>
      <c r="AA554" s="62" t="n"/>
      <c r="AB554" s="38" t="n"/>
      <c r="AC554" s="62" t="n"/>
      <c r="AD554" s="38" t="n"/>
      <c r="AE554" s="38" t="n"/>
      <c r="AF554" s="61">
        <f>IF(COUNTIF($B$5:B554,B554)=1,1,0)</f>
        <v/>
      </c>
      <c r="AG554" s="62" t="n"/>
    </row>
    <row r="555" ht="15" customHeight="1" s="31">
      <c r="A555" s="38" t="n"/>
      <c r="B555" s="38" t="n"/>
      <c r="C555" s="38" t="n"/>
      <c r="D555" s="38" t="n"/>
      <c r="E555" s="38" t="n"/>
      <c r="F555" s="38" t="n"/>
      <c r="G555" s="62" t="n"/>
      <c r="H555" s="62" t="n"/>
      <c r="I555" s="62" t="n"/>
      <c r="J555" s="38" t="n"/>
      <c r="K555" s="62" t="n"/>
      <c r="L555" s="38" t="n"/>
      <c r="M555" s="62" t="n"/>
      <c r="N555" s="38" t="n"/>
      <c r="O555" s="62" t="n"/>
      <c r="P555" s="38" t="n"/>
      <c r="Q555" s="62" t="n"/>
      <c r="R555" s="38" t="n"/>
      <c r="S555" s="62" t="n"/>
      <c r="T555" s="38" t="n"/>
      <c r="U555" s="62" t="n"/>
      <c r="V555" s="38" t="n"/>
      <c r="W555" s="62" t="n"/>
      <c r="X555" s="38" t="n"/>
      <c r="Y555" s="62" t="n"/>
      <c r="Z555" s="38" t="n"/>
      <c r="AA555" s="62" t="n"/>
      <c r="AB555" s="38" t="n"/>
      <c r="AC555" s="62" t="n"/>
      <c r="AD555" s="38" t="n"/>
      <c r="AE555" s="38" t="n"/>
      <c r="AF555" s="61">
        <f>IF(COUNTIF($B$5:B555,B555)=1,1,0)</f>
        <v/>
      </c>
      <c r="AG555" s="62" t="n"/>
    </row>
    <row r="556" ht="15" customHeight="1" s="31">
      <c r="A556" s="38" t="n"/>
      <c r="B556" s="38" t="n"/>
      <c r="C556" s="38" t="n"/>
      <c r="D556" s="38" t="n"/>
      <c r="E556" s="38" t="n"/>
      <c r="F556" s="38" t="n"/>
      <c r="G556" s="62" t="n"/>
      <c r="H556" s="62" t="n"/>
      <c r="I556" s="62" t="n"/>
      <c r="J556" s="38" t="n"/>
      <c r="K556" s="62" t="n"/>
      <c r="L556" s="38" t="n"/>
      <c r="M556" s="62" t="n"/>
      <c r="N556" s="38" t="n"/>
      <c r="O556" s="62" t="n"/>
      <c r="P556" s="38" t="n"/>
      <c r="Q556" s="62" t="n"/>
      <c r="R556" s="38" t="n"/>
      <c r="S556" s="62" t="n"/>
      <c r="T556" s="38" t="n"/>
      <c r="U556" s="62" t="n"/>
      <c r="V556" s="38" t="n"/>
      <c r="W556" s="62" t="n"/>
      <c r="X556" s="38" t="n"/>
      <c r="Y556" s="62" t="n"/>
      <c r="Z556" s="38" t="n"/>
      <c r="AA556" s="62" t="n"/>
      <c r="AB556" s="38" t="n"/>
      <c r="AC556" s="62" t="n"/>
      <c r="AD556" s="38" t="n"/>
      <c r="AE556" s="38" t="n"/>
      <c r="AF556" s="61">
        <f>IF(COUNTIF($B$5:B556,B556)=1,1,0)</f>
        <v/>
      </c>
      <c r="AG556" s="62" t="n"/>
    </row>
    <row r="557" ht="15" customHeight="1" s="31">
      <c r="A557" s="38" t="n"/>
      <c r="B557" s="38" t="n"/>
      <c r="C557" s="38" t="n"/>
      <c r="D557" s="38" t="n"/>
      <c r="E557" s="38" t="n"/>
      <c r="F557" s="38" t="n"/>
      <c r="G557" s="62" t="n"/>
      <c r="H557" s="62" t="n"/>
      <c r="I557" s="62" t="n"/>
      <c r="J557" s="38" t="n"/>
      <c r="K557" s="62" t="n"/>
      <c r="L557" s="38" t="n"/>
      <c r="M557" s="62" t="n"/>
      <c r="N557" s="38" t="n"/>
      <c r="O557" s="62" t="n"/>
      <c r="P557" s="38" t="n"/>
      <c r="Q557" s="62" t="n"/>
      <c r="R557" s="38" t="n"/>
      <c r="S557" s="62" t="n"/>
      <c r="T557" s="38" t="n"/>
      <c r="U557" s="62" t="n"/>
      <c r="V557" s="38" t="n"/>
      <c r="W557" s="62" t="n"/>
      <c r="X557" s="38" t="n"/>
      <c r="Y557" s="62" t="n"/>
      <c r="Z557" s="38" t="n"/>
      <c r="AA557" s="62" t="n"/>
      <c r="AB557" s="38" t="n"/>
      <c r="AC557" s="62" t="n"/>
      <c r="AD557" s="38" t="n"/>
      <c r="AE557" s="38" t="n"/>
      <c r="AF557" s="61">
        <f>IF(COUNTIF($B$5:B557,B557)=1,1,0)</f>
        <v/>
      </c>
      <c r="AG557" s="62" t="n"/>
    </row>
  </sheetData>
  <mergeCells count="2">
    <mergeCell ref="A2:AG2"/>
    <mergeCell ref="A1:AG1"/>
  </mergeCells>
  <dataValidations count="6">
    <dataValidation sqref="C5:C557" showDropDown="0" showInputMessage="0" showErrorMessage="0" allowBlank="1" type="list" errorStyle="stop" operator="between">
      <formula1>"Infobae Colombia,El Tiempo,El Espectador,La Silla Vacía,Semana"</formula1>
      <formula2>0</formula2>
    </dataValidation>
    <dataValidation sqref="D5:D557" showDropDown="0" showInputMessage="0" showErrorMessage="0" allowBlank="1" type="list" errorStyle="stop" operator="between">
      <formula1>"Transición de gobierno y relación con la oposición,Respuesta a la emergencia del terremoto,Relación con Estados Unidos,Reformas sociales en disputa (pensional/tributaria),Seguridad y orden público"</formula1>
      <formula2>0</formula2>
    </dataValidation>
    <dataValidation sqref="E5:E557" showDropDown="0" showInputMessage="0" showErrorMessage="0" allowBlank="1" type="list" errorStyle="stop" operator="between">
      <formula1>"Noticia dura,Opinión-análisis"</formula1>
      <formula2>0</formula2>
    </dataValidation>
    <dataValidation sqref="J5:J557 L5:L557 N5:N557 P5:P557 R5:R557 T5:T557 V5:V557 X5:X557 Z5:Z557" showDropDown="0" showInputMessage="0" showErrorMessage="0" allowBlank="0" type="list">
      <formula1>"TRUE,FALSE"</formula1>
    </dataValidation>
    <dataValidation sqref="AB5:AB557" showDropDown="0" showInputMessage="0" showErrorMessage="0" allowBlank="0" type="list">
      <formula1>"favorece,perjudica,neutral"</formula1>
    </dataValidation>
    <dataValidation sqref="AD5:AD557 AE5:AE557" showDropDown="0" showInputMessage="0" showErrorMessage="0" allowBlank="0" type="whole" operator="between">
      <formula1>1</formula1>
      <formula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2026-09-04T05:19:50Z</dcterms:created>
  <dcterms:modified xmlns:dcterms="http://purl.org/dc/terms/" xmlns:xsi="http://www.w3.org/2001/XMLSchema-instance" xsi:type="dcterms:W3CDTF">2026-09-07T19:17:11Z</dcterms:modified>
  <cp:revision>0</cp:revision>
</cp:coreProperties>
</file>