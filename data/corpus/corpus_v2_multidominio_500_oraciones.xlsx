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rid de recoleccion" sheetId="1" state="visible" r:id="rId1"/>
    <sheet xmlns:r="http://schemas.openxmlformats.org/officeDocument/2006/relationships" name="Resumen" sheetId="2" state="visible" r:id="rId2"/>
    <sheet xmlns:r="http://schemas.openxmlformats.org/officeDocument/2006/relationships" name="Leyenda" sheetId="3" state="visible" r:id="rId3"/>
    <sheet xmlns:r="http://schemas.openxmlformats.org/officeDocument/2006/relationships" name="Corpus - oracione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10"/>
    </font>
    <font>
      <name val="Arial"/>
      <charset val="1"/>
      <family val="0"/>
      <b val="1"/>
      <color rgb="FFFFFFFF"/>
      <sz val="10"/>
    </font>
    <font>
      <name val="Arial"/>
      <charset val="1"/>
      <family val="0"/>
      <sz val="10"/>
    </font>
    <font>
      <name val="Arial"/>
      <charset val="1"/>
      <family val="0"/>
      <color rgb="FF0000FF"/>
      <sz val="10"/>
    </font>
    <font>
      <name val="Arial"/>
      <charset val="1"/>
      <family val="0"/>
      <color rgb="FF000000"/>
      <sz val="10"/>
    </font>
    <font>
      <name val="Arial"/>
      <charset val="1"/>
      <family val="0"/>
      <b val="1"/>
      <sz val="10"/>
    </font>
    <font>
      <name val="Arial"/>
      <charset val="1"/>
      <family val="0"/>
      <b val="1"/>
      <color rgb="FFFFFFFF"/>
      <sz val="9"/>
    </font>
    <font>
      <name val="Arial"/>
      <charset val="1"/>
      <family val="0"/>
      <i val="1"/>
      <color rgb="FF595959"/>
      <sz val="9"/>
    </font>
    <font>
      <name val="Arial"/>
      <charset val="1"/>
      <family val="0"/>
      <color rgb="FF595959"/>
      <sz val="9"/>
    </font>
  </fonts>
  <fills count="8">
    <fill>
      <patternFill/>
    </fill>
    <fill>
      <patternFill patternType="gray125"/>
    </fill>
    <fill>
      <patternFill patternType="solid">
        <fgColor rgb="FF2F5496"/>
        <bgColor rgb="FF1F3864"/>
      </patternFill>
    </fill>
    <fill>
      <patternFill patternType="solid">
        <fgColor rgb="FFFFFF00"/>
        <bgColor rgb="FFFFFF00"/>
      </patternFill>
    </fill>
    <fill>
      <patternFill patternType="solid">
        <fgColor rgb="FFF2F2F2"/>
        <bgColor rgb="FFFFFFFF"/>
      </patternFill>
    </fill>
    <fill>
      <patternFill patternType="solid">
        <fgColor rgb="FFD9E1F2"/>
        <bgColor rgb="FFF2F2F2"/>
      </patternFill>
    </fill>
    <fill>
      <patternFill patternType="solid">
        <fgColor rgb="FFF2F2F2"/>
      </patternFill>
    </fill>
    <fill>
      <patternFill patternType="solid">
        <fgColor rgb="FFFFFF00"/>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3" borderId="1" applyAlignment="1" pivotButton="0" quotePrefix="0" xfId="0">
      <alignment horizontal="center" vertical="center"/>
    </xf>
    <xf numFmtId="0" fontId="9" fillId="0" borderId="1" applyAlignment="1" pivotButton="0" quotePrefix="0" xfId="0">
      <alignment horizontal="center" vertical="center"/>
    </xf>
    <xf numFmtId="0" fontId="0" fillId="3" borderId="1" applyAlignment="1" pivotButton="0" quotePrefix="0" xfId="0">
      <alignment horizontal="center" vertical="center"/>
    </xf>
    <xf numFmtId="9" fontId="9"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7" fillId="4" borderId="1" applyAlignment="1" pivotButton="0" quotePrefix="0" xfId="0">
      <alignment horizontal="left" vertical="center" wrapText="1"/>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5" borderId="1" applyAlignment="1" pivotButton="0" quotePrefix="0" xfId="0">
      <alignment horizontal="general" vertical="bottom"/>
    </xf>
    <xf numFmtId="0" fontId="10" fillId="5" borderId="1" applyAlignment="1" pivotButton="0" quotePrefix="0" xfId="0">
      <alignment horizontal="general" vertical="bottom"/>
    </xf>
    <xf numFmtId="0" fontId="0" fillId="5" borderId="1" applyAlignment="1" pivotButton="0" quotePrefix="0" xfId="0">
      <alignment horizontal="general" vertical="bottom"/>
    </xf>
    <xf numFmtId="9" fontId="10" fillId="5" borderId="1" applyAlignment="1" pivotButton="0" quotePrefix="0" xfId="0">
      <alignment horizontal="general" vertical="bottom"/>
    </xf>
    <xf numFmtId="0" fontId="10" fillId="0" borderId="0" applyAlignment="1" pivotButton="0" quotePrefix="0" xfId="0">
      <alignment horizontal="general" vertical="bottom"/>
    </xf>
    <xf numFmtId="0" fontId="9" fillId="0" borderId="1" applyAlignment="1" pivotButton="0" quotePrefix="0" xfId="0">
      <alignment horizontal="center" vertical="bottom"/>
    </xf>
    <xf numFmtId="9" fontId="9" fillId="0" borderId="1" applyAlignment="1" pivotButton="0" quotePrefix="0" xfId="0">
      <alignment horizontal="center" vertical="bottom"/>
    </xf>
    <xf numFmtId="0" fontId="10" fillId="0" borderId="1" applyAlignment="1" pivotButton="0" quotePrefix="0" xfId="0">
      <alignment horizontal="general" vertical="bottom"/>
    </xf>
    <xf numFmtId="9" fontId="10" fillId="0" borderId="1" applyAlignment="1" pivotButton="0" quotePrefix="0" xfId="0">
      <alignment horizontal="general" vertical="bottom"/>
    </xf>
    <xf numFmtId="0" fontId="10" fillId="0" borderId="1" applyAlignment="1" pivotButton="0" quotePrefix="0" xfId="0">
      <alignment horizontal="left" vertical="center" wrapText="1"/>
    </xf>
    <xf numFmtId="0" fontId="5" fillId="0" borderId="0" applyAlignment="1" pivotButton="0" quotePrefix="0" xfId="0">
      <alignment horizontal="general" vertical="bottom"/>
    </xf>
    <xf numFmtId="0" fontId="5" fillId="0" borderId="0" applyAlignment="1" pivotButton="0" quotePrefix="0" xfId="0">
      <alignment horizontal="left" vertical="center" wrapText="1"/>
    </xf>
    <xf numFmtId="0" fontId="11" fillId="2" borderId="1" applyAlignment="1" pivotButton="0" quotePrefix="0" xfId="0">
      <alignment horizontal="center" vertical="center" wrapText="1"/>
    </xf>
    <xf numFmtId="0" fontId="12" fillId="0" borderId="1" applyAlignment="1" pivotButton="0" quotePrefix="0" xfId="0">
      <alignment horizontal="center" vertical="center"/>
    </xf>
    <xf numFmtId="0" fontId="12" fillId="0" borderId="1" applyAlignment="1" pivotButton="0" quotePrefix="0" xfId="0">
      <alignment horizontal="left" vertical="center" wrapText="1"/>
    </xf>
    <xf numFmtId="0" fontId="13" fillId="0" borderId="1"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3" borderId="1" applyAlignment="1" pivotButton="0" quotePrefix="0" xfId="0">
      <alignment horizontal="center" vertical="center"/>
    </xf>
    <xf numFmtId="0" fontId="9" fillId="0" borderId="1" applyAlignment="1" pivotButton="0" quotePrefix="0" xfId="0">
      <alignment horizontal="center" vertical="center"/>
    </xf>
    <xf numFmtId="0" fontId="0" fillId="3" borderId="1" applyAlignment="1" pivotButton="0" quotePrefix="0" xfId="0">
      <alignment horizontal="center" vertical="center"/>
    </xf>
    <xf numFmtId="9" fontId="9" fillId="0" borderId="1" applyAlignment="1" pivotButton="0" quotePrefix="0" xfId="0">
      <alignment horizontal="center" vertical="center"/>
    </xf>
    <xf numFmtId="0" fontId="0" fillId="3" borderId="1" applyAlignment="1" pivotButton="0" quotePrefix="0" xfId="0">
      <alignment horizontal="left" vertical="center" wrapText="1"/>
    </xf>
    <xf numFmtId="0" fontId="7" fillId="4" borderId="1" applyAlignment="1" pivotButton="0" quotePrefix="0" xfId="0">
      <alignment horizontal="left" vertical="center" wrapText="1"/>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5" borderId="1" applyAlignment="1" pivotButton="0" quotePrefix="0" xfId="0">
      <alignment horizontal="general" vertical="bottom"/>
    </xf>
    <xf numFmtId="0" fontId="0" fillId="0" borderId="4" pivotButton="0" quotePrefix="0" xfId="0"/>
    <xf numFmtId="0" fontId="0" fillId="5" borderId="1" applyAlignment="1" pivotButton="0" quotePrefix="0" xfId="0">
      <alignment horizontal="general" vertical="bottom"/>
    </xf>
    <xf numFmtId="9" fontId="10" fillId="5" borderId="1" applyAlignment="1" pivotButton="0" quotePrefix="0" xfId="0">
      <alignment horizontal="general" vertical="bottom"/>
    </xf>
    <xf numFmtId="0" fontId="10" fillId="0" borderId="0" applyAlignment="1" pivotButton="0" quotePrefix="0" xfId="0">
      <alignment horizontal="general" vertical="bottom"/>
    </xf>
    <xf numFmtId="0" fontId="9" fillId="0" borderId="1" applyAlignment="1" pivotButton="0" quotePrefix="0" xfId="0">
      <alignment horizontal="center" vertical="bottom"/>
    </xf>
    <xf numFmtId="9" fontId="9" fillId="0" borderId="1" applyAlignment="1" pivotButton="0" quotePrefix="0" xfId="0">
      <alignment horizontal="center" vertical="bottom"/>
    </xf>
    <xf numFmtId="0" fontId="10" fillId="0" borderId="1" applyAlignment="1" pivotButton="0" quotePrefix="0" xfId="0">
      <alignment horizontal="general" vertical="bottom"/>
    </xf>
    <xf numFmtId="9" fontId="10" fillId="0" borderId="1" applyAlignment="1" pivotButton="0" quotePrefix="0" xfId="0">
      <alignment horizontal="general" vertical="bottom"/>
    </xf>
    <xf numFmtId="0" fontId="10" fillId="0" borderId="1" applyAlignment="1" pivotButton="0" quotePrefix="0" xfId="0">
      <alignment horizontal="left" vertical="center" wrapText="1"/>
    </xf>
    <xf numFmtId="0" fontId="5" fillId="0" borderId="0" applyAlignment="1" pivotButton="0" quotePrefix="0" xfId="0">
      <alignment horizontal="left" vertical="center"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11"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12" fillId="0" borderId="1" applyAlignment="1" pivotButton="0" quotePrefix="0" xfId="0">
      <alignment horizontal="center" vertical="center"/>
    </xf>
    <xf numFmtId="0" fontId="12" fillId="0" borderId="1" applyAlignment="1" pivotButton="0" quotePrefix="0" xfId="0">
      <alignment horizontal="left" vertical="center" wrapText="1"/>
    </xf>
    <xf numFmtId="0" fontId="13" fillId="0" borderId="1" applyAlignment="1" pivotButton="0" quotePrefix="0" xfId="0">
      <alignment horizontal="center" vertical="bottom"/>
    </xf>
    <xf numFmtId="0" fontId="0" fillId="3" borderId="1" applyAlignment="1" pivotButton="0" quotePrefix="0" xfId="0">
      <alignment horizontal="left" vertical="center" wrapText="1"/>
    </xf>
    <xf numFmtId="0" fontId="11" fillId="0" borderId="5" applyAlignment="1" pivotButton="0" quotePrefix="0" xfId="0">
      <alignment horizontal="center" vertical="center" wrapText="1"/>
    </xf>
    <xf numFmtId="0" fontId="13" fillId="0" borderId="5" applyAlignment="1" pivotButton="0" quotePrefix="0" xfId="0">
      <alignment horizontal="center" vertical="bottom"/>
    </xf>
    <xf numFmtId="0" fontId="0" fillId="0" borderId="5" applyAlignment="1" pivotButton="0" quotePrefix="0" xfId="0">
      <alignment horizontal="left" vertical="center" wrapText="1"/>
    </xf>
    <xf numFmtId="0" fontId="0" fillId="6" borderId="1" applyAlignment="1" pivotButton="0" quotePrefix="0" xfId="0">
      <alignment horizontal="center" vertical="center"/>
    </xf>
    <xf numFmtId="0" fontId="0" fillId="6"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left" vertical="center" wrapText="1"/>
    </xf>
    <xf numFmtId="0" fontId="13" fillId="6" borderId="1"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30"/>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30" min="1" max="1"/>
    <col width="30" customWidth="1" style="30" min="2" max="2"/>
    <col width="10" customWidth="1" style="30" min="3" max="3"/>
    <col width="12" customWidth="1" style="30" min="4" max="4"/>
    <col width="9" customWidth="1" style="30" min="5" max="5"/>
    <col width="11" customWidth="1" style="30" min="6" max="7"/>
    <col width="10" customWidth="1" style="30" min="8" max="8"/>
    <col width="9" customWidth="1" style="30" min="9" max="9"/>
    <col width="12" customWidth="1" style="30" min="10" max="10"/>
    <col width="22" customWidth="1" style="30" min="11" max="11"/>
  </cols>
  <sheetData>
    <row r="1" ht="17.35" customHeight="1" s="31">
      <c r="A1" s="55" t="inlineStr">
        <is>
          <t>Grid de recolección — corpus multi-dominio v2 (5 medios × 5 dominios, 500 oraciones)</t>
        </is>
      </c>
    </row>
    <row r="2" ht="27.75" customHeight="1" s="31">
      <c r="A2" s="56" t="inlineStr">
        <is>
          <t>Recolección CERRADA y auditada. Los objetivos reflejan exactamente lo recolectado: 100 oraciones por dominio, 500 en total. El % de avance mide la ANOTACIÓN: arranca en 0% y sube a medida que se llena la columna 'direccion' de cada oración en la hoja 'Corpus - oraciones'.</t>
        </is>
      </c>
    </row>
    <row r="4" ht="46.25" customHeight="1" s="31">
      <c r="A4" s="34" t="inlineStr">
        <is>
          <t>Medio</t>
        </is>
      </c>
      <c r="B4" s="34" t="inlineStr">
        <is>
          <t>Tema</t>
        </is>
      </c>
      <c r="C4" s="34" t="inlineStr">
        <is>
          <t>Objetivo
oraciones
(dura)</t>
        </is>
      </c>
      <c r="D4" s="34" t="inlineStr">
        <is>
          <t>Objetivo
oraciones
(opinión/análisis)</t>
        </is>
      </c>
      <c r="E4" s="34" t="inlineStr">
        <is>
          <t>Objetivo
total</t>
        </is>
      </c>
      <c r="F4" s="34" t="inlineStr">
        <is>
          <t>Artículos
de origen
(dura)</t>
        </is>
      </c>
      <c r="G4" s="34" t="inlineStr">
        <is>
          <t>Artículos
de origen
(opinión)</t>
        </is>
      </c>
      <c r="H4" s="34" t="inlineStr">
        <is>
          <t>Oraciones
ya anotadas</t>
        </is>
      </c>
      <c r="I4" s="34" t="inlineStr">
        <is>
          <t>% avance</t>
        </is>
      </c>
      <c r="J4" s="34" t="inlineStr">
        <is>
          <t>Estado</t>
        </is>
      </c>
      <c r="K4" s="34" t="inlineStr">
        <is>
          <t>Notas</t>
        </is>
      </c>
    </row>
    <row r="5" ht="30" customHeight="1" s="31">
      <c r="A5" s="35" t="inlineStr">
        <is>
          <t>Infobae Colombia</t>
        </is>
      </c>
      <c r="B5" s="35" t="inlineStr">
        <is>
          <t>Política</t>
        </is>
      </c>
      <c r="C5" s="36" t="n">
        <v>13</v>
      </c>
      <c r="D5" s="36" t="n">
        <v>0</v>
      </c>
      <c r="E5" s="37">
        <f>C5+D5</f>
        <v/>
      </c>
      <c r="F5" s="38" t="n">
        <v>6</v>
      </c>
      <c r="G5" s="38" t="n">
        <v>0</v>
      </c>
      <c r="H5" s="37">
        <f>SUMIFS('Corpus - oraciones'!$AD$5:$AD$600,'Corpus - oraciones'!$C$5:$C$600,A5,'Corpus - oraciones'!$D$5:$D$600,B5)</f>
        <v/>
      </c>
      <c r="I5" s="39">
        <f>IFERROR(H5/E5,0)</f>
        <v/>
      </c>
      <c r="J5" s="38" t="inlineStr">
        <is>
          <t>Pendiente</t>
        </is>
      </c>
      <c r="K5" s="62" t="inlineStr">
        <is>
          <t>Infobae no tiene sección de opinión propia de Colombia: su cuota es 100% noticia dura.</t>
        </is>
      </c>
    </row>
    <row r="6" ht="30" customHeight="1" s="31">
      <c r="A6" s="35" t="inlineStr">
        <is>
          <t>El Tiempo</t>
        </is>
      </c>
      <c r="B6" s="35" t="inlineStr">
        <is>
          <t>Política</t>
        </is>
      </c>
      <c r="C6" s="36" t="n">
        <v>10</v>
      </c>
      <c r="D6" s="36" t="n">
        <v>6</v>
      </c>
      <c r="E6" s="37">
        <f>C6+D6</f>
        <v/>
      </c>
      <c r="F6" s="38" t="n">
        <v>6</v>
      </c>
      <c r="G6" s="38" t="n">
        <v>1</v>
      </c>
      <c r="H6" s="37">
        <f>SUMIFS('Corpus - oraciones'!$AD$5:$AD$600,'Corpus - oraciones'!$C$5:$C$600,A6,'Corpus - oraciones'!$D$5:$D$600,B6)</f>
        <v/>
      </c>
      <c r="I6" s="39">
        <f>IFERROR(H6/E6,0)</f>
        <v/>
      </c>
      <c r="J6" s="38" t="inlineStr">
        <is>
          <t>Pendiente</t>
        </is>
      </c>
      <c r="K6" s="62" t="inlineStr">
        <is>
          <t>Subset curado de las 500 oraciones del corpus original (sub-temas Transición/EEUU/Reformas/Seguridad, sin Terremoto).</t>
        </is>
      </c>
    </row>
    <row r="7" ht="30" customHeight="1" s="31">
      <c r="A7" s="35" t="inlineStr">
        <is>
          <t>El Espectador</t>
        </is>
      </c>
      <c r="B7" s="35" t="inlineStr">
        <is>
          <t>Política</t>
        </is>
      </c>
      <c r="C7" s="36" t="n">
        <v>20</v>
      </c>
      <c r="D7" s="36" t="n">
        <v>0</v>
      </c>
      <c r="E7" s="37">
        <f>C7+D7</f>
        <v/>
      </c>
      <c r="F7" s="38" t="n">
        <v>4</v>
      </c>
      <c r="G7" s="38" t="n">
        <v>0</v>
      </c>
      <c r="H7" s="37">
        <f>SUMIFS('Corpus - oraciones'!$AD$5:$AD$600,'Corpus - oraciones'!$C$5:$C$600,A7,'Corpus - oraciones'!$D$5:$D$600,B7)</f>
        <v/>
      </c>
      <c r="I7" s="39">
        <f>IFERROR(H7/E7,0)</f>
        <v/>
      </c>
      <c r="J7" s="38" t="inlineStr">
        <is>
          <t>Pendiente</t>
        </is>
      </c>
      <c r="K7" s="62" t="inlineStr">
        <is>
          <t>Subset curado de las 500 oraciones originales (Transición/EEUU/Reformas/Seguridad, sin Terremoto).</t>
        </is>
      </c>
    </row>
    <row r="8" ht="30" customHeight="1" s="31">
      <c r="A8" s="35" t="inlineStr">
        <is>
          <t>La Silla Vacía</t>
        </is>
      </c>
      <c r="B8" s="35" t="inlineStr">
        <is>
          <t>Política</t>
        </is>
      </c>
      <c r="C8" s="36" t="n">
        <v>2</v>
      </c>
      <c r="D8" s="36" t="n">
        <v>9</v>
      </c>
      <c r="E8" s="37">
        <f>C8+D8</f>
        <v/>
      </c>
      <c r="F8" s="38" t="n">
        <v>2</v>
      </c>
      <c r="G8" s="38" t="n">
        <v>9</v>
      </c>
      <c r="H8" s="37">
        <f>SUMIFS('Corpus - oraciones'!$AD$5:$AD$600,'Corpus - oraciones'!$C$5:$C$600,A8,'Corpus - oraciones'!$D$5:$D$600,B8)</f>
        <v/>
      </c>
      <c r="I8" s="39">
        <f>IFERROR(H8/E8,0)</f>
        <v/>
      </c>
      <c r="J8" s="38" t="inlineStr">
        <is>
          <t>Pendiente</t>
        </is>
      </c>
      <c r="K8" s="62" t="inlineStr">
        <is>
          <t>Subset curado de las 500 oraciones del corpus original (sub-temas Transición/EEUU/Reformas/Seguridad, sin Terremoto).</t>
        </is>
      </c>
    </row>
    <row r="9" ht="30" customHeight="1" s="31">
      <c r="A9" s="35" t="inlineStr">
        <is>
          <t>Semana</t>
        </is>
      </c>
      <c r="B9" s="35" t="inlineStr">
        <is>
          <t>Política</t>
        </is>
      </c>
      <c r="C9" s="36" t="n">
        <v>30</v>
      </c>
      <c r="D9" s="36" t="n">
        <v>10</v>
      </c>
      <c r="E9" s="37">
        <f>C9+D9</f>
        <v/>
      </c>
      <c r="F9" s="38" t="n">
        <v>3</v>
      </c>
      <c r="G9" s="38" t="n">
        <v>1</v>
      </c>
      <c r="H9" s="37">
        <f>SUMIFS('Corpus - oraciones'!$AD$5:$AD$600,'Corpus - oraciones'!$C$5:$C$600,A9,'Corpus - oraciones'!$D$5:$D$600,B9)</f>
        <v/>
      </c>
      <c r="I9" s="39">
        <f>IFERROR(H9/E9,0)</f>
        <v/>
      </c>
      <c r="J9" s="38" t="inlineStr">
        <is>
          <t>Pendiente</t>
        </is>
      </c>
      <c r="K9" s="62" t="inlineStr">
        <is>
          <t>Subset curado de las 500 oraciones del corpus original (sub-temas Transición/EEUU/Reformas/Seguridad, sin Terremoto).</t>
        </is>
      </c>
    </row>
    <row r="10" ht="30" customHeight="1" s="31">
      <c r="A10" s="41" t="inlineStr">
        <is>
          <t>Infobae Colombia</t>
        </is>
      </c>
      <c r="B10" s="41" t="inlineStr">
        <is>
          <t>Economía y negocios</t>
        </is>
      </c>
      <c r="C10" s="36" t="n">
        <v>20</v>
      </c>
      <c r="D10" s="36" t="n">
        <v>0</v>
      </c>
      <c r="E10" s="42">
        <f>C10+D10</f>
        <v/>
      </c>
      <c r="F10" s="38" t="n">
        <v>3</v>
      </c>
      <c r="G10" s="38" t="n">
        <v>0</v>
      </c>
      <c r="H10" s="42">
        <f>SUMIFS('Corpus - oraciones'!$AD$5:$AD$600,'Corpus - oraciones'!$C$5:$C$600,A10,'Corpus - oraciones'!$D$5:$D$600,B10)</f>
        <v/>
      </c>
      <c r="I10" s="43">
        <f>IFERROR(H10/E10,0)</f>
        <v/>
      </c>
      <c r="J10" s="38" t="inlineStr">
        <is>
          <t>Pendiente</t>
        </is>
      </c>
      <c r="K10" s="62" t="n"/>
    </row>
    <row r="11" ht="30" customHeight="1" s="31">
      <c r="A11" s="41" t="inlineStr">
        <is>
          <t>El Tiempo</t>
        </is>
      </c>
      <c r="B11" s="41" t="inlineStr">
        <is>
          <t>Economía y negocios</t>
        </is>
      </c>
      <c r="C11" s="36" t="n">
        <v>14</v>
      </c>
      <c r="D11" s="36" t="n">
        <v>6</v>
      </c>
      <c r="E11" s="42">
        <f>C11+D11</f>
        <v/>
      </c>
      <c r="F11" s="38" t="n">
        <v>2</v>
      </c>
      <c r="G11" s="38" t="n">
        <v>1</v>
      </c>
      <c r="H11" s="42">
        <f>SUMIFS('Corpus - oraciones'!$AD$5:$AD$600,'Corpus - oraciones'!$C$5:$C$600,A11,'Corpus - oraciones'!$D$5:$D$600,B11)</f>
        <v/>
      </c>
      <c r="I11" s="43">
        <f>IFERROR(H11/E11,0)</f>
        <v/>
      </c>
      <c r="J11" s="38" t="inlineStr">
        <is>
          <t>Pendiente</t>
        </is>
      </c>
      <c r="K11" s="62" t="n"/>
    </row>
    <row r="12" ht="30" customHeight="1" s="31">
      <c r="A12" s="41" t="inlineStr">
        <is>
          <t>El Espectador</t>
        </is>
      </c>
      <c r="B12" s="41" t="inlineStr">
        <is>
          <t>Economía y negocios</t>
        </is>
      </c>
      <c r="C12" s="36" t="n">
        <v>6</v>
      </c>
      <c r="D12" s="36" t="n">
        <v>14</v>
      </c>
      <c r="E12" s="42">
        <f>C12+D12</f>
        <v/>
      </c>
      <c r="F12" s="38" t="n">
        <v>1</v>
      </c>
      <c r="G12" s="38" t="n">
        <v>1</v>
      </c>
      <c r="H12" s="42">
        <f>SUMIFS('Corpus - oraciones'!$AD$5:$AD$600,'Corpus - oraciones'!$C$5:$C$600,A12,'Corpus - oraciones'!$D$5:$D$600,B12)</f>
        <v/>
      </c>
      <c r="I12" s="43">
        <f>IFERROR(H12/E12,0)</f>
        <v/>
      </c>
      <c r="J12" s="38" t="inlineStr">
        <is>
          <t>Pendiente</t>
        </is>
      </c>
      <c r="K12" s="62" t="n"/>
    </row>
    <row r="13" ht="30" customHeight="1" s="31">
      <c r="A13" s="41" t="inlineStr">
        <is>
          <t>La Silla Vacía</t>
        </is>
      </c>
      <c r="B13" s="41" t="inlineStr">
        <is>
          <t>Economía y negocios</t>
        </is>
      </c>
      <c r="C13" s="36" t="n">
        <v>8</v>
      </c>
      <c r="D13" s="36" t="n">
        <v>12</v>
      </c>
      <c r="E13" s="42">
        <f>C13+D13</f>
        <v/>
      </c>
      <c r="F13" s="38" t="n">
        <v>2</v>
      </c>
      <c r="G13" s="38" t="n">
        <v>1</v>
      </c>
      <c r="H13" s="42">
        <f>SUMIFS('Corpus - oraciones'!$AD$5:$AD$600,'Corpus - oraciones'!$C$5:$C$600,A13,'Corpus - oraciones'!$D$5:$D$600,B13)</f>
        <v/>
      </c>
      <c r="I13" s="43">
        <f>IFERROR(H13/E13,0)</f>
        <v/>
      </c>
      <c r="J13" s="38" t="inlineStr">
        <is>
          <t>Pendiente</t>
        </is>
      </c>
      <c r="K13" s="62" t="n"/>
    </row>
    <row r="14" ht="30" customHeight="1" s="31">
      <c r="A14" s="41" t="inlineStr">
        <is>
          <t>Semana</t>
        </is>
      </c>
      <c r="B14" s="41" t="inlineStr">
        <is>
          <t>Economía y negocios</t>
        </is>
      </c>
      <c r="C14" s="36" t="n">
        <v>10</v>
      </c>
      <c r="D14" s="36" t="n">
        <v>10</v>
      </c>
      <c r="E14" s="42">
        <f>C14+D14</f>
        <v/>
      </c>
      <c r="F14" s="38" t="n">
        <v>2</v>
      </c>
      <c r="G14" s="38" t="n">
        <v>1</v>
      </c>
      <c r="H14" s="42">
        <f>SUMIFS('Corpus - oraciones'!$AD$5:$AD$600,'Corpus - oraciones'!$C$5:$C$600,A14,'Corpus - oraciones'!$D$5:$D$600,B14)</f>
        <v/>
      </c>
      <c r="I14" s="43">
        <f>IFERROR(H14/E14,0)</f>
        <v/>
      </c>
      <c r="J14" s="38" t="inlineStr">
        <is>
          <t>Pendiente</t>
        </is>
      </c>
      <c r="K14" s="62" t="n"/>
    </row>
    <row r="15" ht="30" customHeight="1" s="31">
      <c r="A15" s="35" t="inlineStr">
        <is>
          <t>Infobae Colombia</t>
        </is>
      </c>
      <c r="B15" s="35" t="inlineStr">
        <is>
          <t>Salud</t>
        </is>
      </c>
      <c r="C15" s="36" t="n">
        <v>20</v>
      </c>
      <c r="D15" s="36" t="n">
        <v>0</v>
      </c>
      <c r="E15" s="37">
        <f>C15+D15</f>
        <v/>
      </c>
      <c r="F15" s="38" t="n">
        <v>3</v>
      </c>
      <c r="G15" s="38" t="n">
        <v>0</v>
      </c>
      <c r="H15" s="37">
        <f>SUMIFS('Corpus - oraciones'!$AD$5:$AD$600,'Corpus - oraciones'!$C$5:$C$600,A15,'Corpus - oraciones'!$D$5:$D$600,B15)</f>
        <v/>
      </c>
      <c r="I15" s="39">
        <f>IFERROR(H15/E15,0)</f>
        <v/>
      </c>
      <c r="J15" s="38" t="inlineStr">
        <is>
          <t>Pendiente</t>
        </is>
      </c>
      <c r="K15" s="62" t="n"/>
    </row>
    <row r="16" ht="30" customHeight="1" s="31">
      <c r="A16" s="35" t="inlineStr">
        <is>
          <t>El Tiempo</t>
        </is>
      </c>
      <c r="B16" s="35" t="inlineStr">
        <is>
          <t>Salud</t>
        </is>
      </c>
      <c r="C16" s="36" t="n">
        <v>14</v>
      </c>
      <c r="D16" s="36" t="n">
        <v>6</v>
      </c>
      <c r="E16" s="37">
        <f>C16+D16</f>
        <v/>
      </c>
      <c r="F16" s="38" t="n">
        <v>2</v>
      </c>
      <c r="G16" s="38" t="n">
        <v>1</v>
      </c>
      <c r="H16" s="37">
        <f>SUMIFS('Corpus - oraciones'!$AD$5:$AD$600,'Corpus - oraciones'!$C$5:$C$600,A16,'Corpus - oraciones'!$D$5:$D$600,B16)</f>
        <v/>
      </c>
      <c r="I16" s="39">
        <f>IFERROR(H16/E16,0)</f>
        <v/>
      </c>
      <c r="J16" s="38" t="inlineStr">
        <is>
          <t>Pendiente</t>
        </is>
      </c>
      <c r="K16" s="62" t="n"/>
    </row>
    <row r="17" ht="30" customHeight="1" s="31">
      <c r="A17" s="35" t="inlineStr">
        <is>
          <t>El Espectador</t>
        </is>
      </c>
      <c r="B17" s="35" t="inlineStr">
        <is>
          <t>Salud</t>
        </is>
      </c>
      <c r="C17" s="36" t="n">
        <v>6</v>
      </c>
      <c r="D17" s="36" t="n">
        <v>14</v>
      </c>
      <c r="E17" s="37">
        <f>C17+D17</f>
        <v/>
      </c>
      <c r="F17" s="38" t="n">
        <v>1</v>
      </c>
      <c r="G17" s="38" t="n">
        <v>1</v>
      </c>
      <c r="H17" s="37">
        <f>SUMIFS('Corpus - oraciones'!$AD$5:$AD$600,'Corpus - oraciones'!$C$5:$C$600,A17,'Corpus - oraciones'!$D$5:$D$600,B17)</f>
        <v/>
      </c>
      <c r="I17" s="39">
        <f>IFERROR(H17/E17,0)</f>
        <v/>
      </c>
      <c r="J17" s="38" t="inlineStr">
        <is>
          <t>Pendiente</t>
        </is>
      </c>
      <c r="K17" s="62" t="n"/>
    </row>
    <row r="18" ht="30" customHeight="1" s="31">
      <c r="A18" s="35" t="inlineStr">
        <is>
          <t>La Silla Vacía</t>
        </is>
      </c>
      <c r="B18" s="35" t="inlineStr">
        <is>
          <t>Salud</t>
        </is>
      </c>
      <c r="C18" s="36" t="n">
        <v>8</v>
      </c>
      <c r="D18" s="36" t="n">
        <v>12</v>
      </c>
      <c r="E18" s="37">
        <f>C18+D18</f>
        <v/>
      </c>
      <c r="F18" s="38" t="n">
        <v>1</v>
      </c>
      <c r="G18" s="38" t="n">
        <v>1</v>
      </c>
      <c r="H18" s="37">
        <f>SUMIFS('Corpus - oraciones'!$AD$5:$AD$600,'Corpus - oraciones'!$C$5:$C$600,A18,'Corpus - oraciones'!$D$5:$D$600,B18)</f>
        <v/>
      </c>
      <c r="I18" s="39">
        <f>IFERROR(H18/E18,0)</f>
        <v/>
      </c>
      <c r="J18" s="38" t="inlineStr">
        <is>
          <t>Pendiente</t>
        </is>
      </c>
      <c r="K18" s="62" t="n"/>
    </row>
    <row r="19" ht="30" customHeight="1" s="31">
      <c r="A19" s="35" t="inlineStr">
        <is>
          <t>Semana</t>
        </is>
      </c>
      <c r="B19" s="35" t="inlineStr">
        <is>
          <t>Salud</t>
        </is>
      </c>
      <c r="C19" s="36" t="n">
        <v>10</v>
      </c>
      <c r="D19" s="36" t="n">
        <v>10</v>
      </c>
      <c r="E19" s="37">
        <f>C19+D19</f>
        <v/>
      </c>
      <c r="F19" s="38" t="n">
        <v>1</v>
      </c>
      <c r="G19" s="38" t="n">
        <v>1</v>
      </c>
      <c r="H19" s="37">
        <f>SUMIFS('Corpus - oraciones'!$AD$5:$AD$600,'Corpus - oraciones'!$C$5:$C$600,A19,'Corpus - oraciones'!$D$5:$D$600,B19)</f>
        <v/>
      </c>
      <c r="I19" s="39">
        <f>IFERROR(H19/E19,0)</f>
        <v/>
      </c>
      <c r="J19" s="38" t="inlineStr">
        <is>
          <t>Pendiente</t>
        </is>
      </c>
      <c r="K19" s="62" t="n"/>
    </row>
    <row r="20" ht="30" customHeight="1" s="31">
      <c r="A20" s="41" t="inlineStr">
        <is>
          <t>Infobae Colombia</t>
        </is>
      </c>
      <c r="B20" s="41" t="inlineStr">
        <is>
          <t>Medio ambiente</t>
        </is>
      </c>
      <c r="C20" s="36" t="n">
        <v>20</v>
      </c>
      <c r="D20" s="36" t="n">
        <v>0</v>
      </c>
      <c r="E20" s="42">
        <f>C20+D20</f>
        <v/>
      </c>
      <c r="F20" s="38" t="n">
        <v>2</v>
      </c>
      <c r="G20" s="38" t="n">
        <v>0</v>
      </c>
      <c r="H20" s="42">
        <f>SUMIFS('Corpus - oraciones'!$AD$5:$AD$600,'Corpus - oraciones'!$C$5:$C$600,A20,'Corpus - oraciones'!$D$5:$D$600,B20)</f>
        <v/>
      </c>
      <c r="I20" s="43">
        <f>IFERROR(H20/E20,0)</f>
        <v/>
      </c>
      <c r="J20" s="38" t="inlineStr">
        <is>
          <t>Pendiente</t>
        </is>
      </c>
      <c r="K20" s="62" t="n"/>
    </row>
    <row r="21" ht="30" customHeight="1" s="31">
      <c r="A21" s="41" t="inlineStr">
        <is>
          <t>El Tiempo</t>
        </is>
      </c>
      <c r="B21" s="41" t="inlineStr">
        <is>
          <t>Medio ambiente</t>
        </is>
      </c>
      <c r="C21" s="36" t="n">
        <v>14</v>
      </c>
      <c r="D21" s="36" t="n">
        <v>6</v>
      </c>
      <c r="E21" s="42">
        <f>C21+D21</f>
        <v/>
      </c>
      <c r="F21" s="38" t="n">
        <v>3</v>
      </c>
      <c r="G21" s="38" t="n">
        <v>1</v>
      </c>
      <c r="H21" s="42">
        <f>SUMIFS('Corpus - oraciones'!$AD$5:$AD$600,'Corpus - oraciones'!$C$5:$C$600,A21,'Corpus - oraciones'!$D$5:$D$600,B21)</f>
        <v/>
      </c>
      <c r="I21" s="43">
        <f>IFERROR(H21/E21,0)</f>
        <v/>
      </c>
      <c r="J21" s="38" t="inlineStr">
        <is>
          <t>Pendiente</t>
        </is>
      </c>
      <c r="K21" s="62" t="n"/>
    </row>
    <row r="22" ht="30" customHeight="1" s="31">
      <c r="A22" s="41" t="inlineStr">
        <is>
          <t>El Espectador</t>
        </is>
      </c>
      <c r="B22" s="41" t="inlineStr">
        <is>
          <t>Medio ambiente</t>
        </is>
      </c>
      <c r="C22" s="36" t="n">
        <v>20</v>
      </c>
      <c r="D22" s="36" t="n">
        <v>0</v>
      </c>
      <c r="E22" s="42">
        <f>C22+D22</f>
        <v/>
      </c>
      <c r="F22" s="38" t="n">
        <v>2</v>
      </c>
      <c r="G22" s="38" t="n">
        <v>0</v>
      </c>
      <c r="H22" s="42">
        <f>SUMIFS('Corpus - oraciones'!$AD$5:$AD$600,'Corpus - oraciones'!$C$5:$C$600,A22,'Corpus - oraciones'!$D$5:$D$600,B22)</f>
        <v/>
      </c>
      <c r="I22" s="43">
        <f>IFERROR(H22/E22,0)</f>
        <v/>
      </c>
      <c r="J22" s="38" t="inlineStr">
        <is>
          <t>Pendiente</t>
        </is>
      </c>
      <c r="K22" s="62" t="inlineStr">
        <is>
          <t>El artículo de análisis sobre fracking resultó ser nota explicativa neutral (auditoría): se clasificó como 'Noticia dura'; por eso la celda quedó 20 dura / 0 opinión.</t>
        </is>
      </c>
    </row>
    <row r="23" ht="30" customHeight="1" s="31">
      <c r="A23" s="41" t="inlineStr">
        <is>
          <t>La Silla Vacía</t>
        </is>
      </c>
      <c r="B23" s="41" t="inlineStr">
        <is>
          <t>Medio ambiente</t>
        </is>
      </c>
      <c r="C23" s="36" t="n">
        <v>8</v>
      </c>
      <c r="D23" s="36" t="n">
        <v>12</v>
      </c>
      <c r="E23" s="42">
        <f>C23+D23</f>
        <v/>
      </c>
      <c r="F23" s="38" t="n">
        <v>2</v>
      </c>
      <c r="G23" s="38" t="n">
        <v>2</v>
      </c>
      <c r="H23" s="42">
        <f>SUMIFS('Corpus - oraciones'!$AD$5:$AD$600,'Corpus - oraciones'!$C$5:$C$600,A23,'Corpus - oraciones'!$D$5:$D$600,B23)</f>
        <v/>
      </c>
      <c r="I23" s="43">
        <f>IFERROR(H23/E23,0)</f>
        <v/>
      </c>
      <c r="J23" s="38" t="inlineStr">
        <is>
          <t>Pendiente</t>
        </is>
      </c>
      <c r="K23" s="62" t="n"/>
    </row>
    <row r="24" ht="30" customHeight="1" s="31">
      <c r="A24" s="41" t="inlineStr">
        <is>
          <t>Semana</t>
        </is>
      </c>
      <c r="B24" s="41" t="inlineStr">
        <is>
          <t>Medio ambiente</t>
        </is>
      </c>
      <c r="C24" s="36" t="n">
        <v>10</v>
      </c>
      <c r="D24" s="36" t="n">
        <v>10</v>
      </c>
      <c r="E24" s="42">
        <f>C24+D24</f>
        <v/>
      </c>
      <c r="F24" s="38" t="n">
        <v>1</v>
      </c>
      <c r="G24" s="38" t="n">
        <v>1</v>
      </c>
      <c r="H24" s="42">
        <f>SUMIFS('Corpus - oraciones'!$AD$5:$AD$600,'Corpus - oraciones'!$C$5:$C$600,A24,'Corpus - oraciones'!$D$5:$D$600,B24)</f>
        <v/>
      </c>
      <c r="I24" s="43">
        <f>IFERROR(H24/E24,0)</f>
        <v/>
      </c>
      <c r="J24" s="38" t="inlineStr">
        <is>
          <t>Pendiente</t>
        </is>
      </c>
      <c r="K24" s="62" t="n"/>
    </row>
    <row r="25" ht="30" customHeight="1" s="31">
      <c r="A25" s="35" t="inlineStr">
        <is>
          <t>Infobae Colombia</t>
        </is>
      </c>
      <c r="B25" s="35" t="inlineStr">
        <is>
          <t>Deportes</t>
        </is>
      </c>
      <c r="C25" s="36" t="n">
        <v>25</v>
      </c>
      <c r="D25" s="36" t="n">
        <v>0</v>
      </c>
      <c r="E25" s="37">
        <f>C25+D25</f>
        <v/>
      </c>
      <c r="F25" s="38" t="n">
        <v>5</v>
      </c>
      <c r="G25" s="38" t="n">
        <v>0</v>
      </c>
      <c r="H25" s="37">
        <f>SUMIFS('Corpus - oraciones'!$AD$5:$AD$600,'Corpus - oraciones'!$C$5:$C$600,A25,'Corpus - oraciones'!$D$5:$D$600,B25)</f>
        <v/>
      </c>
      <c r="I25" s="39">
        <f>IFERROR(H25/E25,0)</f>
        <v/>
      </c>
      <c r="J25" s="38" t="inlineStr">
        <is>
          <t>Pendiente</t>
        </is>
      </c>
      <c r="K25" s="62" t="n"/>
    </row>
    <row r="26" ht="30" customHeight="1" s="31">
      <c r="A26" s="35" t="inlineStr">
        <is>
          <t>El Tiempo</t>
        </is>
      </c>
      <c r="B26" s="35" t="inlineStr">
        <is>
          <t>Deportes</t>
        </is>
      </c>
      <c r="C26" s="36" t="n">
        <v>17</v>
      </c>
      <c r="D26" s="36" t="n">
        <v>14</v>
      </c>
      <c r="E26" s="37">
        <f>C26+D26</f>
        <v/>
      </c>
      <c r="F26" s="38" t="n">
        <v>3</v>
      </c>
      <c r="G26" s="38" t="n">
        <v>2</v>
      </c>
      <c r="H26" s="37">
        <f>SUMIFS('Corpus - oraciones'!$AD$5:$AD$600,'Corpus - oraciones'!$C$5:$C$600,A26,'Corpus - oraciones'!$D$5:$D$600,B26)</f>
        <v/>
      </c>
      <c r="I26" s="39">
        <f>IFERROR(H26/E26,0)</f>
        <v/>
      </c>
      <c r="J26" s="38" t="inlineStr">
        <is>
          <t>Pendiente</t>
        </is>
      </c>
      <c r="K26" s="62" t="n"/>
    </row>
    <row r="27" ht="30" customHeight="1" s="31">
      <c r="A27" s="35" t="inlineStr">
        <is>
          <t>El Espectador</t>
        </is>
      </c>
      <c r="B27" s="35" t="inlineStr">
        <is>
          <t>Deportes</t>
        </is>
      </c>
      <c r="C27" s="36" t="n">
        <v>8</v>
      </c>
      <c r="D27" s="36" t="n">
        <v>23</v>
      </c>
      <c r="E27" s="37">
        <f>C27+D27</f>
        <v/>
      </c>
      <c r="F27" s="38" t="n">
        <v>2</v>
      </c>
      <c r="G27" s="38" t="n">
        <v>3</v>
      </c>
      <c r="H27" s="37">
        <f>SUMIFS('Corpus - oraciones'!$AD$5:$AD$600,'Corpus - oraciones'!$C$5:$C$600,A27,'Corpus - oraciones'!$D$5:$D$600,B27)</f>
        <v/>
      </c>
      <c r="I27" s="39">
        <f>IFERROR(H27/E27,0)</f>
        <v/>
      </c>
      <c r="J27" s="38" t="inlineStr">
        <is>
          <t>Pendiente</t>
        </is>
      </c>
      <c r="K27" s="62" t="n"/>
    </row>
    <row r="28" ht="30" customHeight="1" s="31">
      <c r="A28" s="35" t="inlineStr">
        <is>
          <t>La Silla Vacía</t>
        </is>
      </c>
      <c r="B28" s="35" t="inlineStr">
        <is>
          <t>Deportes</t>
        </is>
      </c>
      <c r="C28" s="36" t="n">
        <v>0</v>
      </c>
      <c r="D28" s="36" t="n">
        <v>0</v>
      </c>
      <c r="E28" s="37">
        <f>C28+D28</f>
        <v/>
      </c>
      <c r="F28" s="38" t="n">
        <v>0</v>
      </c>
      <c r="G28" s="38" t="n">
        <v>0</v>
      </c>
      <c r="H28" s="37">
        <f>SUMIFS('Corpus - oraciones'!$AD$5:$AD$600,'Corpus - oraciones'!$C$5:$C$600,A28,'Corpus - oraciones'!$D$5:$D$600,B28)</f>
        <v/>
      </c>
      <c r="I28" s="39">
        <f>IFERROR(H28/E28,0)</f>
        <v/>
      </c>
      <c r="J28" s="38" t="inlineStr">
        <is>
          <t>Pendiente</t>
        </is>
      </c>
      <c r="K28" s="62" t="inlineStr">
        <is>
          <t>La Silla Vacía no tiene cobertura deportiva activa 2025-2026 (verificado): su cuota se redistribuyó entre los otros 4 medios.</t>
        </is>
      </c>
    </row>
    <row r="29" ht="30" customHeight="1" s="31">
      <c r="A29" s="35" t="inlineStr">
        <is>
          <t>Semana</t>
        </is>
      </c>
      <c r="B29" s="35" t="inlineStr">
        <is>
          <t>Deportes</t>
        </is>
      </c>
      <c r="C29" s="36" t="n">
        <v>13</v>
      </c>
      <c r="D29" s="36" t="n">
        <v>0</v>
      </c>
      <c r="E29" s="37">
        <f>C29+D29</f>
        <v/>
      </c>
      <c r="F29" s="38" t="n">
        <v>2</v>
      </c>
      <c r="G29" s="38" t="n">
        <v>0</v>
      </c>
      <c r="H29" s="37">
        <f>SUMIFS('Corpus - oraciones'!$AD$5:$AD$600,'Corpus - oraciones'!$C$5:$C$600,A29,'Corpus - oraciones'!$D$5:$D$600,B29)</f>
        <v/>
      </c>
      <c r="I29" s="39">
        <f>IFERROR(H29/E29,0)</f>
        <v/>
      </c>
      <c r="J29" s="38" t="inlineStr">
        <is>
          <t>Pendiente</t>
        </is>
      </c>
      <c r="K29" s="62" t="inlineStr">
        <is>
          <t>Semana no tiene columnistas de opinión deportiva (verificado): su cuota de opinión se redistribuyó a El Tiempo y El Espectador.</t>
        </is>
      </c>
    </row>
    <row r="30" ht="15" customHeight="1" s="31">
      <c r="A30" s="44" t="inlineStr">
        <is>
          <t>TOTAL</t>
        </is>
      </c>
      <c r="B30" s="45" t="n"/>
      <c r="C30" s="44">
        <f>SUM(C5:C29)</f>
        <v/>
      </c>
      <c r="D30" s="44">
        <f>SUM(D5:D29)</f>
        <v/>
      </c>
      <c r="E30" s="44">
        <f>SUM(E5:E29)</f>
        <v/>
      </c>
      <c r="F30" s="46" t="n"/>
      <c r="G30" s="46" t="n"/>
      <c r="H30" s="44">
        <f>SUM(H5:H29)</f>
        <v/>
      </c>
      <c r="I30" s="47">
        <f>IFERROR(H30/E30,0)</f>
        <v/>
      </c>
      <c r="J30" s="46" t="n"/>
      <c r="K30" s="46" t="n"/>
    </row>
  </sheetData>
  <mergeCells count="3">
    <mergeCell ref="A2:K2"/>
    <mergeCell ref="A1:K1"/>
    <mergeCell ref="A30:B30"/>
  </mergeCells>
  <conditionalFormatting sqref="I5:I29">
    <cfRule type="colorScale" priority="2">
      <colorScale>
        <cfvo type="num" val="0"/>
        <cfvo type="num" val="0.5"/>
        <cfvo type="num" val="1"/>
        <color rgb="FFF8696B"/>
        <color rgb="FFFFEB84"/>
        <color rgb="FF63BE7B"/>
      </colorScale>
    </cfRule>
  </conditionalFormatting>
  <dataValidations count="1">
    <dataValidation sqref="J5:J29" showDropDown="0" showInputMessage="0" showErrorMessage="0" allowBlank="1" type="list" errorStyle="stop" operator="between">
      <formula1>"Pendiente,En progreso,Completo"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0" min="1" max="1"/>
    <col width="15" customWidth="1" style="30" min="2" max="2"/>
    <col width="18" customWidth="1" style="30" min="3" max="3"/>
    <col width="12" customWidth="1" style="30" min="4" max="4"/>
  </cols>
  <sheetData>
    <row r="1" ht="17.35" customHeight="1" s="31">
      <c r="A1" s="55" t="inlineStr">
        <is>
          <t>Resumen por medio y por dominio — corpus v2</t>
        </is>
      </c>
    </row>
    <row r="3" ht="15" customHeight="1" s="31">
      <c r="A3" s="48" t="inlineStr">
        <is>
          <t>Por medio</t>
        </is>
      </c>
    </row>
    <row r="4" ht="15" customHeight="1" s="31">
      <c r="A4" s="34" t="inlineStr">
        <is>
          <t>Medio</t>
        </is>
      </c>
      <c r="B4" s="34" t="inlineStr">
        <is>
          <t>Objetivo total</t>
        </is>
      </c>
      <c r="C4" s="34" t="inlineStr">
        <is>
          <t>Oraciones anotadas</t>
        </is>
      </c>
      <c r="D4" s="34" t="inlineStr">
        <is>
          <t>% avance</t>
        </is>
      </c>
    </row>
    <row r="5" ht="18" customHeight="1" s="31">
      <c r="A5" s="35" t="inlineStr">
        <is>
          <t>Infobae Colombia</t>
        </is>
      </c>
      <c r="B5" s="49">
        <f>SUMIF('Grid de recoleccion'!A:A,A5,'Grid de recoleccion'!E:E)</f>
        <v/>
      </c>
      <c r="C5" s="49">
        <f>SUMIF('Grid de recoleccion'!A:A,A5,'Grid de recoleccion'!H:H)</f>
        <v/>
      </c>
      <c r="D5" s="50">
        <f>IFERROR(C5/B5,0)</f>
        <v/>
      </c>
    </row>
    <row r="6" ht="18" customHeight="1" s="31">
      <c r="A6" s="35" t="inlineStr">
        <is>
          <t>El Tiempo</t>
        </is>
      </c>
      <c r="B6" s="49">
        <f>SUMIF('Grid de recoleccion'!A:A,A6,'Grid de recoleccion'!E:E)</f>
        <v/>
      </c>
      <c r="C6" s="49">
        <f>SUMIF('Grid de recoleccion'!A:A,A6,'Grid de recoleccion'!H:H)</f>
        <v/>
      </c>
      <c r="D6" s="50">
        <f>IFERROR(C6/B6,0)</f>
        <v/>
      </c>
    </row>
    <row r="7" ht="18" customHeight="1" s="31">
      <c r="A7" s="35" t="inlineStr">
        <is>
          <t>El Espectador</t>
        </is>
      </c>
      <c r="B7" s="49">
        <f>SUMIF('Grid de recoleccion'!A:A,A7,'Grid de recoleccion'!E:E)</f>
        <v/>
      </c>
      <c r="C7" s="49">
        <f>SUMIF('Grid de recoleccion'!A:A,A7,'Grid de recoleccion'!H:H)</f>
        <v/>
      </c>
      <c r="D7" s="50">
        <f>IFERROR(C7/B7,0)</f>
        <v/>
      </c>
    </row>
    <row r="8" ht="18" customHeight="1" s="31">
      <c r="A8" s="35" t="inlineStr">
        <is>
          <t>La Silla Vacía</t>
        </is>
      </c>
      <c r="B8" s="49">
        <f>SUMIF('Grid de recoleccion'!A:A,A8,'Grid de recoleccion'!E:E)</f>
        <v/>
      </c>
      <c r="C8" s="49">
        <f>SUMIF('Grid de recoleccion'!A:A,A8,'Grid de recoleccion'!H:H)</f>
        <v/>
      </c>
      <c r="D8" s="50">
        <f>IFERROR(C8/B8,0)</f>
        <v/>
      </c>
    </row>
    <row r="9" ht="18" customHeight="1" s="31">
      <c r="A9" s="35" t="inlineStr">
        <is>
          <t>Semana</t>
        </is>
      </c>
      <c r="B9" s="49">
        <f>SUMIF('Grid de recoleccion'!A:A,A9,'Grid de recoleccion'!E:E)</f>
        <v/>
      </c>
      <c r="C9" s="49">
        <f>SUMIF('Grid de recoleccion'!A:A,A9,'Grid de recoleccion'!H:H)</f>
        <v/>
      </c>
      <c r="D9" s="50">
        <f>IFERROR(C9/B9,0)</f>
        <v/>
      </c>
    </row>
    <row r="10" ht="15" customHeight="1" s="31">
      <c r="A10" s="51" t="inlineStr">
        <is>
          <t>TOTAL</t>
        </is>
      </c>
      <c r="B10" s="51">
        <f>SUM(B5:B9)</f>
        <v/>
      </c>
      <c r="C10" s="51">
        <f>SUM(C5:C9)</f>
        <v/>
      </c>
      <c r="D10" s="52">
        <f>IFERROR(C10/B10,0)</f>
        <v/>
      </c>
    </row>
    <row r="13" ht="15" customHeight="1" s="31">
      <c r="A13" s="48" t="inlineStr">
        <is>
          <t>Por dominio</t>
        </is>
      </c>
    </row>
    <row r="14" ht="15" customHeight="1" s="31">
      <c r="A14" s="34" t="inlineStr">
        <is>
          <t>Dominio</t>
        </is>
      </c>
      <c r="B14" s="34" t="inlineStr">
        <is>
          <t>Objetivo total</t>
        </is>
      </c>
      <c r="C14" s="34" t="inlineStr">
        <is>
          <t>Oraciones anotadas</t>
        </is>
      </c>
      <c r="D14" s="34" t="inlineStr">
        <is>
          <t>% avance</t>
        </is>
      </c>
    </row>
    <row r="15" ht="23.85" customHeight="1" s="31">
      <c r="A15" s="35" t="inlineStr">
        <is>
          <t>Política</t>
        </is>
      </c>
      <c r="B15" s="49">
        <f>SUMIF('Grid de recoleccion'!B:B,A15,'Grid de recoleccion'!E:E)</f>
        <v/>
      </c>
      <c r="C15" s="49">
        <f>SUMIF('Grid de recoleccion'!B:B,A15,'Grid de recoleccion'!H:H)</f>
        <v/>
      </c>
      <c r="D15" s="50">
        <f>IFERROR(C15/B15,0)</f>
        <v/>
      </c>
    </row>
    <row r="16" ht="23.85" customHeight="1" s="31">
      <c r="A16" s="35" t="inlineStr">
        <is>
          <t>Economía y negocios</t>
        </is>
      </c>
      <c r="B16" s="49">
        <f>SUMIF('Grid de recoleccion'!B:B,A16,'Grid de recoleccion'!E:E)</f>
        <v/>
      </c>
      <c r="C16" s="49">
        <f>SUMIF('Grid de recoleccion'!B:B,A16,'Grid de recoleccion'!H:H)</f>
        <v/>
      </c>
      <c r="D16" s="50">
        <f>IFERROR(C16/B16,0)</f>
        <v/>
      </c>
    </row>
    <row r="17" ht="15" customHeight="1" s="31">
      <c r="A17" s="35" t="inlineStr">
        <is>
          <t>Salud</t>
        </is>
      </c>
      <c r="B17" s="49">
        <f>SUMIF('Grid de recoleccion'!B:B,A17,'Grid de recoleccion'!E:E)</f>
        <v/>
      </c>
      <c r="C17" s="49">
        <f>SUMIF('Grid de recoleccion'!B:B,A17,'Grid de recoleccion'!H:H)</f>
        <v/>
      </c>
      <c r="D17" s="50">
        <f>IFERROR(C17/B17,0)</f>
        <v/>
      </c>
    </row>
    <row r="18" ht="23.85" customHeight="1" s="31">
      <c r="A18" s="35" t="inlineStr">
        <is>
          <t>Medio ambiente</t>
        </is>
      </c>
      <c r="B18" s="49">
        <f>SUMIF('Grid de recoleccion'!B:B,A18,'Grid de recoleccion'!E:E)</f>
        <v/>
      </c>
      <c r="C18" s="49">
        <f>SUMIF('Grid de recoleccion'!B:B,A18,'Grid de recoleccion'!H:H)</f>
        <v/>
      </c>
      <c r="D18" s="50">
        <f>IFERROR(C18/B18,0)</f>
        <v/>
      </c>
    </row>
    <row r="19" ht="15" customHeight="1" s="31">
      <c r="A19" s="35" t="inlineStr">
        <is>
          <t>Deportes</t>
        </is>
      </c>
      <c r="B19" s="49">
        <f>SUMIF('Grid de recoleccion'!B:B,A19,'Grid de recoleccion'!E:E)</f>
        <v/>
      </c>
      <c r="C19" s="49">
        <f>SUMIF('Grid de recoleccion'!B:B,A19,'Grid de recoleccion'!H:H)</f>
        <v/>
      </c>
      <c r="D19" s="50">
        <f>IFERROR(C19/B19,0)</f>
        <v/>
      </c>
    </row>
    <row r="20" ht="15" customHeight="1" s="31">
      <c r="A20" s="51" t="inlineStr">
        <is>
          <t>TOTAL</t>
        </is>
      </c>
      <c r="B20" s="51">
        <f>SUM(B15:B19)</f>
        <v/>
      </c>
      <c r="C20" s="51">
        <f>SUM(C15:C19)</f>
        <v/>
      </c>
      <c r="D20" s="52">
        <f>IFERROR(C20/B20,0)</f>
        <v/>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0" min="1" max="1"/>
    <col width="60" customWidth="1" style="30" min="2" max="2"/>
  </cols>
  <sheetData>
    <row r="1" ht="17.35" customHeight="1" s="31">
      <c r="A1" s="53" t="inlineStr">
        <is>
          <t>Cómo usar este archivo</t>
        </is>
      </c>
      <c r="B1" s="35" t="n"/>
    </row>
    <row r="2">
      <c r="A2" s="53" t="n"/>
      <c r="B2" s="35" t="n"/>
    </row>
    <row r="3" ht="39.75" customHeight="1" s="31">
      <c r="A3" s="53" t="inlineStr">
        <is>
          <t>Qué es este archivo</t>
        </is>
      </c>
      <c r="B3" s="35" t="inlineStr">
        <is>
          <t>Corpus multi-dominio v2: 500 oraciones reales de 5 medios colombianos (Infobae Colombia, El Tiempo, El Espectador, La Silla Vacía, Semana) repartidas en 5 dominios de 100 oraciones cada uno: Política, Economía y negocios, Salud, Medio ambiente y Deportes. La recolección está cerrada y auditada; lo que falta es la ANOTACIÓN.</t>
        </is>
      </c>
    </row>
    <row r="4" ht="39.75" customHeight="1" s="31">
      <c r="A4" s="53" t="inlineStr">
        <is>
          <t>Hoja 'Corpus - oraciones'</t>
        </is>
      </c>
      <c r="B4" s="35" t="inlineStr">
        <is>
          <t>Es la hoja de trabajo: una fila por oración, 500 filas (de la fila 5 a la 504). Las columnas en GRIS (A–I, más aux y url_fuente) vienen dadas y NO se editan. Las columnas en AMARILLO (J a AC) son las que llena el anotador: las 9 categorías con su span, direccion y actor_objetivo.</t>
        </is>
      </c>
    </row>
    <row r="5" ht="39.75" customHeight="1" s="31">
      <c r="A5" s="53" t="inlineStr">
        <is>
          <t>Unidad de anotación</t>
        </is>
      </c>
      <c r="B5" s="35" t="inlineStr">
        <is>
          <t>La oración. Toda oración revisada recibe exactamente una fila, incluso si todas las categorías quedan en FALSE: las oraciones neutras son tan necesarias como las sesgadas, no se omiten.</t>
        </is>
      </c>
    </row>
    <row r="6" ht="39.75" customHeight="1" s="31">
      <c r="A6" s="53" t="inlineStr">
        <is>
          <t>Esquema de anotación</t>
        </is>
      </c>
      <c r="B6" s="35" t="inlineStr">
        <is>
          <t>9 categorías booleanas, cada una con su columna de span al lado (se llena solo si la categoría quedó en TRUE): 5 léxicas J1 (verbo_factivo, verbo_asertivo, palabra_subjetiva, hedge, etiqueta_valorativa) y 4 discursivas J2 (sensacionalismo, mind_reading, falta_atribucion, opinion_como_hecho). Se suman direccion (favorece / perjudica / neutral) y actor_objetivo (lista cerrada de 9 opciones, obligatorio si direccion no es neutral). En total, 11 campos por oración.</t>
        </is>
      </c>
    </row>
    <row r="7" ht="39.75" customHeight="1" s="31">
      <c r="A7" s="53" t="inlineStr">
        <is>
          <t>Listas desplegables</t>
        </is>
      </c>
      <c r="B7" s="35" t="inlineStr">
        <is>
          <t>medio, tema, género, direccion y las 9 categorías booleanas tienen lista desplegable: seleccione siempre de la lista, no escriba a mano.</t>
        </is>
      </c>
    </row>
    <row r="8" ht="39.75" customHeight="1" s="31">
      <c r="A8" s="53" t="inlineStr">
        <is>
          <t>Ejemplo de fila anotada</t>
        </is>
      </c>
      <c r="B8" s="35" t="inlineStr">
        <is>
          <t>Oración: «El Gobierno impuso la polémica reforma tributaria pese a las advertencias de los gremios, sabiendo que afectaría directamente a la clase media.» → tres mecanismos en la MISMA fila: palabra_subjetiva = TRUE con span «impuso»; etiqueta_valorativa = TRUE con span «polémica»; mind_reading = TRUE con span «sabiendo que afectaría directamente a la clase media». Las otras 6 categorías quedan en FALSE. direccion = perjudica y actor_objetivo = Gobierno / Ejecutivo. Las categorías no son excluyentes: se marcan todas las que apliquen, cada una con su propio span, y la oración sigue ocupando una sola fila.</t>
        </is>
      </c>
    </row>
    <row r="9" ht="39.75" customHeight="1" s="31">
      <c r="A9" s="53" t="inlineStr">
        <is>
          <t>Ejemplo de oración neutral</t>
        </is>
      </c>
      <c r="B9" s="35" t="inlineStr">
        <is>
          <t>Oración: «El Banco de la República publicará el informe de inflación el próximo martes.» → las 9 categorías en FALSE, sin span, direccion = neutral y actor_objetivo vacío. La fila se conserva igual: las oraciones neutras son parte del corpus, no se omiten.</t>
        </is>
      </c>
    </row>
    <row r="10" ht="39.75" customHeight="1" s="31">
      <c r="A10" s="53" t="inlineStr">
        <is>
          <t>Hoja 'Grid de recoleccion'</t>
        </is>
      </c>
      <c r="B10" s="35" t="inlineStr">
        <is>
          <t>Tablero de control por medio × dominio. 'Objetivo' = lo realmente recolectado (ya cerrado). 'Artículos de origen' indica de cuántos artículos distintos salieron esas oraciones. 'Oraciones ya anotadas' y el '% avance' se calculan solos: cuentan las oraciones que ya tienen 'direccion' llena, así que arrancan en 0% y llegan a 100% cuando se termina esa celda. Edite solo Estado (Pendiente / En progreso / Completo) y Notas.</t>
        </is>
      </c>
    </row>
    <row r="11">
      <c r="A11" s="53" t="inlineStr">
        <is>
          <t>Hoja 'Resumen'</t>
        </is>
      </c>
      <c r="B11" s="35" t="inlineStr">
        <is>
          <t>Se calcula sola a partir del Grid: totales por medio y por dominio. Solo lectura.</t>
        </is>
      </c>
    </row>
    <row r="12" ht="15" customHeight="1" s="31">
      <c r="A12" s="53" t="inlineStr">
        <is>
          <t>IDs</t>
        </is>
      </c>
      <c r="B12" s="35" t="inlineStr">
        <is>
          <t>articulo_id va de ART_001 a ART_089, ordenados por dominio → medio → género. oracion_id = articulo_id + _S## con numeración contigua dentro de cada artículo (S01, S02, ...). Un mismo articulo_id = un mismo artículo real (misma url_fuente).</t>
        </is>
      </c>
    </row>
    <row r="13" ht="39.75" customHeight="1" s="31">
      <c r="A13" s="53" t="inlineStr">
        <is>
          <t>Contexto</t>
        </is>
      </c>
      <c r="B13" s="35" t="inlineStr">
        <is>
          <t>oracion_anterior y oracion_siguiente traen las oraciones vecinas reales del mismo artículo, para que el anotador juzgue en contexto. Están vacías cuando la oración es la primera o la última capturada del artículo.</t>
        </is>
      </c>
    </row>
    <row r="14" ht="39.75" customHeight="1" s="31">
      <c r="A14" s="53" t="inlineStr">
        <is>
          <t>actor_objetivo (lista cerrada)</t>
        </is>
      </c>
      <c r="B14" s="35" t="inlineStr">
        <is>
          <t>Se llena SOLO si direccion != neutral; si direccion = neutral, déjelo vacío. Nueve opciones: Gobierno / Ejecutivo; Oposición / partidos políticos; Instituciones del Estado; Empresas y gremios; Sindicatos y organizaciones sociales; Ciudadanía afectada; Actores del deporte; Actor internacional; Otro / no identificable. Regla clave: anote el ROL institucional, no la persona (Petro como presidente → Gobierno / Ejecutivo; Néstor Lorenzo como DT → Actores del deporte).</t>
        </is>
      </c>
    </row>
    <row r="15" ht="90" customHeight="1" s="31">
      <c r="A15" s="53" t="n"/>
      <c r="B15" s="35" t="n"/>
    </row>
    <row r="16"/>
    <row r="17" ht="90" customHeight="1" s="31">
      <c r="A17" s="53" t="n"/>
      <c r="B17" s="35" t="n"/>
    </row>
    <row r="18" ht="90" customHeight="1" s="31">
      <c r="A18" s="53" t="n"/>
      <c r="B18" s="35" t="n"/>
    </row>
    <row r="19" ht="90" customHeight="1" s="31">
      <c r="A19" s="53" t="n"/>
      <c r="B19" s="35" t="n"/>
    </row>
    <row r="20"/>
    <row r="21"/>
    <row r="22"/>
    <row r="23"/>
    <row r="24"/>
    <row r="25"/>
    <row r="26"/>
    <row r="27"/>
    <row r="28"/>
    <row r="29"/>
    <row r="30"/>
    <row r="31"/>
    <row r="32"/>
    <row r="33"/>
    <row r="34"/>
    <row r="35"/>
    <row r="36"/>
    <row r="37"/>
    <row r="38"/>
    <row r="39"/>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G55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0" min="1" max="1"/>
    <col width="14" customWidth="1" style="30" min="2" max="3"/>
    <col width="24" customWidth="1" style="30" min="4" max="4"/>
    <col width="12" customWidth="1" style="30" min="5" max="5"/>
    <col width="11" customWidth="1" style="30" min="6" max="6"/>
    <col width="42" customWidth="1" style="30" min="7" max="7"/>
    <col width="30" customWidth="1" style="30" min="8" max="9"/>
    <col width="11" customWidth="1" style="30" min="10" max="10"/>
    <col width="26" customWidth="1" style="30" min="11" max="11"/>
    <col width="11" customWidth="1" style="30" min="12" max="12"/>
    <col width="26" customWidth="1" style="30" min="13" max="13"/>
    <col width="11" customWidth="1" style="30" min="14" max="14"/>
    <col width="26" customWidth="1" style="30" min="15" max="15"/>
    <col width="11" customWidth="1" style="30" min="16" max="16"/>
    <col width="26" customWidth="1" style="31" min="17" max="17"/>
    <col width="11" customWidth="1" style="31" min="18" max="18"/>
    <col width="26" customWidth="1" style="31" min="19" max="19"/>
    <col width="11" customWidth="1" style="31" min="20" max="20"/>
    <col width="26" customWidth="1" style="31" min="21" max="21"/>
    <col width="11" customWidth="1" style="31" min="22" max="22"/>
    <col width="26" customWidth="1" style="31" min="23" max="23"/>
    <col width="11" customWidth="1" style="31" min="24" max="24"/>
    <col width="26" customWidth="1" style="31" min="25" max="25"/>
    <col width="11" customWidth="1" style="31" min="26" max="26"/>
    <col width="26" customWidth="1" style="31" min="27" max="27"/>
    <col width="12" customWidth="1" style="31" min="28" max="28"/>
    <col width="22" customWidth="1" style="31" min="29" max="29"/>
    <col width="12" customWidth="1" style="31" min="30" max="30"/>
    <col width="45" customWidth="1" style="31" min="31" max="31"/>
  </cols>
  <sheetData>
    <row r="1" ht="17.35" customHeight="1" s="31">
      <c r="A1" s="55" t="inlineStr">
        <is>
          <t>Corpus multi-dominio v2 — una fila por oración (esquema completo: 9 categorías léxico/discursivo)</t>
        </is>
      </c>
    </row>
    <row r="2" ht="27.75" customHeight="1" s="31">
      <c r="A2" s="56" t="inlineStr">
        <is>
          <t>500 oraciones reales de 5 medios colombianos en 5 dominios (Política, Economía y negocios, Salud, Medio ambiente, Deportes), 100 por dominio. Datos desde la fila 5. GRIS = viene dado, no se toca. AMARILLO = lo llena el anotador (columnas J a AC). La columna AD es auxiliar y alimenta el Grid; la AE trae la URL del artículo original.</t>
        </is>
      </c>
    </row>
    <row r="4" ht="33.75" customHeight="1" s="31">
      <c r="A4" s="58" t="inlineStr">
        <is>
          <t>articulo_id</t>
        </is>
      </c>
      <c r="B4" s="58" t="inlineStr">
        <is>
          <t>oracion_id</t>
        </is>
      </c>
      <c r="C4" s="58" t="inlineStr">
        <is>
          <t>medio</t>
        </is>
      </c>
      <c r="D4" s="58" t="inlineStr">
        <is>
          <t>tema</t>
        </is>
      </c>
      <c r="E4" s="58" t="inlineStr">
        <is>
          <t>género
(dura/opinión)</t>
        </is>
      </c>
      <c r="F4" s="58" t="inlineStr">
        <is>
          <t>fecha_
publicación</t>
        </is>
      </c>
      <c r="G4" s="58" t="inlineStr">
        <is>
          <t>oracion_texto</t>
        </is>
      </c>
      <c r="H4" s="58" t="inlineStr">
        <is>
          <t>oracion_anterior</t>
        </is>
      </c>
      <c r="I4" s="58" t="inlineStr">
        <is>
          <t>oracion_siguiente</t>
        </is>
      </c>
      <c r="J4" s="58" t="inlineStr">
        <is>
          <t>verbo_factivo
(J1)</t>
        </is>
      </c>
      <c r="K4" s="58" t="inlineStr">
        <is>
          <t>verbo_factivo_span</t>
        </is>
      </c>
      <c r="L4" s="58" t="inlineStr">
        <is>
          <t>verbo_asertivo
(J1)</t>
        </is>
      </c>
      <c r="M4" s="58" t="inlineStr">
        <is>
          <t>verbo_asertivo_span</t>
        </is>
      </c>
      <c r="N4" s="58" t="inlineStr">
        <is>
          <t>palabra_subjetiva
(J1)</t>
        </is>
      </c>
      <c r="O4" s="58" t="inlineStr">
        <is>
          <t>palabra_subjetiva_span</t>
        </is>
      </c>
      <c r="P4" s="58" t="inlineStr">
        <is>
          <t>hedge
(J1)</t>
        </is>
      </c>
      <c r="Q4" s="58" t="inlineStr">
        <is>
          <t>hedge_span</t>
        </is>
      </c>
      <c r="R4" s="58" t="inlineStr">
        <is>
          <t>etiqueta_valorativa
(J1)</t>
        </is>
      </c>
      <c r="S4" s="58" t="inlineStr">
        <is>
          <t>etiqueta_valorativa_span</t>
        </is>
      </c>
      <c r="T4" s="58" t="inlineStr">
        <is>
          <t>sensacionalismo
(J2)</t>
        </is>
      </c>
      <c r="U4" s="58" t="inlineStr">
        <is>
          <t>sensacionalismo_span</t>
        </is>
      </c>
      <c r="V4" s="58" t="inlineStr">
        <is>
          <t>mind_reading
(J2)</t>
        </is>
      </c>
      <c r="W4" s="58" t="inlineStr">
        <is>
          <t>mind_reading_span</t>
        </is>
      </c>
      <c r="X4" s="58" t="inlineStr">
        <is>
          <t>falta_atribucion
(J2)</t>
        </is>
      </c>
      <c r="Y4" s="58" t="inlineStr">
        <is>
          <t>falta_atribucion_span</t>
        </is>
      </c>
      <c r="Z4" s="58" t="inlineStr">
        <is>
          <t>opinion_como_hecho
(J2)</t>
        </is>
      </c>
      <c r="AA4" s="58" t="inlineStr">
        <is>
          <t>opinion_como_hecho_span</t>
        </is>
      </c>
      <c r="AB4" s="58" t="inlineStr">
        <is>
          <t>direccion</t>
        </is>
      </c>
      <c r="AC4" s="58" t="inlineStr">
        <is>
          <t>actor_objetivo</t>
        </is>
      </c>
      <c r="AD4" s="58" t="inlineStr">
        <is>
          <t>aux: primera
fila de la
oración (no editar)</t>
        </is>
      </c>
      <c r="AE4" s="58" t="inlineStr">
        <is>
          <t>url_fuente</t>
        </is>
      </c>
      <c r="AF4" s="63" t="n"/>
      <c r="AG4" s="63" t="n"/>
    </row>
    <row r="5" ht="32.8" customHeight="1" s="31">
      <c r="A5" s="66" t="inlineStr">
        <is>
          <t>ART_001</t>
        </is>
      </c>
      <c r="B5" s="66" t="inlineStr">
        <is>
          <t>ART_001_S01</t>
        </is>
      </c>
      <c r="C5" s="66" t="inlineStr">
        <is>
          <t>Infobae Colombia</t>
        </is>
      </c>
      <c r="D5" s="66" t="inlineStr">
        <is>
          <t>Política</t>
        </is>
      </c>
      <c r="E5" s="66" t="inlineStr">
        <is>
          <t>Noticia dura</t>
        </is>
      </c>
      <c r="F5" s="66" t="inlineStr">
        <is>
          <t>Fri, 04 Sep 2026 18:20:11 +0000</t>
        </is>
      </c>
      <c r="G5" s="67" t="inlineStr">
        <is>
          <t>La Alianza Verde salió a responder a las expresiones del senador del Pacto Histórico David Racero contra la representante de su partido Catherine Juvinao durante la discusión del Presupuesto General de la Nación (PGN) 2027 en las comisiones económicas del Congreso de la República.</t>
        </is>
      </c>
      <c r="H5" s="67" t="inlineStr"/>
      <c r="I5" s="67" t="inlineStr">
        <is>
          <t>La colectividad “rechaza contundentemente la violencia política, verbal y simbólica” de la que, según afirma, ha sido víctima la congresista por parte del legislador del Pacto Histórico.</t>
        </is>
      </c>
      <c r="J5" s="68" t="n"/>
      <c r="K5" s="69" t="n"/>
      <c r="L5" s="68" t="n"/>
      <c r="M5" s="69" t="n"/>
      <c r="N5" s="68" t="n"/>
      <c r="O5" s="69" t="n"/>
      <c r="P5" s="68" t="n"/>
      <c r="Q5" s="69" t="n"/>
      <c r="R5" s="68" t="n"/>
      <c r="S5" s="69" t="n"/>
      <c r="T5" s="68" t="n"/>
      <c r="U5" s="69" t="n"/>
      <c r="V5" s="68" t="n"/>
      <c r="W5" s="69" t="n"/>
      <c r="X5" s="68" t="n"/>
      <c r="Y5" s="69" t="n"/>
      <c r="Z5" s="68" t="n"/>
      <c r="AA5" s="69" t="n"/>
      <c r="AB5" s="68" t="n"/>
      <c r="AC5" s="69" t="n"/>
      <c r="AD5" s="70">
        <f>IF(AND(COUNTIF($B$5:B5,B5)=1,$B5&lt;&gt;"",$AB5&lt;&gt;""),1,0)</f>
        <v/>
      </c>
      <c r="AE5" s="67" t="inlineStr">
        <is>
          <t>https://www.infobae.com/colombia/2026/09/04/alianza-verde-critico-a-david-racero-por-llamar-lavaperros-a-catherine-juvinao-durante-la-discusion-del-presupuesto-general-de-la-nacion-violencia-politica-verbal-y-simbolica/</t>
        </is>
      </c>
      <c r="AF5" s="64" t="n"/>
      <c r="AG5" s="65" t="n"/>
    </row>
    <row r="6" ht="32.8" customHeight="1" s="31">
      <c r="A6" s="66" t="inlineStr">
        <is>
          <t>ART_001</t>
        </is>
      </c>
      <c r="B6" s="66" t="inlineStr">
        <is>
          <t>ART_001_S02</t>
        </is>
      </c>
      <c r="C6" s="66" t="inlineStr">
        <is>
          <t>Infobae Colombia</t>
        </is>
      </c>
      <c r="D6" s="66" t="inlineStr">
        <is>
          <t>Política</t>
        </is>
      </c>
      <c r="E6" s="66" t="inlineStr">
        <is>
          <t>Noticia dura</t>
        </is>
      </c>
      <c r="F6" s="66" t="inlineStr">
        <is>
          <t>Fri, 04 Sep 2026 18:20:11 +0000</t>
        </is>
      </c>
      <c r="G6" s="67" t="inlineStr">
        <is>
          <t>La colectividad “rechaza contundentemente la violencia política, verbal y simbólica” de la que, según afirma, ha sido víctima la congresista por parte del legislador del Pacto Histórico.</t>
        </is>
      </c>
      <c r="H6" s="67" t="inlineStr">
        <is>
          <t>La Alianza Verde salió a responder a las expresiones del senador del Pacto Histórico David Racero contra la representante de su partido Catherine Juvinao durante la discusión del Presupuesto General de la Nación (PGN) 2027 en las comisiones económicas del Congreso de la República.</t>
        </is>
      </c>
      <c r="I6" s="67" t="inlineStr"/>
      <c r="J6" s="68" t="n"/>
      <c r="K6" s="69" t="n"/>
      <c r="L6" s="68" t="n"/>
      <c r="M6" s="69" t="n"/>
      <c r="N6" s="68" t="n"/>
      <c r="O6" s="69" t="n"/>
      <c r="P6" s="68" t="n"/>
      <c r="Q6" s="69" t="n"/>
      <c r="R6" s="68" t="n"/>
      <c r="S6" s="69" t="n"/>
      <c r="T6" s="68" t="n"/>
      <c r="U6" s="69" t="n"/>
      <c r="V6" s="68" t="n"/>
      <c r="W6" s="69" t="n"/>
      <c r="X6" s="68" t="n"/>
      <c r="Y6" s="69" t="n"/>
      <c r="Z6" s="68" t="n"/>
      <c r="AA6" s="69" t="n"/>
      <c r="AB6" s="68" t="n"/>
      <c r="AC6" s="69" t="n"/>
      <c r="AD6" s="70">
        <f>IF(AND(COUNTIF($B$5:B6,B6)=1,$B6&lt;&gt;"",$AB6&lt;&gt;""),1,0)</f>
        <v/>
      </c>
      <c r="AE6" s="67" t="inlineStr">
        <is>
          <t>https://www.infobae.com/colombia/2026/09/04/alianza-verde-critico-a-david-racero-por-llamar-lavaperros-a-catherine-juvinao-durante-la-discusion-del-presupuesto-general-de-la-nacion-violencia-politica-verbal-y-simbolica/</t>
        </is>
      </c>
      <c r="AF6" s="64" t="n"/>
      <c r="AG6" s="65" t="n"/>
    </row>
    <row r="7" ht="22.35" customHeight="1" s="31">
      <c r="A7" s="66" t="inlineStr">
        <is>
          <t>ART_002</t>
        </is>
      </c>
      <c r="B7" s="66" t="inlineStr">
        <is>
          <t>ART_002_S01</t>
        </is>
      </c>
      <c r="C7" s="66" t="inlineStr">
        <is>
          <t>Infobae Colombia</t>
        </is>
      </c>
      <c r="D7" s="66" t="inlineStr">
        <is>
          <t>Política</t>
        </is>
      </c>
      <c r="E7" s="66" t="inlineStr">
        <is>
          <t>Noticia dura</t>
        </is>
      </c>
      <c r="F7" s="66" t="inlineStr">
        <is>
          <t>Fri, 04 Sep 2026 02:29:45 +0000</t>
        </is>
      </c>
      <c r="G7" s="67" t="inlineStr">
        <is>
          <t>Ni la Presidencia de la República, ejercida por Abelardo de la Espriella, ni el Ministerio de Defensa, ni la fuerza pública, están autorizadas para ejecutar operaciones aéreas ofensivas en zonas donde se sospeche que hay presencia de niños, niñas y adolescentes reclutados por organizaciones criminales.</t>
        </is>
      </c>
      <c r="H7" s="67" t="inlineStr"/>
      <c r="I7" s="67" t="inlineStr"/>
      <c r="J7" s="68" t="n"/>
      <c r="K7" s="69" t="n"/>
      <c r="L7" s="68" t="n"/>
      <c r="M7" s="69" t="n"/>
      <c r="N7" s="68" t="n"/>
      <c r="O7" s="69" t="n"/>
      <c r="P7" s="68" t="n"/>
      <c r="Q7" s="69" t="n"/>
      <c r="R7" s="68" t="n"/>
      <c r="S7" s="69" t="n"/>
      <c r="T7" s="68" t="n"/>
      <c r="U7" s="69" t="n"/>
      <c r="V7" s="68" t="n"/>
      <c r="W7" s="69" t="n"/>
      <c r="X7" s="68" t="n"/>
      <c r="Y7" s="69" t="n"/>
      <c r="Z7" s="68" t="n"/>
      <c r="AA7" s="69" t="n"/>
      <c r="AB7" s="68" t="n"/>
      <c r="AC7" s="69" t="n"/>
      <c r="AD7" s="70">
        <f>IF(AND(COUNTIF($B$5:B7,B7)=1,$B7&lt;&gt;"",$AB7&lt;&gt;""),1,0)</f>
        <v/>
      </c>
      <c r="AE7" s="67" t="inlineStr">
        <is>
          <t>https://www.infobae.com/colombia/2026/09/04/accionante-que-logro-que-un-juzgado-frenara-bombardeos-por-presencia-de-menores-explico-el-alcance-de-su-tutela-se-deben-proteger/</t>
        </is>
      </c>
      <c r="AF7" s="64" t="n"/>
      <c r="AG7" s="65" t="n"/>
    </row>
    <row r="8" ht="15" customHeight="1" s="31">
      <c r="A8" s="66" t="inlineStr">
        <is>
          <t>ART_003</t>
        </is>
      </c>
      <c r="B8" s="66" t="inlineStr">
        <is>
          <t>ART_003_S01</t>
        </is>
      </c>
      <c r="C8" s="66" t="inlineStr">
        <is>
          <t>Infobae Colombia</t>
        </is>
      </c>
      <c r="D8" s="66" t="inlineStr">
        <is>
          <t>Política</t>
        </is>
      </c>
      <c r="E8" s="66" t="inlineStr">
        <is>
          <t>Noticia dura</t>
        </is>
      </c>
      <c r="F8" s="66" t="inlineStr">
        <is>
          <t>Sat, 05 Sep 2026 23:40:04 +0000</t>
        </is>
      </c>
      <c r="G8" s="67" t="inlineStr">
        <is>
          <t>Tras el ataque terrorista que perpetró el Ejército de Liberación Nacional (ELN) el 4 de septiembre contra el Cantón Militar El Trapiche, ubicado en Ocaña, Norte de Santander, se llevó a cabo un consejo de seguridad extraordinario para atender la situación de orden público.</t>
        </is>
      </c>
      <c r="H8" s="67" t="inlineStr"/>
      <c r="I8" s="67" t="inlineStr">
        <is>
          <t>El atentado y los combates que se presentaron posteriormente dejaron tres militares asesinados: el capitán Marco David Pirajón Montezuma y los soldados profesionales Joel Alberto Jiménez Jaramillo y Jhon Carlo Marrugo Manjarrez.</t>
        </is>
      </c>
      <c r="J8" s="68" t="n"/>
      <c r="K8" s="69" t="n"/>
      <c r="L8" s="68" t="n"/>
      <c r="M8" s="69" t="n"/>
      <c r="N8" s="68" t="n"/>
      <c r="O8" s="69" t="n"/>
      <c r="P8" s="68" t="n"/>
      <c r="Q8" s="69" t="n"/>
      <c r="R8" s="68" t="n"/>
      <c r="S8" s="69" t="n"/>
      <c r="T8" s="68" t="n"/>
      <c r="U8" s="69" t="n"/>
      <c r="V8" s="68" t="n"/>
      <c r="W8" s="69" t="n"/>
      <c r="X8" s="68" t="n"/>
      <c r="Y8" s="69" t="n"/>
      <c r="Z8" s="68" t="n"/>
      <c r="AA8" s="69" t="n"/>
      <c r="AB8" s="68" t="n"/>
      <c r="AC8" s="69" t="n"/>
      <c r="AD8" s="70">
        <f>IF(AND(COUNTIF($B$5:B8,B8)=1,$B8&lt;&gt;"",$AB8&lt;&gt;""),1,0)</f>
        <v/>
      </c>
      <c r="AE8" s="67" t="inlineStr">
        <is>
          <t>https://www.infobae.com/colombia/2026/09/05/toman-medidas-para-reforzar-la-seguridad-en-ocana-y-norte-de-santander-tras-atentado-del-eln-activaran-la-campana-militar-y-policial-esparta/</t>
        </is>
      </c>
      <c r="AF8" s="64" t="n"/>
      <c r="AG8" s="65" t="n"/>
    </row>
    <row r="9" ht="15" customHeight="1" s="31">
      <c r="A9" s="66" t="inlineStr">
        <is>
          <t>ART_003</t>
        </is>
      </c>
      <c r="B9" s="66" t="inlineStr">
        <is>
          <t>ART_003_S02</t>
        </is>
      </c>
      <c r="C9" s="66" t="inlineStr">
        <is>
          <t>Infobae Colombia</t>
        </is>
      </c>
      <c r="D9" s="66" t="inlineStr">
        <is>
          <t>Política</t>
        </is>
      </c>
      <c r="E9" s="66" t="inlineStr">
        <is>
          <t>Noticia dura</t>
        </is>
      </c>
      <c r="F9" s="66" t="inlineStr">
        <is>
          <t>Sat, 05 Sep 2026 23:40:04 +0000</t>
        </is>
      </c>
      <c r="G9" s="67" t="inlineStr">
        <is>
          <t>El atentado y los combates que se presentaron posteriormente dejaron tres militares asesinados: el capitán Marco David Pirajón Montezuma y los soldados profesionales Joel Alberto Jiménez Jaramillo y Jhon Carlo Marrugo Manjarrez.</t>
        </is>
      </c>
      <c r="H9" s="67" t="inlineStr">
        <is>
          <t>Tras el ataque terrorista que perpetró el Ejército de Liberación Nacional (ELN) el 4 de septiembre contra el Cantón Militar El Trapiche, ubicado en Ocaña, Norte de Santander, se llevó a cabo un consejo de seguridad extraordinario para atender la situación de orden público.</t>
        </is>
      </c>
      <c r="I9" s="67" t="inlineStr">
        <is>
          <t>Ante la gravedad de estos hechos, se establecieron nuevas medidas para reforzar la seguridad y el control territorial en Ocaña y en la región del Catatumbo.</t>
        </is>
      </c>
      <c r="J9" s="68" t="n"/>
      <c r="K9" s="69" t="n"/>
      <c r="L9" s="68" t="n"/>
      <c r="M9" s="69" t="n"/>
      <c r="N9" s="68" t="n"/>
      <c r="O9" s="69" t="n"/>
      <c r="P9" s="68" t="n"/>
      <c r="Q9" s="69" t="n"/>
      <c r="R9" s="68" t="n"/>
      <c r="S9" s="69" t="n"/>
      <c r="T9" s="68" t="n"/>
      <c r="U9" s="69" t="n"/>
      <c r="V9" s="68" t="n"/>
      <c r="W9" s="69" t="n"/>
      <c r="X9" s="68" t="n"/>
      <c r="Y9" s="69" t="n"/>
      <c r="Z9" s="68" t="n"/>
      <c r="AA9" s="69" t="n"/>
      <c r="AB9" s="68" t="n"/>
      <c r="AC9" s="69" t="n"/>
      <c r="AD9" s="70">
        <f>IF(AND(COUNTIF($B$5:B9,B9)=1,$B9&lt;&gt;"",$AB9&lt;&gt;""),1,0)</f>
        <v/>
      </c>
      <c r="AE9" s="67" t="inlineStr">
        <is>
          <t>https://www.infobae.com/colombia/2026/09/05/toman-medidas-para-reforzar-la-seguridad-en-ocana-y-norte-de-santander-tras-atentado-del-eln-activaran-la-campana-militar-y-policial-esparta/</t>
        </is>
      </c>
      <c r="AF9" s="64" t="n"/>
      <c r="AG9" s="65" t="n"/>
    </row>
    <row r="10" ht="15" customHeight="1" s="31">
      <c r="A10" s="66" t="inlineStr">
        <is>
          <t>ART_003</t>
        </is>
      </c>
      <c r="B10" s="66" t="inlineStr">
        <is>
          <t>ART_003_S03</t>
        </is>
      </c>
      <c r="C10" s="66" t="inlineStr">
        <is>
          <t>Infobae Colombia</t>
        </is>
      </c>
      <c r="D10" s="66" t="inlineStr">
        <is>
          <t>Política</t>
        </is>
      </c>
      <c r="E10" s="66" t="inlineStr">
        <is>
          <t>Noticia dura</t>
        </is>
      </c>
      <c r="F10" s="66" t="inlineStr">
        <is>
          <t>Sat, 05 Sep 2026 23:40:04 +0000</t>
        </is>
      </c>
      <c r="G10" s="67" t="inlineStr">
        <is>
          <t>Ante la gravedad de estos hechos, se establecieron nuevas medidas para reforzar la seguridad y el control territorial en Ocaña y en la región del Catatumbo.</t>
        </is>
      </c>
      <c r="H10" s="67" t="inlineStr">
        <is>
          <t>El atentado y los combates que se presentaron posteriormente dejaron tres militares asesinados: el capitán Marco David Pirajón Montezuma y los soldados profesionales Joel Alberto Jiménez Jaramillo y Jhon Carlo Marrugo Manjarrez.</t>
        </is>
      </c>
      <c r="I10" s="67" t="inlineStr">
        <is>
          <t>Durante la reunión, en la que estuvo el Ministerio de Defensa Nacional, la cúpula militar y de la Policía Nacional, y el gobernador de Norte de Santander, William Villamizar Laguado, el Gobierno del presidente Abelardo de la Espriella y las autoridades concertaron hacer una reestructuración y activación de la campaña militar y policial Esparta, con sede en Ocaña, para articular capacidades de las Fuerzas Militares y la Policía Nacional frente a las estructuras criminales que operan en la zona.</t>
        </is>
      </c>
      <c r="J10" s="68" t="n"/>
      <c r="K10" s="69" t="n"/>
      <c r="L10" s="68" t="n"/>
      <c r="M10" s="69" t="n"/>
      <c r="N10" s="68" t="n"/>
      <c r="O10" s="69" t="n"/>
      <c r="P10" s="68" t="n"/>
      <c r="Q10" s="69" t="n"/>
      <c r="R10" s="68" t="n"/>
      <c r="S10" s="69" t="n"/>
      <c r="T10" s="68" t="n"/>
      <c r="U10" s="69" t="n"/>
      <c r="V10" s="68" t="n"/>
      <c r="W10" s="69" t="n"/>
      <c r="X10" s="68" t="n"/>
      <c r="Y10" s="69" t="n"/>
      <c r="Z10" s="68" t="n"/>
      <c r="AA10" s="69" t="n"/>
      <c r="AB10" s="68" t="n"/>
      <c r="AC10" s="69" t="n"/>
      <c r="AD10" s="70">
        <f>IF(AND(COUNTIF($B$5:B10,B10)=1,$B10&lt;&gt;"",$AB10&lt;&gt;""),1,0)</f>
        <v/>
      </c>
      <c r="AE10" s="67" t="inlineStr">
        <is>
          <t>https://www.infobae.com/colombia/2026/09/05/toman-medidas-para-reforzar-la-seguridad-en-ocana-y-norte-de-santander-tras-atentado-del-eln-activaran-la-campana-militar-y-policial-esparta/</t>
        </is>
      </c>
      <c r="AF10" s="64" t="n"/>
      <c r="AG10" s="65" t="n"/>
    </row>
    <row r="11" ht="15" customHeight="1" s="31">
      <c r="A11" s="66" t="inlineStr">
        <is>
          <t>ART_003</t>
        </is>
      </c>
      <c r="B11" s="66" t="inlineStr">
        <is>
          <t>ART_003_S04</t>
        </is>
      </c>
      <c r="C11" s="66" t="inlineStr">
        <is>
          <t>Infobae Colombia</t>
        </is>
      </c>
      <c r="D11" s="66" t="inlineStr">
        <is>
          <t>Política</t>
        </is>
      </c>
      <c r="E11" s="66" t="inlineStr">
        <is>
          <t>Noticia dura</t>
        </is>
      </c>
      <c r="F11" s="66" t="inlineStr">
        <is>
          <t>Sat, 05 Sep 2026 23:40:04 +0000</t>
        </is>
      </c>
      <c r="G11" s="67" t="inlineStr">
        <is>
          <t>Durante la reunión, en la que estuvo el Ministerio de Defensa Nacional, la cúpula militar y de la Policía Nacional, y el gobernador de Norte de Santander, William Villamizar Laguado, el Gobierno del presidente Abelardo de la Espriella y las autoridades concertaron hacer una reestructuración y activación de la campaña militar y policial Esparta, con sede en Ocaña, para articular capacidades de las Fuerzas Militares y la Policía Nacional frente a las estructuras criminales que operan en la zona.</t>
        </is>
      </c>
      <c r="H11" s="67" t="inlineStr">
        <is>
          <t>Ante la gravedad de estos hechos, se establecieron nuevas medidas para reforzar la seguridad y el control territorial en Ocaña y en la región del Catatumbo.</t>
        </is>
      </c>
      <c r="I11" s="67" t="inlineStr">
        <is>
          <t>“Se reforzarán los corredores de movilidad ilegal, las capacidades de inteligencia y la coordinación con la @FiscaliaCol para identificar, capturar y judicializar a los responsables.</t>
        </is>
      </c>
      <c r="J11" s="68" t="n"/>
      <c r="K11" s="69" t="n"/>
      <c r="L11" s="68" t="n"/>
      <c r="M11" s="69" t="n"/>
      <c r="N11" s="68" t="n"/>
      <c r="O11" s="69" t="n"/>
      <c r="P11" s="68" t="n"/>
      <c r="Q11" s="69" t="n"/>
      <c r="R11" s="68" t="n"/>
      <c r="S11" s="69" t="n"/>
      <c r="T11" s="68" t="n"/>
      <c r="U11" s="69" t="n"/>
      <c r="V11" s="68" t="n"/>
      <c r="W11" s="69" t="n"/>
      <c r="X11" s="68" t="n"/>
      <c r="Y11" s="69" t="n"/>
      <c r="Z11" s="68" t="n"/>
      <c r="AA11" s="69" t="n"/>
      <c r="AB11" s="68" t="n"/>
      <c r="AC11" s="69" t="n"/>
      <c r="AD11" s="70">
        <f>IF(AND(COUNTIF($B$5:B11,B11)=1,$B11&lt;&gt;"",$AB11&lt;&gt;""),1,0)</f>
        <v/>
      </c>
      <c r="AE11" s="67" t="inlineStr">
        <is>
          <t>https://www.infobae.com/colombia/2026/09/05/toman-medidas-para-reforzar-la-seguridad-en-ocana-y-norte-de-santander-tras-atentado-del-eln-activaran-la-campana-militar-y-policial-esparta/</t>
        </is>
      </c>
      <c r="AF11" s="64" t="n"/>
      <c r="AG11" s="65" t="n"/>
    </row>
    <row r="12" ht="15" customHeight="1" s="31">
      <c r="A12" s="66" t="inlineStr">
        <is>
          <t>ART_003</t>
        </is>
      </c>
      <c r="B12" s="66" t="inlineStr">
        <is>
          <t>ART_003_S05</t>
        </is>
      </c>
      <c r="C12" s="66" t="inlineStr">
        <is>
          <t>Infobae Colombia</t>
        </is>
      </c>
      <c r="D12" s="66" t="inlineStr">
        <is>
          <t>Política</t>
        </is>
      </c>
      <c r="E12" s="66" t="inlineStr">
        <is>
          <t>Noticia dura</t>
        </is>
      </c>
      <c r="F12" s="66" t="inlineStr">
        <is>
          <t>Sat, 05 Sep 2026 23:40:04 +0000</t>
        </is>
      </c>
      <c r="G12" s="67" t="inlineStr">
        <is>
          <t>“Se reforzarán los corredores de movilidad ilegal, las capacidades de inteligencia y la coordinación con la @FiscaliaCol para identificar, capturar y judicializar a los responsables.</t>
        </is>
      </c>
      <c r="H12" s="67" t="inlineStr">
        <is>
          <t>Durante la reunión, en la que estuvo el Ministerio de Defensa Nacional, la cúpula militar y de la Policía Nacional, y el gobernador de Norte de Santander, William Villamizar Laguado, el Gobierno del presidente Abelardo de la Espriella y las autoridades concertaron hacer una reestructuración y activación de la campaña militar y policial Esparta, con sede en Ocaña, para articular capacidades de las Fuerzas Militares y la Policía Nacional frente a las estructuras criminales que operan en la zona.</t>
        </is>
      </c>
      <c r="I12" s="67" t="inlineStr">
        <is>
          <t>Las @FuerzasMilCol y la @PoliciaColombia mantienen desplegadas todas sus capacidades para proteger a la población y enfrentar con contundencia a quienes atenten contra la seguridad del #Catatumbo”, indicaron las Fuerzas Militares en X.</t>
        </is>
      </c>
      <c r="J12" s="68" t="n"/>
      <c r="K12" s="69" t="n"/>
      <c r="L12" s="68" t="n"/>
      <c r="M12" s="69" t="n"/>
      <c r="N12" s="68" t="n"/>
      <c r="O12" s="69" t="n"/>
      <c r="P12" s="68" t="n"/>
      <c r="Q12" s="69" t="n"/>
      <c r="R12" s="68" t="n"/>
      <c r="S12" s="69" t="n"/>
      <c r="T12" s="68" t="n"/>
      <c r="U12" s="69" t="n"/>
      <c r="V12" s="68" t="n"/>
      <c r="W12" s="69" t="n"/>
      <c r="X12" s="68" t="n"/>
      <c r="Y12" s="69" t="n"/>
      <c r="Z12" s="68" t="n"/>
      <c r="AA12" s="69" t="n"/>
      <c r="AB12" s="68" t="n"/>
      <c r="AC12" s="69" t="n"/>
      <c r="AD12" s="70">
        <f>IF(AND(COUNTIF($B$5:B12,B12)=1,$B12&lt;&gt;"",$AB12&lt;&gt;""),1,0)</f>
        <v/>
      </c>
      <c r="AE12" s="67" t="inlineStr">
        <is>
          <t>https://www.infobae.com/colombia/2026/09/05/toman-medidas-para-reforzar-la-seguridad-en-ocana-y-norte-de-santander-tras-atentado-del-eln-activaran-la-campana-militar-y-policial-esparta/</t>
        </is>
      </c>
      <c r="AF12" s="64" t="n"/>
      <c r="AG12" s="65" t="n"/>
    </row>
    <row r="13" ht="15" customHeight="1" s="31">
      <c r="A13" s="66" t="inlineStr">
        <is>
          <t>ART_003</t>
        </is>
      </c>
      <c r="B13" s="66" t="inlineStr">
        <is>
          <t>ART_003_S06</t>
        </is>
      </c>
      <c r="C13" s="66" t="inlineStr">
        <is>
          <t>Infobae Colombia</t>
        </is>
      </c>
      <c r="D13" s="66" t="inlineStr">
        <is>
          <t>Política</t>
        </is>
      </c>
      <c r="E13" s="66" t="inlineStr">
        <is>
          <t>Noticia dura</t>
        </is>
      </c>
      <c r="F13" s="66" t="inlineStr">
        <is>
          <t>Sat, 05 Sep 2026 23:40:04 +0000</t>
        </is>
      </c>
      <c r="G13" s="67" t="inlineStr">
        <is>
          <t>Las @FuerzasMilCol y la @PoliciaColombia mantienen desplegadas todas sus capacidades para proteger a la población y enfrentar con contundencia a quienes atenten contra la seguridad del #Catatumbo”, indicaron las Fuerzas Militares en X.</t>
        </is>
      </c>
      <c r="H13" s="67" t="inlineStr">
        <is>
          <t>“Se reforzarán los corredores de movilidad ilegal, las capacidades de inteligencia y la coordinación con la @FiscaliaCol para identificar, capturar y judicializar a los responsables.</t>
        </is>
      </c>
      <c r="I13" s="67" t="inlineStr"/>
      <c r="J13" s="68" t="n"/>
      <c r="K13" s="69" t="n"/>
      <c r="L13" s="68" t="n"/>
      <c r="M13" s="69" t="n"/>
      <c r="N13" s="68" t="n"/>
      <c r="O13" s="69" t="n"/>
      <c r="P13" s="68" t="n"/>
      <c r="Q13" s="69" t="n"/>
      <c r="R13" s="68" t="n"/>
      <c r="S13" s="69" t="n"/>
      <c r="T13" s="68" t="n"/>
      <c r="U13" s="69" t="n"/>
      <c r="V13" s="68" t="n"/>
      <c r="W13" s="69" t="n"/>
      <c r="X13" s="68" t="n"/>
      <c r="Y13" s="69" t="n"/>
      <c r="Z13" s="68" t="n"/>
      <c r="AA13" s="69" t="n"/>
      <c r="AB13" s="68" t="n"/>
      <c r="AC13" s="69" t="n"/>
      <c r="AD13" s="70">
        <f>IF(AND(COUNTIF($B$5:B13,B13)=1,$B13&lt;&gt;"",$AB13&lt;&gt;""),1,0)</f>
        <v/>
      </c>
      <c r="AE13" s="67" t="inlineStr">
        <is>
          <t>https://www.infobae.com/colombia/2026/09/05/toman-medidas-para-reforzar-la-seguridad-en-ocana-y-norte-de-santander-tras-atentado-del-eln-activaran-la-campana-militar-y-policial-esparta/</t>
        </is>
      </c>
      <c r="AF13" s="64" t="n"/>
      <c r="AG13" s="65" t="n"/>
    </row>
    <row r="14" ht="15" customHeight="1" s="31">
      <c r="A14" s="66" t="inlineStr">
        <is>
          <t>ART_004</t>
        </is>
      </c>
      <c r="B14" s="66" t="inlineStr">
        <is>
          <t>ART_004_S01</t>
        </is>
      </c>
      <c r="C14" s="66" t="inlineStr">
        <is>
          <t>Infobae Colombia</t>
        </is>
      </c>
      <c r="D14" s="66" t="inlineStr">
        <is>
          <t>Política</t>
        </is>
      </c>
      <c r="E14" s="66" t="inlineStr">
        <is>
          <t>Noticia dura</t>
        </is>
      </c>
      <c r="F14" s="66" t="inlineStr">
        <is>
          <t>2026-08-04T18:45:15Z</t>
        </is>
      </c>
      <c r="G14" s="67" t="inlineStr">
        <is>
          <t>El director de la Dirección de Impuestos y Aduanas Nacionales (Dian) Carlos Betancourt sostuvo que el aumento de aranceles de Estados Unidos a Colombia, que pasó de 10% a 12,5%, fue una decisión unilateral del gobierno de Donald Trump y no una consecuencia de incumplimientos del Estado colombiano, en un contexto marcado por la guerra comercial con China, la estrategia de Washington para fortalecer sus exportaciones y factores geopolíticos.</t>
        </is>
      </c>
      <c r="H14" s="67" t="inlineStr"/>
      <c r="I14" s="67" t="inlineStr"/>
      <c r="J14" s="68" t="n"/>
      <c r="K14" s="69" t="n"/>
      <c r="L14" s="68" t="n"/>
      <c r="M14" s="69" t="n"/>
      <c r="N14" s="68" t="n"/>
      <c r="O14" s="69" t="n"/>
      <c r="P14" s="68" t="n"/>
      <c r="Q14" s="69" t="n"/>
      <c r="R14" s="68" t="n"/>
      <c r="S14" s="69" t="n"/>
      <c r="T14" s="68" t="n"/>
      <c r="U14" s="69" t="n"/>
      <c r="V14" s="68" t="n"/>
      <c r="W14" s="69" t="n"/>
      <c r="X14" s="68" t="n"/>
      <c r="Y14" s="69" t="n"/>
      <c r="Z14" s="68" t="n"/>
      <c r="AA14" s="69" t="n"/>
      <c r="AB14" s="68" t="n"/>
      <c r="AC14" s="69" t="n"/>
      <c r="AD14" s="70">
        <f>IF(AND(COUNTIF($B$5:B14,B14)=1,$B14&lt;&gt;"",$AB14&lt;&gt;""),1,0)</f>
        <v/>
      </c>
      <c r="AE14" s="67" t="inlineStr">
        <is>
          <t>https://www.infobae.com/colombia/2026/08/04/el-director-de-la-dian-atribuyo-a-donald-trump-la-subida-de-aranceles-de-estados-unidos-a-colombia-es-una-decision-unilateral/</t>
        </is>
      </c>
      <c r="AF14" s="64" t="n"/>
      <c r="AG14" s="65" t="n"/>
    </row>
    <row r="15" ht="15" customHeight="1" s="31">
      <c r="A15" s="66" t="inlineStr">
        <is>
          <t>ART_005</t>
        </is>
      </c>
      <c r="B15" s="66" t="inlineStr">
        <is>
          <t>ART_005_S01</t>
        </is>
      </c>
      <c r="C15" s="66" t="inlineStr">
        <is>
          <t>Infobae Colombia</t>
        </is>
      </c>
      <c r="D15" s="66" t="inlineStr">
        <is>
          <t>Política</t>
        </is>
      </c>
      <c r="E15" s="66" t="inlineStr">
        <is>
          <t>Noticia dura</t>
        </is>
      </c>
      <c r="F15" s="66" t="inlineStr">
        <is>
          <t>2026-07-23T23:10:16Z</t>
        </is>
      </c>
      <c r="G15" s="67" t="inlineStr">
        <is>
          <t>La administración del presidente Donald Trump confirmó el jueves 23 de julio de 2026 un nuevo paquete de aranceles para las importaciones provenientes de decenas de países, entre ellos Colombia, decisión que fija un gravamen del 12,5% para los productos colombianos que ingresen al mercado estadounidense.</t>
        </is>
      </c>
      <c r="H15" s="67" t="inlineStr"/>
      <c r="I15" s="67" t="inlineStr"/>
      <c r="J15" s="68" t="n"/>
      <c r="K15" s="69" t="n"/>
      <c r="L15" s="68" t="n"/>
      <c r="M15" s="69" t="n"/>
      <c r="N15" s="68" t="n"/>
      <c r="O15" s="69" t="n"/>
      <c r="P15" s="68" t="n"/>
      <c r="Q15" s="69" t="n"/>
      <c r="R15" s="68" t="n"/>
      <c r="S15" s="69" t="n"/>
      <c r="T15" s="68" t="n"/>
      <c r="U15" s="69" t="n"/>
      <c r="V15" s="68" t="n"/>
      <c r="W15" s="69" t="n"/>
      <c r="X15" s="68" t="n"/>
      <c r="Y15" s="69" t="n"/>
      <c r="Z15" s="68" t="n"/>
      <c r="AA15" s="69" t="n"/>
      <c r="AB15" s="68" t="n"/>
      <c r="AC15" s="69" t="n"/>
      <c r="AD15" s="70">
        <f>IF(AND(COUNTIF($B$5:B15,B15)=1,$B15&lt;&gt;"",$AB15&lt;&gt;""),1,0)</f>
        <v/>
      </c>
      <c r="AE15" s="67" t="inlineStr">
        <is>
          <t>https://www.infobae.com/colombia/2026/07/23/estados-unidos-endurecio-los-aranceles-para-colombia-exportaciones-pagaran-un-gravamen-del-125/</t>
        </is>
      </c>
      <c r="AF15" s="64" t="n"/>
      <c r="AG15" s="65" t="n"/>
    </row>
    <row r="16" ht="15" customHeight="1" s="31">
      <c r="A16" s="66" t="inlineStr">
        <is>
          <t>ART_006</t>
        </is>
      </c>
      <c r="B16" s="66" t="inlineStr">
        <is>
          <t>ART_006_S01</t>
        </is>
      </c>
      <c r="C16" s="66" t="inlineStr">
        <is>
          <t>Infobae Colombia</t>
        </is>
      </c>
      <c r="D16" s="66" t="inlineStr">
        <is>
          <t>Política</t>
        </is>
      </c>
      <c r="E16" s="66" t="inlineStr">
        <is>
          <t>Noticia dura</t>
        </is>
      </c>
      <c r="F16" s="66" t="inlineStr">
        <is>
          <t>2026-09-07T01:06:46Z</t>
        </is>
      </c>
      <c r="G16" s="67" t="inlineStr">
        <is>
          <t>El exministro de Hacienda José Antonio Ocampo se refirió al aval que le dio la Corte Constitucional a la reforma pensional, principalmente, sobre un cambio que considera central: Colpensiones dejaría de competir con el ahorro individual para operar en un esquema complementario.</t>
        </is>
      </c>
      <c r="H16" s="67" t="inlineStr"/>
      <c r="I16" s="67" t="inlineStr">
        <is>
          <t>El exfuncionario dijo que el sistema tendrá costos altos desde 2067, cuando se agoten los recursos de un fondo especial.</t>
        </is>
      </c>
      <c r="J16" s="68" t="n"/>
      <c r="K16" s="69" t="n"/>
      <c r="L16" s="68" t="n"/>
      <c r="M16" s="69" t="n"/>
      <c r="N16" s="68" t="n"/>
      <c r="O16" s="69" t="n"/>
      <c r="P16" s="68" t="n"/>
      <c r="Q16" s="69" t="n"/>
      <c r="R16" s="68" t="n"/>
      <c r="S16" s="69" t="n"/>
      <c r="T16" s="68" t="n"/>
      <c r="U16" s="69" t="n"/>
      <c r="V16" s="68" t="n"/>
      <c r="W16" s="69" t="n"/>
      <c r="X16" s="68" t="n"/>
      <c r="Y16" s="69" t="n"/>
      <c r="Z16" s="68" t="n"/>
      <c r="AA16" s="69" t="n"/>
      <c r="AB16" s="68" t="n"/>
      <c r="AC16" s="69" t="n"/>
      <c r="AD16" s="70">
        <f>IF(AND(COUNTIF($B$5:B16,B16)=1,$B16&lt;&gt;"",$AB16&lt;&gt;""),1,0)</f>
        <v/>
      </c>
      <c r="AE16" s="67" t="inlineStr">
        <is>
          <t>https://www.infobae.com/colombia/2026/09/07/reforma-pensional-confirman-en-que-ano-se-acabara-el-ahorro-de-los-trabajadores-colombianos-y-cuando-colapsara-colpensiones/</t>
        </is>
      </c>
      <c r="AF16" s="64" t="n"/>
      <c r="AG16" s="65" t="n"/>
    </row>
    <row r="17" ht="15" customHeight="1" s="31">
      <c r="A17" s="66" t="inlineStr">
        <is>
          <t>ART_006</t>
        </is>
      </c>
      <c r="B17" s="66" t="inlineStr">
        <is>
          <t>ART_006_S02</t>
        </is>
      </c>
      <c r="C17" s="66" t="inlineStr">
        <is>
          <t>Infobae Colombia</t>
        </is>
      </c>
      <c r="D17" s="66" t="inlineStr">
        <is>
          <t>Política</t>
        </is>
      </c>
      <c r="E17" s="66" t="inlineStr">
        <is>
          <t>Noticia dura</t>
        </is>
      </c>
      <c r="F17" s="66" t="inlineStr">
        <is>
          <t>2026-09-07T01:06:46Z</t>
        </is>
      </c>
      <c r="G17" s="67" t="inlineStr">
        <is>
          <t>El exfuncionario dijo que el sistema tendrá costos altos desde 2067, cuando se agoten los recursos de un fondo especial.</t>
        </is>
      </c>
      <c r="H17" s="67" t="inlineStr">
        <is>
          <t>El exministro de Hacienda José Antonio Ocampo se refirió al aval que le dio la Corte Constitucional a la reforma pensional, principalmente, sobre un cambio que considera central: Colpensiones dejaría de competir con el ahorro individual para operar en un esquema complementario.</t>
        </is>
      </c>
      <c r="I17" s="67" t="inlineStr"/>
      <c r="J17" s="68" t="n"/>
      <c r="K17" s="69" t="n"/>
      <c r="L17" s="68" t="n"/>
      <c r="M17" s="69" t="n"/>
      <c r="N17" s="68" t="n"/>
      <c r="O17" s="69" t="n"/>
      <c r="P17" s="68" t="n"/>
      <c r="Q17" s="69" t="n"/>
      <c r="R17" s="68" t="n"/>
      <c r="S17" s="69" t="n"/>
      <c r="T17" s="68" t="n"/>
      <c r="U17" s="69" t="n"/>
      <c r="V17" s="68" t="n"/>
      <c r="W17" s="69" t="n"/>
      <c r="X17" s="68" t="n"/>
      <c r="Y17" s="69" t="n"/>
      <c r="Z17" s="68" t="n"/>
      <c r="AA17" s="69" t="n"/>
      <c r="AB17" s="68" t="n"/>
      <c r="AC17" s="69" t="n"/>
      <c r="AD17" s="70">
        <f>IF(AND(COUNTIF($B$5:B17,B17)=1,$B17&lt;&gt;"",$AB17&lt;&gt;""),1,0)</f>
        <v/>
      </c>
      <c r="AE17" s="67" t="inlineStr">
        <is>
          <t>https://www.infobae.com/colombia/2026/09/07/reforma-pensional-confirman-en-que-ano-se-acabara-el-ahorro-de-los-trabajadores-colombianos-y-cuando-colapsara-colpensiones/</t>
        </is>
      </c>
      <c r="AF17" s="64" t="n"/>
      <c r="AG17" s="65" t="n"/>
    </row>
    <row r="18" ht="15" customHeight="1" s="31">
      <c r="A18" s="66" t="inlineStr">
        <is>
          <t>ART_007</t>
        </is>
      </c>
      <c r="B18" s="66" t="inlineStr">
        <is>
          <t>ART_007_S01</t>
        </is>
      </c>
      <c r="C18" s="66" t="inlineStr">
        <is>
          <t>El Tiempo</t>
        </is>
      </c>
      <c r="D18" s="66" t="inlineStr">
        <is>
          <t>Política</t>
        </is>
      </c>
      <c r="E18" s="66" t="inlineStr">
        <is>
          <t>Noticia dura</t>
        </is>
      </c>
      <c r="F18" s="66" t="inlineStr">
        <is>
          <t>2026-09-04T16:36:43-05:00</t>
        </is>
      </c>
      <c r="G18" s="67" t="inlineStr">
        <is>
          <t>La decisión de la Alianza Verde de declararse como partido independiente al gobierno de Abelardo De La Espriella ha generado polémica.</t>
        </is>
      </c>
      <c r="H18" s="67" t="inlineStr"/>
      <c r="I18" s="67" t="inlineStr"/>
      <c r="J18" s="68" t="n"/>
      <c r="K18" s="69" t="n"/>
      <c r="L18" s="68" t="n"/>
      <c r="M18" s="69" t="n"/>
      <c r="N18" s="68" t="n"/>
      <c r="O18" s="69" t="n"/>
      <c r="P18" s="68" t="n"/>
      <c r="Q18" s="69" t="n"/>
      <c r="R18" s="68" t="n"/>
      <c r="S18" s="69" t="n"/>
      <c r="T18" s="68" t="n"/>
      <c r="U18" s="69" t="n"/>
      <c r="V18" s="68" t="n"/>
      <c r="W18" s="69" t="n"/>
      <c r="X18" s="68" t="n"/>
      <c r="Y18" s="69" t="n"/>
      <c r="Z18" s="68" t="n"/>
      <c r="AA18" s="69" t="n"/>
      <c r="AB18" s="68" t="n"/>
      <c r="AC18" s="69" t="n"/>
      <c r="AD18" s="70">
        <f>IF(AND(COUNTIF($B$5:B18,B18)=1,$B18&lt;&gt;"",$AB18&lt;&gt;""),1,0)</f>
        <v/>
      </c>
      <c r="AE18" s="67" t="inlineStr">
        <is>
          <t>https://www.eltiempo.com/politica/partidos-politicos/las-movidas-detras-de-la-declaratoria-de-la-alianza-verde-como-partido-independiente-al-gobierno-de-abelardo-de-la-espriella-3583710</t>
        </is>
      </c>
      <c r="AF18" s="64" t="n"/>
      <c r="AG18" s="65" t="n"/>
    </row>
    <row r="19" ht="15" customHeight="1" s="31">
      <c r="A19" s="66" t="inlineStr">
        <is>
          <t>ART_008</t>
        </is>
      </c>
      <c r="B19" s="66" t="inlineStr">
        <is>
          <t>ART_008_S01</t>
        </is>
      </c>
      <c r="C19" s="66" t="inlineStr">
        <is>
          <t>El Tiempo</t>
        </is>
      </c>
      <c r="D19" s="66" t="inlineStr">
        <is>
          <t>Política</t>
        </is>
      </c>
      <c r="E19" s="66" t="inlineStr">
        <is>
          <t>Noticia dura</t>
        </is>
      </c>
      <c r="F19" s="66" t="inlineStr">
        <is>
          <t>2026-09-04T10:51:14-05:00</t>
        </is>
      </c>
      <c r="G19" s="67" t="inlineStr">
        <is>
          <t>El presidente Abelardo De La Espriella y su cúpula militar confirmaron en Riohacha la muerte de Naín Andrés Pérez Toncel, alias 'Bendito menor', señalado cabecilla de las Autodefensas Conquistadoras de la Sierra Nevada, durante un operativo de la Policía denominado 'Centinela de la patria'.</t>
        </is>
      </c>
      <c r="H19" s="67" t="inlineStr"/>
      <c r="I19" s="67" t="inlineStr">
        <is>
          <t>Según detalló el mandatario, junto al cabecilla de las Acsn también murieron su pareja, Rosa Angélica Tarazona, alias ‘La Bebecita’, y dos escoltas.</t>
        </is>
      </c>
      <c r="J19" s="68" t="n"/>
      <c r="K19" s="69" t="n"/>
      <c r="L19" s="68" t="n"/>
      <c r="M19" s="69" t="n"/>
      <c r="N19" s="68" t="n"/>
      <c r="O19" s="69" t="n"/>
      <c r="P19" s="68" t="n"/>
      <c r="Q19" s="69" t="n"/>
      <c r="R19" s="68" t="n"/>
      <c r="S19" s="69" t="n"/>
      <c r="T19" s="68" t="n"/>
      <c r="U19" s="69" t="n"/>
      <c r="V19" s="68" t="n"/>
      <c r="W19" s="69" t="n"/>
      <c r="X19" s="68" t="n"/>
      <c r="Y19" s="69" t="n"/>
      <c r="Z19" s="68" t="n"/>
      <c r="AA19" s="69" t="n"/>
      <c r="AB19" s="68" t="n"/>
      <c r="AC19" s="69" t="n"/>
      <c r="AD19" s="70">
        <f>IF(AND(COUNTIF($B$5:B19,B19)=1,$B19&lt;&gt;"",$AB19&lt;&gt;""),1,0)</f>
        <v/>
      </c>
      <c r="AE19" s="67" t="inlineStr">
        <is>
          <t>https://www.eltiempo.com/politica/abelardo-de-la-espriella/presidente-abelardo-de-la-espriella-y-su-contundente-frase-tras-la-muerte-de-bendito-menor-este-miserable-ahora-esta-a-buen-recaudo-del-infierno-3583557</t>
        </is>
      </c>
      <c r="AF19" s="64" t="n"/>
      <c r="AG19" s="65" t="n"/>
    </row>
    <row r="20" ht="15" customHeight="1" s="31">
      <c r="A20" s="66" t="inlineStr">
        <is>
          <t>ART_008</t>
        </is>
      </c>
      <c r="B20" s="66" t="inlineStr">
        <is>
          <t>ART_008_S02</t>
        </is>
      </c>
      <c r="C20" s="66" t="inlineStr">
        <is>
          <t>El Tiempo</t>
        </is>
      </c>
      <c r="D20" s="66" t="inlineStr">
        <is>
          <t>Política</t>
        </is>
      </c>
      <c r="E20" s="66" t="inlineStr">
        <is>
          <t>Noticia dura</t>
        </is>
      </c>
      <c r="F20" s="66" t="inlineStr">
        <is>
          <t>2026-09-04T10:51:14-05:00</t>
        </is>
      </c>
      <c r="G20" s="67" t="inlineStr">
        <is>
          <t>Según detalló el mandatario, junto al cabecilla de las Acsn también murieron su pareja, Rosa Angélica Tarazona, alias ‘La Bebecita’, y dos escoltas.</t>
        </is>
      </c>
      <c r="H20" s="67" t="inlineStr">
        <is>
          <t>El presidente Abelardo De La Espriella y su cúpula militar confirmaron en Riohacha la muerte de Naín Andrés Pérez Toncel, alias 'Bendito menor', señalado cabecilla de las Autodefensas Conquistadoras de la Sierra Nevada, durante un operativo de la Policía denominado 'Centinela de la patria'.</t>
        </is>
      </c>
      <c r="I20" s="67" t="inlineStr"/>
      <c r="J20" s="68" t="n"/>
      <c r="K20" s="69" t="n"/>
      <c r="L20" s="68" t="n"/>
      <c r="M20" s="69" t="n"/>
      <c r="N20" s="68" t="n"/>
      <c r="O20" s="69" t="n"/>
      <c r="P20" s="68" t="n"/>
      <c r="Q20" s="69" t="n"/>
      <c r="R20" s="68" t="n"/>
      <c r="S20" s="69" t="n"/>
      <c r="T20" s="68" t="n"/>
      <c r="U20" s="69" t="n"/>
      <c r="V20" s="68" t="n"/>
      <c r="W20" s="69" t="n"/>
      <c r="X20" s="68" t="n"/>
      <c r="Y20" s="69" t="n"/>
      <c r="Z20" s="68" t="n"/>
      <c r="AA20" s="69" t="n"/>
      <c r="AB20" s="68" t="n"/>
      <c r="AC20" s="69" t="n"/>
      <c r="AD20" s="70">
        <f>IF(AND(COUNTIF($B$5:B20,B20)=1,$B20&lt;&gt;"",$AB20&lt;&gt;""),1,0)</f>
        <v/>
      </c>
      <c r="AE20" s="67" t="inlineStr">
        <is>
          <t>https://www.eltiempo.com/politica/abelardo-de-la-espriella/presidente-abelardo-de-la-espriella-y-su-contundente-frase-tras-la-muerte-de-bendito-menor-este-miserable-ahora-esta-a-buen-recaudo-del-infierno-3583557</t>
        </is>
      </c>
      <c r="AF20" s="64" t="n"/>
      <c r="AG20" s="65" t="n"/>
    </row>
    <row r="21" ht="15" customHeight="1" s="31">
      <c r="A21" s="66" t="inlineStr">
        <is>
          <t>ART_009</t>
        </is>
      </c>
      <c r="B21" s="66" t="inlineStr">
        <is>
          <t>ART_009_S01</t>
        </is>
      </c>
      <c r="C21" s="66" t="inlineStr">
        <is>
          <t>El Tiempo</t>
        </is>
      </c>
      <c r="D21" s="66" t="inlineStr">
        <is>
          <t>Política</t>
        </is>
      </c>
      <c r="E21" s="66" t="inlineStr">
        <is>
          <t>Noticia dura</t>
        </is>
      </c>
      <c r="F21" s="66" t="inlineStr">
        <is>
          <t>2026-09-04T07:46:26-05:00</t>
        </is>
      </c>
      <c r="G21" s="67" t="inlineStr">
        <is>
          <t>Washington y Nueva York serán los dos escenarios que marcarán el ritmo de la política exterior del gobierno de Abelardo De La Espriella.</t>
        </is>
      </c>
      <c r="H21" s="67" t="inlineStr"/>
      <c r="I21" s="67" t="inlineStr"/>
      <c r="J21" s="68" t="n"/>
      <c r="K21" s="69" t="n"/>
      <c r="L21" s="68" t="n"/>
      <c r="M21" s="69" t="n"/>
      <c r="N21" s="68" t="n"/>
      <c r="O21" s="69" t="n"/>
      <c r="P21" s="68" t="n"/>
      <c r="Q21" s="69" t="n"/>
      <c r="R21" s="68" t="n"/>
      <c r="S21" s="69" t="n"/>
      <c r="T21" s="68" t="n"/>
      <c r="U21" s="69" t="n"/>
      <c r="V21" s="68" t="n"/>
      <c r="W21" s="69" t="n"/>
      <c r="X21" s="68" t="n"/>
      <c r="Y21" s="69" t="n"/>
      <c r="Z21" s="68" t="n"/>
      <c r="AA21" s="69" t="n"/>
      <c r="AB21" s="68" t="n"/>
      <c r="AC21" s="69" t="n"/>
      <c r="AD21" s="70">
        <f>IF(AND(COUNTIF($B$5:B21,B21)=1,$B21&lt;&gt;"",$AB21&lt;&gt;""),1,0)</f>
        <v/>
      </c>
      <c r="AE21" s="67" t="inlineStr">
        <is>
          <t>https://www.eltiempo.com/politica/gobierno/embajadores-ante-ee-uu-y-naciones-unidas-se-preparan-para-asumir-los-destinos-clave-para-la-diplomacia-del-presidente-abelardo-de-la-espriella-3583494</t>
        </is>
      </c>
      <c r="AF21" s="64" t="n"/>
      <c r="AG21" s="65" t="n"/>
    </row>
    <row r="22" ht="15" customHeight="1" s="31">
      <c r="A22" s="66" t="inlineStr">
        <is>
          <t>ART_010</t>
        </is>
      </c>
      <c r="B22" s="66" t="inlineStr">
        <is>
          <t>ART_010_S01</t>
        </is>
      </c>
      <c r="C22" s="66" t="inlineStr">
        <is>
          <t>El Tiempo</t>
        </is>
      </c>
      <c r="D22" s="66" t="inlineStr">
        <is>
          <t>Política</t>
        </is>
      </c>
      <c r="E22" s="66" t="inlineStr">
        <is>
          <t>Noticia dura</t>
        </is>
      </c>
      <c r="F22" s="66" t="inlineStr">
        <is>
          <t>2026-09-04T16:28:46-05:00</t>
        </is>
      </c>
      <c r="G22" s="67" t="inlineStr">
        <is>
          <t>El presidente de Estados Unidos, Donald Trump, afirmó este viernes que México tiene poco que ofrecer a su país más allá de "tamales picantes y tomates", aunque descartó interrumpir la relación comercial bilateral y destacó la buena sintonía que mantiene con la presidenta mexicana, Claudia Sheinbaum.</t>
        </is>
      </c>
      <c r="H22" s="67" t="inlineStr"/>
      <c r="I22" s="67" t="inlineStr">
        <is>
          <t>Trump hizo estas declaraciones en el Despacho Oval al ser consultado por periodistas sobre su amenaza de suspender el comercio con países que mantienen un superávit comercial frente a Estados Unidos.</t>
        </is>
      </c>
      <c r="J22" s="68" t="n"/>
      <c r="K22" s="69" t="n"/>
      <c r="L22" s="68" t="n"/>
      <c r="M22" s="69" t="n"/>
      <c r="N22" s="68" t="n"/>
      <c r="O22" s="69" t="n"/>
      <c r="P22" s="68" t="n"/>
      <c r="Q22" s="69" t="n"/>
      <c r="R22" s="68" t="n"/>
      <c r="S22" s="69" t="n"/>
      <c r="T22" s="68" t="n"/>
      <c r="U22" s="69" t="n"/>
      <c r="V22" s="68" t="n"/>
      <c r="W22" s="69" t="n"/>
      <c r="X22" s="68" t="n"/>
      <c r="Y22" s="69" t="n"/>
      <c r="Z22" s="68" t="n"/>
      <c r="AA22" s="69" t="n"/>
      <c r="AB22" s="68" t="n"/>
      <c r="AC22" s="69" t="n"/>
      <c r="AD22" s="70">
        <f>IF(AND(COUNTIF($B$5:B22,B22)=1,$B22&lt;&gt;"",$AB22&lt;&gt;""),1,0)</f>
        <v/>
      </c>
      <c r="AE22" s="67" t="inlineStr">
        <is>
          <t>https://www.eltiempo.com/mundo/eeuu-y-canada/tamales-picantes-y-tomates-estas-fueron-las-polemicas-declaraciones-de-trump-sobre-la-relacion-comercial-entre-mexico-y-estados-unidos-3583705</t>
        </is>
      </c>
      <c r="AF22" s="64" t="n"/>
      <c r="AG22" s="65" t="n"/>
    </row>
    <row r="23" ht="15" customHeight="1" s="31">
      <c r="A23" s="66" t="inlineStr">
        <is>
          <t>ART_010</t>
        </is>
      </c>
      <c r="B23" s="66" t="inlineStr">
        <is>
          <t>ART_010_S02</t>
        </is>
      </c>
      <c r="C23" s="66" t="inlineStr">
        <is>
          <t>El Tiempo</t>
        </is>
      </c>
      <c r="D23" s="66" t="inlineStr">
        <is>
          <t>Política</t>
        </is>
      </c>
      <c r="E23" s="66" t="inlineStr">
        <is>
          <t>Noticia dura</t>
        </is>
      </c>
      <c r="F23" s="66" t="inlineStr">
        <is>
          <t>2026-09-04T16:28:46-05:00</t>
        </is>
      </c>
      <c r="G23" s="67" t="inlineStr">
        <is>
          <t>Trump hizo estas declaraciones en el Despacho Oval al ser consultado por periodistas sobre su amenaza de suspender el comercio con países que mantienen un superávit comercial frente a Estados Unidos.</t>
        </is>
      </c>
      <c r="H23" s="67" t="inlineStr">
        <is>
          <t>El presidente de Estados Unidos, Donald Trump, afirmó este viernes que México tiene poco que ofrecer a su país más allá de "tamales picantes y tomates", aunque descartó interrumpir la relación comercial bilateral y destacó la buena sintonía que mantiene con la presidenta mexicana, Claudia Sheinbaum.</t>
        </is>
      </c>
      <c r="I23" s="67" t="inlineStr"/>
      <c r="J23" s="68" t="n"/>
      <c r="K23" s="69" t="n"/>
      <c r="L23" s="68" t="n"/>
      <c r="M23" s="69" t="n"/>
      <c r="N23" s="68" t="n"/>
      <c r="O23" s="69" t="n"/>
      <c r="P23" s="68" t="n"/>
      <c r="Q23" s="69" t="n"/>
      <c r="R23" s="68" t="n"/>
      <c r="S23" s="69" t="n"/>
      <c r="T23" s="68" t="n"/>
      <c r="U23" s="69" t="n"/>
      <c r="V23" s="68" t="n"/>
      <c r="W23" s="69" t="n"/>
      <c r="X23" s="68" t="n"/>
      <c r="Y23" s="69" t="n"/>
      <c r="Z23" s="68" t="n"/>
      <c r="AA23" s="69" t="n"/>
      <c r="AB23" s="68" t="n"/>
      <c r="AC23" s="69" t="n"/>
      <c r="AD23" s="70">
        <f>IF(AND(COUNTIF($B$5:B23,B23)=1,$B23&lt;&gt;"",$AB23&lt;&gt;""),1,0)</f>
        <v/>
      </c>
      <c r="AE23" s="67" t="inlineStr">
        <is>
          <t>https://www.eltiempo.com/mundo/eeuu-y-canada/tamales-picantes-y-tomates-estas-fueron-las-polemicas-declaraciones-de-trump-sobre-la-relacion-comercial-entre-mexico-y-estados-unidos-3583705</t>
        </is>
      </c>
      <c r="AF23" s="64" t="n"/>
      <c r="AG23" s="65" t="n"/>
    </row>
    <row r="24" ht="15" customHeight="1" s="31">
      <c r="A24" s="66" t="inlineStr">
        <is>
          <t>ART_011</t>
        </is>
      </c>
      <c r="B24" s="66" t="inlineStr">
        <is>
          <t>ART_011_S01</t>
        </is>
      </c>
      <c r="C24" s="66" t="inlineStr">
        <is>
          <t>El Tiempo</t>
        </is>
      </c>
      <c r="D24" s="66" t="inlineStr">
        <is>
          <t>Política</t>
        </is>
      </c>
      <c r="E24" s="66" t="inlineStr">
        <is>
          <t>Noticia dura</t>
        </is>
      </c>
      <c r="F24" s="66" t="inlineStr">
        <is>
          <t>2026-09-04T16:23:07-05:00</t>
        </is>
      </c>
      <c r="G24" s="67" t="inlineStr">
        <is>
          <t>Después de estar al frente de la Décima Primera Brigada, el brigadier general Óscar del Cristo Díaz Montiel asumió una nueva responsabilidad dentro de la estructura del Ejército.</t>
        </is>
      </c>
      <c r="H24" s="67" t="inlineStr"/>
      <c r="I24" s="67" t="inlineStr">
        <is>
          <t>El oficial fue designado comandante del Comando de Educación y Doctrina (Cedoc), desde donde tendrá a cargo los lineamientos para la formación, instrucción y entrenamiento de los integrantes de la Fuerza.</t>
        </is>
      </c>
      <c r="J24" s="68" t="n"/>
      <c r="K24" s="69" t="n"/>
      <c r="L24" s="68" t="n"/>
      <c r="M24" s="69" t="n"/>
      <c r="N24" s="68" t="n"/>
      <c r="O24" s="69" t="n"/>
      <c r="P24" s="68" t="n"/>
      <c r="Q24" s="69" t="n"/>
      <c r="R24" s="68" t="n"/>
      <c r="S24" s="69" t="n"/>
      <c r="T24" s="68" t="n"/>
      <c r="U24" s="69" t="n"/>
      <c r="V24" s="68" t="n"/>
      <c r="W24" s="69" t="n"/>
      <c r="X24" s="68" t="n"/>
      <c r="Y24" s="69" t="n"/>
      <c r="Z24" s="68" t="n"/>
      <c r="AA24" s="69" t="n"/>
      <c r="AB24" s="68" t="n"/>
      <c r="AC24" s="69" t="n"/>
      <c r="AD24" s="70">
        <f>IF(AND(COUNTIF($B$5:B24,B24)=1,$B24&lt;&gt;"",$AB24&lt;&gt;""),1,0)</f>
        <v/>
      </c>
      <c r="AE24" s="67" t="inlineStr">
        <is>
          <t>https://www.eltiempo.com/justicia/conflicto-y-narcotrafico/general-oscar-diaz-montiel-asume-el-comando-de-educacion-y-doctrina-del-ejercito-3583704</t>
        </is>
      </c>
      <c r="AF24" s="64" t="n"/>
      <c r="AG24" s="65" t="n"/>
    </row>
    <row r="25" ht="15" customHeight="1" s="31">
      <c r="A25" s="66" t="inlineStr">
        <is>
          <t>ART_011</t>
        </is>
      </c>
      <c r="B25" s="66" t="inlineStr">
        <is>
          <t>ART_011_S02</t>
        </is>
      </c>
      <c r="C25" s="66" t="inlineStr">
        <is>
          <t>El Tiempo</t>
        </is>
      </c>
      <c r="D25" s="66" t="inlineStr">
        <is>
          <t>Política</t>
        </is>
      </c>
      <c r="E25" s="66" t="inlineStr">
        <is>
          <t>Noticia dura</t>
        </is>
      </c>
      <c r="F25" s="66" t="inlineStr">
        <is>
          <t>2026-09-04T16:23:07-05:00</t>
        </is>
      </c>
      <c r="G25" s="67" t="inlineStr">
        <is>
          <t>El oficial fue designado comandante del Comando de Educación y Doctrina (Cedoc), desde donde tendrá a cargo los lineamientos para la formación, instrucción y entrenamiento de los integrantes de la Fuerza.</t>
        </is>
      </c>
      <c r="H25" s="67" t="inlineStr">
        <is>
          <t>Después de estar al frente de la Décima Primera Brigada, el brigadier general Óscar del Cristo Díaz Montiel asumió una nueva responsabilidad dentro de la estructura del Ejército.</t>
        </is>
      </c>
      <c r="I25" s="67" t="inlineStr"/>
      <c r="J25" s="68" t="n"/>
      <c r="K25" s="69" t="n"/>
      <c r="L25" s="68" t="n"/>
      <c r="M25" s="69" t="n"/>
      <c r="N25" s="68" t="n"/>
      <c r="O25" s="69" t="n"/>
      <c r="P25" s="68" t="n"/>
      <c r="Q25" s="69" t="n"/>
      <c r="R25" s="68" t="n"/>
      <c r="S25" s="69" t="n"/>
      <c r="T25" s="68" t="n"/>
      <c r="U25" s="69" t="n"/>
      <c r="V25" s="68" t="n"/>
      <c r="W25" s="69" t="n"/>
      <c r="X25" s="68" t="n"/>
      <c r="Y25" s="69" t="n"/>
      <c r="Z25" s="68" t="n"/>
      <c r="AA25" s="69" t="n"/>
      <c r="AB25" s="68" t="n"/>
      <c r="AC25" s="69" t="n"/>
      <c r="AD25" s="70">
        <f>IF(AND(COUNTIF($B$5:B25,B25)=1,$B25&lt;&gt;"",$AB25&lt;&gt;""),1,0)</f>
        <v/>
      </c>
      <c r="AE25" s="67" t="inlineStr">
        <is>
          <t>https://www.eltiempo.com/justicia/conflicto-y-narcotrafico/general-oscar-diaz-montiel-asume-el-comando-de-educacion-y-doctrina-del-ejercito-3583704</t>
        </is>
      </c>
      <c r="AF25" s="64" t="n"/>
      <c r="AG25" s="65" t="n"/>
    </row>
    <row r="26" ht="15" customHeight="1" s="31">
      <c r="A26" s="66" t="inlineStr">
        <is>
          <t>ART_012</t>
        </is>
      </c>
      <c r="B26" s="66" t="inlineStr">
        <is>
          <t>ART_012_S01</t>
        </is>
      </c>
      <c r="C26" s="66" t="inlineStr">
        <is>
          <t>El Tiempo</t>
        </is>
      </c>
      <c r="D26" s="66" t="inlineStr">
        <is>
          <t>Política</t>
        </is>
      </c>
      <c r="E26" s="66" t="inlineStr">
        <is>
          <t>Noticia dura</t>
        </is>
      </c>
      <c r="F26" s="66" t="inlineStr">
        <is>
          <t>2026-09-05T01:05:59-05:00</t>
        </is>
      </c>
      <c r="G26" s="67" t="inlineStr">
        <is>
          <t>Llegar a la edad de pensión no significa automáticamente que una persona vaya a recibir una mesada mensual.</t>
        </is>
      </c>
      <c r="H26" s="67" t="inlineStr"/>
      <c r="I26" s="67" t="inlineStr">
        <is>
          <t>Para pensionarse también debe cumplir determinadas condiciones, que dependen del régimen al que esté afiliado.</t>
        </is>
      </c>
      <c r="J26" s="68" t="n"/>
      <c r="K26" s="69" t="n"/>
      <c r="L26" s="68" t="n"/>
      <c r="M26" s="69" t="n"/>
      <c r="N26" s="68" t="n"/>
      <c r="O26" s="69" t="n"/>
      <c r="P26" s="68" t="n"/>
      <c r="Q26" s="69" t="n"/>
      <c r="R26" s="68" t="n"/>
      <c r="S26" s="69" t="n"/>
      <c r="T26" s="68" t="n"/>
      <c r="U26" s="69" t="n"/>
      <c r="V26" s="68" t="n"/>
      <c r="W26" s="69" t="n"/>
      <c r="X26" s="68" t="n"/>
      <c r="Y26" s="69" t="n"/>
      <c r="Z26" s="68" t="n"/>
      <c r="AA26" s="69" t="n"/>
      <c r="AB26" s="68" t="n"/>
      <c r="AC26" s="69" t="n"/>
      <c r="AD26" s="70">
        <f>IF(AND(COUNTIF($B$5:B26,B26)=1,$B26&lt;&gt;"",$AB26&lt;&gt;""),1,0)</f>
        <v/>
      </c>
      <c r="AE26" s="67" t="inlineStr">
        <is>
          <t>https://www.eltiempo.com/economia/finanzas-personales/que-pasa-con-su-dinero-si-no-alcanza-a-cumplir-las-semanas-necesarias-para-pensionarse-consulte-que-hacer-si-esta-en-porvenir-o-colpensiones-3583613</t>
        </is>
      </c>
      <c r="AF26" s="64" t="n"/>
      <c r="AG26" s="65" t="n"/>
    </row>
    <row r="27" ht="15" customHeight="1" s="31">
      <c r="A27" s="66" t="inlineStr">
        <is>
          <t>ART_012</t>
        </is>
      </c>
      <c r="B27" s="66" t="inlineStr">
        <is>
          <t>ART_012_S02</t>
        </is>
      </c>
      <c r="C27" s="66" t="inlineStr">
        <is>
          <t>El Tiempo</t>
        </is>
      </c>
      <c r="D27" s="66" t="inlineStr">
        <is>
          <t>Política</t>
        </is>
      </c>
      <c r="E27" s="66" t="inlineStr">
        <is>
          <t>Noticia dura</t>
        </is>
      </c>
      <c r="F27" s="66" t="inlineStr">
        <is>
          <t>2026-09-05T01:05:59-05:00</t>
        </is>
      </c>
      <c r="G27" s="67" t="inlineStr">
        <is>
          <t>Para pensionarse también debe cumplir determinadas condiciones, que dependen del régimen al que esté afiliado.</t>
        </is>
      </c>
      <c r="H27" s="67" t="inlineStr">
        <is>
          <t>Llegar a la edad de pensión no significa automáticamente que una persona vaya a recibir una mesada mensual.</t>
        </is>
      </c>
      <c r="I27" s="67" t="inlineStr"/>
      <c r="J27" s="68" t="n"/>
      <c r="K27" s="69" t="n"/>
      <c r="L27" s="68" t="n"/>
      <c r="M27" s="69" t="n"/>
      <c r="N27" s="68" t="n"/>
      <c r="O27" s="69" t="n"/>
      <c r="P27" s="68" t="n"/>
      <c r="Q27" s="69" t="n"/>
      <c r="R27" s="68" t="n"/>
      <c r="S27" s="69" t="n"/>
      <c r="T27" s="68" t="n"/>
      <c r="U27" s="69" t="n"/>
      <c r="V27" s="68" t="n"/>
      <c r="W27" s="69" t="n"/>
      <c r="X27" s="68" t="n"/>
      <c r="Y27" s="69" t="n"/>
      <c r="Z27" s="68" t="n"/>
      <c r="AA27" s="69" t="n"/>
      <c r="AB27" s="68" t="n"/>
      <c r="AC27" s="69" t="n"/>
      <c r="AD27" s="70">
        <f>IF(AND(COUNTIF($B$5:B27,B27)=1,$B27&lt;&gt;"",$AB27&lt;&gt;""),1,0)</f>
        <v/>
      </c>
      <c r="AE27" s="67" t="inlineStr">
        <is>
          <t>https://www.eltiempo.com/economia/finanzas-personales/que-pasa-con-su-dinero-si-no-alcanza-a-cumplir-las-semanas-necesarias-para-pensionarse-consulte-que-hacer-si-esta-en-porvenir-o-colpensiones-3583613</t>
        </is>
      </c>
      <c r="AF27" s="64" t="n"/>
      <c r="AG27" s="65" t="n"/>
    </row>
    <row r="28" ht="15" customHeight="1" s="31">
      <c r="A28" s="66" t="inlineStr">
        <is>
          <t>ART_013</t>
        </is>
      </c>
      <c r="B28" s="66" t="inlineStr">
        <is>
          <t>ART_013_S01</t>
        </is>
      </c>
      <c r="C28" s="66" t="inlineStr">
        <is>
          <t>El Tiempo</t>
        </is>
      </c>
      <c r="D28" s="66" t="inlineStr">
        <is>
          <t>Política</t>
        </is>
      </c>
      <c r="E28" s="66" t="inlineStr">
        <is>
          <t>Opinión-análisis</t>
        </is>
      </c>
      <c r="F28" s="66" t="inlineStr">
        <is>
          <t>2026-05-16T23:45:00-05:00</t>
        </is>
      </c>
      <c r="G28" s="67" t="inlineStr">
        <is>
          <t>Durante más de ocho meses de campaña política hemos visto un proselitismo ampliamente basado en las redes sociales, donde, por un lado, el gobierno de Gustavo Petro y sus bodegas interneteras han trabajado con vigor por su candidato, el comunista Iván Cepeda, y, por el otro, el aspirante ‘outsider’ Abelardo de la Espriella ha cabalgado sobre una poderosa y robusta red de decenas de miles de influenciadores, seguidores y replicadores de su mensaje en las redes sociales.</t>
        </is>
      </c>
      <c r="H28" s="67" t="inlineStr"/>
      <c r="I28" s="67" t="inlineStr">
        <is>
          <t>Si los demás candidatos han quedado rezagados, ha sido en buena medida porque fueron incapaces de usar, con intensidad y eficacia, esas tecnologías.</t>
        </is>
      </c>
      <c r="J28" s="68" t="n"/>
      <c r="K28" s="69" t="n"/>
      <c r="L28" s="68" t="n"/>
      <c r="M28" s="69" t="n"/>
      <c r="N28" s="68" t="n"/>
      <c r="O28" s="69" t="n"/>
      <c r="P28" s="68" t="n"/>
      <c r="Q28" s="69" t="n"/>
      <c r="R28" s="68" t="n"/>
      <c r="S28" s="69" t="n"/>
      <c r="T28" s="68" t="n"/>
      <c r="U28" s="69" t="n"/>
      <c r="V28" s="68" t="n"/>
      <c r="W28" s="69" t="n"/>
      <c r="X28" s="68" t="n"/>
      <c r="Y28" s="69" t="n"/>
      <c r="Z28" s="68" t="n"/>
      <c r="AA28" s="69" t="n"/>
      <c r="AB28" s="68" t="n"/>
      <c r="AC28" s="69" t="n"/>
      <c r="AD28" s="70">
        <f>IF(AND(COUNTIF($B$5:B28,B28)=1,$B28&lt;&gt;"",$AB28&lt;&gt;""),1,0)</f>
        <v/>
      </c>
      <c r="AE28" s="67" t="inlineStr">
        <is>
          <t>https://www.eltiempo.com/opinion/columnistas/una-batalla-sin-partidos-3556318</t>
        </is>
      </c>
      <c r="AF28" s="64" t="n"/>
      <c r="AG28" s="65" t="n"/>
    </row>
    <row r="29" ht="15" customHeight="1" s="31">
      <c r="A29" s="66" t="inlineStr">
        <is>
          <t>ART_013</t>
        </is>
      </c>
      <c r="B29" s="66" t="inlineStr">
        <is>
          <t>ART_013_S02</t>
        </is>
      </c>
      <c r="C29" s="66" t="inlineStr">
        <is>
          <t>El Tiempo</t>
        </is>
      </c>
      <c r="D29" s="66" t="inlineStr">
        <is>
          <t>Política</t>
        </is>
      </c>
      <c r="E29" s="66" t="inlineStr">
        <is>
          <t>Opinión-análisis</t>
        </is>
      </c>
      <c r="F29" s="66" t="inlineStr">
        <is>
          <t>2026-05-16T23:45:00-05:00</t>
        </is>
      </c>
      <c r="G29" s="67" t="inlineStr">
        <is>
          <t>Si los demás candidatos han quedado rezagados, ha sido en buena medida porque fueron incapaces de usar, con intensidad y eficacia, esas tecnologías.</t>
        </is>
      </c>
      <c r="H29" s="67" t="inlineStr">
        <is>
          <t>Durante más de ocho meses de campaña política hemos visto un proselitismo ampliamente basado en las redes sociales, donde, por un lado, el gobierno de Gustavo Petro y sus bodegas interneteras han trabajado con vigor por su candidato, el comunista Iván Cepeda, y, por el otro, el aspirante ‘outsider’ Abelardo de la Espriella ha cabalgado sobre una poderosa y robusta red de decenas de miles de influenciadores, seguidores y replicadores de su mensaje en las redes sociales.</t>
        </is>
      </c>
      <c r="I29" s="67" t="inlineStr">
        <is>
          <t>Las redes seguirán jugando un papel clave en esta recta final.</t>
        </is>
      </c>
      <c r="J29" s="68" t="n"/>
      <c r="K29" s="69" t="n"/>
      <c r="L29" s="68" t="n"/>
      <c r="M29" s="69" t="n"/>
      <c r="N29" s="68" t="n"/>
      <c r="O29" s="69" t="n"/>
      <c r="P29" s="68" t="n"/>
      <c r="Q29" s="69" t="n"/>
      <c r="R29" s="68" t="n"/>
      <c r="S29" s="69" t="n"/>
      <c r="T29" s="68" t="n"/>
      <c r="U29" s="69" t="n"/>
      <c r="V29" s="68" t="n"/>
      <c r="W29" s="69" t="n"/>
      <c r="X29" s="68" t="n"/>
      <c r="Y29" s="69" t="n"/>
      <c r="Z29" s="68" t="n"/>
      <c r="AA29" s="69" t="n"/>
      <c r="AB29" s="68" t="n"/>
      <c r="AC29" s="69" t="n"/>
      <c r="AD29" s="70">
        <f>IF(AND(COUNTIF($B$5:B29,B29)=1,$B29&lt;&gt;"",$AB29&lt;&gt;""),1,0)</f>
        <v/>
      </c>
      <c r="AE29" s="67" t="inlineStr">
        <is>
          <t>https://www.eltiempo.com/opinion/columnistas/una-batalla-sin-partidos-3556318</t>
        </is>
      </c>
      <c r="AF29" s="64" t="n"/>
      <c r="AG29" s="65" t="n"/>
    </row>
    <row r="30" ht="15" customHeight="1" s="31">
      <c r="A30" s="66" t="inlineStr">
        <is>
          <t>ART_013</t>
        </is>
      </c>
      <c r="B30" s="66" t="inlineStr">
        <is>
          <t>ART_013_S03</t>
        </is>
      </c>
      <c r="C30" s="66" t="inlineStr">
        <is>
          <t>El Tiempo</t>
        </is>
      </c>
      <c r="D30" s="66" t="inlineStr">
        <is>
          <t>Política</t>
        </is>
      </c>
      <c r="E30" s="66" t="inlineStr">
        <is>
          <t>Opinión-análisis</t>
        </is>
      </c>
      <c r="F30" s="66" t="inlineStr">
        <is>
          <t>2026-05-16T23:45:00-05:00</t>
        </is>
      </c>
      <c r="G30" s="67" t="inlineStr">
        <is>
          <t>Las redes seguirán jugando un papel clave en esta recta final.</t>
        </is>
      </c>
      <c r="H30" s="67" t="inlineStr">
        <is>
          <t>Si los demás candidatos han quedado rezagados, ha sido en buena medida porque fueron incapaces de usar, con intensidad y eficacia, esas tecnologías.</t>
        </is>
      </c>
      <c r="I30" s="67" t="inlineStr">
        <is>
          <t>Pero ahora, a dos semanas de la primera vuelta y cinco de la segunda, la batalla electoral ha aterrizado en la cruda realidad de las calles de ciudades, y de pueblos medianos y pequeños.</t>
        </is>
      </c>
      <c r="J30" s="68" t="n"/>
      <c r="K30" s="69" t="n"/>
      <c r="L30" s="68" t="n"/>
      <c r="M30" s="69" t="n"/>
      <c r="N30" s="68" t="n"/>
      <c r="O30" s="69" t="n"/>
      <c r="P30" s="68" t="n"/>
      <c r="Q30" s="69" t="n"/>
      <c r="R30" s="68" t="n"/>
      <c r="S30" s="69" t="n"/>
      <c r="T30" s="68" t="n"/>
      <c r="U30" s="69" t="n"/>
      <c r="V30" s="68" t="n"/>
      <c r="W30" s="69" t="n"/>
      <c r="X30" s="68" t="n"/>
      <c r="Y30" s="69" t="n"/>
      <c r="Z30" s="68" t="n"/>
      <c r="AA30" s="69" t="n"/>
      <c r="AB30" s="68" t="n"/>
      <c r="AC30" s="69" t="n"/>
      <c r="AD30" s="70">
        <f>IF(AND(COUNTIF($B$5:B30,B30)=1,$B30&lt;&gt;"",$AB30&lt;&gt;""),1,0)</f>
        <v/>
      </c>
      <c r="AE30" s="67" t="inlineStr">
        <is>
          <t>https://www.eltiempo.com/opinion/columnistas/una-batalla-sin-partidos-3556318</t>
        </is>
      </c>
      <c r="AF30" s="64" t="n"/>
      <c r="AG30" s="65" t="n"/>
    </row>
    <row r="31" ht="15" customHeight="1" s="31">
      <c r="A31" s="66" t="inlineStr">
        <is>
          <t>ART_013</t>
        </is>
      </c>
      <c r="B31" s="66" t="inlineStr">
        <is>
          <t>ART_013_S04</t>
        </is>
      </c>
      <c r="C31" s="66" t="inlineStr">
        <is>
          <t>El Tiempo</t>
        </is>
      </c>
      <c r="D31" s="66" t="inlineStr">
        <is>
          <t>Política</t>
        </is>
      </c>
      <c r="E31" s="66" t="inlineStr">
        <is>
          <t>Opinión-análisis</t>
        </is>
      </c>
      <c r="F31" s="66" t="inlineStr">
        <is>
          <t>2026-05-16T23:45:00-05:00</t>
        </is>
      </c>
      <c r="G31" s="67" t="inlineStr">
        <is>
          <t>Pero ahora, a dos semanas de la primera vuelta y cinco de la segunda, la batalla electoral ha aterrizado en la cruda realidad de las calles de ciudades, y de pueblos medianos y pequeños.</t>
        </is>
      </c>
      <c r="H31" s="67" t="inlineStr">
        <is>
          <t>Las redes seguirán jugando un papel clave en esta recta final.</t>
        </is>
      </c>
      <c r="I31" s="67" t="inlineStr">
        <is>
          <t>La chequera del régimen petrista ha regado cientos de municipios con miles y miles de millones de pesos en contratos de obras y servicios, así como en órdenes de trabajo individuales.</t>
        </is>
      </c>
      <c r="J31" s="68" t="n"/>
      <c r="K31" s="69" t="n"/>
      <c r="L31" s="68" t="n"/>
      <c r="M31" s="69" t="n"/>
      <c r="N31" s="68" t="n"/>
      <c r="O31" s="69" t="n"/>
      <c r="P31" s="68" t="n"/>
      <c r="Q31" s="69" t="n"/>
      <c r="R31" s="68" t="n"/>
      <c r="S31" s="69" t="n"/>
      <c r="T31" s="68" t="n"/>
      <c r="U31" s="69" t="n"/>
      <c r="V31" s="68" t="n"/>
      <c r="W31" s="69" t="n"/>
      <c r="X31" s="68" t="n"/>
      <c r="Y31" s="69" t="n"/>
      <c r="Z31" s="68" t="n"/>
      <c r="AA31" s="69" t="n"/>
      <c r="AB31" s="68" t="n"/>
      <c r="AC31" s="69" t="n"/>
      <c r="AD31" s="70">
        <f>IF(AND(COUNTIF($B$5:B31,B31)=1,$B31&lt;&gt;"",$AB31&lt;&gt;""),1,0)</f>
        <v/>
      </c>
      <c r="AE31" s="67" t="inlineStr">
        <is>
          <t>https://www.eltiempo.com/opinion/columnistas/una-batalla-sin-partidos-3556318</t>
        </is>
      </c>
      <c r="AF31" s="64" t="n"/>
      <c r="AG31" s="65" t="n"/>
    </row>
    <row r="32" ht="15" customHeight="1" s="31">
      <c r="A32" s="66" t="inlineStr">
        <is>
          <t>ART_013</t>
        </is>
      </c>
      <c r="B32" s="66" t="inlineStr">
        <is>
          <t>ART_013_S05</t>
        </is>
      </c>
      <c r="C32" s="66" t="inlineStr">
        <is>
          <t>El Tiempo</t>
        </is>
      </c>
      <c r="D32" s="66" t="inlineStr">
        <is>
          <t>Política</t>
        </is>
      </c>
      <c r="E32" s="66" t="inlineStr">
        <is>
          <t>Opinión-análisis</t>
        </is>
      </c>
      <c r="F32" s="66" t="inlineStr">
        <is>
          <t>2026-05-16T23:45:00-05:00</t>
        </is>
      </c>
      <c r="G32" s="67" t="inlineStr">
        <is>
          <t>La chequera del régimen petrista ha regado cientos de municipios con miles y miles de millones de pesos en contratos de obras y servicios, así como en órdenes de trabajo individuales.</t>
        </is>
      </c>
      <c r="H32" s="67" t="inlineStr">
        <is>
          <t>Pero ahora, a dos semanas de la primera vuelta y cinco de la segunda, la batalla electoral ha aterrizado en la cruda realidad de las calles de ciudades, y de pueblos medianos y pequeños.</t>
        </is>
      </c>
      <c r="I32" s="67" t="inlineStr">
        <is>
          <t>A ello se suma el apoyo de las bandas armadas que saben que con Cepeda seguirían gozando de la escandalosa impunidad que Petro les ha garantizado.</t>
        </is>
      </c>
      <c r="J32" s="68" t="n"/>
      <c r="K32" s="69" t="n"/>
      <c r="L32" s="68" t="n"/>
      <c r="M32" s="69" t="n"/>
      <c r="N32" s="68" t="n"/>
      <c r="O32" s="69" t="n"/>
      <c r="P32" s="68" t="n"/>
      <c r="Q32" s="69" t="n"/>
      <c r="R32" s="68" t="n"/>
      <c r="S32" s="69" t="n"/>
      <c r="T32" s="68" t="n"/>
      <c r="U32" s="69" t="n"/>
      <c r="V32" s="68" t="n"/>
      <c r="W32" s="69" t="n"/>
      <c r="X32" s="68" t="n"/>
      <c r="Y32" s="69" t="n"/>
      <c r="Z32" s="68" t="n"/>
      <c r="AA32" s="69" t="n"/>
      <c r="AB32" s="68" t="n"/>
      <c r="AC32" s="69" t="n"/>
      <c r="AD32" s="70">
        <f>IF(AND(COUNTIF($B$5:B32,B32)=1,$B32&lt;&gt;"",$AB32&lt;&gt;""),1,0)</f>
        <v/>
      </c>
      <c r="AE32" s="67" t="inlineStr">
        <is>
          <t>https://www.eltiempo.com/opinion/columnistas/una-batalla-sin-partidos-3556318</t>
        </is>
      </c>
      <c r="AF32" s="64" t="n"/>
      <c r="AG32" s="65" t="n"/>
    </row>
    <row r="33" ht="15" customHeight="1" s="31">
      <c r="A33" s="66" t="inlineStr">
        <is>
          <t>ART_013</t>
        </is>
      </c>
      <c r="B33" s="66" t="inlineStr">
        <is>
          <t>ART_013_S06</t>
        </is>
      </c>
      <c r="C33" s="66" t="inlineStr">
        <is>
          <t>El Tiempo</t>
        </is>
      </c>
      <c r="D33" s="66" t="inlineStr">
        <is>
          <t>Política</t>
        </is>
      </c>
      <c r="E33" s="66" t="inlineStr">
        <is>
          <t>Opinión-análisis</t>
        </is>
      </c>
      <c r="F33" s="66" t="inlineStr">
        <is>
          <t>2026-05-16T23:45:00-05:00</t>
        </is>
      </c>
      <c r="G33" s="67" t="inlineStr">
        <is>
          <t>A ello se suma el apoyo de las bandas armadas que saben que con Cepeda seguirían gozando de la escandalosa impunidad que Petro les ha garantizado.</t>
        </is>
      </c>
      <c r="H33" s="67" t="inlineStr">
        <is>
          <t>La chequera del régimen petrista ha regado cientos de municipios con miles y miles de millones de pesos en contratos de obras y servicios, así como en órdenes de trabajo individuales.</t>
        </is>
      </c>
      <c r="I33" s="67" t="inlineStr"/>
      <c r="J33" s="68" t="n"/>
      <c r="K33" s="69" t="n"/>
      <c r="L33" s="68" t="n"/>
      <c r="M33" s="69" t="n"/>
      <c r="N33" s="68" t="n"/>
      <c r="O33" s="69" t="n"/>
      <c r="P33" s="68" t="n"/>
      <c r="Q33" s="69" t="n"/>
      <c r="R33" s="68" t="n"/>
      <c r="S33" s="69" t="n"/>
      <c r="T33" s="68" t="n"/>
      <c r="U33" s="69" t="n"/>
      <c r="V33" s="68" t="n"/>
      <c r="W33" s="69" t="n"/>
      <c r="X33" s="68" t="n"/>
      <c r="Y33" s="69" t="n"/>
      <c r="Z33" s="68" t="n"/>
      <c r="AA33" s="69" t="n"/>
      <c r="AB33" s="68" t="n"/>
      <c r="AC33" s="69" t="n"/>
      <c r="AD33" s="70">
        <f>IF(AND(COUNTIF($B$5:B33,B33)=1,$B33&lt;&gt;"",$AB33&lt;&gt;""),1,0)</f>
        <v/>
      </c>
      <c r="AE33" s="67" t="inlineStr">
        <is>
          <t>https://www.eltiempo.com/opinion/columnistas/una-batalla-sin-partidos-3556318</t>
        </is>
      </c>
      <c r="AF33" s="64" t="n"/>
      <c r="AG33" s="65" t="n"/>
    </row>
    <row r="34" ht="15" customHeight="1" s="31">
      <c r="A34" s="66" t="inlineStr">
        <is>
          <t>ART_014</t>
        </is>
      </c>
      <c r="B34" s="66" t="inlineStr">
        <is>
          <t>ART_014_S01</t>
        </is>
      </c>
      <c r="C34" s="66" t="inlineStr">
        <is>
          <t>El Espectador</t>
        </is>
      </c>
      <c r="D34" s="66" t="inlineStr">
        <is>
          <t>Política</t>
        </is>
      </c>
      <c r="E34" s="66" t="inlineStr">
        <is>
          <t>Noticia dura</t>
        </is>
      </c>
      <c r="F34" s="66" t="inlineStr">
        <is>
          <t>Fri, 04 Sep 2026 23:58:00 +0000</t>
        </is>
      </c>
      <c r="G34" s="67" t="inlineStr">
        <is>
          <t>La aerolínea Avianca confirmó que canceló los tiquetes adquiridos por el expresidente Gustavo Petro para su viaje a México debido a que está incluido en la lista OFAC.</t>
        </is>
      </c>
      <c r="H34" s="67" t="inlineStr"/>
      <c r="I34" s="67" t="inlineStr">
        <is>
          <t>El expresidente les respondió.</t>
        </is>
      </c>
      <c r="J34" s="68" t="n"/>
      <c r="K34" s="69" t="n"/>
      <c r="L34" s="68" t="n"/>
      <c r="M34" s="69" t="n"/>
      <c r="N34" s="68" t="n"/>
      <c r="O34" s="69" t="n"/>
      <c r="P34" s="68" t="n"/>
      <c r="Q34" s="69" t="n"/>
      <c r="R34" s="68" t="n"/>
      <c r="S34" s="69" t="n"/>
      <c r="T34" s="68" t="n"/>
      <c r="U34" s="69" t="n"/>
      <c r="V34" s="68" t="n"/>
      <c r="W34" s="69" t="n"/>
      <c r="X34" s="68" t="n"/>
      <c r="Y34" s="69" t="n"/>
      <c r="Z34" s="68" t="n"/>
      <c r="AA34" s="69" t="n"/>
      <c r="AB34" s="68" t="n"/>
      <c r="AC34" s="69" t="n"/>
      <c r="AD34" s="70">
        <f>IF(AND(COUNTIF($B$5:B34,B34)=1,$B34&lt;&gt;"",$AB34&lt;&gt;""),1,0)</f>
        <v/>
      </c>
      <c r="AE34" s="67" t="inlineStr">
        <is>
          <t>https://www.elespectador.com/politica/avianca-confirma-que-cancelo-tiquetes-de-petro-a-mexico-esto-dijo-el-expresidente/</t>
        </is>
      </c>
      <c r="AF34" s="64" t="n"/>
      <c r="AG34" s="65" t="n"/>
    </row>
    <row r="35" ht="15" customHeight="1" s="31">
      <c r="A35" s="66" t="inlineStr">
        <is>
          <t>ART_014</t>
        </is>
      </c>
      <c r="B35" s="66" t="inlineStr">
        <is>
          <t>ART_014_S02</t>
        </is>
      </c>
      <c r="C35" s="66" t="inlineStr">
        <is>
          <t>El Espectador</t>
        </is>
      </c>
      <c r="D35" s="66" t="inlineStr">
        <is>
          <t>Política</t>
        </is>
      </c>
      <c r="E35" s="66" t="inlineStr">
        <is>
          <t>Noticia dura</t>
        </is>
      </c>
      <c r="F35" s="66" t="inlineStr">
        <is>
          <t>Fri, 04 Sep 2026 23:58:00 +0000</t>
        </is>
      </c>
      <c r="G35" s="67" t="inlineStr">
        <is>
          <t>El expresidente les respondió.</t>
        </is>
      </c>
      <c r="H35" s="67" t="inlineStr">
        <is>
          <t>La aerolínea Avianca confirmó que canceló los tiquetes adquiridos por el expresidente Gustavo Petro para su viaje a México debido a que está incluido en la lista OFAC.</t>
        </is>
      </c>
      <c r="I35" s="67" t="inlineStr">
        <is>
          <t>Avianca aseguró que al ser una aerolínea colombiana que opera en territorio estadounidense y “realiza de forma permanente transacciones con su sistema financiero”, se encuentra sujeta a “las regulaciones de sanciones económicas administradas por la Oficina de Control de Activos Extranjeros (OFAC por sus siglas en inglés) del Departamento del Tesoro de los Estados Unidos de América”.</t>
        </is>
      </c>
      <c r="J35" s="68" t="n"/>
      <c r="K35" s="69" t="n"/>
      <c r="L35" s="68" t="n"/>
      <c r="M35" s="69" t="n"/>
      <c r="N35" s="68" t="n"/>
      <c r="O35" s="69" t="n"/>
      <c r="P35" s="68" t="n"/>
      <c r="Q35" s="69" t="n"/>
      <c r="R35" s="68" t="n"/>
      <c r="S35" s="69" t="n"/>
      <c r="T35" s="68" t="n"/>
      <c r="U35" s="69" t="n"/>
      <c r="V35" s="68" t="n"/>
      <c r="W35" s="69" t="n"/>
      <c r="X35" s="68" t="n"/>
      <c r="Y35" s="69" t="n"/>
      <c r="Z35" s="68" t="n"/>
      <c r="AA35" s="69" t="n"/>
      <c r="AB35" s="68" t="n"/>
      <c r="AC35" s="69" t="n"/>
      <c r="AD35" s="70">
        <f>IF(AND(COUNTIF($B$5:B35,B35)=1,$B35&lt;&gt;"",$AB35&lt;&gt;""),1,0)</f>
        <v/>
      </c>
      <c r="AE35" s="67" t="inlineStr">
        <is>
          <t>https://www.elespectador.com/politica/avianca-confirma-que-cancelo-tiquetes-de-petro-a-mexico-esto-dijo-el-expresidente/</t>
        </is>
      </c>
      <c r="AF35" s="64" t="n"/>
      <c r="AG35" s="65" t="n"/>
    </row>
    <row r="36" ht="15" customHeight="1" s="31">
      <c r="A36" s="66" t="inlineStr">
        <is>
          <t>ART_014</t>
        </is>
      </c>
      <c r="B36" s="66" t="inlineStr">
        <is>
          <t>ART_014_S03</t>
        </is>
      </c>
      <c r="C36" s="66" t="inlineStr">
        <is>
          <t>El Espectador</t>
        </is>
      </c>
      <c r="D36" s="66" t="inlineStr">
        <is>
          <t>Política</t>
        </is>
      </c>
      <c r="E36" s="66" t="inlineStr">
        <is>
          <t>Noticia dura</t>
        </is>
      </c>
      <c r="F36" s="66" t="inlineStr">
        <is>
          <t>Fri, 04 Sep 2026 23:58:00 +0000</t>
        </is>
      </c>
      <c r="G36" s="67" t="inlineStr">
        <is>
          <t>Avianca aseguró que al ser una aerolínea colombiana que opera en territorio estadounidense y “realiza de forma permanente transacciones con su sistema financiero”, se encuentra sujeta a “las regulaciones de sanciones económicas administradas por la Oficina de Control de Activos Extranjeros (OFAC por sus siglas en inglés) del Departamento del Tesoro de los Estados Unidos de América”.</t>
        </is>
      </c>
      <c r="H36" s="67" t="inlineStr">
        <is>
          <t>El expresidente les respondió.</t>
        </is>
      </c>
      <c r="I36" s="67" t="inlineStr">
        <is>
          <t>“Dichas regulaciones prohíben a las personas y entidades que, como Avianca, tienen vínculos económicos y financieros con los Estados Unidos de América, realizar transacciones, incluida la prestación de servicios, a favor de cualquier persona cuyos bienes e intereses se encuentren bloqueados por figurar en la Lista de Nacionales Especialmente Designados y Personas Bloqueadas (Lista SDN)”, agregaron.</t>
        </is>
      </c>
      <c r="J36" s="68" t="n"/>
      <c r="K36" s="69" t="n"/>
      <c r="L36" s="68" t="n"/>
      <c r="M36" s="69" t="n"/>
      <c r="N36" s="68" t="n"/>
      <c r="O36" s="69" t="n"/>
      <c r="P36" s="68" t="n"/>
      <c r="Q36" s="69" t="n"/>
      <c r="R36" s="68" t="n"/>
      <c r="S36" s="69" t="n"/>
      <c r="T36" s="68" t="n"/>
      <c r="U36" s="69" t="n"/>
      <c r="V36" s="68" t="n"/>
      <c r="W36" s="69" t="n"/>
      <c r="X36" s="68" t="n"/>
      <c r="Y36" s="69" t="n"/>
      <c r="Z36" s="68" t="n"/>
      <c r="AA36" s="69" t="n"/>
      <c r="AB36" s="68" t="n"/>
      <c r="AC36" s="69" t="n"/>
      <c r="AD36" s="70">
        <f>IF(AND(COUNTIF($B$5:B36,B36)=1,$B36&lt;&gt;"",$AB36&lt;&gt;""),1,0)</f>
        <v/>
      </c>
      <c r="AE36" s="67" t="inlineStr">
        <is>
          <t>https://www.elespectador.com/politica/avianca-confirma-que-cancelo-tiquetes-de-petro-a-mexico-esto-dijo-el-expresidente/</t>
        </is>
      </c>
      <c r="AF36" s="64" t="n"/>
      <c r="AG36" s="65" t="n"/>
    </row>
    <row r="37" ht="15" customHeight="1" s="31">
      <c r="A37" s="66" t="inlineStr">
        <is>
          <t>ART_014</t>
        </is>
      </c>
      <c r="B37" s="66" t="inlineStr">
        <is>
          <t>ART_014_S04</t>
        </is>
      </c>
      <c r="C37" s="66" t="inlineStr">
        <is>
          <t>El Espectador</t>
        </is>
      </c>
      <c r="D37" s="66" t="inlineStr">
        <is>
          <t>Política</t>
        </is>
      </c>
      <c r="E37" s="66" t="inlineStr">
        <is>
          <t>Noticia dura</t>
        </is>
      </c>
      <c r="F37" s="66" t="inlineStr">
        <is>
          <t>Fri, 04 Sep 2026 23:58:00 +0000</t>
        </is>
      </c>
      <c r="G37" s="67" t="inlineStr">
        <is>
          <t>“Dichas regulaciones prohíben a las personas y entidades que, como Avianca, tienen vínculos económicos y financieros con los Estados Unidos de América, realizar transacciones, incluida la prestación de servicios, a favor de cualquier persona cuyos bienes e intereses se encuentren bloqueados por figurar en la Lista de Nacionales Especialmente Designados y Personas Bloqueadas (Lista SDN)”, agregaron.</t>
        </is>
      </c>
      <c r="H37" s="67" t="inlineStr">
        <is>
          <t>Avianca aseguró que al ser una aerolínea colombiana que opera en territorio estadounidense y “realiza de forma permanente transacciones con su sistema financiero”, se encuentra sujeta a “las regulaciones de sanciones económicas administradas por la Oficina de Control de Activos Extranjeros (OFAC por sus siglas en inglés) del Departamento del Tesoro de los Estados Unidos de América”.</t>
        </is>
      </c>
      <c r="I37" s="67" t="inlineStr">
        <is>
          <t>Por esta razón, la aerolínea canceló las reservas que fueron hechas por el expresidente Gustavo Petro y reembolsó la totalidad del valor que había sido pagado.</t>
        </is>
      </c>
      <c r="J37" s="68" t="n"/>
      <c r="K37" s="69" t="n"/>
      <c r="L37" s="68" t="n"/>
      <c r="M37" s="69" t="n"/>
      <c r="N37" s="68" t="n"/>
      <c r="O37" s="69" t="n"/>
      <c r="P37" s="68" t="n"/>
      <c r="Q37" s="69" t="n"/>
      <c r="R37" s="68" t="n"/>
      <c r="S37" s="69" t="n"/>
      <c r="T37" s="68" t="n"/>
      <c r="U37" s="69" t="n"/>
      <c r="V37" s="68" t="n"/>
      <c r="W37" s="69" t="n"/>
      <c r="X37" s="68" t="n"/>
      <c r="Y37" s="69" t="n"/>
      <c r="Z37" s="68" t="n"/>
      <c r="AA37" s="69" t="n"/>
      <c r="AB37" s="68" t="n"/>
      <c r="AC37" s="69" t="n"/>
      <c r="AD37" s="70">
        <f>IF(AND(COUNTIF($B$5:B37,B37)=1,$B37&lt;&gt;"",$AB37&lt;&gt;""),1,0)</f>
        <v/>
      </c>
      <c r="AE37" s="67" t="inlineStr">
        <is>
          <t>https://www.elespectador.com/politica/avianca-confirma-que-cancelo-tiquetes-de-petro-a-mexico-esto-dijo-el-expresidente/</t>
        </is>
      </c>
      <c r="AF37" s="64" t="n"/>
      <c r="AG37" s="65" t="n"/>
    </row>
    <row r="38" ht="15" customHeight="1" s="31">
      <c r="A38" s="66" t="inlineStr">
        <is>
          <t>ART_014</t>
        </is>
      </c>
      <c r="B38" s="66" t="inlineStr">
        <is>
          <t>ART_014_S05</t>
        </is>
      </c>
      <c r="C38" s="66" t="inlineStr">
        <is>
          <t>El Espectador</t>
        </is>
      </c>
      <c r="D38" s="66" t="inlineStr">
        <is>
          <t>Política</t>
        </is>
      </c>
      <c r="E38" s="66" t="inlineStr">
        <is>
          <t>Noticia dura</t>
        </is>
      </c>
      <c r="F38" s="66" t="inlineStr">
        <is>
          <t>Fri, 04 Sep 2026 23:58:00 +0000</t>
        </is>
      </c>
      <c r="G38" s="67" t="inlineStr">
        <is>
          <t>Por esta razón, la aerolínea canceló las reservas que fueron hechas por el expresidente Gustavo Petro y reembolsó la totalidad del valor que había sido pagado.</t>
        </is>
      </c>
      <c r="H38" s="67" t="inlineStr">
        <is>
          <t>“Dichas regulaciones prohíben a las personas y entidades que, como Avianca, tienen vínculos económicos y financieros con los Estados Unidos de América, realizar transacciones, incluida la prestación de servicios, a favor de cualquier persona cuyos bienes e intereses se encuentren bloqueados por figurar en la Lista de Nacionales Especialmente Designados y Personas Bloqueadas (Lista SDN)”, agregaron.</t>
        </is>
      </c>
      <c r="I38" s="67" t="inlineStr"/>
      <c r="J38" s="68" t="n"/>
      <c r="K38" s="69" t="n"/>
      <c r="L38" s="68" t="n"/>
      <c r="M38" s="69" t="n"/>
      <c r="N38" s="68" t="n"/>
      <c r="O38" s="69" t="n"/>
      <c r="P38" s="68" t="n"/>
      <c r="Q38" s="69" t="n"/>
      <c r="R38" s="68" t="n"/>
      <c r="S38" s="69" t="n"/>
      <c r="T38" s="68" t="n"/>
      <c r="U38" s="69" t="n"/>
      <c r="V38" s="68" t="n"/>
      <c r="W38" s="69" t="n"/>
      <c r="X38" s="68" t="n"/>
      <c r="Y38" s="69" t="n"/>
      <c r="Z38" s="68" t="n"/>
      <c r="AA38" s="69" t="n"/>
      <c r="AB38" s="68" t="n"/>
      <c r="AC38" s="69" t="n"/>
      <c r="AD38" s="70">
        <f>IF(AND(COUNTIF($B$5:B38,B38)=1,$B38&lt;&gt;"",$AB38&lt;&gt;""),1,0)</f>
        <v/>
      </c>
      <c r="AE38" s="67" t="inlineStr">
        <is>
          <t>https://www.elespectador.com/politica/avianca-confirma-que-cancelo-tiquetes-de-petro-a-mexico-esto-dijo-el-expresidente/</t>
        </is>
      </c>
      <c r="AF38" s="64" t="n"/>
      <c r="AG38" s="65" t="n"/>
    </row>
    <row r="39" ht="15" customHeight="1" s="31">
      <c r="A39" s="66" t="inlineStr">
        <is>
          <t>ART_015</t>
        </is>
      </c>
      <c r="B39" s="66" t="inlineStr">
        <is>
          <t>ART_015_S01</t>
        </is>
      </c>
      <c r="C39" s="66" t="inlineStr">
        <is>
          <t>El Espectador</t>
        </is>
      </c>
      <c r="D39" s="66" t="inlineStr">
        <is>
          <t>Política</t>
        </is>
      </c>
      <c r="E39" s="66" t="inlineStr">
        <is>
          <t>Noticia dura</t>
        </is>
      </c>
      <c r="F39" s="66" t="inlineStr">
        <is>
          <t>Sun, 06 Sep 2026 00:22:17 +0000</t>
        </is>
      </c>
      <c r="G39" s="67" t="inlineStr">
        <is>
          <t>El general (r) Jorge Eduardo Mora, junto con la cúpula militar y de Policía, anunció un nuevo paquete de medidas para reforzar la seguridad y el control territorial en Ocaña y el Catatumbo, tras el ataque terrorista perpetrado por el Eln la noche del pasado 4 de septiembre contra el Cantón Militar El Trapiche, que dejó tres militares muertos.</t>
        </is>
      </c>
      <c r="H39" s="67" t="inlineStr"/>
      <c r="I39" s="67" t="inlineStr">
        <is>
          <t>Las decisiones se adoptaron en un consejo de seguridad en el que participaron el gobernador de Norte de Santander y altos mandos militares y policiales de la región.</t>
        </is>
      </c>
      <c r="J39" s="68" t="n"/>
      <c r="K39" s="69" t="n"/>
      <c r="L39" s="68" t="n"/>
      <c r="M39" s="69" t="n"/>
      <c r="N39" s="68" t="n"/>
      <c r="O39" s="69" t="n"/>
      <c r="P39" s="68" t="n"/>
      <c r="Q39" s="69" t="n"/>
      <c r="R39" s="68" t="n"/>
      <c r="S39" s="69" t="n"/>
      <c r="T39" s="68" t="n"/>
      <c r="U39" s="69" t="n"/>
      <c r="V39" s="68" t="n"/>
      <c r="W39" s="69" t="n"/>
      <c r="X39" s="68" t="n"/>
      <c r="Y39" s="69" t="n"/>
      <c r="Z39" s="68" t="n"/>
      <c r="AA39" s="69" t="n"/>
      <c r="AB39" s="68" t="n"/>
      <c r="AC39" s="69" t="n"/>
      <c r="AD39" s="70">
        <f>IF(AND(COUNTIF($B$5:B39,B39)=1,$B39&lt;&gt;"",$AB39&lt;&gt;""),1,0)</f>
        <v/>
      </c>
      <c r="AE39" s="67" t="inlineStr">
        <is>
          <t>https://www.elespectador.com/judicial/mindefensa-anuncia-nuevas-medidas-de-seguridad-tras-ataque-con-drones-del-eln-en-ocana/</t>
        </is>
      </c>
      <c r="AF39" s="64" t="n"/>
      <c r="AG39" s="65" t="n"/>
    </row>
    <row r="40" ht="15" customHeight="1" s="31">
      <c r="A40" s="66" t="inlineStr">
        <is>
          <t>ART_015</t>
        </is>
      </c>
      <c r="B40" s="66" t="inlineStr">
        <is>
          <t>ART_015_S02</t>
        </is>
      </c>
      <c r="C40" s="66" t="inlineStr">
        <is>
          <t>El Espectador</t>
        </is>
      </c>
      <c r="D40" s="66" t="inlineStr">
        <is>
          <t>Política</t>
        </is>
      </c>
      <c r="E40" s="66" t="inlineStr">
        <is>
          <t>Noticia dura</t>
        </is>
      </c>
      <c r="F40" s="66" t="inlineStr">
        <is>
          <t>Sun, 06 Sep 2026 00:22:17 +0000</t>
        </is>
      </c>
      <c r="G40" s="67" t="inlineStr">
        <is>
          <t>Las decisiones se adoptaron en un consejo de seguridad en el que participaron el gobernador de Norte de Santander y altos mandos militares y policiales de la región.</t>
        </is>
      </c>
      <c r="H40" s="67" t="inlineStr">
        <is>
          <t>El general (r) Jorge Eduardo Mora, junto con la cúpula militar y de Policía, anunció un nuevo paquete de medidas para reforzar la seguridad y el control territorial en Ocaña y el Catatumbo, tras el ataque terrorista perpetrado por el Eln la noche del pasado 4 de septiembre contra el Cantón Militar El Trapiche, que dejó tres militares muertos.</t>
        </is>
      </c>
      <c r="I40" s="67" t="inlineStr">
        <is>
          <t>Como primera medida, se ordenó la reestructuración, reorganización y activación de la campaña militar y policial “Esparta”, que tendrá su sede en Ocaña y buscará articular las capacidades de las Fuerzas Militares y de la Policía Nacional para enfrentar a las estructuras criminales que operan en la zona.</t>
        </is>
      </c>
      <c r="J40" s="68" t="n"/>
      <c r="K40" s="69" t="n"/>
      <c r="L40" s="68" t="n"/>
      <c r="M40" s="69" t="n"/>
      <c r="N40" s="68" t="n"/>
      <c r="O40" s="69" t="n"/>
      <c r="P40" s="68" t="n"/>
      <c r="Q40" s="69" t="n"/>
      <c r="R40" s="68" t="n"/>
      <c r="S40" s="69" t="n"/>
      <c r="T40" s="68" t="n"/>
      <c r="U40" s="69" t="n"/>
      <c r="V40" s="68" t="n"/>
      <c r="W40" s="69" t="n"/>
      <c r="X40" s="68" t="n"/>
      <c r="Y40" s="69" t="n"/>
      <c r="Z40" s="68" t="n"/>
      <c r="AA40" s="69" t="n"/>
      <c r="AB40" s="68" t="n"/>
      <c r="AC40" s="69" t="n"/>
      <c r="AD40" s="70">
        <f>IF(AND(COUNTIF($B$5:B40,B40)=1,$B40&lt;&gt;"",$AB40&lt;&gt;""),1,0)</f>
        <v/>
      </c>
      <c r="AE40" s="67" t="inlineStr">
        <is>
          <t>https://www.elespectador.com/judicial/mindefensa-anuncia-nuevas-medidas-de-seguridad-tras-ataque-con-drones-del-eln-en-ocana/</t>
        </is>
      </c>
      <c r="AF40" s="64" t="n"/>
      <c r="AG40" s="65" t="n"/>
    </row>
    <row r="41" ht="15" customHeight="1" s="31">
      <c r="A41" s="66" t="inlineStr">
        <is>
          <t>ART_015</t>
        </is>
      </c>
      <c r="B41" s="66" t="inlineStr">
        <is>
          <t>ART_015_S03</t>
        </is>
      </c>
      <c r="C41" s="66" t="inlineStr">
        <is>
          <t>El Espectador</t>
        </is>
      </c>
      <c r="D41" s="66" t="inlineStr">
        <is>
          <t>Política</t>
        </is>
      </c>
      <c r="E41" s="66" t="inlineStr">
        <is>
          <t>Noticia dura</t>
        </is>
      </c>
      <c r="F41" s="66" t="inlineStr">
        <is>
          <t>Sun, 06 Sep 2026 00:22:17 +0000</t>
        </is>
      </c>
      <c r="G41" s="67" t="inlineStr">
        <is>
          <t>Como primera medida, se ordenó la reestructuración, reorganización y activación de la campaña militar y policial “Esparta”, que tendrá su sede en Ocaña y buscará articular las capacidades de las Fuerzas Militares y de la Policía Nacional para enfrentar a las estructuras criminales que operan en la zona.</t>
        </is>
      </c>
      <c r="H41" s="67" t="inlineStr">
        <is>
          <t>Las decisiones se adoptaron en un consejo de seguridad en el que participaron el gobernador de Norte de Santander y altos mandos militares y policiales de la región.</t>
        </is>
      </c>
      <c r="I41" s="67" t="inlineStr">
        <is>
          <t>También se dispuso fortalecer el bloqueo y la contención de los corredores utilizados por los grupos armados ilegales para movilizar hombres, armas, explosivos y recursos ilícitos entre el sur del Cesar y Ocaña.</t>
        </is>
      </c>
      <c r="J41" s="68" t="n"/>
      <c r="K41" s="69" t="n"/>
      <c r="L41" s="68" t="n"/>
      <c r="M41" s="69" t="n"/>
      <c r="N41" s="68" t="n"/>
      <c r="O41" s="69" t="n"/>
      <c r="P41" s="68" t="n"/>
      <c r="Q41" s="69" t="n"/>
      <c r="R41" s="68" t="n"/>
      <c r="S41" s="69" t="n"/>
      <c r="T41" s="68" t="n"/>
      <c r="U41" s="69" t="n"/>
      <c r="V41" s="68" t="n"/>
      <c r="W41" s="69" t="n"/>
      <c r="X41" s="68" t="n"/>
      <c r="Y41" s="69" t="n"/>
      <c r="Z41" s="68" t="n"/>
      <c r="AA41" s="69" t="n"/>
      <c r="AB41" s="68" t="n"/>
      <c r="AC41" s="69" t="n"/>
      <c r="AD41" s="70">
        <f>IF(AND(COUNTIF($B$5:B41,B41)=1,$B41&lt;&gt;"",$AB41&lt;&gt;""),1,0)</f>
        <v/>
      </c>
      <c r="AE41" s="67" t="inlineStr">
        <is>
          <t>https://www.elespectador.com/judicial/mindefensa-anuncia-nuevas-medidas-de-seguridad-tras-ataque-con-drones-del-eln-en-ocana/</t>
        </is>
      </c>
      <c r="AF41" s="64" t="n"/>
      <c r="AG41" s="65" t="n"/>
    </row>
    <row r="42" ht="15" customHeight="1" s="31">
      <c r="A42" s="66" t="inlineStr">
        <is>
          <t>ART_015</t>
        </is>
      </c>
      <c r="B42" s="66" t="inlineStr">
        <is>
          <t>ART_015_S04</t>
        </is>
      </c>
      <c r="C42" s="66" t="inlineStr">
        <is>
          <t>El Espectador</t>
        </is>
      </c>
      <c r="D42" s="66" t="inlineStr">
        <is>
          <t>Política</t>
        </is>
      </c>
      <c r="E42" s="66" t="inlineStr">
        <is>
          <t>Noticia dura</t>
        </is>
      </c>
      <c r="F42" s="66" t="inlineStr">
        <is>
          <t>Sun, 06 Sep 2026 00:22:17 +0000</t>
        </is>
      </c>
      <c r="G42" s="67" t="inlineStr">
        <is>
          <t>También se dispuso fortalecer el bloqueo y la contención de los corredores utilizados por los grupos armados ilegales para movilizar hombres, armas, explosivos y recursos ilícitos entre el sur del Cesar y Ocaña.</t>
        </is>
      </c>
      <c r="H42" s="67" t="inlineStr">
        <is>
          <t>Como primera medida, se ordenó la reestructuración, reorganización y activación de la campaña militar y policial “Esparta”, que tendrá su sede en Ocaña y buscará articular las capacidades de las Fuerzas Militares y de la Policía Nacional para enfrentar a las estructuras criminales que operan en la zona.</t>
        </is>
      </c>
      <c r="I42" s="67" t="inlineStr"/>
      <c r="J42" s="68" t="n"/>
      <c r="K42" s="69" t="n"/>
      <c r="L42" s="68" t="n"/>
      <c r="M42" s="69" t="n"/>
      <c r="N42" s="68" t="n"/>
      <c r="O42" s="69" t="n"/>
      <c r="P42" s="68" t="n"/>
      <c r="Q42" s="69" t="n"/>
      <c r="R42" s="68" t="n"/>
      <c r="S42" s="69" t="n"/>
      <c r="T42" s="68" t="n"/>
      <c r="U42" s="69" t="n"/>
      <c r="V42" s="68" t="n"/>
      <c r="W42" s="69" t="n"/>
      <c r="X42" s="68" t="n"/>
      <c r="Y42" s="69" t="n"/>
      <c r="Z42" s="68" t="n"/>
      <c r="AA42" s="69" t="n"/>
      <c r="AB42" s="68" t="n"/>
      <c r="AC42" s="69" t="n"/>
      <c r="AD42" s="70">
        <f>IF(AND(COUNTIF($B$5:B42,B42)=1,$B42&lt;&gt;"",$AB42&lt;&gt;""),1,0)</f>
        <v/>
      </c>
      <c r="AE42" s="67" t="inlineStr">
        <is>
          <t>https://www.elespectador.com/judicial/mindefensa-anuncia-nuevas-medidas-de-seguridad-tras-ataque-con-drones-del-eln-en-ocana/</t>
        </is>
      </c>
      <c r="AF42" s="64" t="n"/>
      <c r="AG42" s="65" t="n"/>
    </row>
    <row r="43" ht="15" customHeight="1" s="31">
      <c r="A43" s="66" t="inlineStr">
        <is>
          <t>ART_016</t>
        </is>
      </c>
      <c r="B43" s="66" t="inlineStr">
        <is>
          <t>ART_016_S01</t>
        </is>
      </c>
      <c r="C43" s="66" t="inlineStr">
        <is>
          <t>El Espectador</t>
        </is>
      </c>
      <c r="D43" s="66" t="inlineStr">
        <is>
          <t>Política</t>
        </is>
      </c>
      <c r="E43" s="66" t="inlineStr">
        <is>
          <t>Noticia dura</t>
        </is>
      </c>
      <c r="F43" s="66" t="inlineStr">
        <is>
          <t>2026-05-12T19:11:23-05:00</t>
        </is>
      </c>
      <c r="G43" s="67" t="inlineStr">
        <is>
          <t>Las pensiones son, por lo general, un tema que, aunque vital, no suele generar muchos titulares en la vida nacional.</t>
        </is>
      </c>
      <c r="H43" s="67" t="inlineStr"/>
      <c r="I43" s="67" t="inlineStr">
        <is>
          <t>Suceden en un rimo casi que automático: manejan billones de pesos que involucran el bienestar de millones de personas, pero nadie parece reparar mucho en ellas.</t>
        </is>
      </c>
      <c r="J43" s="68" t="n"/>
      <c r="K43" s="69" t="n"/>
      <c r="L43" s="68" t="n"/>
      <c r="M43" s="69" t="n"/>
      <c r="N43" s="68" t="n"/>
      <c r="O43" s="69" t="n"/>
      <c r="P43" s="68" t="n"/>
      <c r="Q43" s="69" t="n"/>
      <c r="R43" s="68" t="n"/>
      <c r="S43" s="69" t="n"/>
      <c r="T43" s="68" t="n"/>
      <c r="U43" s="69" t="n"/>
      <c r="V43" s="68" t="n"/>
      <c r="W43" s="69" t="n"/>
      <c r="X43" s="68" t="n"/>
      <c r="Y43" s="69" t="n"/>
      <c r="Z43" s="68" t="n"/>
      <c r="AA43" s="69" t="n"/>
      <c r="AB43" s="68" t="n"/>
      <c r="AC43" s="69" t="n"/>
      <c r="AD43" s="70">
        <f>IF(AND(COUNTIF($B$5:B43,B43)=1,$B43&lt;&gt;"",$AB43&lt;&gt;""),1,0)</f>
        <v/>
      </c>
      <c r="AE43" s="67" t="inlineStr">
        <is>
          <t>https://www.elespectador.com/economia/macroeconomia/pensiones-en-colombia-2026-la-historia-del-enredo-entre-la-reforma-la-corte-constitucional-y-los-fondos-privados/</t>
        </is>
      </c>
      <c r="AF43" s="64" t="n"/>
      <c r="AG43" s="65" t="n"/>
    </row>
    <row r="44" ht="15" customHeight="1" s="31">
      <c r="A44" s="66" t="inlineStr">
        <is>
          <t>ART_016</t>
        </is>
      </c>
      <c r="B44" s="66" t="inlineStr">
        <is>
          <t>ART_016_S02</t>
        </is>
      </c>
      <c r="C44" s="66" t="inlineStr">
        <is>
          <t>El Espectador</t>
        </is>
      </c>
      <c r="D44" s="66" t="inlineStr">
        <is>
          <t>Política</t>
        </is>
      </c>
      <c r="E44" s="66" t="inlineStr">
        <is>
          <t>Noticia dura</t>
        </is>
      </c>
      <c r="F44" s="66" t="inlineStr">
        <is>
          <t>2026-05-12T19:11:23-05:00</t>
        </is>
      </c>
      <c r="G44" s="67" t="inlineStr">
        <is>
          <t>Suceden en un rimo casi que automático: manejan billones de pesos que involucran el bienestar de millones de personas, pero nadie parece reparar mucho en ellas.</t>
        </is>
      </c>
      <c r="H44" s="67" t="inlineStr">
        <is>
          <t>Las pensiones son, por lo general, un tema que, aunque vital, no suele generar muchos titulares en la vida nacional.</t>
        </is>
      </c>
      <c r="I44" s="67" t="inlineStr">
        <is>
          <t>Pero desde hace unas semanas, la palabra pensiones hace que más de un funcionario público salte de su asiento, con una mezcla entre alarma, indignación y hasta algo de pelea de colegio, a juzgar por las recientes reacciones del Gobierno frente a dos medidas del Consejo de Estado, que suspendieron los efectos de un decreto que buscaba que los fondos privados le transfirieran unos COP 25 billones en ahorro pensional a Colpensiones.</t>
        </is>
      </c>
      <c r="J44" s="68" t="n"/>
      <c r="K44" s="69" t="n"/>
      <c r="L44" s="68" t="n"/>
      <c r="M44" s="69" t="n"/>
      <c r="N44" s="68" t="n"/>
      <c r="O44" s="69" t="n"/>
      <c r="P44" s="68" t="n"/>
      <c r="Q44" s="69" t="n"/>
      <c r="R44" s="68" t="n"/>
      <c r="S44" s="69" t="n"/>
      <c r="T44" s="68" t="n"/>
      <c r="U44" s="69" t="n"/>
      <c r="V44" s="68" t="n"/>
      <c r="W44" s="69" t="n"/>
      <c r="X44" s="68" t="n"/>
      <c r="Y44" s="69" t="n"/>
      <c r="Z44" s="68" t="n"/>
      <c r="AA44" s="69" t="n"/>
      <c r="AB44" s="68" t="n"/>
      <c r="AC44" s="69" t="n"/>
      <c r="AD44" s="70">
        <f>IF(AND(COUNTIF($B$5:B44,B44)=1,$B44&lt;&gt;"",$AB44&lt;&gt;""),1,0)</f>
        <v/>
      </c>
      <c r="AE44" s="67" t="inlineStr">
        <is>
          <t>https://www.elespectador.com/economia/macroeconomia/pensiones-en-colombia-2026-la-historia-del-enredo-entre-la-reforma-la-corte-constitucional-y-los-fondos-privados/</t>
        </is>
      </c>
      <c r="AF44" s="64" t="n"/>
      <c r="AG44" s="65" t="n"/>
    </row>
    <row r="45" ht="15" customHeight="1" s="31">
      <c r="A45" s="66" t="inlineStr">
        <is>
          <t>ART_016</t>
        </is>
      </c>
      <c r="B45" s="66" t="inlineStr">
        <is>
          <t>ART_016_S03</t>
        </is>
      </c>
      <c r="C45" s="66" t="inlineStr">
        <is>
          <t>El Espectador</t>
        </is>
      </c>
      <c r="D45" s="66" t="inlineStr">
        <is>
          <t>Política</t>
        </is>
      </c>
      <c r="E45" s="66" t="inlineStr">
        <is>
          <t>Noticia dura</t>
        </is>
      </c>
      <c r="F45" s="66" t="inlineStr">
        <is>
          <t>2026-05-12T19:11:23-05:00</t>
        </is>
      </c>
      <c r="G45" s="67" t="inlineStr">
        <is>
          <t>Pero desde hace unas semanas, la palabra pensiones hace que más de un funcionario público salte de su asiento, con una mezcla entre alarma, indignación y hasta algo de pelea de colegio, a juzgar por las recientes reacciones del Gobierno frente a dos medidas del Consejo de Estado, que suspendieron los efectos de un decreto que buscaba que los fondos privados le transfirieran unos COP 25 billones en ahorro pensional a Colpensiones.</t>
        </is>
      </c>
      <c r="H45" s="67" t="inlineStr">
        <is>
          <t>Suceden en un rimo casi que automático: manejan billones de pesos que involucran el bienestar de millones de personas, pero nadie parece reparar mucho en ellas.</t>
        </is>
      </c>
      <c r="I45" s="67" t="inlineStr">
        <is>
          <t>Esto, en voz de expertos y analistas, en directa contravía con lo dispuestos en uno de los dos artículos de la reforma pensional que siguen activos mientras el resto de la iniciativa sigue bajo la lupa de la Corte Constitucional.</t>
        </is>
      </c>
      <c r="J45" s="68" t="n"/>
      <c r="K45" s="69" t="n"/>
      <c r="L45" s="68" t="n"/>
      <c r="M45" s="69" t="n"/>
      <c r="N45" s="68" t="n"/>
      <c r="O45" s="69" t="n"/>
      <c r="P45" s="68" t="n"/>
      <c r="Q45" s="69" t="n"/>
      <c r="R45" s="68" t="n"/>
      <c r="S45" s="69" t="n"/>
      <c r="T45" s="68" t="n"/>
      <c r="U45" s="69" t="n"/>
      <c r="V45" s="68" t="n"/>
      <c r="W45" s="69" t="n"/>
      <c r="X45" s="68" t="n"/>
      <c r="Y45" s="69" t="n"/>
      <c r="Z45" s="68" t="n"/>
      <c r="AA45" s="69" t="n"/>
      <c r="AB45" s="68" t="n"/>
      <c r="AC45" s="69" t="n"/>
      <c r="AD45" s="70">
        <f>IF(AND(COUNTIF($B$5:B45,B45)=1,$B45&lt;&gt;"",$AB45&lt;&gt;""),1,0)</f>
        <v/>
      </c>
      <c r="AE45" s="67" t="inlineStr">
        <is>
          <t>https://www.elespectador.com/economia/macroeconomia/pensiones-en-colombia-2026-la-historia-del-enredo-entre-la-reforma-la-corte-constitucional-y-los-fondos-privados/</t>
        </is>
      </c>
      <c r="AF45" s="64" t="n"/>
      <c r="AG45" s="65" t="n"/>
    </row>
    <row r="46" ht="15" customHeight="1" s="31">
      <c r="A46" s="66" t="inlineStr">
        <is>
          <t>ART_016</t>
        </is>
      </c>
      <c r="B46" s="66" t="inlineStr">
        <is>
          <t>ART_016_S04</t>
        </is>
      </c>
      <c r="C46" s="66" t="inlineStr">
        <is>
          <t>El Espectador</t>
        </is>
      </c>
      <c r="D46" s="66" t="inlineStr">
        <is>
          <t>Política</t>
        </is>
      </c>
      <c r="E46" s="66" t="inlineStr">
        <is>
          <t>Noticia dura</t>
        </is>
      </c>
      <c r="F46" s="66" t="inlineStr">
        <is>
          <t>2026-05-12T19:11:23-05:00</t>
        </is>
      </c>
      <c r="G46" s="67" t="inlineStr">
        <is>
          <t>Esto, en voz de expertos y analistas, en directa contravía con lo dispuestos en uno de los dos artículos de la reforma pensional que siguen activos mientras el resto de la iniciativa sigue bajo la lupa de la Corte Constitucional.</t>
        </is>
      </c>
      <c r="H46" s="67" t="inlineStr">
        <is>
          <t>Pero desde hace unas semanas, la palabra pensiones hace que más de un funcionario público salte de su asiento, con una mezcla entre alarma, indignación y hasta algo de pelea de colegio, a juzgar por las recientes reacciones del Gobierno frente a dos medidas del Consejo de Estado, que suspendieron los efectos de un decreto que buscaba que los fondos privados le transfirieran unos COP 25 billones en ahorro pensional a Colpensiones.</t>
        </is>
      </c>
      <c r="I46" s="67" t="inlineStr">
        <is>
          <t>Para este punto de la historia, la discusión puede marear un poco, entre el cruce de declaraciones que este martes ya incluía a la Corte Suprema y a varios ministerios, además del presidente Petro, siempre activo con las descalificaciones a través de su cuenta de X.</t>
        </is>
      </c>
      <c r="J46" s="68" t="n"/>
      <c r="K46" s="69" t="n"/>
      <c r="L46" s="68" t="n"/>
      <c r="M46" s="69" t="n"/>
      <c r="N46" s="68" t="n"/>
      <c r="O46" s="69" t="n"/>
      <c r="P46" s="68" t="n"/>
      <c r="Q46" s="69" t="n"/>
      <c r="R46" s="68" t="n"/>
      <c r="S46" s="69" t="n"/>
      <c r="T46" s="68" t="n"/>
      <c r="U46" s="69" t="n"/>
      <c r="V46" s="68" t="n"/>
      <c r="W46" s="69" t="n"/>
      <c r="X46" s="68" t="n"/>
      <c r="Y46" s="69" t="n"/>
      <c r="Z46" s="68" t="n"/>
      <c r="AA46" s="69" t="n"/>
      <c r="AB46" s="68" t="n"/>
      <c r="AC46" s="69" t="n"/>
      <c r="AD46" s="70">
        <f>IF(AND(COUNTIF($B$5:B46,B46)=1,$B46&lt;&gt;"",$AB46&lt;&gt;""),1,0)</f>
        <v/>
      </c>
      <c r="AE46" s="67" t="inlineStr">
        <is>
          <t>https://www.elespectador.com/economia/macroeconomia/pensiones-en-colombia-2026-la-historia-del-enredo-entre-la-reforma-la-corte-constitucional-y-los-fondos-privados/</t>
        </is>
      </c>
      <c r="AF46" s="64" t="n"/>
      <c r="AG46" s="65" t="n"/>
    </row>
    <row r="47" ht="15" customHeight="1" s="31">
      <c r="A47" s="66" t="inlineStr">
        <is>
          <t>ART_016</t>
        </is>
      </c>
      <c r="B47" s="66" t="inlineStr">
        <is>
          <t>ART_016_S05</t>
        </is>
      </c>
      <c r="C47" s="66" t="inlineStr">
        <is>
          <t>El Espectador</t>
        </is>
      </c>
      <c r="D47" s="66" t="inlineStr">
        <is>
          <t>Política</t>
        </is>
      </c>
      <c r="E47" s="66" t="inlineStr">
        <is>
          <t>Noticia dura</t>
        </is>
      </c>
      <c r="F47" s="66" t="inlineStr">
        <is>
          <t>2026-05-12T19:11:23-05:00</t>
        </is>
      </c>
      <c r="G47" s="67" t="inlineStr">
        <is>
          <t>Para este punto de la historia, la discusión puede marear un poco, entre el cruce de declaraciones que este martes ya incluía a la Corte Suprema y a varios ministerios, además del presidente Petro, siempre activo con las descalificaciones a través de su cuenta de X.</t>
        </is>
      </c>
      <c r="H47" s="67" t="inlineStr">
        <is>
          <t>Esto, en voz de expertos y analistas, en directa contravía con lo dispuestos en uno de los dos artículos de la reforma pensional que siguen activos mientras el resto de la iniciativa sigue bajo la lupa de la Corte Constitucional.</t>
        </is>
      </c>
      <c r="I47" s="67" t="inlineStr">
        <is>
          <t>Entonces, ¿por qué es que no tenemos claras las reglas sobre pensiones para este punto?</t>
        </is>
      </c>
      <c r="J47" s="68" t="n"/>
      <c r="K47" s="69" t="n"/>
      <c r="L47" s="68" t="n"/>
      <c r="M47" s="69" t="n"/>
      <c r="N47" s="68" t="n"/>
      <c r="O47" s="69" t="n"/>
      <c r="P47" s="68" t="n"/>
      <c r="Q47" s="69" t="n"/>
      <c r="R47" s="68" t="n"/>
      <c r="S47" s="69" t="n"/>
      <c r="T47" s="68" t="n"/>
      <c r="U47" s="69" t="n"/>
      <c r="V47" s="68" t="n"/>
      <c r="W47" s="69" t="n"/>
      <c r="X47" s="68" t="n"/>
      <c r="Y47" s="69" t="n"/>
      <c r="Z47" s="68" t="n"/>
      <c r="AA47" s="69" t="n"/>
      <c r="AB47" s="68" t="n"/>
      <c r="AC47" s="69" t="n"/>
      <c r="AD47" s="70">
        <f>IF(AND(COUNTIF($B$5:B47,B47)=1,$B47&lt;&gt;"",$AB47&lt;&gt;""),1,0)</f>
        <v/>
      </c>
      <c r="AE47" s="67" t="inlineStr">
        <is>
          <t>https://www.elespectador.com/economia/macroeconomia/pensiones-en-colombia-2026-la-historia-del-enredo-entre-la-reforma-la-corte-constitucional-y-los-fondos-privados/</t>
        </is>
      </c>
      <c r="AF47" s="64" t="n"/>
      <c r="AG47" s="65" t="n"/>
    </row>
    <row r="48" ht="15" customHeight="1" s="31">
      <c r="A48" s="66" t="inlineStr">
        <is>
          <t>ART_016</t>
        </is>
      </c>
      <c r="B48" s="66" t="inlineStr">
        <is>
          <t>ART_016_S06</t>
        </is>
      </c>
      <c r="C48" s="66" t="inlineStr">
        <is>
          <t>El Espectador</t>
        </is>
      </c>
      <c r="D48" s="66" t="inlineStr">
        <is>
          <t>Política</t>
        </is>
      </c>
      <c r="E48" s="66" t="inlineStr">
        <is>
          <t>Noticia dura</t>
        </is>
      </c>
      <c r="F48" s="66" t="inlineStr">
        <is>
          <t>2026-05-12T19:11:23-05:00</t>
        </is>
      </c>
      <c r="G48" s="67" t="inlineStr">
        <is>
          <t>Entonces, ¿por qué es que no tenemos claras las reglas sobre pensiones para este punto?</t>
        </is>
      </c>
      <c r="H48" s="67" t="inlineStr">
        <is>
          <t>Para este punto de la historia, la discusión puede marear un poco, entre el cruce de declaraciones que este martes ya incluía a la Corte Suprema y a varios ministerios, además del presidente Petro, siempre activo con las descalificaciones a través de su cuenta de X.</t>
        </is>
      </c>
      <c r="I48" s="67" t="inlineStr"/>
      <c r="J48" s="68" t="n"/>
      <c r="K48" s="69" t="n"/>
      <c r="L48" s="68" t="n"/>
      <c r="M48" s="69" t="n"/>
      <c r="N48" s="68" t="n"/>
      <c r="O48" s="69" t="n"/>
      <c r="P48" s="68" t="n"/>
      <c r="Q48" s="69" t="n"/>
      <c r="R48" s="68" t="n"/>
      <c r="S48" s="69" t="n"/>
      <c r="T48" s="68" t="n"/>
      <c r="U48" s="69" t="n"/>
      <c r="V48" s="68" t="n"/>
      <c r="W48" s="69" t="n"/>
      <c r="X48" s="68" t="n"/>
      <c r="Y48" s="69" t="n"/>
      <c r="Z48" s="68" t="n"/>
      <c r="AA48" s="69" t="n"/>
      <c r="AB48" s="68" t="n"/>
      <c r="AC48" s="69" t="n"/>
      <c r="AD48" s="70">
        <f>IF(AND(COUNTIF($B$5:B48,B48)=1,$B48&lt;&gt;"",$AB48&lt;&gt;""),1,0)</f>
        <v/>
      </c>
      <c r="AE48" s="67" t="inlineStr">
        <is>
          <t>https://www.elespectador.com/economia/macroeconomia/pensiones-en-colombia-2026-la-historia-del-enredo-entre-la-reforma-la-corte-constitucional-y-los-fondos-privados/</t>
        </is>
      </c>
      <c r="AF48" s="64" t="n"/>
      <c r="AG48" s="65" t="n"/>
    </row>
    <row r="49" ht="15" customHeight="1" s="31">
      <c r="A49" s="66" t="inlineStr">
        <is>
          <t>ART_017</t>
        </is>
      </c>
      <c r="B49" s="66" t="inlineStr">
        <is>
          <t>ART_017_S01</t>
        </is>
      </c>
      <c r="C49" s="66" t="inlineStr">
        <is>
          <t>El Espectador</t>
        </is>
      </c>
      <c r="D49" s="66" t="inlineStr">
        <is>
          <t>Política</t>
        </is>
      </c>
      <c r="E49" s="66" t="inlineStr">
        <is>
          <t>Noticia dura</t>
        </is>
      </c>
      <c r="F49" s="66" t="inlineStr">
        <is>
          <t>2026-09-02T20:27:20-05:00</t>
        </is>
      </c>
      <c r="G49" s="67" t="inlineStr">
        <is>
          <t>Tras la conmoción que generó el atentado con explosivos contra la estación de Policía de Los Patios, en Norte de Santander, el gobierno anunció que intensificará la ofensiva contra los grupos armados y organizaciones criminales detrás de estos casos.</t>
        </is>
      </c>
      <c r="H49" s="67" t="inlineStr"/>
      <c r="I49" s="67" t="inlineStr">
        <is>
          <t>De acuerdo con el jefe de la cartera política, el ministro Rodrigo Lara, el eje de esta estrategia será un estatuto antiterrorista que será puesto a discusión en el Congreso.</t>
        </is>
      </c>
      <c r="J49" s="68" t="n"/>
      <c r="K49" s="69" t="n"/>
      <c r="L49" s="68" t="n"/>
      <c r="M49" s="69" t="n"/>
      <c r="N49" s="68" t="n"/>
      <c r="O49" s="69" t="n"/>
      <c r="P49" s="68" t="n"/>
      <c r="Q49" s="69" t="n"/>
      <c r="R49" s="68" t="n"/>
      <c r="S49" s="69" t="n"/>
      <c r="T49" s="68" t="n"/>
      <c r="U49" s="69" t="n"/>
      <c r="V49" s="68" t="n"/>
      <c r="W49" s="69" t="n"/>
      <c r="X49" s="68" t="n"/>
      <c r="Y49" s="69" t="n"/>
      <c r="Z49" s="68" t="n"/>
      <c r="AA49" s="69" t="n"/>
      <c r="AB49" s="68" t="n"/>
      <c r="AC49" s="69" t="n"/>
      <c r="AD49" s="70">
        <f>IF(AND(COUNTIF($B$5:B49,B49)=1,$B49&lt;&gt;"",$AB49&lt;&gt;""),1,0)</f>
        <v/>
      </c>
      <c r="AE49" s="67" t="inlineStr">
        <is>
          <t>https://www.elespectador.com/politica/gobierno-de-la-espriella-prepara-un-estatuto-antiterrorista-que-sera-radicado-ante-el-congreso-esto-se-sabe/</t>
        </is>
      </c>
      <c r="AF49" s="64" t="n"/>
      <c r="AG49" s="65" t="n"/>
    </row>
    <row r="50" ht="15" customHeight="1" s="31">
      <c r="A50" s="66" t="inlineStr">
        <is>
          <t>ART_017</t>
        </is>
      </c>
      <c r="B50" s="66" t="inlineStr">
        <is>
          <t>ART_017_S02</t>
        </is>
      </c>
      <c r="C50" s="66" t="inlineStr">
        <is>
          <t>El Espectador</t>
        </is>
      </c>
      <c r="D50" s="66" t="inlineStr">
        <is>
          <t>Política</t>
        </is>
      </c>
      <c r="E50" s="66" t="inlineStr">
        <is>
          <t>Noticia dura</t>
        </is>
      </c>
      <c r="F50" s="66" t="inlineStr">
        <is>
          <t>2026-09-02T20:27:20-05:00</t>
        </is>
      </c>
      <c r="G50" s="67" t="inlineStr">
        <is>
          <t>De acuerdo con el jefe de la cartera política, el ministro Rodrigo Lara, el eje de esta estrategia será un estatuto antiterrorista que será puesto a discusión en el Congreso.</t>
        </is>
      </c>
      <c r="H50" s="67" t="inlineStr">
        <is>
          <t>Tras la conmoción que generó el atentado con explosivos contra la estación de Policía de Los Patios, en Norte de Santander, el gobierno anunció que intensificará la ofensiva contra los grupos armados y organizaciones criminales detrás de estos casos.</t>
        </is>
      </c>
      <c r="I50" s="67" t="inlineStr">
        <is>
          <t>La apuesta obedece directamente a lo que le ha pedido el presidente Abelardo de la Espriella a las fuerzas militares: una ofensiva frontal contra estos grupos.</t>
        </is>
      </c>
      <c r="J50" s="68" t="n"/>
      <c r="K50" s="69" t="n"/>
      <c r="L50" s="68" t="n"/>
      <c r="M50" s="69" t="n"/>
      <c r="N50" s="68" t="n"/>
      <c r="O50" s="69" t="n"/>
      <c r="P50" s="68" t="n"/>
      <c r="Q50" s="69" t="n"/>
      <c r="R50" s="68" t="n"/>
      <c r="S50" s="69" t="n"/>
      <c r="T50" s="68" t="n"/>
      <c r="U50" s="69" t="n"/>
      <c r="V50" s="68" t="n"/>
      <c r="W50" s="69" t="n"/>
      <c r="X50" s="68" t="n"/>
      <c r="Y50" s="69" t="n"/>
      <c r="Z50" s="68" t="n"/>
      <c r="AA50" s="69" t="n"/>
      <c r="AB50" s="68" t="n"/>
      <c r="AC50" s="69" t="n"/>
      <c r="AD50" s="70">
        <f>IF(AND(COUNTIF($B$5:B50,B50)=1,$B50&lt;&gt;"",$AB50&lt;&gt;""),1,0)</f>
        <v/>
      </c>
      <c r="AE50" s="67" t="inlineStr">
        <is>
          <t>https://www.elespectador.com/politica/gobierno-de-la-espriella-prepara-un-estatuto-antiterrorista-que-sera-radicado-ante-el-congreso-esto-se-sabe/</t>
        </is>
      </c>
      <c r="AF50" s="64" t="n"/>
      <c r="AG50" s="65" t="n"/>
    </row>
    <row r="51" ht="15" customHeight="1" s="31">
      <c r="A51" s="66" t="inlineStr">
        <is>
          <t>ART_017</t>
        </is>
      </c>
      <c r="B51" s="66" t="inlineStr">
        <is>
          <t>ART_017_S03</t>
        </is>
      </c>
      <c r="C51" s="66" t="inlineStr">
        <is>
          <t>El Espectador</t>
        </is>
      </c>
      <c r="D51" s="66" t="inlineStr">
        <is>
          <t>Política</t>
        </is>
      </c>
      <c r="E51" s="66" t="inlineStr">
        <is>
          <t>Noticia dura</t>
        </is>
      </c>
      <c r="F51" s="66" t="inlineStr">
        <is>
          <t>2026-09-02T20:27:20-05:00</t>
        </is>
      </c>
      <c r="G51" s="67" t="inlineStr">
        <is>
          <t>La apuesta obedece directamente a lo que le ha pedido el presidente Abelardo de la Espriella a las fuerzas militares: una ofensiva frontal contra estos grupos.</t>
        </is>
      </c>
      <c r="H51" s="67" t="inlineStr">
        <is>
          <t>De acuerdo con el jefe de la cartera política, el ministro Rodrigo Lara, el eje de esta estrategia será un estatuto antiterrorista que será puesto a discusión en el Congreso.</t>
        </is>
      </c>
      <c r="I51" s="67" t="inlineStr">
        <is>
          <t>El jefe de Estado ha dicho en varias oportunidades que declarará a dichas estructuras como terroristas, lo que también implica cerrarles la puerta a los diálogos de paz.</t>
        </is>
      </c>
      <c r="J51" s="68" t="n"/>
      <c r="K51" s="69" t="n"/>
      <c r="L51" s="68" t="n"/>
      <c r="M51" s="69" t="n"/>
      <c r="N51" s="68" t="n"/>
      <c r="O51" s="69" t="n"/>
      <c r="P51" s="68" t="n"/>
      <c r="Q51" s="69" t="n"/>
      <c r="R51" s="68" t="n"/>
      <c r="S51" s="69" t="n"/>
      <c r="T51" s="68" t="n"/>
      <c r="U51" s="69" t="n"/>
      <c r="V51" s="68" t="n"/>
      <c r="W51" s="69" t="n"/>
      <c r="X51" s="68" t="n"/>
      <c r="Y51" s="69" t="n"/>
      <c r="Z51" s="68" t="n"/>
      <c r="AA51" s="69" t="n"/>
      <c r="AB51" s="68" t="n"/>
      <c r="AC51" s="69" t="n"/>
      <c r="AD51" s="70">
        <f>IF(AND(COUNTIF($B$5:B51,B51)=1,$B51&lt;&gt;"",$AB51&lt;&gt;""),1,0)</f>
        <v/>
      </c>
      <c r="AE51" s="67" t="inlineStr">
        <is>
          <t>https://www.elespectador.com/politica/gobierno-de-la-espriella-prepara-un-estatuto-antiterrorista-que-sera-radicado-ante-el-congreso-esto-se-sabe/</t>
        </is>
      </c>
      <c r="AF51" s="64" t="n"/>
      <c r="AG51" s="65" t="n"/>
    </row>
    <row r="52" ht="15" customHeight="1" s="31">
      <c r="A52" s="66" t="inlineStr">
        <is>
          <t>ART_017</t>
        </is>
      </c>
      <c r="B52" s="66" t="inlineStr">
        <is>
          <t>ART_017_S04</t>
        </is>
      </c>
      <c r="C52" s="66" t="inlineStr">
        <is>
          <t>El Espectador</t>
        </is>
      </c>
      <c r="D52" s="66" t="inlineStr">
        <is>
          <t>Política</t>
        </is>
      </c>
      <c r="E52" s="66" t="inlineStr">
        <is>
          <t>Noticia dura</t>
        </is>
      </c>
      <c r="F52" s="66" t="inlineStr">
        <is>
          <t>2026-09-02T20:27:20-05:00</t>
        </is>
      </c>
      <c r="G52" s="67" t="inlineStr">
        <is>
          <t>El jefe de Estado ha dicho en varias oportunidades que declarará a dichas estructuras como terroristas, lo que también implica cerrarles la puerta a los diálogos de paz.</t>
        </is>
      </c>
      <c r="H52" s="67" t="inlineStr">
        <is>
          <t>La apuesta obedece directamente a lo que le ha pedido el presidente Abelardo de la Espriella a las fuerzas militares: una ofensiva frontal contra estos grupos.</t>
        </is>
      </c>
      <c r="I52" s="67" t="inlineStr">
        <is>
          <t>El ministro Lara aseguró que el estatuto antiterrorista contempla, precisamente, crear esa lista de esos grupos terroristas y darle luz verde a unas herramientas más potentes en materia jurídica para combatirlos.</t>
        </is>
      </c>
      <c r="J52" s="68" t="n"/>
      <c r="K52" s="69" t="n"/>
      <c r="L52" s="68" t="n"/>
      <c r="M52" s="69" t="n"/>
      <c r="N52" s="68" t="n"/>
      <c r="O52" s="69" t="n"/>
      <c r="P52" s="68" t="n"/>
      <c r="Q52" s="69" t="n"/>
      <c r="R52" s="68" t="n"/>
      <c r="S52" s="69" t="n"/>
      <c r="T52" s="68" t="n"/>
      <c r="U52" s="69" t="n"/>
      <c r="V52" s="68" t="n"/>
      <c r="W52" s="69" t="n"/>
      <c r="X52" s="68" t="n"/>
      <c r="Y52" s="69" t="n"/>
      <c r="Z52" s="68" t="n"/>
      <c r="AA52" s="69" t="n"/>
      <c r="AB52" s="68" t="n"/>
      <c r="AC52" s="69" t="n"/>
      <c r="AD52" s="70">
        <f>IF(AND(COUNTIF($B$5:B52,B52)=1,$B52&lt;&gt;"",$AB52&lt;&gt;""),1,0)</f>
        <v/>
      </c>
      <c r="AE52" s="67" t="inlineStr">
        <is>
          <t>https://www.elespectador.com/politica/gobierno-de-la-espriella-prepara-un-estatuto-antiterrorista-que-sera-radicado-ante-el-congreso-esto-se-sabe/</t>
        </is>
      </c>
      <c r="AF52" s="64" t="n"/>
      <c r="AG52" s="65" t="n"/>
    </row>
    <row r="53" ht="15" customHeight="1" s="31">
      <c r="A53" s="66" t="inlineStr">
        <is>
          <t>ART_017</t>
        </is>
      </c>
      <c r="B53" s="66" t="inlineStr">
        <is>
          <t>ART_017_S05</t>
        </is>
      </c>
      <c r="C53" s="66" t="inlineStr">
        <is>
          <t>El Espectador</t>
        </is>
      </c>
      <c r="D53" s="66" t="inlineStr">
        <is>
          <t>Política</t>
        </is>
      </c>
      <c r="E53" s="66" t="inlineStr">
        <is>
          <t>Noticia dura</t>
        </is>
      </c>
      <c r="F53" s="66" t="inlineStr">
        <is>
          <t>2026-09-02T20:27:20-05:00</t>
        </is>
      </c>
      <c r="G53" s="67" t="inlineStr">
        <is>
          <t>El ministro Lara aseguró que el estatuto antiterrorista contempla, precisamente, crear esa lista de esos grupos terroristas y darle luz verde a unas herramientas más potentes en materia jurídica para combatirlos.</t>
        </is>
      </c>
      <c r="H53" s="67" t="inlineStr">
        <is>
          <t>El jefe de Estado ha dicho en varias oportunidades que declarará a dichas estructuras como terroristas, lo que también implica cerrarles la puerta a los diálogos de paz.</t>
        </is>
      </c>
      <c r="I53" s="67" t="inlineStr"/>
      <c r="J53" s="68" t="n"/>
      <c r="K53" s="69" t="n"/>
      <c r="L53" s="68" t="n"/>
      <c r="M53" s="69" t="n"/>
      <c r="N53" s="68" t="n"/>
      <c r="O53" s="69" t="n"/>
      <c r="P53" s="68" t="n"/>
      <c r="Q53" s="69" t="n"/>
      <c r="R53" s="68" t="n"/>
      <c r="S53" s="69" t="n"/>
      <c r="T53" s="68" t="n"/>
      <c r="U53" s="69" t="n"/>
      <c r="V53" s="68" t="n"/>
      <c r="W53" s="69" t="n"/>
      <c r="X53" s="68" t="n"/>
      <c r="Y53" s="69" t="n"/>
      <c r="Z53" s="68" t="n"/>
      <c r="AA53" s="69" t="n"/>
      <c r="AB53" s="68" t="n"/>
      <c r="AC53" s="69" t="n"/>
      <c r="AD53" s="70">
        <f>IF(AND(COUNTIF($B$5:B53,B53)=1,$B53&lt;&gt;"",$AB53&lt;&gt;""),1,0)</f>
        <v/>
      </c>
      <c r="AE53" s="67" t="inlineStr">
        <is>
          <t>https://www.elespectador.com/politica/gobierno-de-la-espriella-prepara-un-estatuto-antiterrorista-que-sera-radicado-ante-el-congreso-esto-se-sabe/</t>
        </is>
      </c>
      <c r="AF53" s="64" t="n"/>
      <c r="AG53" s="65" t="n"/>
    </row>
    <row r="54" ht="15" customHeight="1" s="31">
      <c r="A54" s="66" t="inlineStr">
        <is>
          <t>ART_018</t>
        </is>
      </c>
      <c r="B54" s="66" t="inlineStr">
        <is>
          <t>ART_018_S01</t>
        </is>
      </c>
      <c r="C54" s="66" t="inlineStr">
        <is>
          <t>La Silla Vacía</t>
        </is>
      </c>
      <c r="D54" s="66" t="inlineStr">
        <is>
          <t>Política</t>
        </is>
      </c>
      <c r="E54" s="66" t="inlineStr">
        <is>
          <t>Noticia dura</t>
        </is>
      </c>
      <c r="F54" s="66" t="inlineStr">
        <is>
          <t>Wed, 26 Aug 2026 00:50:09 +0000</t>
        </is>
      </c>
      <c r="G54" s="67" t="inlineStr">
        <is>
          <t>Con una votación de 7 a 1, la Corte Constitucional avaló la mayoría del articulado de la reforma pensional del gobierno de Gustavo Petro, pero le pidió a la Cámara discutir —en un plazo de 30 días— nueve proposiciones puntuales y un artículo nuevo.</t>
        </is>
      </c>
      <c r="H54" s="67" t="inlineStr"/>
      <c r="I54" s="67" t="inlineStr"/>
      <c r="J54" s="68" t="n"/>
      <c r="K54" s="69" t="n"/>
      <c r="L54" s="68" t="n"/>
      <c r="M54" s="69" t="n"/>
      <c r="N54" s="68" t="n"/>
      <c r="O54" s="69" t="n"/>
      <c r="P54" s="68" t="n"/>
      <c r="Q54" s="69" t="n"/>
      <c r="R54" s="68" t="n"/>
      <c r="S54" s="69" t="n"/>
      <c r="T54" s="68" t="n"/>
      <c r="U54" s="69" t="n"/>
      <c r="V54" s="68" t="n"/>
      <c r="W54" s="69" t="n"/>
      <c r="X54" s="68" t="n"/>
      <c r="Y54" s="69" t="n"/>
      <c r="Z54" s="68" t="n"/>
      <c r="AA54" s="69" t="n"/>
      <c r="AB54" s="68" t="n"/>
      <c r="AC54" s="69" t="n"/>
      <c r="AD54" s="70">
        <f>IF(AND(COUNTIF($B$5:B54,B54)=1,$B54&lt;&gt;"",$AB54&lt;&gt;""),1,0)</f>
        <v/>
      </c>
      <c r="AE54" s="67" t="inlineStr">
        <is>
          <t>https://www.lasillavacia.com/en-vivo/reforma-pensional-corte-avala-90-articulos-y-devuelve-9-a-la-camara/</t>
        </is>
      </c>
      <c r="AF54" s="64" t="n"/>
      <c r="AG54" s="65" t="n"/>
    </row>
    <row r="55" ht="15" customHeight="1" s="31">
      <c r="A55" s="66" t="inlineStr">
        <is>
          <t>ART_019</t>
        </is>
      </c>
      <c r="B55" s="66" t="inlineStr">
        <is>
          <t>ART_019_S01</t>
        </is>
      </c>
      <c r="C55" s="66" t="inlineStr">
        <is>
          <t>La Silla Vacía</t>
        </is>
      </c>
      <c r="D55" s="66" t="inlineStr">
        <is>
          <t>Política</t>
        </is>
      </c>
      <c r="E55" s="66" t="inlineStr">
        <is>
          <t>Noticia dura</t>
        </is>
      </c>
      <c r="F55" s="66" t="inlineStr">
        <is>
          <t>Fri, 26 Dec 2025 05:05:00 +0000</t>
        </is>
      </c>
      <c r="G55" s="67" t="inlineStr">
        <is>
          <t>A la impredictibilidad del presidente Gustavo Petro se sumó el inmenso cambio en el equilibrio de poder mundial producido por la llegada de Donald Trump a la Casa Blanca.</t>
        </is>
      </c>
      <c r="H55" s="67" t="inlineStr"/>
      <c r="I55" s="67" t="inlineStr"/>
      <c r="J55" s="68" t="n"/>
      <c r="K55" s="69" t="n"/>
      <c r="L55" s="68" t="n"/>
      <c r="M55" s="69" t="n"/>
      <c r="N55" s="68" t="n"/>
      <c r="O55" s="69" t="n"/>
      <c r="P55" s="68" t="n"/>
      <c r="Q55" s="69" t="n"/>
      <c r="R55" s="68" t="n"/>
      <c r="S55" s="69" t="n"/>
      <c r="T55" s="68" t="n"/>
      <c r="U55" s="69" t="n"/>
      <c r="V55" s="68" t="n"/>
      <c r="W55" s="69" t="n"/>
      <c r="X55" s="68" t="n"/>
      <c r="Y55" s="69" t="n"/>
      <c r="Z55" s="68" t="n"/>
      <c r="AA55" s="69" t="n"/>
      <c r="AB55" s="68" t="n"/>
      <c r="AC55" s="69" t="n"/>
      <c r="AD55" s="70">
        <f>IF(AND(COUNTIF($B$5:B55,B55)=1,$B55&lt;&gt;"",$AB55&lt;&gt;""),1,0)</f>
        <v/>
      </c>
      <c r="AE55" s="67" t="inlineStr">
        <is>
          <t>https://www.lasillavacia.com/silla-nacional/asi-se-transformo-el-poder-en-colombia-en-2025/</t>
        </is>
      </c>
      <c r="AF55" s="64" t="n"/>
      <c r="AG55" s="65" t="n"/>
    </row>
    <row r="56" ht="15" customHeight="1" s="31">
      <c r="A56" s="66" t="inlineStr">
        <is>
          <t>ART_020</t>
        </is>
      </c>
      <c r="B56" s="66" t="inlineStr">
        <is>
          <t>ART_020_S01</t>
        </is>
      </c>
      <c r="C56" s="66" t="inlineStr">
        <is>
          <t>La Silla Vacía</t>
        </is>
      </c>
      <c r="D56" s="66" t="inlineStr">
        <is>
          <t>Política</t>
        </is>
      </c>
      <c r="E56" s="66" t="inlineStr">
        <is>
          <t>Opinión-análisis</t>
        </is>
      </c>
      <c r="F56" s="66" t="inlineStr">
        <is>
          <t>Fri, 04 Sep 2026 19:00:00 +0000</t>
        </is>
      </c>
      <c r="G56" s="67" t="inlineStr">
        <is>
          <t>Esta disminución sí es de este gobierno y ninguna corrección aritmética lo borra.</t>
        </is>
      </c>
      <c r="H56" s="67" t="inlineStr"/>
      <c r="I56" s="67" t="inlineStr"/>
      <c r="J56" s="68" t="n"/>
      <c r="K56" s="69" t="n"/>
      <c r="L56" s="68" t="n"/>
      <c r="M56" s="69" t="n"/>
      <c r="N56" s="68" t="n"/>
      <c r="O56" s="69" t="n"/>
      <c r="P56" s="68" t="n"/>
      <c r="Q56" s="69" t="n"/>
      <c r="R56" s="68" t="n"/>
      <c r="S56" s="69" t="n"/>
      <c r="T56" s="68" t="n"/>
      <c r="U56" s="69" t="n"/>
      <c r="V56" s="68" t="n"/>
      <c r="W56" s="69" t="n"/>
      <c r="X56" s="68" t="n"/>
      <c r="Y56" s="69" t="n"/>
      <c r="Z56" s="68" t="n"/>
      <c r="AA56" s="69" t="n"/>
      <c r="AB56" s="68" t="n"/>
      <c r="AC56" s="69" t="n"/>
      <c r="AD56" s="70">
        <f>IF(AND(COUNTIF($B$5:B56,B56)=1,$B56&lt;&gt;"",$AB56&lt;&gt;""),1,0)</f>
        <v/>
      </c>
      <c r="AE56" s="67" t="inlineStr">
        <is>
          <t>https://www.lasillavacia.com/red-de-expertos/red-social/el-presupuesto-de-cultura-bajo-pero-no-por-la-cifra-que-dicen/</t>
        </is>
      </c>
      <c r="AF56" s="64" t="n"/>
      <c r="AG56" s="65" t="n"/>
    </row>
    <row r="57" ht="15" customHeight="1" s="31">
      <c r="A57" s="66" t="inlineStr">
        <is>
          <t>ART_021</t>
        </is>
      </c>
      <c r="B57" s="66" t="inlineStr">
        <is>
          <t>ART_021_S01</t>
        </is>
      </c>
      <c r="C57" s="66" t="inlineStr">
        <is>
          <t>La Silla Vacía</t>
        </is>
      </c>
      <c r="D57" s="66" t="inlineStr">
        <is>
          <t>Política</t>
        </is>
      </c>
      <c r="E57" s="66" t="inlineStr">
        <is>
          <t>Opinión-análisis</t>
        </is>
      </c>
      <c r="F57" s="66" t="inlineStr">
        <is>
          <t>Thu, 03 Sep 2026 21:00:00 +0000</t>
        </is>
      </c>
      <c r="G57" s="67" t="inlineStr">
        <is>
          <t>Una política de seguridad no debería preguntarse únicamente cuántos fueron capturados o abatidos hoy, sino cuánta capacidad criminal dejó de existir.</t>
        </is>
      </c>
      <c r="H57" s="67" t="inlineStr"/>
      <c r="I57" s="67" t="inlineStr"/>
      <c r="J57" s="68" t="n"/>
      <c r="K57" s="69" t="n"/>
      <c r="L57" s="68" t="n"/>
      <c r="M57" s="69" t="n"/>
      <c r="N57" s="68" t="n"/>
      <c r="O57" s="69" t="n"/>
      <c r="P57" s="68" t="n"/>
      <c r="Q57" s="69" t="n"/>
      <c r="R57" s="68" t="n"/>
      <c r="S57" s="69" t="n"/>
      <c r="T57" s="68" t="n"/>
      <c r="U57" s="69" t="n"/>
      <c r="V57" s="68" t="n"/>
      <c r="W57" s="69" t="n"/>
      <c r="X57" s="68" t="n"/>
      <c r="Y57" s="69" t="n"/>
      <c r="Z57" s="68" t="n"/>
      <c r="AA57" s="69" t="n"/>
      <c r="AB57" s="68" t="n"/>
      <c r="AC57" s="69" t="n"/>
      <c r="AD57" s="70">
        <f>IF(AND(COUNTIF($B$5:B57,B57)=1,$B57&lt;&gt;"",$AB57&lt;&gt;""),1,0)</f>
        <v/>
      </c>
      <c r="AE57" s="67" t="inlineStr">
        <is>
          <t>https://www.lasillavacia.com/red-de-expertos/red-de-la-paz/contar-capturas-y-bajas-no-mide-la-seguridad-en-colombia/</t>
        </is>
      </c>
      <c r="AF57" s="64" t="n"/>
      <c r="AG57" s="65" t="n"/>
    </row>
    <row r="58" ht="15" customHeight="1" s="31">
      <c r="A58" s="66" t="inlineStr">
        <is>
          <t>ART_022</t>
        </is>
      </c>
      <c r="B58" s="66" t="inlineStr">
        <is>
          <t>ART_022_S01</t>
        </is>
      </c>
      <c r="C58" s="66" t="inlineStr">
        <is>
          <t>La Silla Vacía</t>
        </is>
      </c>
      <c r="D58" s="66" t="inlineStr">
        <is>
          <t>Política</t>
        </is>
      </c>
      <c r="E58" s="66" t="inlineStr">
        <is>
          <t>Opinión-análisis</t>
        </is>
      </c>
      <c r="F58" s="66" t="inlineStr">
        <is>
          <t>Sat, 05 Sep 2026 19:00:00 +0000</t>
        </is>
      </c>
      <c r="G58" s="67" t="inlineStr">
        <is>
          <t>Durante la última semana causó revuelo la noticia divulgada por Caracol Radio, señalando la existencia de presuntas actas que develaban que el presidente De la Espriella habría ordenado a sus ministros no conceder ruedas de prensa ni entrevistas a medios de comunicación que no fueran ‘amigos’, salvo para temas estratégicos o con previa autorización.</t>
        </is>
      </c>
      <c r="H58" s="67" t="inlineStr"/>
      <c r="I58" s="67" t="inlineStr"/>
      <c r="J58" s="68" t="n"/>
      <c r="K58" s="69" t="n"/>
      <c r="L58" s="68" t="n"/>
      <c r="M58" s="69" t="n"/>
      <c r="N58" s="68" t="n"/>
      <c r="O58" s="69" t="n"/>
      <c r="P58" s="68" t="n"/>
      <c r="Q58" s="69" t="n"/>
      <c r="R58" s="68" t="n"/>
      <c r="S58" s="69" t="n"/>
      <c r="T58" s="68" t="n"/>
      <c r="U58" s="69" t="n"/>
      <c r="V58" s="68" t="n"/>
      <c r="W58" s="69" t="n"/>
      <c r="X58" s="68" t="n"/>
      <c r="Y58" s="69" t="n"/>
      <c r="Z58" s="68" t="n"/>
      <c r="AA58" s="69" t="n"/>
      <c r="AB58" s="68" t="n"/>
      <c r="AC58" s="69" t="n"/>
      <c r="AD58" s="70">
        <f>IF(AND(COUNTIF($B$5:B58,B58)=1,$B58&lt;&gt;"",$AB58&lt;&gt;""),1,0)</f>
        <v/>
      </c>
      <c r="AE58" s="67" t="inlineStr">
        <is>
          <t>https://www.lasillavacia.com/red-de-expertos/red-social/la-informacion-publica-no-se-restringe-a-medios-amigos/</t>
        </is>
      </c>
      <c r="AF58" s="64" t="n"/>
      <c r="AG58" s="65" t="n"/>
    </row>
    <row r="59" ht="15" customHeight="1" s="31">
      <c r="A59" s="66" t="inlineStr">
        <is>
          <t>ART_023</t>
        </is>
      </c>
      <c r="B59" s="66" t="inlineStr">
        <is>
          <t>ART_023_S01</t>
        </is>
      </c>
      <c r="C59" s="66" t="inlineStr">
        <is>
          <t>La Silla Vacía</t>
        </is>
      </c>
      <c r="D59" s="66" t="inlineStr">
        <is>
          <t>Política</t>
        </is>
      </c>
      <c r="E59" s="66" t="inlineStr">
        <is>
          <t>Opinión-análisis</t>
        </is>
      </c>
      <c r="F59" s="66" t="inlineStr">
        <is>
          <t>Sat, 05 Sep 2026 16:33:03 +0000</t>
        </is>
      </c>
      <c r="G59" s="67" t="inlineStr">
        <is>
          <t>¿Operaciones sin Seguridad? Me preguntaba un amigo, que opinaba sobre las anunciadas operaciones militares en Chiribiquete.</t>
        </is>
      </c>
      <c r="H59" s="67" t="inlineStr"/>
      <c r="I59" s="67" t="inlineStr"/>
      <c r="J59" s="68" t="n"/>
      <c r="K59" s="69" t="n"/>
      <c r="L59" s="68" t="n"/>
      <c r="M59" s="69" t="n"/>
      <c r="N59" s="68" t="n"/>
      <c r="O59" s="69" t="n"/>
      <c r="P59" s="68" t="n"/>
      <c r="Q59" s="69" t="n"/>
      <c r="R59" s="68" t="n"/>
      <c r="S59" s="69" t="n"/>
      <c r="T59" s="68" t="n"/>
      <c r="U59" s="69" t="n"/>
      <c r="V59" s="68" t="n"/>
      <c r="W59" s="69" t="n"/>
      <c r="X59" s="68" t="n"/>
      <c r="Y59" s="69" t="n"/>
      <c r="Z59" s="68" t="n"/>
      <c r="AA59" s="69" t="n"/>
      <c r="AB59" s="68" t="n"/>
      <c r="AC59" s="69" t="n"/>
      <c r="AD59" s="70">
        <f>IF(AND(COUNTIF($B$5:B59,B59)=1,$B59&lt;&gt;"",$AB59&lt;&gt;""),1,0)</f>
        <v/>
      </c>
      <c r="AE59" s="67" t="inlineStr">
        <is>
          <t>https://www.lasillavacia.com/opinion/operaciones-sin-seguridad/</t>
        </is>
      </c>
      <c r="AF59" s="64" t="n"/>
      <c r="AG59" s="65" t="n"/>
    </row>
    <row r="60" ht="15" customHeight="1" s="31">
      <c r="A60" s="66" t="inlineStr">
        <is>
          <t>ART_024</t>
        </is>
      </c>
      <c r="B60" s="66" t="inlineStr">
        <is>
          <t>ART_024_S01</t>
        </is>
      </c>
      <c r="C60" s="66" t="inlineStr">
        <is>
          <t>La Silla Vacía</t>
        </is>
      </c>
      <c r="D60" s="66" t="inlineStr">
        <is>
          <t>Política</t>
        </is>
      </c>
      <c r="E60" s="66" t="inlineStr">
        <is>
          <t>Opinión-análisis</t>
        </is>
      </c>
      <c r="F60" s="66" t="inlineStr">
        <is>
          <t>Mon, 31 Aug 2026 18:10:17 +0000</t>
        </is>
      </c>
      <c r="G60" s="67" t="inlineStr">
        <is>
          <t>Tras mantener suspendida su entrada en vigor cerca de dos años, la Corte Constitucional declaró exequible el grueso de la Ley 2381 de 2024 y difirió su vigencia al 1.º de abril de 2027.</t>
        </is>
      </c>
      <c r="H60" s="67" t="inlineStr"/>
      <c r="I60" s="67" t="inlineStr"/>
      <c r="J60" s="68" t="n"/>
      <c r="K60" s="69" t="n"/>
      <c r="L60" s="68" t="n"/>
      <c r="M60" s="69" t="n"/>
      <c r="N60" s="68" t="n"/>
      <c r="O60" s="69" t="n"/>
      <c r="P60" s="68" t="n"/>
      <c r="Q60" s="69" t="n"/>
      <c r="R60" s="68" t="n"/>
      <c r="S60" s="69" t="n"/>
      <c r="T60" s="68" t="n"/>
      <c r="U60" s="69" t="n"/>
      <c r="V60" s="68" t="n"/>
      <c r="W60" s="69" t="n"/>
      <c r="X60" s="68" t="n"/>
      <c r="Y60" s="69" t="n"/>
      <c r="Z60" s="68" t="n"/>
      <c r="AA60" s="69" t="n"/>
      <c r="AB60" s="68" t="n"/>
      <c r="AC60" s="69" t="n"/>
      <c r="AD60" s="70">
        <f>IF(AND(COUNTIF($B$5:B60,B60)=1,$B60&lt;&gt;"",$AB60&lt;&gt;""),1,0)</f>
        <v/>
      </c>
      <c r="AE60" s="67" t="inlineStr">
        <is>
          <t>https://www.lasillavacia.com/red-de-expertos/red-de-derecho-constitucional/ganadores-y-perdedores-de-la-reforma-pensional/</t>
        </is>
      </c>
      <c r="AF60" s="64" t="n"/>
      <c r="AG60" s="65" t="n"/>
    </row>
    <row r="61" ht="15" customHeight="1" s="31">
      <c r="A61" s="66" t="inlineStr">
        <is>
          <t>ART_025</t>
        </is>
      </c>
      <c r="B61" s="66" t="inlineStr">
        <is>
          <t>ART_025_S01</t>
        </is>
      </c>
      <c r="C61" s="66" t="inlineStr">
        <is>
          <t>La Silla Vacía</t>
        </is>
      </c>
      <c r="D61" s="66" t="inlineStr">
        <is>
          <t>Política</t>
        </is>
      </c>
      <c r="E61" s="66" t="inlineStr">
        <is>
          <t>Opinión-análisis</t>
        </is>
      </c>
      <c r="F61" s="66" t="inlineStr">
        <is>
          <t>2025-04-05T05:05:00+00:00</t>
        </is>
      </c>
      <c r="G61" s="67" t="inlineStr">
        <is>
          <t>Se ha dicho que los aranceles del 10 % impuestos por Trump a Colombia tienen algunos efectos positivos y que el país salió relativamente bien librado.</t>
        </is>
      </c>
      <c r="H61" s="67" t="inlineStr"/>
      <c r="I61" s="67" t="inlineStr"/>
      <c r="J61" s="68" t="n"/>
      <c r="K61" s="69" t="n"/>
      <c r="L61" s="68" t="n"/>
      <c r="M61" s="69" t="n"/>
      <c r="N61" s="68" t="n"/>
      <c r="O61" s="69" t="n"/>
      <c r="P61" s="68" t="n"/>
      <c r="Q61" s="69" t="n"/>
      <c r="R61" s="68" t="n"/>
      <c r="S61" s="69" t="n"/>
      <c r="T61" s="68" t="n"/>
      <c r="U61" s="69" t="n"/>
      <c r="V61" s="68" t="n"/>
      <c r="W61" s="69" t="n"/>
      <c r="X61" s="68" t="n"/>
      <c r="Y61" s="69" t="n"/>
      <c r="Z61" s="68" t="n"/>
      <c r="AA61" s="69" t="n"/>
      <c r="AB61" s="68" t="n"/>
      <c r="AC61" s="69" t="n"/>
      <c r="AD61" s="70">
        <f>IF(AND(COUNTIF($B$5:B61,B61)=1,$B61&lt;&gt;"",$AB61&lt;&gt;""),1,0)</f>
        <v/>
      </c>
      <c r="AE61" s="67" t="inlineStr">
        <is>
          <t>https://www.lasillavacia.com/red-de-expertos/red-social/colombia-no-sale-tan-bien-librada-con-los-nuevos-aranceles-de-trump/</t>
        </is>
      </c>
      <c r="AF61" s="64" t="n"/>
      <c r="AG61" s="65" t="n"/>
    </row>
    <row r="62" ht="15" customHeight="1" s="31">
      <c r="A62" s="66" t="inlineStr">
        <is>
          <t>ART_026</t>
        </is>
      </c>
      <c r="B62" s="66" t="inlineStr">
        <is>
          <t>ART_026_S01</t>
        </is>
      </c>
      <c r="C62" s="66" t="inlineStr">
        <is>
          <t>La Silla Vacía</t>
        </is>
      </c>
      <c r="D62" s="66" t="inlineStr">
        <is>
          <t>Política</t>
        </is>
      </c>
      <c r="E62" s="66" t="inlineStr">
        <is>
          <t>Opinión-análisis</t>
        </is>
      </c>
      <c r="F62" s="66" t="inlineStr">
        <is>
          <t>Thu, 27 Aug 2026 13:00:00 +0000</t>
        </is>
      </c>
      <c r="G62" s="67" t="inlineStr">
        <is>
          <t>La reforma pensional colombiana dejó de ser solamente una discusión sobre el futuro de los trabajadores y se convirtió también en un asunto de economía de empresa.</t>
        </is>
      </c>
      <c r="H62" s="67" t="inlineStr"/>
      <c r="I62" s="67" t="inlineStr"/>
      <c r="J62" s="68" t="n"/>
      <c r="K62" s="69" t="n"/>
      <c r="L62" s="68" t="n"/>
      <c r="M62" s="69" t="n"/>
      <c r="N62" s="68" t="n"/>
      <c r="O62" s="69" t="n"/>
      <c r="P62" s="68" t="n"/>
      <c r="Q62" s="69" t="n"/>
      <c r="R62" s="68" t="n"/>
      <c r="S62" s="69" t="n"/>
      <c r="T62" s="68" t="n"/>
      <c r="U62" s="69" t="n"/>
      <c r="V62" s="68" t="n"/>
      <c r="W62" s="69" t="n"/>
      <c r="X62" s="68" t="n"/>
      <c r="Y62" s="69" t="n"/>
      <c r="Z62" s="68" t="n"/>
      <c r="AA62" s="69" t="n"/>
      <c r="AB62" s="68" t="n"/>
      <c r="AC62" s="69" t="n"/>
      <c r="AD62" s="70">
        <f>IF(AND(COUNTIF($B$5:B62,B62)=1,$B62&lt;&gt;"",$AB62&lt;&gt;""),1,0)</f>
        <v/>
      </c>
      <c r="AE62" s="67" t="inlineStr">
        <is>
          <t>https://www.lasillavacia.com/red-de-expertos/red-social/pension-un-reto-economico-y-empresarial/</t>
        </is>
      </c>
      <c r="AF62" s="64" t="n"/>
      <c r="AG62" s="65" t="n"/>
    </row>
    <row r="63" ht="15" customHeight="1" s="31">
      <c r="A63" s="66" t="inlineStr">
        <is>
          <t>ART_027</t>
        </is>
      </c>
      <c r="B63" s="66" t="inlineStr">
        <is>
          <t>ART_027_S01</t>
        </is>
      </c>
      <c r="C63" s="66" t="inlineStr">
        <is>
          <t>La Silla Vacía</t>
        </is>
      </c>
      <c r="D63" s="66" t="inlineStr">
        <is>
          <t>Política</t>
        </is>
      </c>
      <c r="E63" s="66" t="inlineStr">
        <is>
          <t>Opinión-análisis</t>
        </is>
      </c>
      <c r="F63" s="66" t="inlineStr">
        <is>
          <t>Tue, 23 Jun 2026 20:03:13 +0000</t>
        </is>
      </c>
      <c r="G63" s="67" t="inlineStr">
        <is>
          <t>El politólogo Guillermo O’Donnell advirtió que la democracia no se agota en las elecciones porque exige también que el Estado garantice el imperio de la ley en todo el territorio y que los ciudadanos puedan ejercer sus derechos sin coacción.</t>
        </is>
      </c>
      <c r="H63" s="67" t="inlineStr"/>
      <c r="I63" s="67" t="inlineStr"/>
      <c r="J63" s="68" t="n"/>
      <c r="K63" s="69" t="n"/>
      <c r="L63" s="68" t="n"/>
      <c r="M63" s="69" t="n"/>
      <c r="N63" s="68" t="n"/>
      <c r="O63" s="69" t="n"/>
      <c r="P63" s="68" t="n"/>
      <c r="Q63" s="69" t="n"/>
      <c r="R63" s="68" t="n"/>
      <c r="S63" s="69" t="n"/>
      <c r="T63" s="68" t="n"/>
      <c r="U63" s="69" t="n"/>
      <c r="V63" s="68" t="n"/>
      <c r="W63" s="69" t="n"/>
      <c r="X63" s="68" t="n"/>
      <c r="Y63" s="69" t="n"/>
      <c r="Z63" s="68" t="n"/>
      <c r="AA63" s="69" t="n"/>
      <c r="AB63" s="68" t="n"/>
      <c r="AC63" s="69" t="n"/>
      <c r="AD63" s="70">
        <f>IF(AND(COUNTIF($B$5:B63,B63)=1,$B63&lt;&gt;"",$AB63&lt;&gt;""),1,0)</f>
        <v/>
      </c>
      <c r="AE63" s="67" t="inlineStr">
        <is>
          <t>https://www.lasillavacia.com/red-de-expertos/red-de-la-paz/elecciones-y-crimen-organizado-una-reflexion-academica/</t>
        </is>
      </c>
      <c r="AF63" s="64" t="n"/>
      <c r="AG63" s="65" t="n"/>
    </row>
    <row r="64" ht="15" customHeight="1" s="31">
      <c r="A64" s="66" t="inlineStr">
        <is>
          <t>ART_028</t>
        </is>
      </c>
      <c r="B64" s="66" t="inlineStr">
        <is>
          <t>ART_028_S01</t>
        </is>
      </c>
      <c r="C64" s="66" t="inlineStr">
        <is>
          <t>La Silla Vacía</t>
        </is>
      </c>
      <c r="D64" s="66" t="inlineStr">
        <is>
          <t>Política</t>
        </is>
      </c>
      <c r="E64" s="66" t="inlineStr">
        <is>
          <t>Opinión-análisis</t>
        </is>
      </c>
      <c r="F64" s="66" t="inlineStr">
        <is>
          <t>2025-03-24T15:29:59+00:00</t>
        </is>
      </c>
      <c r="G64" s="67" t="inlineStr">
        <is>
          <t>La guerra comercial que ha desatado el presidente Trump en varias zonas del planeta tiene a todos los países en alerta, debido a los posibles efectos negativos que esta puede generar en sus economías.</t>
        </is>
      </c>
      <c r="H64" s="67" t="inlineStr"/>
      <c r="I64" s="67" t="inlineStr"/>
      <c r="J64" s="68" t="n"/>
      <c r="K64" s="69" t="n"/>
      <c r="L64" s="68" t="n"/>
      <c r="M64" s="69" t="n"/>
      <c r="N64" s="68" t="n"/>
      <c r="O64" s="69" t="n"/>
      <c r="P64" s="68" t="n"/>
      <c r="Q64" s="69" t="n"/>
      <c r="R64" s="68" t="n"/>
      <c r="S64" s="69" t="n"/>
      <c r="T64" s="68" t="n"/>
      <c r="U64" s="69" t="n"/>
      <c r="V64" s="68" t="n"/>
      <c r="W64" s="69" t="n"/>
      <c r="X64" s="68" t="n"/>
      <c r="Y64" s="69" t="n"/>
      <c r="Z64" s="68" t="n"/>
      <c r="AA64" s="69" t="n"/>
      <c r="AB64" s="68" t="n"/>
      <c r="AC64" s="69" t="n"/>
      <c r="AD64" s="70">
        <f>IF(AND(COUNTIF($B$5:B64,B64)=1,$B64&lt;&gt;"",$AB64&lt;&gt;""),1,0)</f>
        <v/>
      </c>
      <c r="AE64" s="67" t="inlineStr">
        <is>
          <t>https://www.lasillavacia.com/red-de-expertos/red-social/guerra-comercial-de-trump-oportunidad-para-colombia/</t>
        </is>
      </c>
      <c r="AF64" s="64" t="n"/>
      <c r="AG64" s="65" t="n"/>
    </row>
    <row r="65" ht="15" customHeight="1" s="31">
      <c r="A65" s="66" t="inlineStr">
        <is>
          <t>ART_029</t>
        </is>
      </c>
      <c r="B65" s="66" t="inlineStr">
        <is>
          <t>ART_029_S01</t>
        </is>
      </c>
      <c r="C65" s="66" t="inlineStr">
        <is>
          <t>Semana</t>
        </is>
      </c>
      <c r="D65" s="66" t="inlineStr">
        <is>
          <t>Política</t>
        </is>
      </c>
      <c r="E65" s="66" t="inlineStr">
        <is>
          <t>Noticia dura</t>
        </is>
      </c>
      <c r="F65" s="66" t="inlineStr">
        <is>
          <t>Fri, 04 Sep 2026 20:38:57 +0000</t>
        </is>
      </c>
      <c r="G65" s="67" t="inlineStr">
        <is>
          <t>Por medio de su cuenta de Instagram, el presidente Abelardo De La Espriella publicó una historia que no pasó desapercibida y que llamó la atención de los usuarios de las redes sociales.</t>
        </is>
      </c>
      <c r="H65" s="67" t="inlineStr"/>
      <c r="I65" s="67" t="inlineStr">
        <is>
          <t>Se trata de una foto en la que se ve al mandatario junto a integrantes de la Fuerza Pública, la cual está acompañada de un mensaje que vaticinaba la suerte que iba a tener el cabecilla Naín Andrés Pérez, más conocido con el alias de Bendito Menor.</t>
        </is>
      </c>
      <c r="J65" s="68" t="n"/>
      <c r="K65" s="69" t="n"/>
      <c r="L65" s="68" t="n"/>
      <c r="M65" s="69" t="n"/>
      <c r="N65" s="68" t="n"/>
      <c r="O65" s="69" t="n"/>
      <c r="P65" s="68" t="n"/>
      <c r="Q65" s="69" t="n"/>
      <c r="R65" s="68" t="n"/>
      <c r="S65" s="69" t="n"/>
      <c r="T65" s="68" t="n"/>
      <c r="U65" s="69" t="n"/>
      <c r="V65" s="68" t="n"/>
      <c r="W65" s="69" t="n"/>
      <c r="X65" s="68" t="n"/>
      <c r="Y65" s="69" t="n"/>
      <c r="Z65" s="68" t="n"/>
      <c r="AA65" s="69" t="n"/>
      <c r="AB65" s="68" t="n"/>
      <c r="AC65" s="69" t="n"/>
      <c r="AD65" s="70">
        <f>IF(AND(COUNTIF($B$5:B65,B65)=1,$B65&lt;&gt;"",$AB65&lt;&gt;""),1,0)</f>
        <v/>
      </c>
      <c r="AE65" s="67" t="inlineStr">
        <is>
          <t>https://www.semana.com/politica/articulo/la-publicacion-de-abelardo-de-la-espriella-que-vaticinaba-la-suerte-que-iba-a-tener-alias-bendito-menor-que-impacto-las-redes/202657/</t>
        </is>
      </c>
      <c r="AF65" s="64" t="n"/>
      <c r="AG65" s="65" t="n"/>
    </row>
    <row r="66" ht="15" customHeight="1" s="31">
      <c r="A66" s="66" t="inlineStr">
        <is>
          <t>ART_029</t>
        </is>
      </c>
      <c r="B66" s="66" t="inlineStr">
        <is>
          <t>ART_029_S02</t>
        </is>
      </c>
      <c r="C66" s="66" t="inlineStr">
        <is>
          <t>Semana</t>
        </is>
      </c>
      <c r="D66" s="66" t="inlineStr">
        <is>
          <t>Política</t>
        </is>
      </c>
      <c r="E66" s="66" t="inlineStr">
        <is>
          <t>Noticia dura</t>
        </is>
      </c>
      <c r="F66" s="66" t="inlineStr">
        <is>
          <t>Fri, 04 Sep 2026 20:38:57 +0000</t>
        </is>
      </c>
      <c r="G66" s="67" t="inlineStr">
        <is>
          <t>Se trata de una foto en la que se ve al mandatario junto a integrantes de la Fuerza Pública, la cual está acompañada de un mensaje que vaticinaba la suerte que iba a tener el cabecilla Naín Andrés Pérez, más conocido con el alias de Bendito Menor.</t>
        </is>
      </c>
      <c r="H66" s="67" t="inlineStr">
        <is>
          <t>Por medio de su cuenta de Instagram, el presidente Abelardo De La Espriella publicó una historia que no pasó desapercibida y que llamó la atención de los usuarios de las redes sociales.</t>
        </is>
      </c>
      <c r="I66" s="67" t="inlineStr">
        <is>
          <t>“Quien decida continuar atacando a Colombia, encontrará enfrente toda la capacidad legítima del Estado”, expresó la publicación en la cuenta de Instagram del mandatario.</t>
        </is>
      </c>
      <c r="J66" s="68" t="n"/>
      <c r="K66" s="69" t="n"/>
      <c r="L66" s="68" t="n"/>
      <c r="M66" s="69" t="n"/>
      <c r="N66" s="68" t="n"/>
      <c r="O66" s="69" t="n"/>
      <c r="P66" s="68" t="n"/>
      <c r="Q66" s="69" t="n"/>
      <c r="R66" s="68" t="n"/>
      <c r="S66" s="69" t="n"/>
      <c r="T66" s="68" t="n"/>
      <c r="U66" s="69" t="n"/>
      <c r="V66" s="68" t="n"/>
      <c r="W66" s="69" t="n"/>
      <c r="X66" s="68" t="n"/>
      <c r="Y66" s="69" t="n"/>
      <c r="Z66" s="68" t="n"/>
      <c r="AA66" s="69" t="n"/>
      <c r="AB66" s="68" t="n"/>
      <c r="AC66" s="69" t="n"/>
      <c r="AD66" s="70">
        <f>IF(AND(COUNTIF($B$5:B66,B66)=1,$B66&lt;&gt;"",$AB66&lt;&gt;""),1,0)</f>
        <v/>
      </c>
      <c r="AE66" s="67" t="inlineStr">
        <is>
          <t>https://www.semana.com/politica/articulo/la-publicacion-de-abelardo-de-la-espriella-que-vaticinaba-la-suerte-que-iba-a-tener-alias-bendito-menor-que-impacto-las-redes/202657/</t>
        </is>
      </c>
      <c r="AF66" s="64" t="n"/>
      <c r="AG66" s="65" t="n"/>
    </row>
    <row r="67" ht="15" customHeight="1" s="31">
      <c r="A67" s="66" t="inlineStr">
        <is>
          <t>ART_029</t>
        </is>
      </c>
      <c r="B67" s="66" t="inlineStr">
        <is>
          <t>ART_029_S03</t>
        </is>
      </c>
      <c r="C67" s="66" t="inlineStr">
        <is>
          <t>Semana</t>
        </is>
      </c>
      <c r="D67" s="66" t="inlineStr">
        <is>
          <t>Política</t>
        </is>
      </c>
      <c r="E67" s="66" t="inlineStr">
        <is>
          <t>Noticia dura</t>
        </is>
      </c>
      <c r="F67" s="66" t="inlineStr">
        <is>
          <t>Fri, 04 Sep 2026 20:38:57 +0000</t>
        </is>
      </c>
      <c r="G67" s="67" t="inlineStr">
        <is>
          <t>“Quien decida continuar atacando a Colombia, encontrará enfrente toda la capacidad legítima del Estado”, expresó la publicación en la cuenta de Instagram del mandatario.</t>
        </is>
      </c>
      <c r="H67" s="67" t="inlineStr">
        <is>
          <t>Se trata de una foto en la que se ve al mandatario junto a integrantes de la Fuerza Pública, la cual está acompañada de un mensaje que vaticinaba la suerte que iba a tener el cabecilla Naín Andrés Pérez, más conocido con el alias de Bendito Menor.</t>
        </is>
      </c>
      <c r="I67" s="67" t="inlineStr">
        <is>
          <t>Frente al caso de alias Bendito Menor, ese peligroso cabecilla fue dado de baja por una acción articulada que desplegó la Policía Nacional en el departamento de La Guajira.</t>
        </is>
      </c>
      <c r="J67" s="68" t="n"/>
      <c r="K67" s="69" t="n"/>
      <c r="L67" s="68" t="n"/>
      <c r="M67" s="69" t="n"/>
      <c r="N67" s="68" t="n"/>
      <c r="O67" s="69" t="n"/>
      <c r="P67" s="68" t="n"/>
      <c r="Q67" s="69" t="n"/>
      <c r="R67" s="68" t="n"/>
      <c r="S67" s="69" t="n"/>
      <c r="T67" s="68" t="n"/>
      <c r="U67" s="69" t="n"/>
      <c r="V67" s="68" t="n"/>
      <c r="W67" s="69" t="n"/>
      <c r="X67" s="68" t="n"/>
      <c r="Y67" s="69" t="n"/>
      <c r="Z67" s="68" t="n"/>
      <c r="AA67" s="69" t="n"/>
      <c r="AB67" s="68" t="n"/>
      <c r="AC67" s="69" t="n"/>
      <c r="AD67" s="70">
        <f>IF(AND(COUNTIF($B$5:B67,B67)=1,$B67&lt;&gt;"",$AB67&lt;&gt;""),1,0)</f>
        <v/>
      </c>
      <c r="AE67" s="67" t="inlineStr">
        <is>
          <t>https://www.semana.com/politica/articulo/la-publicacion-de-abelardo-de-la-espriella-que-vaticinaba-la-suerte-que-iba-a-tener-alias-bendito-menor-que-impacto-las-redes/202657/</t>
        </is>
      </c>
      <c r="AF67" s="64" t="n"/>
      <c r="AG67" s="65" t="n"/>
    </row>
    <row r="68" ht="15" customHeight="1" s="31">
      <c r="A68" s="66" t="inlineStr">
        <is>
          <t>ART_029</t>
        </is>
      </c>
      <c r="B68" s="66" t="inlineStr">
        <is>
          <t>ART_029_S04</t>
        </is>
      </c>
      <c r="C68" s="66" t="inlineStr">
        <is>
          <t>Semana</t>
        </is>
      </c>
      <c r="D68" s="66" t="inlineStr">
        <is>
          <t>Política</t>
        </is>
      </c>
      <c r="E68" s="66" t="inlineStr">
        <is>
          <t>Noticia dura</t>
        </is>
      </c>
      <c r="F68" s="66" t="inlineStr">
        <is>
          <t>Fri, 04 Sep 2026 20:38:57 +0000</t>
        </is>
      </c>
      <c r="G68" s="67" t="inlineStr">
        <is>
          <t>Frente al caso de alias Bendito Menor, ese peligroso cabecilla fue dado de baja por una acción articulada que desplegó la Policía Nacional en el departamento de La Guajira.</t>
        </is>
      </c>
      <c r="H68" s="67" t="inlineStr">
        <is>
          <t>“Quien decida continuar atacando a Colombia, encontrará enfrente toda la capacidad legítima del Estado”, expresó la publicación en la cuenta de Instagram del mandatario.</t>
        </is>
      </c>
      <c r="I68" s="67" t="inlineStr">
        <is>
          <t>El presidente De La Espriella, este viernes, 4 de septiembre, reveló detalles de la operación: “Hoy es un gran día para Colombia.</t>
        </is>
      </c>
      <c r="J68" s="68" t="n"/>
      <c r="K68" s="69" t="n"/>
      <c r="L68" s="68" t="n"/>
      <c r="M68" s="69" t="n"/>
      <c r="N68" s="68" t="n"/>
      <c r="O68" s="69" t="n"/>
      <c r="P68" s="68" t="n"/>
      <c r="Q68" s="69" t="n"/>
      <c r="R68" s="68" t="n"/>
      <c r="S68" s="69" t="n"/>
      <c r="T68" s="68" t="n"/>
      <c r="U68" s="69" t="n"/>
      <c r="V68" s="68" t="n"/>
      <c r="W68" s="69" t="n"/>
      <c r="X68" s="68" t="n"/>
      <c r="Y68" s="69" t="n"/>
      <c r="Z68" s="68" t="n"/>
      <c r="AA68" s="69" t="n"/>
      <c r="AB68" s="68" t="n"/>
      <c r="AC68" s="69" t="n"/>
      <c r="AD68" s="70">
        <f>IF(AND(COUNTIF($B$5:B68,B68)=1,$B68&lt;&gt;"",$AB68&lt;&gt;""),1,0)</f>
        <v/>
      </c>
      <c r="AE68" s="67" t="inlineStr">
        <is>
          <t>https://www.semana.com/politica/articulo/la-publicacion-de-abelardo-de-la-espriella-que-vaticinaba-la-suerte-que-iba-a-tener-alias-bendito-menor-que-impacto-las-redes/202657/</t>
        </is>
      </c>
      <c r="AF68" s="64" t="n"/>
      <c r="AG68" s="65" t="n"/>
    </row>
    <row r="69" ht="15" customHeight="1" s="31">
      <c r="A69" s="66" t="inlineStr">
        <is>
          <t>ART_029</t>
        </is>
      </c>
      <c r="B69" s="66" t="inlineStr">
        <is>
          <t>ART_029_S05</t>
        </is>
      </c>
      <c r="C69" s="66" t="inlineStr">
        <is>
          <t>Semana</t>
        </is>
      </c>
      <c r="D69" s="66" t="inlineStr">
        <is>
          <t>Política</t>
        </is>
      </c>
      <c r="E69" s="66" t="inlineStr">
        <is>
          <t>Noticia dura</t>
        </is>
      </c>
      <c r="F69" s="66" t="inlineStr">
        <is>
          <t>Fri, 04 Sep 2026 20:38:57 +0000</t>
        </is>
      </c>
      <c r="G69" s="67" t="inlineStr">
        <is>
          <t>El presidente De La Espriella, este viernes, 4 de septiembre, reveló detalles de la operación: “Hoy es un gran día para Colombia.</t>
        </is>
      </c>
      <c r="H69" s="67" t="inlineStr">
        <is>
          <t>Frente al caso de alias Bendito Menor, ese peligroso cabecilla fue dado de baja por una acción articulada que desplegó la Policía Nacional en el departamento de La Guajira.</t>
        </is>
      </c>
      <c r="I69" s="67" t="inlineStr">
        <is>
          <t>Gracias a una operación impecable realizada por nuestra Policía Nacional por un comando especial de la Dijín, se dio de baja a uno de los más peligrosos delincuentes de nuestro país, alias Naín o Bendito Menor”.</t>
        </is>
      </c>
      <c r="J69" s="68" t="n"/>
      <c r="K69" s="69" t="n"/>
      <c r="L69" s="68" t="n"/>
      <c r="M69" s="69" t="n"/>
      <c r="N69" s="68" t="n"/>
      <c r="O69" s="69" t="n"/>
      <c r="P69" s="68" t="n"/>
      <c r="Q69" s="69" t="n"/>
      <c r="R69" s="68" t="n"/>
      <c r="S69" s="69" t="n"/>
      <c r="T69" s="68" t="n"/>
      <c r="U69" s="69" t="n"/>
      <c r="V69" s="68" t="n"/>
      <c r="W69" s="69" t="n"/>
      <c r="X69" s="68" t="n"/>
      <c r="Y69" s="69" t="n"/>
      <c r="Z69" s="68" t="n"/>
      <c r="AA69" s="69" t="n"/>
      <c r="AB69" s="68" t="n"/>
      <c r="AC69" s="69" t="n"/>
      <c r="AD69" s="70">
        <f>IF(AND(COUNTIF($B$5:B69,B69)=1,$B69&lt;&gt;"",$AB69&lt;&gt;""),1,0)</f>
        <v/>
      </c>
      <c r="AE69" s="67" t="inlineStr">
        <is>
          <t>https://www.semana.com/politica/articulo/la-publicacion-de-abelardo-de-la-espriella-que-vaticinaba-la-suerte-que-iba-a-tener-alias-bendito-menor-que-impacto-las-redes/202657/</t>
        </is>
      </c>
      <c r="AF69" s="64" t="n"/>
      <c r="AG69" s="65" t="n"/>
    </row>
    <row r="70" ht="15" customHeight="1" s="31">
      <c r="A70" s="66" t="inlineStr">
        <is>
          <t>ART_029</t>
        </is>
      </c>
      <c r="B70" s="66" t="inlineStr">
        <is>
          <t>ART_029_S06</t>
        </is>
      </c>
      <c r="C70" s="66" t="inlineStr">
        <is>
          <t>Semana</t>
        </is>
      </c>
      <c r="D70" s="66" t="inlineStr">
        <is>
          <t>Política</t>
        </is>
      </c>
      <c r="E70" s="66" t="inlineStr">
        <is>
          <t>Noticia dura</t>
        </is>
      </c>
      <c r="F70" s="66" t="inlineStr">
        <is>
          <t>Fri, 04 Sep 2026 20:38:57 +0000</t>
        </is>
      </c>
      <c r="G70" s="67" t="inlineStr">
        <is>
          <t>Gracias a una operación impecable realizada por nuestra Policía Nacional por un comando especial de la Dijín, se dio de baja a uno de los más peligrosos delincuentes de nuestro país, alias Naín o Bendito Menor”.</t>
        </is>
      </c>
      <c r="H70" s="67" t="inlineStr">
        <is>
          <t>El presidente De La Espriella, este viernes, 4 de septiembre, reveló detalles de la operación: “Hoy es un gran día para Colombia.</t>
        </is>
      </c>
      <c r="I70" s="67" t="inlineStr">
        <is>
          <t>“Hoy ha llegado el fin de las actividades criminales de este narcoterrorista que tenía azotada a La Guajira y al Caribe colombiano mediante el narcotráfico, la extorsión y la presión a la población.</t>
        </is>
      </c>
      <c r="J70" s="68" t="n"/>
      <c r="K70" s="69" t="n"/>
      <c r="L70" s="68" t="n"/>
      <c r="M70" s="69" t="n"/>
      <c r="N70" s="68" t="n"/>
      <c r="O70" s="69" t="n"/>
      <c r="P70" s="68" t="n"/>
      <c r="Q70" s="69" t="n"/>
      <c r="R70" s="68" t="n"/>
      <c r="S70" s="69" t="n"/>
      <c r="T70" s="68" t="n"/>
      <c r="U70" s="69" t="n"/>
      <c r="V70" s="68" t="n"/>
      <c r="W70" s="69" t="n"/>
      <c r="X70" s="68" t="n"/>
      <c r="Y70" s="69" t="n"/>
      <c r="Z70" s="68" t="n"/>
      <c r="AA70" s="69" t="n"/>
      <c r="AB70" s="68" t="n"/>
      <c r="AC70" s="69" t="n"/>
      <c r="AD70" s="70">
        <f>IF(AND(COUNTIF($B$5:B70,B70)=1,$B70&lt;&gt;"",$AB70&lt;&gt;""),1,0)</f>
        <v/>
      </c>
      <c r="AE70" s="67" t="inlineStr">
        <is>
          <t>https://www.semana.com/politica/articulo/la-publicacion-de-abelardo-de-la-espriella-que-vaticinaba-la-suerte-que-iba-a-tener-alias-bendito-menor-que-impacto-las-redes/202657/</t>
        </is>
      </c>
      <c r="AF70" s="64" t="n"/>
      <c r="AG70" s="65" t="n"/>
    </row>
    <row r="71" ht="15" customHeight="1" s="31">
      <c r="A71" s="66" t="inlineStr">
        <is>
          <t>ART_029</t>
        </is>
      </c>
      <c r="B71" s="66" t="inlineStr">
        <is>
          <t>ART_029_S07</t>
        </is>
      </c>
      <c r="C71" s="66" t="inlineStr">
        <is>
          <t>Semana</t>
        </is>
      </c>
      <c r="D71" s="66" t="inlineStr">
        <is>
          <t>Política</t>
        </is>
      </c>
      <c r="E71" s="66" t="inlineStr">
        <is>
          <t>Noticia dura</t>
        </is>
      </c>
      <c r="F71" s="66" t="inlineStr">
        <is>
          <t>Fri, 04 Sep 2026 20:38:57 +0000</t>
        </is>
      </c>
      <c r="G71" s="67" t="inlineStr">
        <is>
          <t>“Hoy ha llegado el fin de las actividades criminales de este narcoterrorista que tenía azotada a La Guajira y al Caribe colombiano mediante el narcotráfico, la extorsión y la presión a la población.</t>
        </is>
      </c>
      <c r="H71" s="67" t="inlineStr">
        <is>
          <t>Gracias a una operación impecable realizada por nuestra Policía Nacional por un comando especial de la Dijín, se dio de baja a uno de los más peligrosos delincuentes de nuestro país, alias Naín o Bendito Menor”.</t>
        </is>
      </c>
      <c r="I71" s="67" t="inlineStr">
        <is>
          <t>Este delincuente, que no seguirá delinquiendo porque le cayó la mano de hierro del Estado, tenía arrodillada a la población, llena de miedo”, afirmó el mandatario colombiano en una declaración que dio desde La Guajira.</t>
        </is>
      </c>
      <c r="J71" s="68" t="n"/>
      <c r="K71" s="69" t="n"/>
      <c r="L71" s="68" t="n"/>
      <c r="M71" s="69" t="n"/>
      <c r="N71" s="68" t="n"/>
      <c r="O71" s="69" t="n"/>
      <c r="P71" s="68" t="n"/>
      <c r="Q71" s="69" t="n"/>
      <c r="R71" s="68" t="n"/>
      <c r="S71" s="69" t="n"/>
      <c r="T71" s="68" t="n"/>
      <c r="U71" s="69" t="n"/>
      <c r="V71" s="68" t="n"/>
      <c r="W71" s="69" t="n"/>
      <c r="X71" s="68" t="n"/>
      <c r="Y71" s="69" t="n"/>
      <c r="Z71" s="68" t="n"/>
      <c r="AA71" s="69" t="n"/>
      <c r="AB71" s="68" t="n"/>
      <c r="AC71" s="69" t="n"/>
      <c r="AD71" s="70">
        <f>IF(AND(COUNTIF($B$5:B71,B71)=1,$B71&lt;&gt;"",$AB71&lt;&gt;""),1,0)</f>
        <v/>
      </c>
      <c r="AE71" s="67" t="inlineStr">
        <is>
          <t>https://www.semana.com/politica/articulo/la-publicacion-de-abelardo-de-la-espriella-que-vaticinaba-la-suerte-que-iba-a-tener-alias-bendito-menor-que-impacto-las-redes/202657/</t>
        </is>
      </c>
      <c r="AF71" s="64" t="n"/>
      <c r="AG71" s="65" t="n"/>
    </row>
    <row r="72" ht="15" customHeight="1" s="31">
      <c r="A72" s="66" t="inlineStr">
        <is>
          <t>ART_029</t>
        </is>
      </c>
      <c r="B72" s="66" t="inlineStr">
        <is>
          <t>ART_029_S08</t>
        </is>
      </c>
      <c r="C72" s="66" t="inlineStr">
        <is>
          <t>Semana</t>
        </is>
      </c>
      <c r="D72" s="66" t="inlineStr">
        <is>
          <t>Política</t>
        </is>
      </c>
      <c r="E72" s="66" t="inlineStr">
        <is>
          <t>Noticia dura</t>
        </is>
      </c>
      <c r="F72" s="66" t="inlineStr">
        <is>
          <t>Fri, 04 Sep 2026 20:38:57 +0000</t>
        </is>
      </c>
      <c r="G72" s="67" t="inlineStr">
        <is>
          <t>Este delincuente, que no seguirá delinquiendo porque le cayó la mano de hierro del Estado, tenía arrodillada a la población, llena de miedo”, afirmó el mandatario colombiano en una declaración que dio desde La Guajira.</t>
        </is>
      </c>
      <c r="H72" s="67" t="inlineStr">
        <is>
          <t>“Hoy ha llegado el fin de las actividades criminales de este narcoterrorista que tenía azotada a La Guajira y al Caribe colombiano mediante el narcotráfico, la extorsión y la presión a la población.</t>
        </is>
      </c>
      <c r="I72" s="67" t="inlineStr">
        <is>
          <t>También expresó: “En el Gobierno del Tigre la gente de bien no volverá a sentir miedo.</t>
        </is>
      </c>
      <c r="J72" s="68" t="n"/>
      <c r="K72" s="69" t="n"/>
      <c r="L72" s="68" t="n"/>
      <c r="M72" s="69" t="n"/>
      <c r="N72" s="68" t="n"/>
      <c r="O72" s="69" t="n"/>
      <c r="P72" s="68" t="n"/>
      <c r="Q72" s="69" t="n"/>
      <c r="R72" s="68" t="n"/>
      <c r="S72" s="69" t="n"/>
      <c r="T72" s="68" t="n"/>
      <c r="U72" s="69" t="n"/>
      <c r="V72" s="68" t="n"/>
      <c r="W72" s="69" t="n"/>
      <c r="X72" s="68" t="n"/>
      <c r="Y72" s="69" t="n"/>
      <c r="Z72" s="68" t="n"/>
      <c r="AA72" s="69" t="n"/>
      <c r="AB72" s="68" t="n"/>
      <c r="AC72" s="69" t="n"/>
      <c r="AD72" s="70">
        <f>IF(AND(COUNTIF($B$5:B72,B72)=1,$B72&lt;&gt;"",$AB72&lt;&gt;""),1,0)</f>
        <v/>
      </c>
      <c r="AE72" s="67" t="inlineStr">
        <is>
          <t>https://www.semana.com/politica/articulo/la-publicacion-de-abelardo-de-la-espriella-que-vaticinaba-la-suerte-que-iba-a-tener-alias-bendito-menor-que-impacto-las-redes/202657/</t>
        </is>
      </c>
      <c r="AF72" s="64" t="n"/>
      <c r="AG72" s="65" t="n"/>
    </row>
    <row r="73" ht="15" customHeight="1" s="31">
      <c r="A73" s="66" t="inlineStr">
        <is>
          <t>ART_029</t>
        </is>
      </c>
      <c r="B73" s="66" t="inlineStr">
        <is>
          <t>ART_029_S09</t>
        </is>
      </c>
      <c r="C73" s="66" t="inlineStr">
        <is>
          <t>Semana</t>
        </is>
      </c>
      <c r="D73" s="66" t="inlineStr">
        <is>
          <t>Política</t>
        </is>
      </c>
      <c r="E73" s="66" t="inlineStr">
        <is>
          <t>Noticia dura</t>
        </is>
      </c>
      <c r="F73" s="66" t="inlineStr">
        <is>
          <t>Fri, 04 Sep 2026 20:38:57 +0000</t>
        </is>
      </c>
      <c r="G73" s="67" t="inlineStr">
        <is>
          <t>También expresó: “En el Gobierno del Tigre la gente de bien no volverá a sentir miedo.</t>
        </is>
      </c>
      <c r="H73" s="67" t="inlineStr">
        <is>
          <t>Este delincuente, que no seguirá delinquiendo porque le cayó la mano de hierro del Estado, tenía arrodillada a la población, llena de miedo”, afirmó el mandatario colombiano en una declaración que dio desde La Guajira.</t>
        </is>
      </c>
      <c r="I73" s="67" t="inlineStr">
        <is>
          <t>Los que tienen que sentir pánico y terror son los delincuentes, porque aquellos que no se sometan terminarán de esta forma.</t>
        </is>
      </c>
      <c r="J73" s="68" t="n"/>
      <c r="K73" s="69" t="n"/>
      <c r="L73" s="68" t="n"/>
      <c r="M73" s="69" t="n"/>
      <c r="N73" s="68" t="n"/>
      <c r="O73" s="69" t="n"/>
      <c r="P73" s="68" t="n"/>
      <c r="Q73" s="69" t="n"/>
      <c r="R73" s="68" t="n"/>
      <c r="S73" s="69" t="n"/>
      <c r="T73" s="68" t="n"/>
      <c r="U73" s="69" t="n"/>
      <c r="V73" s="68" t="n"/>
      <c r="W73" s="69" t="n"/>
      <c r="X73" s="68" t="n"/>
      <c r="Y73" s="69" t="n"/>
      <c r="Z73" s="68" t="n"/>
      <c r="AA73" s="69" t="n"/>
      <c r="AB73" s="68" t="n"/>
      <c r="AC73" s="69" t="n"/>
      <c r="AD73" s="70">
        <f>IF(AND(COUNTIF($B$5:B73,B73)=1,$B73&lt;&gt;"",$AB73&lt;&gt;""),1,0)</f>
        <v/>
      </c>
      <c r="AE73" s="67" t="inlineStr">
        <is>
          <t>https://www.semana.com/politica/articulo/la-publicacion-de-abelardo-de-la-espriella-que-vaticinaba-la-suerte-que-iba-a-tener-alias-bendito-menor-que-impacto-las-redes/202657/</t>
        </is>
      </c>
      <c r="AF73" s="64" t="n"/>
      <c r="AG73" s="65" t="n"/>
    </row>
    <row r="74" ht="15" customHeight="1" s="31">
      <c r="A74" s="66" t="inlineStr">
        <is>
          <t>ART_029</t>
        </is>
      </c>
      <c r="B74" s="66" t="inlineStr">
        <is>
          <t>ART_029_S10</t>
        </is>
      </c>
      <c r="C74" s="66" t="inlineStr">
        <is>
          <t>Semana</t>
        </is>
      </c>
      <c r="D74" s="66" t="inlineStr">
        <is>
          <t>Política</t>
        </is>
      </c>
      <c r="E74" s="66" t="inlineStr">
        <is>
          <t>Noticia dura</t>
        </is>
      </c>
      <c r="F74" s="66" t="inlineStr">
        <is>
          <t>Fri, 04 Sep 2026 20:38:57 +0000</t>
        </is>
      </c>
      <c r="G74" s="67" t="inlineStr">
        <is>
          <t>Los que tienen que sentir pánico y terror son los delincuentes, porque aquellos que no se sometan terminarán de esta forma.</t>
        </is>
      </c>
      <c r="H74" s="67" t="inlineStr">
        <is>
          <t>También expresó: “En el Gobierno del Tigre la gente de bien no volverá a sentir miedo.</t>
        </is>
      </c>
      <c r="I74" s="67" t="inlineStr"/>
      <c r="J74" s="68" t="n"/>
      <c r="K74" s="69" t="n"/>
      <c r="L74" s="68" t="n"/>
      <c r="M74" s="69" t="n"/>
      <c r="N74" s="68" t="n"/>
      <c r="O74" s="69" t="n"/>
      <c r="P74" s="68" t="n"/>
      <c r="Q74" s="69" t="n"/>
      <c r="R74" s="68" t="n"/>
      <c r="S74" s="69" t="n"/>
      <c r="T74" s="68" t="n"/>
      <c r="U74" s="69" t="n"/>
      <c r="V74" s="68" t="n"/>
      <c r="W74" s="69" t="n"/>
      <c r="X74" s="68" t="n"/>
      <c r="Y74" s="69" t="n"/>
      <c r="Z74" s="68" t="n"/>
      <c r="AA74" s="69" t="n"/>
      <c r="AB74" s="68" t="n"/>
      <c r="AC74" s="69" t="n"/>
      <c r="AD74" s="70">
        <f>IF(AND(COUNTIF($B$5:B74,B74)=1,$B74&lt;&gt;"",$AB74&lt;&gt;""),1,0)</f>
        <v/>
      </c>
      <c r="AE74" s="67" t="inlineStr">
        <is>
          <t>https://www.semana.com/politica/articulo/la-publicacion-de-abelardo-de-la-espriella-que-vaticinaba-la-suerte-que-iba-a-tener-alias-bendito-menor-que-impacto-las-redes/202657/</t>
        </is>
      </c>
      <c r="AF74" s="64" t="n"/>
      <c r="AG74" s="65" t="n"/>
    </row>
    <row r="75" ht="15" customHeight="1" s="31">
      <c r="A75" s="66" t="inlineStr">
        <is>
          <t>ART_030</t>
        </is>
      </c>
      <c r="B75" s="66" t="inlineStr">
        <is>
          <t>ART_030_S01</t>
        </is>
      </c>
      <c r="C75" s="66" t="inlineStr">
        <is>
          <t>Semana</t>
        </is>
      </c>
      <c r="D75" s="66" t="inlineStr">
        <is>
          <t>Política</t>
        </is>
      </c>
      <c r="E75" s="66" t="inlineStr">
        <is>
          <t>Noticia dura</t>
        </is>
      </c>
      <c r="F75" s="66" t="inlineStr">
        <is>
          <t>Thu, 03 Sep 2026 02:25:55 +0000</t>
        </is>
      </c>
      <c r="G75" s="67" t="inlineStr">
        <is>
          <t>La Corte Constitucional señaló que el auxilio funerario contemplado dentro del sistema pensional se mantendrá en Colombia a partir de 2027, despejando así una de las dudas que había surgido alrededor de la entrada en vigencia de la reforma pensional.</t>
        </is>
      </c>
      <c r="H75" s="67" t="inlineStr"/>
      <c r="I75" s="67" t="inlineStr">
        <is>
          <t>Según Valora Analitik, la decisión se conoció luego de que el alto tribunal revisara las disposiciones de la reforma que cambiarán las reglas del sistema de pensiones.</t>
        </is>
      </c>
      <c r="J75" s="68" t="n"/>
      <c r="K75" s="69" t="n"/>
      <c r="L75" s="68" t="n"/>
      <c r="M75" s="69" t="n"/>
      <c r="N75" s="68" t="n"/>
      <c r="O75" s="69" t="n"/>
      <c r="P75" s="68" t="n"/>
      <c r="Q75" s="69" t="n"/>
      <c r="R75" s="68" t="n"/>
      <c r="S75" s="69" t="n"/>
      <c r="T75" s="68" t="n"/>
      <c r="U75" s="69" t="n"/>
      <c r="V75" s="68" t="n"/>
      <c r="W75" s="69" t="n"/>
      <c r="X75" s="68" t="n"/>
      <c r="Y75" s="69" t="n"/>
      <c r="Z75" s="68" t="n"/>
      <c r="AA75" s="69" t="n"/>
      <c r="AB75" s="68" t="n"/>
      <c r="AC75" s="69" t="n"/>
      <c r="AD75" s="70">
        <f>IF(AND(COUNTIF($B$5:B75,B75)=1,$B75&lt;&gt;"",$AB75&lt;&gt;""),1,0)</f>
        <v/>
      </c>
      <c r="AE75" s="67" t="inlineStr">
        <is>
          <t>https://www.semana.com/economia/management/articulo/se-acaba-en-2027-la-corte-constitucional-aclaro-que-pasara-con-el-auxilio-funerario-de-colpensiones/202655/</t>
        </is>
      </c>
      <c r="AF75" s="64" t="n"/>
      <c r="AG75" s="65" t="n"/>
    </row>
    <row r="76" ht="15" customHeight="1" s="31">
      <c r="A76" s="66" t="inlineStr">
        <is>
          <t>ART_030</t>
        </is>
      </c>
      <c r="B76" s="66" t="inlineStr">
        <is>
          <t>ART_030_S02</t>
        </is>
      </c>
      <c r="C76" s="66" t="inlineStr">
        <is>
          <t>Semana</t>
        </is>
      </c>
      <c r="D76" s="66" t="inlineStr">
        <is>
          <t>Política</t>
        </is>
      </c>
      <c r="E76" s="66" t="inlineStr">
        <is>
          <t>Noticia dura</t>
        </is>
      </c>
      <c r="F76" s="66" t="inlineStr">
        <is>
          <t>Thu, 03 Sep 2026 02:25:55 +0000</t>
        </is>
      </c>
      <c r="G76" s="67" t="inlineStr">
        <is>
          <t>Según Valora Analitik, la decisión se conoció luego de que el alto tribunal revisara las disposiciones de la reforma que cambiarán las reglas del sistema de pensiones.</t>
        </is>
      </c>
      <c r="H76" s="67" t="inlineStr">
        <is>
          <t>La Corte Constitucional señaló que el auxilio funerario contemplado dentro del sistema pensional se mantendrá en Colombia a partir de 2027, despejando así una de las dudas que había surgido alrededor de la entrada en vigencia de la reforma pensional.</t>
        </is>
      </c>
      <c r="I76" s="67" t="inlineStr">
        <is>
          <t>Aunque el nuevo modelo traerá modificaciones para los afiliados, la prestación destinada a cubrir parte de los gastos funerarios continuará vigente.</t>
        </is>
      </c>
      <c r="J76" s="68" t="n"/>
      <c r="K76" s="69" t="n"/>
      <c r="L76" s="68" t="n"/>
      <c r="M76" s="69" t="n"/>
      <c r="N76" s="68" t="n"/>
      <c r="O76" s="69" t="n"/>
      <c r="P76" s="68" t="n"/>
      <c r="Q76" s="69" t="n"/>
      <c r="R76" s="68" t="n"/>
      <c r="S76" s="69" t="n"/>
      <c r="T76" s="68" t="n"/>
      <c r="U76" s="69" t="n"/>
      <c r="V76" s="68" t="n"/>
      <c r="W76" s="69" t="n"/>
      <c r="X76" s="68" t="n"/>
      <c r="Y76" s="69" t="n"/>
      <c r="Z76" s="68" t="n"/>
      <c r="AA76" s="69" t="n"/>
      <c r="AB76" s="68" t="n"/>
      <c r="AC76" s="69" t="n"/>
      <c r="AD76" s="70">
        <f>IF(AND(COUNTIF($B$5:B76,B76)=1,$B76&lt;&gt;"",$AB76&lt;&gt;""),1,0)</f>
        <v/>
      </c>
      <c r="AE76" s="67" t="inlineStr">
        <is>
          <t>https://www.semana.com/economia/management/articulo/se-acaba-en-2027-la-corte-constitucional-aclaro-que-pasara-con-el-auxilio-funerario-de-colpensiones/202655/</t>
        </is>
      </c>
      <c r="AF76" s="64" t="n"/>
      <c r="AG76" s="65" t="n"/>
    </row>
    <row r="77" ht="15" customHeight="1" s="31">
      <c r="A77" s="66" t="inlineStr">
        <is>
          <t>ART_030</t>
        </is>
      </c>
      <c r="B77" s="66" t="inlineStr">
        <is>
          <t>ART_030_S03</t>
        </is>
      </c>
      <c r="C77" s="66" t="inlineStr">
        <is>
          <t>Semana</t>
        </is>
      </c>
      <c r="D77" s="66" t="inlineStr">
        <is>
          <t>Política</t>
        </is>
      </c>
      <c r="E77" s="66" t="inlineStr">
        <is>
          <t>Noticia dura</t>
        </is>
      </c>
      <c r="F77" s="66" t="inlineStr">
        <is>
          <t>Thu, 03 Sep 2026 02:25:55 +0000</t>
        </is>
      </c>
      <c r="G77" s="67" t="inlineStr">
        <is>
          <t>Aunque el nuevo modelo traerá modificaciones para los afiliados, la prestación destinada a cubrir parte de los gastos funerarios continuará vigente.</t>
        </is>
      </c>
      <c r="H77" s="67" t="inlineStr">
        <is>
          <t>Según Valora Analitik, la decisión se conoció luego de que el alto tribunal revisara las disposiciones de la reforma que cambiarán las reglas del sistema de pensiones.</t>
        </is>
      </c>
      <c r="I77" s="67" t="inlineStr">
        <is>
          <t>El auxilio funerario es un reconocimiento económico que puede recibir la persona que demuestre haber asumido los gastos del funeral de un afiliado o pensionado fallecido.</t>
        </is>
      </c>
      <c r="J77" s="68" t="n"/>
      <c r="K77" s="69" t="n"/>
      <c r="L77" s="68" t="n"/>
      <c r="M77" s="69" t="n"/>
      <c r="N77" s="68" t="n"/>
      <c r="O77" s="69" t="n"/>
      <c r="P77" s="68" t="n"/>
      <c r="Q77" s="69" t="n"/>
      <c r="R77" s="68" t="n"/>
      <c r="S77" s="69" t="n"/>
      <c r="T77" s="68" t="n"/>
      <c r="U77" s="69" t="n"/>
      <c r="V77" s="68" t="n"/>
      <c r="W77" s="69" t="n"/>
      <c r="X77" s="68" t="n"/>
      <c r="Y77" s="69" t="n"/>
      <c r="Z77" s="68" t="n"/>
      <c r="AA77" s="69" t="n"/>
      <c r="AB77" s="68" t="n"/>
      <c r="AC77" s="69" t="n"/>
      <c r="AD77" s="70">
        <f>IF(AND(COUNTIF($B$5:B77,B77)=1,$B77&lt;&gt;"",$AB77&lt;&gt;""),1,0)</f>
        <v/>
      </c>
      <c r="AE77" s="67" t="inlineStr">
        <is>
          <t>https://www.semana.com/economia/management/articulo/se-acaba-en-2027-la-corte-constitucional-aclaro-que-pasara-con-el-auxilio-funerario-de-colpensiones/202655/</t>
        </is>
      </c>
      <c r="AF77" s="64" t="n"/>
      <c r="AG77" s="65" t="n"/>
    </row>
    <row r="78" ht="15" customHeight="1" s="31">
      <c r="A78" s="66" t="inlineStr">
        <is>
          <t>ART_030</t>
        </is>
      </c>
      <c r="B78" s="66" t="inlineStr">
        <is>
          <t>ART_030_S04</t>
        </is>
      </c>
      <c r="C78" s="66" t="inlineStr">
        <is>
          <t>Semana</t>
        </is>
      </c>
      <c r="D78" s="66" t="inlineStr">
        <is>
          <t>Política</t>
        </is>
      </c>
      <c r="E78" s="66" t="inlineStr">
        <is>
          <t>Noticia dura</t>
        </is>
      </c>
      <c r="F78" s="66" t="inlineStr">
        <is>
          <t>Thu, 03 Sep 2026 02:25:55 +0000</t>
        </is>
      </c>
      <c r="G78" s="67" t="inlineStr">
        <is>
          <t>El auxilio funerario es un reconocimiento económico que puede recibir la persona que demuestre haber asumido los gastos del funeral de un afiliado o pensionado fallecido.</t>
        </is>
      </c>
      <c r="H78" s="67" t="inlineStr">
        <is>
          <t>Aunque el nuevo modelo traerá modificaciones para los afiliados, la prestación destinada a cubrir parte de los gastos funerarios continuará vigente.</t>
        </is>
      </c>
      <c r="I78" s="67" t="inlineStr">
        <is>
          <t>Se trata de un apoyo que busca reducir el impacto económico que puede representar para una familia afrontar este tipo de gastos.</t>
        </is>
      </c>
      <c r="J78" s="68" t="n"/>
      <c r="K78" s="69" t="n"/>
      <c r="L78" s="68" t="n"/>
      <c r="M78" s="69" t="n"/>
      <c r="N78" s="68" t="n"/>
      <c r="O78" s="69" t="n"/>
      <c r="P78" s="68" t="n"/>
      <c r="Q78" s="69" t="n"/>
      <c r="R78" s="68" t="n"/>
      <c r="S78" s="69" t="n"/>
      <c r="T78" s="68" t="n"/>
      <c r="U78" s="69" t="n"/>
      <c r="V78" s="68" t="n"/>
      <c r="W78" s="69" t="n"/>
      <c r="X78" s="68" t="n"/>
      <c r="Y78" s="69" t="n"/>
      <c r="Z78" s="68" t="n"/>
      <c r="AA78" s="69" t="n"/>
      <c r="AB78" s="68" t="n"/>
      <c r="AC78" s="69" t="n"/>
      <c r="AD78" s="70">
        <f>IF(AND(COUNTIF($B$5:B78,B78)=1,$B78&lt;&gt;"",$AB78&lt;&gt;""),1,0)</f>
        <v/>
      </c>
      <c r="AE78" s="67" t="inlineStr">
        <is>
          <t>https://www.semana.com/economia/management/articulo/se-acaba-en-2027-la-corte-constitucional-aclaro-que-pasara-con-el-auxilio-funerario-de-colpensiones/202655/</t>
        </is>
      </c>
      <c r="AF78" s="64" t="n"/>
      <c r="AG78" s="65" t="n"/>
    </row>
    <row r="79" ht="15" customHeight="1" s="31">
      <c r="A79" s="66" t="inlineStr">
        <is>
          <t>ART_030</t>
        </is>
      </c>
      <c r="B79" s="66" t="inlineStr">
        <is>
          <t>ART_030_S05</t>
        </is>
      </c>
      <c r="C79" s="66" t="inlineStr">
        <is>
          <t>Semana</t>
        </is>
      </c>
      <c r="D79" s="66" t="inlineStr">
        <is>
          <t>Política</t>
        </is>
      </c>
      <c r="E79" s="66" t="inlineStr">
        <is>
          <t>Noticia dura</t>
        </is>
      </c>
      <c r="F79" s="66" t="inlineStr">
        <is>
          <t>Thu, 03 Sep 2026 02:25:55 +0000</t>
        </is>
      </c>
      <c r="G79" s="67" t="inlineStr">
        <is>
          <t>Se trata de un apoyo que busca reducir el impacto económico que puede representar para una familia afrontar este tipo de gastos.</t>
        </is>
      </c>
      <c r="H79" s="67" t="inlineStr">
        <is>
          <t>El auxilio funerario es un reconocimiento económico que puede recibir la persona que demuestre haber asumido los gastos del funeral de un afiliado o pensionado fallecido.</t>
        </is>
      </c>
      <c r="I79" s="67" t="inlineStr">
        <is>
          <t>De acuerdo con lo establecido en las normas que regulan la prestación, el monto del auxilio está relacionado con la situación pensional o salarial que tenía la persona fallecida.</t>
        </is>
      </c>
      <c r="J79" s="68" t="n"/>
      <c r="K79" s="69" t="n"/>
      <c r="L79" s="68" t="n"/>
      <c r="M79" s="69" t="n"/>
      <c r="N79" s="68" t="n"/>
      <c r="O79" s="69" t="n"/>
      <c r="P79" s="68" t="n"/>
      <c r="Q79" s="69" t="n"/>
      <c r="R79" s="68" t="n"/>
      <c r="S79" s="69" t="n"/>
      <c r="T79" s="68" t="n"/>
      <c r="U79" s="69" t="n"/>
      <c r="V79" s="68" t="n"/>
      <c r="W79" s="69" t="n"/>
      <c r="X79" s="68" t="n"/>
      <c r="Y79" s="69" t="n"/>
      <c r="Z79" s="68" t="n"/>
      <c r="AA79" s="69" t="n"/>
      <c r="AB79" s="68" t="n"/>
      <c r="AC79" s="69" t="n"/>
      <c r="AD79" s="70">
        <f>IF(AND(COUNTIF($B$5:B79,B79)=1,$B79&lt;&gt;"",$AB79&lt;&gt;""),1,0)</f>
        <v/>
      </c>
      <c r="AE79" s="67" t="inlineStr">
        <is>
          <t>https://www.semana.com/economia/management/articulo/se-acaba-en-2027-la-corte-constitucional-aclaro-que-pasara-con-el-auxilio-funerario-de-colpensiones/202655/</t>
        </is>
      </c>
      <c r="AF79" s="64" t="n"/>
      <c r="AG79" s="65" t="n"/>
    </row>
    <row r="80" ht="15" customHeight="1" s="31">
      <c r="A80" s="66" t="inlineStr">
        <is>
          <t>ART_030</t>
        </is>
      </c>
      <c r="B80" s="66" t="inlineStr">
        <is>
          <t>ART_030_S06</t>
        </is>
      </c>
      <c r="C80" s="66" t="inlineStr">
        <is>
          <t>Semana</t>
        </is>
      </c>
      <c r="D80" s="66" t="inlineStr">
        <is>
          <t>Política</t>
        </is>
      </c>
      <c r="E80" s="66" t="inlineStr">
        <is>
          <t>Noticia dura</t>
        </is>
      </c>
      <c r="F80" s="66" t="inlineStr">
        <is>
          <t>Thu, 03 Sep 2026 02:25:55 +0000</t>
        </is>
      </c>
      <c r="G80" s="67" t="inlineStr">
        <is>
          <t>De acuerdo con lo establecido en las normas que regulan la prestación, el monto del auxilio está relacionado con la situación pensional o salarial que tenía la persona fallecida.</t>
        </is>
      </c>
      <c r="H80" s="67" t="inlineStr">
        <is>
          <t>Se trata de un apoyo que busca reducir el impacto económico que puede representar para una familia afrontar este tipo de gastos.</t>
        </is>
      </c>
      <c r="I80" s="67" t="inlineStr">
        <is>
          <t>Además, existe un límite mínimo y máximo para determinar cuánto dinero puede recibir quien haga la reclamación.</t>
        </is>
      </c>
      <c r="J80" s="68" t="n"/>
      <c r="K80" s="69" t="n"/>
      <c r="L80" s="68" t="n"/>
      <c r="M80" s="69" t="n"/>
      <c r="N80" s="68" t="n"/>
      <c r="O80" s="69" t="n"/>
      <c r="P80" s="68" t="n"/>
      <c r="Q80" s="69" t="n"/>
      <c r="R80" s="68" t="n"/>
      <c r="S80" s="69" t="n"/>
      <c r="T80" s="68" t="n"/>
      <c r="U80" s="69" t="n"/>
      <c r="V80" s="68" t="n"/>
      <c r="W80" s="69" t="n"/>
      <c r="X80" s="68" t="n"/>
      <c r="Y80" s="69" t="n"/>
      <c r="Z80" s="68" t="n"/>
      <c r="AA80" s="69" t="n"/>
      <c r="AB80" s="68" t="n"/>
      <c r="AC80" s="69" t="n"/>
      <c r="AD80" s="70">
        <f>IF(AND(COUNTIF($B$5:B80,B80)=1,$B80&lt;&gt;"",$AB80&lt;&gt;""),1,0)</f>
        <v/>
      </c>
      <c r="AE80" s="67" t="inlineStr">
        <is>
          <t>https://www.semana.com/economia/management/articulo/se-acaba-en-2027-la-corte-constitucional-aclaro-que-pasara-con-el-auxilio-funerario-de-colpensiones/202655/</t>
        </is>
      </c>
      <c r="AF80" s="64" t="n"/>
      <c r="AG80" s="65" t="n"/>
    </row>
    <row r="81" ht="15" customHeight="1" s="31">
      <c r="A81" s="66" t="inlineStr">
        <is>
          <t>ART_030</t>
        </is>
      </c>
      <c r="B81" s="66" t="inlineStr">
        <is>
          <t>ART_030_S07</t>
        </is>
      </c>
      <c r="C81" s="66" t="inlineStr">
        <is>
          <t>Semana</t>
        </is>
      </c>
      <c r="D81" s="66" t="inlineStr">
        <is>
          <t>Política</t>
        </is>
      </c>
      <c r="E81" s="66" t="inlineStr">
        <is>
          <t>Noticia dura</t>
        </is>
      </c>
      <c r="F81" s="66" t="inlineStr">
        <is>
          <t>Thu, 03 Sep 2026 02:25:55 +0000</t>
        </is>
      </c>
      <c r="G81" s="67" t="inlineStr">
        <is>
          <t>Además, existe un límite mínimo y máximo para determinar cuánto dinero puede recibir quien haga la reclamación.</t>
        </is>
      </c>
      <c r="H81" s="67" t="inlineStr">
        <is>
          <t>De acuerdo con lo establecido en las normas que regulan la prestación, el monto del auxilio está relacionado con la situación pensional o salarial que tenía la persona fallecida.</t>
        </is>
      </c>
      <c r="I81" s="67" t="inlineStr">
        <is>
          <t>Con la decisión de la Corte, este beneficio no quedará eliminado cuando empiece a aplicarse el nuevo sistema pensional.</t>
        </is>
      </c>
      <c r="J81" s="68" t="n"/>
      <c r="K81" s="69" t="n"/>
      <c r="L81" s="68" t="n"/>
      <c r="M81" s="69" t="n"/>
      <c r="N81" s="68" t="n"/>
      <c r="O81" s="69" t="n"/>
      <c r="P81" s="68" t="n"/>
      <c r="Q81" s="69" t="n"/>
      <c r="R81" s="68" t="n"/>
      <c r="S81" s="69" t="n"/>
      <c r="T81" s="68" t="n"/>
      <c r="U81" s="69" t="n"/>
      <c r="V81" s="68" t="n"/>
      <c r="W81" s="69" t="n"/>
      <c r="X81" s="68" t="n"/>
      <c r="Y81" s="69" t="n"/>
      <c r="Z81" s="68" t="n"/>
      <c r="AA81" s="69" t="n"/>
      <c r="AB81" s="68" t="n"/>
      <c r="AC81" s="69" t="n"/>
      <c r="AD81" s="70">
        <f>IF(AND(COUNTIF($B$5:B81,B81)=1,$B81&lt;&gt;"",$AB81&lt;&gt;""),1,0)</f>
        <v/>
      </c>
      <c r="AE81" s="67" t="inlineStr">
        <is>
          <t>https://www.semana.com/economia/management/articulo/se-acaba-en-2027-la-corte-constitucional-aclaro-que-pasara-con-el-auxilio-funerario-de-colpensiones/202655/</t>
        </is>
      </c>
      <c r="AF81" s="64" t="n"/>
      <c r="AG81" s="65" t="n"/>
    </row>
    <row r="82" ht="15" customHeight="1" s="31">
      <c r="A82" s="66" t="inlineStr">
        <is>
          <t>ART_030</t>
        </is>
      </c>
      <c r="B82" s="66" t="inlineStr">
        <is>
          <t>ART_030_S08</t>
        </is>
      </c>
      <c r="C82" s="66" t="inlineStr">
        <is>
          <t>Semana</t>
        </is>
      </c>
      <c r="D82" s="66" t="inlineStr">
        <is>
          <t>Política</t>
        </is>
      </c>
      <c r="E82" s="66" t="inlineStr">
        <is>
          <t>Noticia dura</t>
        </is>
      </c>
      <c r="F82" s="66" t="inlineStr">
        <is>
          <t>Thu, 03 Sep 2026 02:25:55 +0000</t>
        </is>
      </c>
      <c r="G82" s="67" t="inlineStr">
        <is>
          <t>Con la decisión de la Corte, este beneficio no quedará eliminado cuando empiece a aplicarse el nuevo sistema pensional.</t>
        </is>
      </c>
      <c r="H82" s="67" t="inlineStr">
        <is>
          <t>Además, existe un límite mínimo y máximo para determinar cuánto dinero puede recibir quien haga la reclamación.</t>
        </is>
      </c>
      <c r="I82" s="67" t="inlineStr">
        <is>
          <t>Sin embargo, el valor exacto que tendrá el auxilio en 2027 todavía no se puede establecer, pues uno de los factores utilizados para calcularlo depende del salario mínimo que sea fijado para ese año.</t>
        </is>
      </c>
      <c r="J82" s="68" t="n"/>
      <c r="K82" s="69" t="n"/>
      <c r="L82" s="68" t="n"/>
      <c r="M82" s="69" t="n"/>
      <c r="N82" s="68" t="n"/>
      <c r="O82" s="69" t="n"/>
      <c r="P82" s="68" t="n"/>
      <c r="Q82" s="69" t="n"/>
      <c r="R82" s="68" t="n"/>
      <c r="S82" s="69" t="n"/>
      <c r="T82" s="68" t="n"/>
      <c r="U82" s="69" t="n"/>
      <c r="V82" s="68" t="n"/>
      <c r="W82" s="69" t="n"/>
      <c r="X82" s="68" t="n"/>
      <c r="Y82" s="69" t="n"/>
      <c r="Z82" s="68" t="n"/>
      <c r="AA82" s="69" t="n"/>
      <c r="AB82" s="68" t="n"/>
      <c r="AC82" s="69" t="n"/>
      <c r="AD82" s="70">
        <f>IF(AND(COUNTIF($B$5:B82,B82)=1,$B82&lt;&gt;"",$AB82&lt;&gt;""),1,0)</f>
        <v/>
      </c>
      <c r="AE82" s="67" t="inlineStr">
        <is>
          <t>https://www.semana.com/economia/management/articulo/se-acaba-en-2027-la-corte-constitucional-aclaro-que-pasara-con-el-auxilio-funerario-de-colpensiones/202655/</t>
        </is>
      </c>
      <c r="AF82" s="64" t="n"/>
      <c r="AG82" s="65" t="n"/>
    </row>
    <row r="83" ht="15" customHeight="1" s="31">
      <c r="A83" s="66" t="inlineStr">
        <is>
          <t>ART_030</t>
        </is>
      </c>
      <c r="B83" s="66" t="inlineStr">
        <is>
          <t>ART_030_S09</t>
        </is>
      </c>
      <c r="C83" s="66" t="inlineStr">
        <is>
          <t>Semana</t>
        </is>
      </c>
      <c r="D83" s="66" t="inlineStr">
        <is>
          <t>Política</t>
        </is>
      </c>
      <c r="E83" s="66" t="inlineStr">
        <is>
          <t>Noticia dura</t>
        </is>
      </c>
      <c r="F83" s="66" t="inlineStr">
        <is>
          <t>Thu, 03 Sep 2026 02:25:55 +0000</t>
        </is>
      </c>
      <c r="G83" s="67" t="inlineStr">
        <is>
          <t>Sin embargo, el valor exacto que tendrá el auxilio en 2027 todavía no se puede establecer, pues uno de los factores utilizados para calcularlo depende del salario mínimo que sea fijado para ese año.</t>
        </is>
      </c>
      <c r="H83" s="67" t="inlineStr">
        <is>
          <t>Con la decisión de la Corte, este beneficio no quedará eliminado cuando empiece a aplicarse el nuevo sistema pensional.</t>
        </is>
      </c>
      <c r="I83" s="67" t="inlineStr">
        <is>
          <t>Actualmente, la legislación contempla que el auxilio funerario debe estar dentro de un rango que va de cinco a diez salarios mínimos mensuales.</t>
        </is>
      </c>
      <c r="J83" s="68" t="n"/>
      <c r="K83" s="69" t="n"/>
      <c r="L83" s="68" t="n"/>
      <c r="M83" s="69" t="n"/>
      <c r="N83" s="68" t="n"/>
      <c r="O83" s="69" t="n"/>
      <c r="P83" s="68" t="n"/>
      <c r="Q83" s="69" t="n"/>
      <c r="R83" s="68" t="n"/>
      <c r="S83" s="69" t="n"/>
      <c r="T83" s="68" t="n"/>
      <c r="U83" s="69" t="n"/>
      <c r="V83" s="68" t="n"/>
      <c r="W83" s="69" t="n"/>
      <c r="X83" s="68" t="n"/>
      <c r="Y83" s="69" t="n"/>
      <c r="Z83" s="68" t="n"/>
      <c r="AA83" s="69" t="n"/>
      <c r="AB83" s="68" t="n"/>
      <c r="AC83" s="69" t="n"/>
      <c r="AD83" s="70">
        <f>IF(AND(COUNTIF($B$5:B83,B83)=1,$B83&lt;&gt;"",$AB83&lt;&gt;""),1,0)</f>
        <v/>
      </c>
      <c r="AE83" s="67" t="inlineStr">
        <is>
          <t>https://www.semana.com/economia/management/articulo/se-acaba-en-2027-la-corte-constitucional-aclaro-que-pasara-con-el-auxilio-funerario-de-colpensiones/202655/</t>
        </is>
      </c>
      <c r="AF83" s="64" t="n"/>
      <c r="AG83" s="65" t="n"/>
    </row>
    <row r="84" ht="15" customHeight="1" s="31">
      <c r="A84" s="66" t="inlineStr">
        <is>
          <t>ART_030</t>
        </is>
      </c>
      <c r="B84" s="66" t="inlineStr">
        <is>
          <t>ART_030_S10</t>
        </is>
      </c>
      <c r="C84" s="66" t="inlineStr">
        <is>
          <t>Semana</t>
        </is>
      </c>
      <c r="D84" s="66" t="inlineStr">
        <is>
          <t>Política</t>
        </is>
      </c>
      <c r="E84" s="66" t="inlineStr">
        <is>
          <t>Noticia dura</t>
        </is>
      </c>
      <c r="F84" s="66" t="inlineStr">
        <is>
          <t>Thu, 03 Sep 2026 02:25:55 +0000</t>
        </is>
      </c>
      <c r="G84" s="67" t="inlineStr">
        <is>
          <t>Actualmente, la legislación contempla que el auxilio funerario debe estar dentro de un rango que va de cinco a diez salarios mínimos mensuales.</t>
        </is>
      </c>
      <c r="H84" s="67" t="inlineStr">
        <is>
          <t>Sin embargo, el valor exacto que tendrá el auxilio en 2027 todavía no se puede establecer, pues uno de los factores utilizados para calcularlo depende del salario mínimo que sea fijado para ese año.</t>
        </is>
      </c>
      <c r="I84" s="67" t="inlineStr"/>
      <c r="J84" s="68" t="n"/>
      <c r="K84" s="69" t="n"/>
      <c r="L84" s="68" t="n"/>
      <c r="M84" s="69" t="n"/>
      <c r="N84" s="68" t="n"/>
      <c r="O84" s="69" t="n"/>
      <c r="P84" s="68" t="n"/>
      <c r="Q84" s="69" t="n"/>
      <c r="R84" s="68" t="n"/>
      <c r="S84" s="69" t="n"/>
      <c r="T84" s="68" t="n"/>
      <c r="U84" s="69" t="n"/>
      <c r="V84" s="68" t="n"/>
      <c r="W84" s="69" t="n"/>
      <c r="X84" s="68" t="n"/>
      <c r="Y84" s="69" t="n"/>
      <c r="Z84" s="68" t="n"/>
      <c r="AA84" s="69" t="n"/>
      <c r="AB84" s="68" t="n"/>
      <c r="AC84" s="69" t="n"/>
      <c r="AD84" s="70">
        <f>IF(AND(COUNTIF($B$5:B84,B84)=1,$B84&lt;&gt;"",$AB84&lt;&gt;""),1,0)</f>
        <v/>
      </c>
      <c r="AE84" s="67" t="inlineStr">
        <is>
          <t>https://www.semana.com/economia/management/articulo/se-acaba-en-2027-la-corte-constitucional-aclaro-que-pasara-con-el-auxilio-funerario-de-colpensiones/202655/</t>
        </is>
      </c>
      <c r="AF84" s="64" t="n"/>
      <c r="AG84" s="65" t="n"/>
    </row>
    <row r="85" ht="15" customHeight="1" s="31">
      <c r="A85" s="66" t="inlineStr">
        <is>
          <t>ART_031</t>
        </is>
      </c>
      <c r="B85" s="66" t="inlineStr">
        <is>
          <t>ART_031_S01</t>
        </is>
      </c>
      <c r="C85" s="66" t="inlineStr">
        <is>
          <t>Semana</t>
        </is>
      </c>
      <c r="D85" s="66" t="inlineStr">
        <is>
          <t>Política</t>
        </is>
      </c>
      <c r="E85" s="66" t="inlineStr">
        <is>
          <t>Noticia dura</t>
        </is>
      </c>
      <c r="F85" s="66" t="inlineStr">
        <is>
          <t>2026-08-03T22:17:10-05:00</t>
        </is>
      </c>
      <c r="G85" s="67" t="inlineStr">
        <is>
          <t>Veinticinco estados demócratas demandaron el lunes al gobierno federal estadounidense al considerar que la nueva política arancelaria del presidente Donald Trump excede sus poderes.</t>
        </is>
      </c>
      <c r="H85" s="67" t="inlineStr"/>
      <c r="I85" s="67" t="inlineStr">
        <is>
          <t>El gobierno Trump anunció el 23 de julio aranceles generalizados de entre el 10 % y el 12,5 % sobre 60 socios comerciales de Estados Unidos, luego de una investigación que los acusa de permitir el suministro de bienes de países que recurren a trabajo forzado.</t>
        </is>
      </c>
      <c r="J85" s="68" t="n"/>
      <c r="K85" s="69" t="n"/>
      <c r="L85" s="68" t="n"/>
      <c r="M85" s="69" t="n"/>
      <c r="N85" s="68" t="n"/>
      <c r="O85" s="69" t="n"/>
      <c r="P85" s="68" t="n"/>
      <c r="Q85" s="69" t="n"/>
      <c r="R85" s="68" t="n"/>
      <c r="S85" s="69" t="n"/>
      <c r="T85" s="68" t="n"/>
      <c r="U85" s="69" t="n"/>
      <c r="V85" s="68" t="n"/>
      <c r="W85" s="69" t="n"/>
      <c r="X85" s="68" t="n"/>
      <c r="Y85" s="69" t="n"/>
      <c r="Z85" s="68" t="n"/>
      <c r="AA85" s="69" t="n"/>
      <c r="AB85" s="68" t="n"/>
      <c r="AC85" s="69" t="n"/>
      <c r="AD85" s="70">
        <f>IF(AND(COUNTIF($B$5:B85,B85)=1,$B85&lt;&gt;"",$AB85&lt;&gt;""),1,0)</f>
        <v/>
      </c>
      <c r="AE85" s="67" t="inlineStr">
        <is>
          <t>https://www.semana.com/mundo/articulo/nueva-demanda-contra-aranceles-de-donald-trump-medidas-contra-colombia-podrian-caerse/202610/</t>
        </is>
      </c>
      <c r="AF85" s="64" t="n"/>
      <c r="AG85" s="65" t="n"/>
    </row>
    <row r="86" ht="15" customHeight="1" s="31">
      <c r="A86" s="66" t="inlineStr">
        <is>
          <t>ART_031</t>
        </is>
      </c>
      <c r="B86" s="66" t="inlineStr">
        <is>
          <t>ART_031_S02</t>
        </is>
      </c>
      <c r="C86" s="66" t="inlineStr">
        <is>
          <t>Semana</t>
        </is>
      </c>
      <c r="D86" s="66" t="inlineStr">
        <is>
          <t>Política</t>
        </is>
      </c>
      <c r="E86" s="66" t="inlineStr">
        <is>
          <t>Noticia dura</t>
        </is>
      </c>
      <c r="F86" s="66" t="inlineStr">
        <is>
          <t>2026-08-03T22:17:10-05:00</t>
        </is>
      </c>
      <c r="G86" s="67" t="inlineStr">
        <is>
          <t>El gobierno Trump anunció el 23 de julio aranceles generalizados de entre el 10 % y el 12,5 % sobre 60 socios comerciales de Estados Unidos, luego de una investigación que los acusa de permitir el suministro de bienes de países que recurren a trabajo forzado.</t>
        </is>
      </c>
      <c r="H86" s="67" t="inlineStr">
        <is>
          <t>Veinticinco estados demócratas demandaron el lunes al gobierno federal estadounidense al considerar que la nueva política arancelaria del presidente Donald Trump excede sus poderes.</t>
        </is>
      </c>
      <c r="I86" s="67" t="inlineStr">
        <is>
          <t>Entre dichos países, estaba incluido Colombia, donde se aplicó gravamen del 12,5%.</t>
        </is>
      </c>
      <c r="J86" s="68" t="n"/>
      <c r="K86" s="69" t="n"/>
      <c r="L86" s="68" t="n"/>
      <c r="M86" s="69" t="n"/>
      <c r="N86" s="68" t="n"/>
      <c r="O86" s="69" t="n"/>
      <c r="P86" s="68" t="n"/>
      <c r="Q86" s="69" t="n"/>
      <c r="R86" s="68" t="n"/>
      <c r="S86" s="69" t="n"/>
      <c r="T86" s="68" t="n"/>
      <c r="U86" s="69" t="n"/>
      <c r="V86" s="68" t="n"/>
      <c r="W86" s="69" t="n"/>
      <c r="X86" s="68" t="n"/>
      <c r="Y86" s="69" t="n"/>
      <c r="Z86" s="68" t="n"/>
      <c r="AA86" s="69" t="n"/>
      <c r="AB86" s="68" t="n"/>
      <c r="AC86" s="69" t="n"/>
      <c r="AD86" s="70">
        <f>IF(AND(COUNTIF($B$5:B86,B86)=1,$B86&lt;&gt;"",$AB86&lt;&gt;""),1,0)</f>
        <v/>
      </c>
      <c r="AE86" s="67" t="inlineStr">
        <is>
          <t>https://www.semana.com/mundo/articulo/nueva-demanda-contra-aranceles-de-donald-trump-medidas-contra-colombia-podrian-caerse/202610/</t>
        </is>
      </c>
      <c r="AF86" s="64" t="n"/>
      <c r="AG86" s="65" t="n"/>
    </row>
    <row r="87" ht="15" customHeight="1" s="31">
      <c r="A87" s="66" t="inlineStr">
        <is>
          <t>ART_031</t>
        </is>
      </c>
      <c r="B87" s="66" t="inlineStr">
        <is>
          <t>ART_031_S03</t>
        </is>
      </c>
      <c r="C87" s="66" t="inlineStr">
        <is>
          <t>Semana</t>
        </is>
      </c>
      <c r="D87" s="66" t="inlineStr">
        <is>
          <t>Política</t>
        </is>
      </c>
      <c r="E87" s="66" t="inlineStr">
        <is>
          <t>Noticia dura</t>
        </is>
      </c>
      <c r="F87" s="66" t="inlineStr">
        <is>
          <t>2026-08-03T22:17:10-05:00</t>
        </is>
      </c>
      <c r="G87" s="67" t="inlineStr">
        <is>
          <t>Entre dichos países, estaba incluido Colombia, donde se aplicó gravamen del 12,5%.</t>
        </is>
      </c>
      <c r="H87" s="67" t="inlineStr">
        <is>
          <t>El gobierno Trump anunció el 23 de julio aranceles generalizados de entre el 10 % y el 12,5 % sobre 60 socios comerciales de Estados Unidos, luego de una investigación que los acusa de permitir el suministro de bienes de países que recurren a trabajo forzado.</t>
        </is>
      </c>
      <c r="I87" s="67" t="inlineStr">
        <is>
          <t>“No existe una relación racional entre el supuesto problema del trabajo forzado en las cadenas de suministro internacionales y los aranceles globales generalizados” que impuso la oficina del Representante Comercial (USTR), argumentó la coalición de estados en su demanda.</t>
        </is>
      </c>
      <c r="J87" s="68" t="n"/>
      <c r="K87" s="69" t="n"/>
      <c r="L87" s="68" t="n"/>
      <c r="M87" s="69" t="n"/>
      <c r="N87" s="68" t="n"/>
      <c r="O87" s="69" t="n"/>
      <c r="P87" s="68" t="n"/>
      <c r="Q87" s="69" t="n"/>
      <c r="R87" s="68" t="n"/>
      <c r="S87" s="69" t="n"/>
      <c r="T87" s="68" t="n"/>
      <c r="U87" s="69" t="n"/>
      <c r="V87" s="68" t="n"/>
      <c r="W87" s="69" t="n"/>
      <c r="X87" s="68" t="n"/>
      <c r="Y87" s="69" t="n"/>
      <c r="Z87" s="68" t="n"/>
      <c r="AA87" s="69" t="n"/>
      <c r="AB87" s="68" t="n"/>
      <c r="AC87" s="69" t="n"/>
      <c r="AD87" s="70">
        <f>IF(AND(COUNTIF($B$5:B87,B87)=1,$B87&lt;&gt;"",$AB87&lt;&gt;""),1,0)</f>
        <v/>
      </c>
      <c r="AE87" s="67" t="inlineStr">
        <is>
          <t>https://www.semana.com/mundo/articulo/nueva-demanda-contra-aranceles-de-donald-trump-medidas-contra-colombia-podrian-caerse/202610/</t>
        </is>
      </c>
      <c r="AF87" s="64" t="n"/>
      <c r="AG87" s="65" t="n"/>
    </row>
    <row r="88" ht="15" customHeight="1" s="31">
      <c r="A88" s="66" t="inlineStr">
        <is>
          <t>ART_031</t>
        </is>
      </c>
      <c r="B88" s="66" t="inlineStr">
        <is>
          <t>ART_031_S04</t>
        </is>
      </c>
      <c r="C88" s="66" t="inlineStr">
        <is>
          <t>Semana</t>
        </is>
      </c>
      <c r="D88" s="66" t="inlineStr">
        <is>
          <t>Política</t>
        </is>
      </c>
      <c r="E88" s="66" t="inlineStr">
        <is>
          <t>Noticia dura</t>
        </is>
      </c>
      <c r="F88" s="66" t="inlineStr">
        <is>
          <t>2026-08-03T22:17:10-05:00</t>
        </is>
      </c>
      <c r="G88" s="67" t="inlineStr">
        <is>
          <t>“No existe una relación racional entre el supuesto problema del trabajo forzado en las cadenas de suministro internacionales y los aranceles globales generalizados” que impuso la oficina del Representante Comercial (USTR), argumentó la coalición de estados en su demanda.</t>
        </is>
      </c>
      <c r="H88" s="67" t="inlineStr">
        <is>
          <t>Entre dichos países, estaba incluido Colombia, donde se aplicó gravamen del 12,5%.</t>
        </is>
      </c>
      <c r="I88" s="67" t="inlineStr">
        <is>
          <t>Los aranceles se impusieron tras investigaciones de la USTR sobre denuncias de “trabajo forzado”, realizadas en virtud de la Sección 301 de la Ley de Comercio de 1974.</t>
        </is>
      </c>
      <c r="J88" s="68" t="n"/>
      <c r="K88" s="69" t="n"/>
      <c r="L88" s="68" t="n"/>
      <c r="M88" s="69" t="n"/>
      <c r="N88" s="68" t="n"/>
      <c r="O88" s="69" t="n"/>
      <c r="P88" s="68" t="n"/>
      <c r="Q88" s="69" t="n"/>
      <c r="R88" s="68" t="n"/>
      <c r="S88" s="69" t="n"/>
      <c r="T88" s="68" t="n"/>
      <c r="U88" s="69" t="n"/>
      <c r="V88" s="68" t="n"/>
      <c r="W88" s="69" t="n"/>
      <c r="X88" s="68" t="n"/>
      <c r="Y88" s="69" t="n"/>
      <c r="Z88" s="68" t="n"/>
      <c r="AA88" s="69" t="n"/>
      <c r="AB88" s="68" t="n"/>
      <c r="AC88" s="69" t="n"/>
      <c r="AD88" s="70">
        <f>IF(AND(COUNTIF($B$5:B88,B88)=1,$B88&lt;&gt;"",$AB88&lt;&gt;""),1,0)</f>
        <v/>
      </c>
      <c r="AE88" s="67" t="inlineStr">
        <is>
          <t>https://www.semana.com/mundo/articulo/nueva-demanda-contra-aranceles-de-donald-trump-medidas-contra-colombia-podrian-caerse/202610/</t>
        </is>
      </c>
      <c r="AF88" s="64" t="n"/>
      <c r="AG88" s="65" t="n"/>
    </row>
    <row r="89" ht="15" customHeight="1" s="31">
      <c r="A89" s="66" t="inlineStr">
        <is>
          <t>ART_031</t>
        </is>
      </c>
      <c r="B89" s="66" t="inlineStr">
        <is>
          <t>ART_031_S05</t>
        </is>
      </c>
      <c r="C89" s="66" t="inlineStr">
        <is>
          <t>Semana</t>
        </is>
      </c>
      <c r="D89" s="66" t="inlineStr">
        <is>
          <t>Política</t>
        </is>
      </c>
      <c r="E89" s="66" t="inlineStr">
        <is>
          <t>Noticia dura</t>
        </is>
      </c>
      <c r="F89" s="66" t="inlineStr">
        <is>
          <t>2026-08-03T22:17:10-05:00</t>
        </is>
      </c>
      <c r="G89" s="67" t="inlineStr">
        <is>
          <t>Los aranceles se impusieron tras investigaciones de la USTR sobre denuncias de “trabajo forzado”, realizadas en virtud de la Sección 301 de la Ley de Comercio de 1974.</t>
        </is>
      </c>
      <c r="H89" s="67" t="inlineStr">
        <is>
          <t>“No existe una relación racional entre el supuesto problema del trabajo forzado en las cadenas de suministro internacionales y los aranceles globales generalizados” que impuso la oficina del Representante Comercial (USTR), argumentó la coalición de estados en su demanda.</t>
        </is>
      </c>
      <c r="I89" s="67" t="inlineStr">
        <is>
          <t>En una declaración transmitida a la AFP, el portavoz de la Casa Blanca, Kush Desai, aseguró que “Estados Unidos está utilizando su autoridad legal para lograr la eliminación de políticas, actos irrazonables y prácticas que perjudican el comercio estadounidense”.</t>
        </is>
      </c>
      <c r="J89" s="68" t="n"/>
      <c r="K89" s="69" t="n"/>
      <c r="L89" s="68" t="n"/>
      <c r="M89" s="69" t="n"/>
      <c r="N89" s="68" t="n"/>
      <c r="O89" s="69" t="n"/>
      <c r="P89" s="68" t="n"/>
      <c r="Q89" s="69" t="n"/>
      <c r="R89" s="68" t="n"/>
      <c r="S89" s="69" t="n"/>
      <c r="T89" s="68" t="n"/>
      <c r="U89" s="69" t="n"/>
      <c r="V89" s="68" t="n"/>
      <c r="W89" s="69" t="n"/>
      <c r="X89" s="68" t="n"/>
      <c r="Y89" s="69" t="n"/>
      <c r="Z89" s="68" t="n"/>
      <c r="AA89" s="69" t="n"/>
      <c r="AB89" s="68" t="n"/>
      <c r="AC89" s="69" t="n"/>
      <c r="AD89" s="70">
        <f>IF(AND(COUNTIF($B$5:B89,B89)=1,$B89&lt;&gt;"",$AB89&lt;&gt;""),1,0)</f>
        <v/>
      </c>
      <c r="AE89" s="67" t="inlineStr">
        <is>
          <t>https://www.semana.com/mundo/articulo/nueva-demanda-contra-aranceles-de-donald-trump-medidas-contra-colombia-podrian-caerse/202610/</t>
        </is>
      </c>
      <c r="AF89" s="64" t="n"/>
      <c r="AG89" s="65" t="n"/>
    </row>
    <row r="90" ht="15" customHeight="1" s="31">
      <c r="A90" s="66" t="inlineStr">
        <is>
          <t>ART_031</t>
        </is>
      </c>
      <c r="B90" s="66" t="inlineStr">
        <is>
          <t>ART_031_S06</t>
        </is>
      </c>
      <c r="C90" s="66" t="inlineStr">
        <is>
          <t>Semana</t>
        </is>
      </c>
      <c r="D90" s="66" t="inlineStr">
        <is>
          <t>Política</t>
        </is>
      </c>
      <c r="E90" s="66" t="inlineStr">
        <is>
          <t>Noticia dura</t>
        </is>
      </c>
      <c r="F90" s="66" t="inlineStr">
        <is>
          <t>2026-08-03T22:17:10-05:00</t>
        </is>
      </c>
      <c r="G90" s="67" t="inlineStr">
        <is>
          <t>En una declaración transmitida a la AFP, el portavoz de la Casa Blanca, Kush Desai, aseguró que “Estados Unidos está utilizando su autoridad legal para lograr la eliminación de políticas, actos irrazonables y prácticas que perjudican el comercio estadounidense”.</t>
        </is>
      </c>
      <c r="H90" s="67" t="inlineStr">
        <is>
          <t>Los aranceles se impusieron tras investigaciones de la USTR sobre denuncias de “trabajo forzado”, realizadas en virtud de la Sección 301 de la Ley de Comercio de 1974.</t>
        </is>
      </c>
      <c r="I90" s="67" t="inlineStr">
        <is>
          <t>Washington considera que la mayoría de sus socios comerciales, como la Unión Europea, no se atiene a las mismas exigencias de lucha contra el trabajo forzado que mantiene Estados Unidos.</t>
        </is>
      </c>
      <c r="J90" s="68" t="n"/>
      <c r="K90" s="69" t="n"/>
      <c r="L90" s="68" t="n"/>
      <c r="M90" s="69" t="n"/>
      <c r="N90" s="68" t="n"/>
      <c r="O90" s="69" t="n"/>
      <c r="P90" s="68" t="n"/>
      <c r="Q90" s="69" t="n"/>
      <c r="R90" s="68" t="n"/>
      <c r="S90" s="69" t="n"/>
      <c r="T90" s="68" t="n"/>
      <c r="U90" s="69" t="n"/>
      <c r="V90" s="68" t="n"/>
      <c r="W90" s="69" t="n"/>
      <c r="X90" s="68" t="n"/>
      <c r="Y90" s="69" t="n"/>
      <c r="Z90" s="68" t="n"/>
      <c r="AA90" s="69" t="n"/>
      <c r="AB90" s="68" t="n"/>
      <c r="AC90" s="69" t="n"/>
      <c r="AD90" s="70">
        <f>IF(AND(COUNTIF($B$5:B90,B90)=1,$B90&lt;&gt;"",$AB90&lt;&gt;""),1,0)</f>
        <v/>
      </c>
      <c r="AE90" s="67" t="inlineStr">
        <is>
          <t>https://www.semana.com/mundo/articulo/nueva-demanda-contra-aranceles-de-donald-trump-medidas-contra-colombia-podrian-caerse/202610/</t>
        </is>
      </c>
      <c r="AF90" s="64" t="n"/>
      <c r="AG90" s="65" t="n"/>
    </row>
    <row r="91" ht="15" customHeight="1" s="31">
      <c r="A91" s="66" t="inlineStr">
        <is>
          <t>ART_031</t>
        </is>
      </c>
      <c r="B91" s="66" t="inlineStr">
        <is>
          <t>ART_031_S07</t>
        </is>
      </c>
      <c r="C91" s="66" t="inlineStr">
        <is>
          <t>Semana</t>
        </is>
      </c>
      <c r="D91" s="66" t="inlineStr">
        <is>
          <t>Política</t>
        </is>
      </c>
      <c r="E91" s="66" t="inlineStr">
        <is>
          <t>Noticia dura</t>
        </is>
      </c>
      <c r="F91" s="66" t="inlineStr">
        <is>
          <t>2026-08-03T22:17:10-05:00</t>
        </is>
      </c>
      <c r="G91" s="67" t="inlineStr">
        <is>
          <t>Washington considera que la mayoría de sus socios comerciales, como la Unión Europea, no se atiene a las mismas exigencias de lucha contra el trabajo forzado que mantiene Estados Unidos.</t>
        </is>
      </c>
      <c r="H91" s="67" t="inlineStr">
        <is>
          <t>En una declaración transmitida a la AFP, el portavoz de la Casa Blanca, Kush Desai, aseguró que “Estados Unidos está utilizando su autoridad legal para lograr la eliminación de políticas, actos irrazonables y prácticas que perjudican el comercio estadounidense”.</t>
        </is>
      </c>
      <c r="I91" s="67" t="inlineStr">
        <is>
          <t>Desde que asumió el cargo por su segundo mandato, Trump ha trastocado el comercio mundial al imponer aranceles de amplio alcance tanto a aliados como a adversarios.</t>
        </is>
      </c>
      <c r="J91" s="68" t="n"/>
      <c r="K91" s="69" t="n"/>
      <c r="L91" s="68" t="n"/>
      <c r="M91" s="69" t="n"/>
      <c r="N91" s="68" t="n"/>
      <c r="O91" s="69" t="n"/>
      <c r="P91" s="68" t="n"/>
      <c r="Q91" s="69" t="n"/>
      <c r="R91" s="68" t="n"/>
      <c r="S91" s="69" t="n"/>
      <c r="T91" s="68" t="n"/>
      <c r="U91" s="69" t="n"/>
      <c r="V91" s="68" t="n"/>
      <c r="W91" s="69" t="n"/>
      <c r="X91" s="68" t="n"/>
      <c r="Y91" s="69" t="n"/>
      <c r="Z91" s="68" t="n"/>
      <c r="AA91" s="69" t="n"/>
      <c r="AB91" s="68" t="n"/>
      <c r="AC91" s="69" t="n"/>
      <c r="AD91" s="70">
        <f>IF(AND(COUNTIF($B$5:B91,B91)=1,$B91&lt;&gt;"",$AB91&lt;&gt;""),1,0)</f>
        <v/>
      </c>
      <c r="AE91" s="67" t="inlineStr">
        <is>
          <t>https://www.semana.com/mundo/articulo/nueva-demanda-contra-aranceles-de-donald-trump-medidas-contra-colombia-podrian-caerse/202610/</t>
        </is>
      </c>
      <c r="AF91" s="64" t="n"/>
      <c r="AG91" s="65" t="n"/>
    </row>
    <row r="92" ht="15" customHeight="1" s="31">
      <c r="A92" s="66" t="inlineStr">
        <is>
          <t>ART_031</t>
        </is>
      </c>
      <c r="B92" s="66" t="inlineStr">
        <is>
          <t>ART_031_S08</t>
        </is>
      </c>
      <c r="C92" s="66" t="inlineStr">
        <is>
          <t>Semana</t>
        </is>
      </c>
      <c r="D92" s="66" t="inlineStr">
        <is>
          <t>Política</t>
        </is>
      </c>
      <c r="E92" s="66" t="inlineStr">
        <is>
          <t>Noticia dura</t>
        </is>
      </c>
      <c r="F92" s="66" t="inlineStr">
        <is>
          <t>2026-08-03T22:17:10-05:00</t>
        </is>
      </c>
      <c r="G92" s="67" t="inlineStr">
        <is>
          <t>Desde que asumió el cargo por su segundo mandato, Trump ha trastocado el comercio mundial al imponer aranceles de amplio alcance tanto a aliados como a adversarios.</t>
        </is>
      </c>
      <c r="H92" s="67" t="inlineStr">
        <is>
          <t>Washington considera que la mayoría de sus socios comerciales, como la Unión Europea, no se atiene a las mismas exigencias de lucha contra el trabajo forzado que mantiene Estados Unidos.</t>
        </is>
      </c>
      <c r="I92" s="67" t="inlineStr">
        <is>
          <t>El mandatario ha sostenido que los socios comerciales de Estados Unidos se han estado aprovechando de la mayor economía del mundo y ha buscado utilizar los aranceles como palanca para lograr nuevos acuerdos comerciales.</t>
        </is>
      </c>
      <c r="J92" s="68" t="n"/>
      <c r="K92" s="69" t="n"/>
      <c r="L92" s="68" t="n"/>
      <c r="M92" s="69" t="n"/>
      <c r="N92" s="68" t="n"/>
      <c r="O92" s="69" t="n"/>
      <c r="P92" s="68" t="n"/>
      <c r="Q92" s="69" t="n"/>
      <c r="R92" s="68" t="n"/>
      <c r="S92" s="69" t="n"/>
      <c r="T92" s="68" t="n"/>
      <c r="U92" s="69" t="n"/>
      <c r="V92" s="68" t="n"/>
      <c r="W92" s="69" t="n"/>
      <c r="X92" s="68" t="n"/>
      <c r="Y92" s="69" t="n"/>
      <c r="Z92" s="68" t="n"/>
      <c r="AA92" s="69" t="n"/>
      <c r="AB92" s="68" t="n"/>
      <c r="AC92" s="69" t="n"/>
      <c r="AD92" s="70">
        <f>IF(AND(COUNTIF($B$5:B92,B92)=1,$B92&lt;&gt;"",$AB92&lt;&gt;""),1,0)</f>
        <v/>
      </c>
      <c r="AE92" s="67" t="inlineStr">
        <is>
          <t>https://www.semana.com/mundo/articulo/nueva-demanda-contra-aranceles-de-donald-trump-medidas-contra-colombia-podrian-caerse/202610/</t>
        </is>
      </c>
      <c r="AF92" s="64" t="n"/>
      <c r="AG92" s="65" t="n"/>
    </row>
    <row r="93" ht="15" customHeight="1" s="31">
      <c r="A93" s="66" t="inlineStr">
        <is>
          <t>ART_031</t>
        </is>
      </c>
      <c r="B93" s="66" t="inlineStr">
        <is>
          <t>ART_031_S09</t>
        </is>
      </c>
      <c r="C93" s="66" t="inlineStr">
        <is>
          <t>Semana</t>
        </is>
      </c>
      <c r="D93" s="66" t="inlineStr">
        <is>
          <t>Política</t>
        </is>
      </c>
      <c r="E93" s="66" t="inlineStr">
        <is>
          <t>Noticia dura</t>
        </is>
      </c>
      <c r="F93" s="66" t="inlineStr">
        <is>
          <t>2026-08-03T22:17:10-05:00</t>
        </is>
      </c>
      <c r="G93" s="67" t="inlineStr">
        <is>
          <t>El mandatario ha sostenido que los socios comerciales de Estados Unidos se han estado aprovechando de la mayor economía del mundo y ha buscado utilizar los aranceles como palanca para lograr nuevos acuerdos comerciales.</t>
        </is>
      </c>
      <c r="H93" s="67" t="inlineStr">
        <is>
          <t>Desde que asumió el cargo por su segundo mandato, Trump ha trastocado el comercio mundial al imponer aranceles de amplio alcance tanto a aliados como a adversarios.</t>
        </is>
      </c>
      <c r="I93" s="67" t="inlineStr">
        <is>
          <t>Su primera ronda de aranceles fue anulada por la Corte Suprema de Estados Unidos en febrero, por lo que Trump los reemplazó con un gravamen global del 10 %.</t>
        </is>
      </c>
      <c r="J93" s="68" t="n"/>
      <c r="K93" s="69" t="n"/>
      <c r="L93" s="68" t="n"/>
      <c r="M93" s="69" t="n"/>
      <c r="N93" s="68" t="n"/>
      <c r="O93" s="69" t="n"/>
      <c r="P93" s="68" t="n"/>
      <c r="Q93" s="69" t="n"/>
      <c r="R93" s="68" t="n"/>
      <c r="S93" s="69" t="n"/>
      <c r="T93" s="68" t="n"/>
      <c r="U93" s="69" t="n"/>
      <c r="V93" s="68" t="n"/>
      <c r="W93" s="69" t="n"/>
      <c r="X93" s="68" t="n"/>
      <c r="Y93" s="69" t="n"/>
      <c r="Z93" s="68" t="n"/>
      <c r="AA93" s="69" t="n"/>
      <c r="AB93" s="68" t="n"/>
      <c r="AC93" s="69" t="n"/>
      <c r="AD93" s="70">
        <f>IF(AND(COUNTIF($B$5:B93,B93)=1,$B93&lt;&gt;"",$AB93&lt;&gt;""),1,0)</f>
        <v/>
      </c>
      <c r="AE93" s="67" t="inlineStr">
        <is>
          <t>https://www.semana.com/mundo/articulo/nueva-demanda-contra-aranceles-de-donald-trump-medidas-contra-colombia-podrian-caerse/202610/</t>
        </is>
      </c>
      <c r="AF93" s="64" t="n"/>
      <c r="AG93" s="65" t="n"/>
    </row>
    <row r="94" ht="15" customHeight="1" s="31">
      <c r="A94" s="66" t="inlineStr">
        <is>
          <t>ART_031</t>
        </is>
      </c>
      <c r="B94" s="66" t="inlineStr">
        <is>
          <t>ART_031_S10</t>
        </is>
      </c>
      <c r="C94" s="66" t="inlineStr">
        <is>
          <t>Semana</t>
        </is>
      </c>
      <c r="D94" s="66" t="inlineStr">
        <is>
          <t>Política</t>
        </is>
      </c>
      <c r="E94" s="66" t="inlineStr">
        <is>
          <t>Noticia dura</t>
        </is>
      </c>
      <c r="F94" s="66" t="inlineStr">
        <is>
          <t>2026-08-03T22:17:10-05:00</t>
        </is>
      </c>
      <c r="G94" s="67" t="inlineStr">
        <is>
          <t>Su primera ronda de aranceles fue anulada por la Corte Suprema de Estados Unidos en febrero, por lo que Trump los reemplazó con un gravamen global del 10 %.</t>
        </is>
      </c>
      <c r="H94" s="67" t="inlineStr">
        <is>
          <t>El mandatario ha sostenido que los socios comerciales de Estados Unidos se han estado aprovechando de la mayor economía del mundo y ha buscado utilizar los aranceles como palanca para lograr nuevos acuerdos comerciales.</t>
        </is>
      </c>
      <c r="I94" s="67" t="inlineStr"/>
      <c r="J94" s="68" t="n"/>
      <c r="K94" s="69" t="n"/>
      <c r="L94" s="68" t="n"/>
      <c r="M94" s="69" t="n"/>
      <c r="N94" s="68" t="n"/>
      <c r="O94" s="69" t="n"/>
      <c r="P94" s="68" t="n"/>
      <c r="Q94" s="69" t="n"/>
      <c r="R94" s="68" t="n"/>
      <c r="S94" s="69" t="n"/>
      <c r="T94" s="68" t="n"/>
      <c r="U94" s="69" t="n"/>
      <c r="V94" s="68" t="n"/>
      <c r="W94" s="69" t="n"/>
      <c r="X94" s="68" t="n"/>
      <c r="Y94" s="69" t="n"/>
      <c r="Z94" s="68" t="n"/>
      <c r="AA94" s="69" t="n"/>
      <c r="AB94" s="68" t="n"/>
      <c r="AC94" s="69" t="n"/>
      <c r="AD94" s="70">
        <f>IF(AND(COUNTIF($B$5:B94,B94)=1,$B94&lt;&gt;"",$AB94&lt;&gt;""),1,0)</f>
        <v/>
      </c>
      <c r="AE94" s="67" t="inlineStr">
        <is>
          <t>https://www.semana.com/mundo/articulo/nueva-demanda-contra-aranceles-de-donald-trump-medidas-contra-colombia-podrian-caerse/202610/</t>
        </is>
      </c>
      <c r="AF94" s="64" t="n"/>
      <c r="AG94" s="65" t="n"/>
    </row>
    <row r="95" ht="15" customHeight="1" s="31">
      <c r="A95" s="66" t="inlineStr">
        <is>
          <t>ART_032</t>
        </is>
      </c>
      <c r="B95" s="66" t="inlineStr">
        <is>
          <t>ART_032_S01</t>
        </is>
      </c>
      <c r="C95" s="66" t="inlineStr">
        <is>
          <t>Semana</t>
        </is>
      </c>
      <c r="D95" s="66" t="inlineStr">
        <is>
          <t>Política</t>
        </is>
      </c>
      <c r="E95" s="66" t="inlineStr">
        <is>
          <t>Opinión-análisis</t>
        </is>
      </c>
      <c r="F95" s="66" t="inlineStr">
        <is>
          <t>Fri, 04 Sep 2026 10:00:00 +0000</t>
        </is>
      </c>
      <c r="G95" s="67" t="inlineStr">
        <is>
          <t>Mucho se ha hablado del “histórico megaacuerdo” petrolero entre los Estados Unidos y Venezuela.</t>
        </is>
      </c>
      <c r="H95" s="67" t="inlineStr"/>
      <c r="I95" s="67" t="inlineStr">
        <is>
          <t>Dejando de lado las consideraciones legales y políticas que pudiera tener, habrá que saber cuáles son las eventuales consecuencias que podría tener para nuestro país.</t>
        </is>
      </c>
      <c r="J95" s="68" t="n"/>
      <c r="K95" s="69" t="n"/>
      <c r="L95" s="68" t="n"/>
      <c r="M95" s="69" t="n"/>
      <c r="N95" s="68" t="n"/>
      <c r="O95" s="69" t="n"/>
      <c r="P95" s="68" t="n"/>
      <c r="Q95" s="69" t="n"/>
      <c r="R95" s="68" t="n"/>
      <c r="S95" s="69" t="n"/>
      <c r="T95" s="68" t="n"/>
      <c r="U95" s="69" t="n"/>
      <c r="V95" s="68" t="n"/>
      <c r="W95" s="69" t="n"/>
      <c r="X95" s="68" t="n"/>
      <c r="Y95" s="69" t="n"/>
      <c r="Z95" s="68" t="n"/>
      <c r="AA95" s="69" t="n"/>
      <c r="AB95" s="68" t="n"/>
      <c r="AC95" s="69" t="n"/>
      <c r="AD95" s="70">
        <f>IF(AND(COUNTIF($B$5:B95,B95)=1,$B95&lt;&gt;"",$AB95&lt;&gt;""),1,0)</f>
        <v/>
      </c>
      <c r="AE95" s="67" t="inlineStr">
        <is>
          <t>https://www.semana.com/opinion/articulo/una-venezuela-prospera-y-democratica-fundamental-para-colombia/202600/</t>
        </is>
      </c>
      <c r="AF95" s="64" t="n"/>
      <c r="AG95" s="65" t="n"/>
    </row>
    <row r="96" ht="15" customHeight="1" s="31">
      <c r="A96" s="66" t="inlineStr">
        <is>
          <t>ART_032</t>
        </is>
      </c>
      <c r="B96" s="66" t="inlineStr">
        <is>
          <t>ART_032_S02</t>
        </is>
      </c>
      <c r="C96" s="66" t="inlineStr">
        <is>
          <t>Semana</t>
        </is>
      </c>
      <c r="D96" s="66" t="inlineStr">
        <is>
          <t>Política</t>
        </is>
      </c>
      <c r="E96" s="66" t="inlineStr">
        <is>
          <t>Opinión-análisis</t>
        </is>
      </c>
      <c r="F96" s="66" t="inlineStr">
        <is>
          <t>Fri, 04 Sep 2026 10:00:00 +0000</t>
        </is>
      </c>
      <c r="G96" s="67" t="inlineStr">
        <is>
          <t>Dejando de lado las consideraciones legales y políticas que pudiera tener, habrá que saber cuáles son las eventuales consecuencias que podría tener para nuestro país.</t>
        </is>
      </c>
      <c r="H96" s="67" t="inlineStr">
        <is>
          <t>Mucho se ha hablado del “histórico megaacuerdo” petrolero entre los Estados Unidos y Venezuela.</t>
        </is>
      </c>
      <c r="I96" s="67" t="inlineStr">
        <is>
          <t>Hay hechos que son determinantes y que se derivan del transcurrir de los años de existencia de las dos repúblicas.</t>
        </is>
      </c>
      <c r="J96" s="68" t="n"/>
      <c r="K96" s="69" t="n"/>
      <c r="L96" s="68" t="n"/>
      <c r="M96" s="69" t="n"/>
      <c r="N96" s="68" t="n"/>
      <c r="O96" s="69" t="n"/>
      <c r="P96" s="68" t="n"/>
      <c r="Q96" s="69" t="n"/>
      <c r="R96" s="68" t="n"/>
      <c r="S96" s="69" t="n"/>
      <c r="T96" s="68" t="n"/>
      <c r="U96" s="69" t="n"/>
      <c r="V96" s="68" t="n"/>
      <c r="W96" s="69" t="n"/>
      <c r="X96" s="68" t="n"/>
      <c r="Y96" s="69" t="n"/>
      <c r="Z96" s="68" t="n"/>
      <c r="AA96" s="69" t="n"/>
      <c r="AB96" s="68" t="n"/>
      <c r="AC96" s="69" t="n"/>
      <c r="AD96" s="70">
        <f>IF(AND(COUNTIF($B$5:B96,B96)=1,$B96&lt;&gt;"",$AB96&lt;&gt;""),1,0)</f>
        <v/>
      </c>
      <c r="AE96" s="67" t="inlineStr">
        <is>
          <t>https://www.semana.com/opinion/articulo/una-venezuela-prospera-y-democratica-fundamental-para-colombia/202600/</t>
        </is>
      </c>
      <c r="AF96" s="64" t="n"/>
      <c r="AG96" s="65" t="n"/>
    </row>
    <row r="97" ht="15" customHeight="1" s="31">
      <c r="A97" s="66" t="inlineStr">
        <is>
          <t>ART_032</t>
        </is>
      </c>
      <c r="B97" s="66" t="inlineStr">
        <is>
          <t>ART_032_S03</t>
        </is>
      </c>
      <c r="C97" s="66" t="inlineStr">
        <is>
          <t>Semana</t>
        </is>
      </c>
      <c r="D97" s="66" t="inlineStr">
        <is>
          <t>Política</t>
        </is>
      </c>
      <c r="E97" s="66" t="inlineStr">
        <is>
          <t>Opinión-análisis</t>
        </is>
      </c>
      <c r="F97" s="66" t="inlineStr">
        <is>
          <t>Fri, 04 Sep 2026 10:00:00 +0000</t>
        </is>
      </c>
      <c r="G97" s="67" t="inlineStr">
        <is>
          <t>Hay hechos que son determinantes y que se derivan del transcurrir de los años de existencia de las dos repúblicas.</t>
        </is>
      </c>
      <c r="H97" s="67" t="inlineStr">
        <is>
          <t>Dejando de lado las consideraciones legales y políticas que pudiera tener, habrá que saber cuáles son las eventuales consecuencias que podría tener para nuestro país.</t>
        </is>
      </c>
      <c r="I97" s="67" t="inlineStr">
        <is>
          <t>Ante todo, Colombia no tiene los recursos que posee Venezuela.</t>
        </is>
      </c>
      <c r="J97" s="68" t="n"/>
      <c r="K97" s="69" t="n"/>
      <c r="L97" s="68" t="n"/>
      <c r="M97" s="69" t="n"/>
      <c r="N97" s="68" t="n"/>
      <c r="O97" s="69" t="n"/>
      <c r="P97" s="68" t="n"/>
      <c r="Q97" s="69" t="n"/>
      <c r="R97" s="68" t="n"/>
      <c r="S97" s="69" t="n"/>
      <c r="T97" s="68" t="n"/>
      <c r="U97" s="69" t="n"/>
      <c r="V97" s="68" t="n"/>
      <c r="W97" s="69" t="n"/>
      <c r="X97" s="68" t="n"/>
      <c r="Y97" s="69" t="n"/>
      <c r="Z97" s="68" t="n"/>
      <c r="AA97" s="69" t="n"/>
      <c r="AB97" s="68" t="n"/>
      <c r="AC97" s="69" t="n"/>
      <c r="AD97" s="70">
        <f>IF(AND(COUNTIF($B$5:B97,B97)=1,$B97&lt;&gt;"",$AB97&lt;&gt;""),1,0)</f>
        <v/>
      </c>
      <c r="AE97" s="67" t="inlineStr">
        <is>
          <t>https://www.semana.com/opinion/articulo/una-venezuela-prospera-y-democratica-fundamental-para-colombia/202600/</t>
        </is>
      </c>
      <c r="AF97" s="64" t="n"/>
      <c r="AG97" s="65" t="n"/>
    </row>
    <row r="98" ht="15" customHeight="1" s="31">
      <c r="A98" s="66" t="inlineStr">
        <is>
          <t>ART_032</t>
        </is>
      </c>
      <c r="B98" s="66" t="inlineStr">
        <is>
          <t>ART_032_S04</t>
        </is>
      </c>
      <c r="C98" s="66" t="inlineStr">
        <is>
          <t>Semana</t>
        </is>
      </c>
      <c r="D98" s="66" t="inlineStr">
        <is>
          <t>Política</t>
        </is>
      </c>
      <c r="E98" s="66" t="inlineStr">
        <is>
          <t>Opinión-análisis</t>
        </is>
      </c>
      <c r="F98" s="66" t="inlineStr">
        <is>
          <t>Fri, 04 Sep 2026 10:00:00 +0000</t>
        </is>
      </c>
      <c r="G98" s="67" t="inlineStr">
        <is>
          <t>Ante todo, Colombia no tiene los recursos que posee Venezuela.</t>
        </is>
      </c>
      <c r="H98" s="67" t="inlineStr">
        <is>
          <t>Hay hechos que son determinantes y que se derivan del transcurrir de los años de existencia de las dos repúblicas.</t>
        </is>
      </c>
      <c r="I98" s="67" t="inlineStr">
        <is>
          <t>Se recuerda a algún personaje colombiano que decía a mediados del siglo XX que, por cualquier parte por donde se trazara la línea fronteriza con Venezuela, el petróleo siempre estaría del otro lado.</t>
        </is>
      </c>
      <c r="J98" s="68" t="n"/>
      <c r="K98" s="69" t="n"/>
      <c r="L98" s="68" t="n"/>
      <c r="M98" s="69" t="n"/>
      <c r="N98" s="68" t="n"/>
      <c r="O98" s="69" t="n"/>
      <c r="P98" s="68" t="n"/>
      <c r="Q98" s="69" t="n"/>
      <c r="R98" s="68" t="n"/>
      <c r="S98" s="69" t="n"/>
      <c r="T98" s="68" t="n"/>
      <c r="U98" s="69" t="n"/>
      <c r="V98" s="68" t="n"/>
      <c r="W98" s="69" t="n"/>
      <c r="X98" s="68" t="n"/>
      <c r="Y98" s="69" t="n"/>
      <c r="Z98" s="68" t="n"/>
      <c r="AA98" s="69" t="n"/>
      <c r="AB98" s="68" t="n"/>
      <c r="AC98" s="69" t="n"/>
      <c r="AD98" s="70">
        <f>IF(AND(COUNTIF($B$5:B98,B98)=1,$B98&lt;&gt;"",$AB98&lt;&gt;""),1,0)</f>
        <v/>
      </c>
      <c r="AE98" s="67" t="inlineStr">
        <is>
          <t>https://www.semana.com/opinion/articulo/una-venezuela-prospera-y-democratica-fundamental-para-colombia/202600/</t>
        </is>
      </c>
      <c r="AF98" s="64" t="n"/>
      <c r="AG98" s="65" t="n"/>
    </row>
    <row r="99" ht="15" customHeight="1" s="31">
      <c r="A99" s="66" t="inlineStr">
        <is>
          <t>ART_032</t>
        </is>
      </c>
      <c r="B99" s="66" t="inlineStr">
        <is>
          <t>ART_032_S05</t>
        </is>
      </c>
      <c r="C99" s="66" t="inlineStr">
        <is>
          <t>Semana</t>
        </is>
      </c>
      <c r="D99" s="66" t="inlineStr">
        <is>
          <t>Política</t>
        </is>
      </c>
      <c r="E99" s="66" t="inlineStr">
        <is>
          <t>Opinión-análisis</t>
        </is>
      </c>
      <c r="F99" s="66" t="inlineStr">
        <is>
          <t>Fri, 04 Sep 2026 10:00:00 +0000</t>
        </is>
      </c>
      <c r="G99" s="67" t="inlineStr">
        <is>
          <t>Se recuerda a algún personaje colombiano que decía a mediados del siglo XX que, por cualquier parte por donde se trazara la línea fronteriza con Venezuela, el petróleo siempre estaría del otro lado.</t>
        </is>
      </c>
      <c r="H99" s="67" t="inlineStr">
        <is>
          <t>Ante todo, Colombia no tiene los recursos que posee Venezuela.</t>
        </is>
      </c>
      <c r="I99" s="67" t="inlineStr">
        <is>
          <t>No solamente es el petróleo, sino el gas, el hierro, la bauxita, el acero, el coltán, las tierras raras y la energía eléctrica, para no hablar del oro y de algunos otros metales preciosos.</t>
        </is>
      </c>
      <c r="J99" s="68" t="n"/>
      <c r="K99" s="69" t="n"/>
      <c r="L99" s="68" t="n"/>
      <c r="M99" s="69" t="n"/>
      <c r="N99" s="68" t="n"/>
      <c r="O99" s="69" t="n"/>
      <c r="P99" s="68" t="n"/>
      <c r="Q99" s="69" t="n"/>
      <c r="R99" s="68" t="n"/>
      <c r="S99" s="69" t="n"/>
      <c r="T99" s="68" t="n"/>
      <c r="U99" s="69" t="n"/>
      <c r="V99" s="68" t="n"/>
      <c r="W99" s="69" t="n"/>
      <c r="X99" s="68" t="n"/>
      <c r="Y99" s="69" t="n"/>
      <c r="Z99" s="68" t="n"/>
      <c r="AA99" s="69" t="n"/>
      <c r="AB99" s="68" t="n"/>
      <c r="AC99" s="69" t="n"/>
      <c r="AD99" s="70">
        <f>IF(AND(COUNTIF($B$5:B99,B99)=1,$B99&lt;&gt;"",$AB99&lt;&gt;""),1,0)</f>
        <v/>
      </c>
      <c r="AE99" s="67" t="inlineStr">
        <is>
          <t>https://www.semana.com/opinion/articulo/una-venezuela-prospera-y-democratica-fundamental-para-colombia/202600/</t>
        </is>
      </c>
      <c r="AF99" s="64" t="n"/>
      <c r="AG99" s="65" t="n"/>
    </row>
    <row r="100" ht="15" customHeight="1" s="31">
      <c r="A100" s="66" t="inlineStr">
        <is>
          <t>ART_032</t>
        </is>
      </c>
      <c r="B100" s="66" t="inlineStr">
        <is>
          <t>ART_032_S06</t>
        </is>
      </c>
      <c r="C100" s="66" t="inlineStr">
        <is>
          <t>Semana</t>
        </is>
      </c>
      <c r="D100" s="66" t="inlineStr">
        <is>
          <t>Política</t>
        </is>
      </c>
      <c r="E100" s="66" t="inlineStr">
        <is>
          <t>Opinión-análisis</t>
        </is>
      </c>
      <c r="F100" s="66" t="inlineStr">
        <is>
          <t>Fri, 04 Sep 2026 10:00:00 +0000</t>
        </is>
      </c>
      <c r="G100" s="67" t="inlineStr">
        <is>
          <t>No solamente es el petróleo, sino el gas, el hierro, la bauxita, el acero, el coltán, las tierras raras y la energía eléctrica, para no hablar del oro y de algunos otros metales preciosos.</t>
        </is>
      </c>
      <c r="H100" s="67" t="inlineStr">
        <is>
          <t>Se recuerda a algún personaje colombiano que decía a mediados del siglo XX que, por cualquier parte por donde se trazara la línea fronteriza con Venezuela, el petróleo siempre estaría del otro lado.</t>
        </is>
      </c>
      <c r="I100" s="67" t="inlineStr">
        <is>
          <t>En esas condiciones, a Colombia le interesa tener como vecina no solo a una Venezuela rica y floreciente, sino también democrática, aunque eso resulte más difícil, ya que gran parte de la vida republicana de la hermana república ha estado enmarcada dentro de gobiernos militares o sostenidos por ellos, incluso en gobiernos democráticos, en los que el estamento militar ha sido determinante.</t>
        </is>
      </c>
      <c r="J100" s="68" t="n"/>
      <c r="K100" s="69" t="n"/>
      <c r="L100" s="68" t="n"/>
      <c r="M100" s="69" t="n"/>
      <c r="N100" s="68" t="n"/>
      <c r="O100" s="69" t="n"/>
      <c r="P100" s="68" t="n"/>
      <c r="Q100" s="69" t="n"/>
      <c r="R100" s="68" t="n"/>
      <c r="S100" s="69" t="n"/>
      <c r="T100" s="68" t="n"/>
      <c r="U100" s="69" t="n"/>
      <c r="V100" s="68" t="n"/>
      <c r="W100" s="69" t="n"/>
      <c r="X100" s="68" t="n"/>
      <c r="Y100" s="69" t="n"/>
      <c r="Z100" s="68" t="n"/>
      <c r="AA100" s="69" t="n"/>
      <c r="AB100" s="68" t="n"/>
      <c r="AC100" s="69" t="n"/>
      <c r="AD100" s="70">
        <f>IF(AND(COUNTIF($B$5:B100,B100)=1,$B100&lt;&gt;"",$AB100&lt;&gt;""),1,0)</f>
        <v/>
      </c>
      <c r="AE100" s="67" t="inlineStr">
        <is>
          <t>https://www.semana.com/opinion/articulo/una-venezuela-prospera-y-democratica-fundamental-para-colombia/202600/</t>
        </is>
      </c>
      <c r="AF100" s="64" t="n"/>
      <c r="AG100" s="65" t="n"/>
    </row>
    <row r="101" ht="15" customHeight="1" s="31">
      <c r="A101" s="66" t="inlineStr">
        <is>
          <t>ART_032</t>
        </is>
      </c>
      <c r="B101" s="66" t="inlineStr">
        <is>
          <t>ART_032_S07</t>
        </is>
      </c>
      <c r="C101" s="66" t="inlineStr">
        <is>
          <t>Semana</t>
        </is>
      </c>
      <c r="D101" s="66" t="inlineStr">
        <is>
          <t>Política</t>
        </is>
      </c>
      <c r="E101" s="66" t="inlineStr">
        <is>
          <t>Opinión-análisis</t>
        </is>
      </c>
      <c r="F101" s="66" t="inlineStr">
        <is>
          <t>Fri, 04 Sep 2026 10:00:00 +0000</t>
        </is>
      </c>
      <c r="G101" s="67" t="inlineStr">
        <is>
          <t>En esas condiciones, a Colombia le interesa tener como vecina no solo a una Venezuela rica y floreciente, sino también democrática, aunque eso resulte más difícil, ya que gran parte de la vida republicana de la hermana república ha estado enmarcada dentro de gobiernos militares o sostenidos por ellos, incluso en gobiernos democráticos, en los que el estamento militar ha sido determinante.</t>
        </is>
      </c>
      <c r="H101" s="67" t="inlineStr">
        <is>
          <t>No solamente es el petróleo, sino el gas, el hierro, la bauxita, el acero, el coltán, las tierras raras y la energía eléctrica, para no hablar del oro y de algunos otros metales preciosos.</t>
        </is>
      </c>
      <c r="I101" s="67" t="inlineStr">
        <is>
          <t>A esa condición se ha acostumbrado la población, a la que además le gustan los militares, que son los que dicen la última palabra, incluso en asuntos que van desde la política exterior hasta el manejo de la economía.</t>
        </is>
      </c>
      <c r="J101" s="68" t="n"/>
      <c r="K101" s="69" t="n"/>
      <c r="L101" s="68" t="n"/>
      <c r="M101" s="69" t="n"/>
      <c r="N101" s="68" t="n"/>
      <c r="O101" s="69" t="n"/>
      <c r="P101" s="68" t="n"/>
      <c r="Q101" s="69" t="n"/>
      <c r="R101" s="68" t="n"/>
      <c r="S101" s="69" t="n"/>
      <c r="T101" s="68" t="n"/>
      <c r="U101" s="69" t="n"/>
      <c r="V101" s="68" t="n"/>
      <c r="W101" s="69" t="n"/>
      <c r="X101" s="68" t="n"/>
      <c r="Y101" s="69" t="n"/>
      <c r="Z101" s="68" t="n"/>
      <c r="AA101" s="69" t="n"/>
      <c r="AB101" s="68" t="n"/>
      <c r="AC101" s="69" t="n"/>
      <c r="AD101" s="70">
        <f>IF(AND(COUNTIF($B$5:B101,B101)=1,$B101&lt;&gt;"",$AB101&lt;&gt;""),1,0)</f>
        <v/>
      </c>
      <c r="AE101" s="67" t="inlineStr">
        <is>
          <t>https://www.semana.com/opinion/articulo/una-venezuela-prospera-y-democratica-fundamental-para-colombia/202600/</t>
        </is>
      </c>
      <c r="AF101" s="64" t="n"/>
      <c r="AG101" s="65" t="n"/>
    </row>
    <row r="102" ht="15" customHeight="1" s="31">
      <c r="A102" s="66" t="inlineStr">
        <is>
          <t>ART_032</t>
        </is>
      </c>
      <c r="B102" s="66" t="inlineStr">
        <is>
          <t>ART_032_S08</t>
        </is>
      </c>
      <c r="C102" s="66" t="inlineStr">
        <is>
          <t>Semana</t>
        </is>
      </c>
      <c r="D102" s="66" t="inlineStr">
        <is>
          <t>Política</t>
        </is>
      </c>
      <c r="E102" s="66" t="inlineStr">
        <is>
          <t>Opinión-análisis</t>
        </is>
      </c>
      <c r="F102" s="66" t="inlineStr">
        <is>
          <t>Fri, 04 Sep 2026 10:00:00 +0000</t>
        </is>
      </c>
      <c r="G102" s="67" t="inlineStr">
        <is>
          <t>A esa condición se ha acostumbrado la población, a la que además le gustan los militares, que son los que dicen la última palabra, incluso en asuntos que van desde la política exterior hasta el manejo de la economía.</t>
        </is>
      </c>
      <c r="H102" s="67" t="inlineStr">
        <is>
          <t>En esas condiciones, a Colombia le interesa tener como vecina no solo a una Venezuela rica y floreciente, sino también democrática, aunque eso resulte más difícil, ya que gran parte de la vida republicana de la hermana república ha estado enmarcada dentro de gobiernos militares o sostenidos por ellos, incluso en gobiernos democráticos, en los que el estamento militar ha sido determinante.</t>
        </is>
      </c>
      <c r="I102" s="67" t="inlineStr">
        <is>
          <t>Sabiendo desde hace años que los delincuentes y los grupos armados colombianos consiguen refugio en Venezuela, es indispensable que su gobierno actúe decididamente para reprimirlos y coordine con Colombia acciones efectivas para lograrlo.</t>
        </is>
      </c>
      <c r="J102" s="68" t="n"/>
      <c r="K102" s="69" t="n"/>
      <c r="L102" s="68" t="n"/>
      <c r="M102" s="69" t="n"/>
      <c r="N102" s="68" t="n"/>
      <c r="O102" s="69" t="n"/>
      <c r="P102" s="68" t="n"/>
      <c r="Q102" s="69" t="n"/>
      <c r="R102" s="68" t="n"/>
      <c r="S102" s="69" t="n"/>
      <c r="T102" s="68" t="n"/>
      <c r="U102" s="69" t="n"/>
      <c r="V102" s="68" t="n"/>
      <c r="W102" s="69" t="n"/>
      <c r="X102" s="68" t="n"/>
      <c r="Y102" s="69" t="n"/>
      <c r="Z102" s="68" t="n"/>
      <c r="AA102" s="69" t="n"/>
      <c r="AB102" s="68" t="n"/>
      <c r="AC102" s="69" t="n"/>
      <c r="AD102" s="70">
        <f>IF(AND(COUNTIF($B$5:B102,B102)=1,$B102&lt;&gt;"",$AB102&lt;&gt;""),1,0)</f>
        <v/>
      </c>
      <c r="AE102" s="67" t="inlineStr">
        <is>
          <t>https://www.semana.com/opinion/articulo/una-venezuela-prospera-y-democratica-fundamental-para-colombia/202600/</t>
        </is>
      </c>
      <c r="AF102" s="64" t="n"/>
      <c r="AG102" s="65" t="n"/>
    </row>
    <row r="103" ht="15" customHeight="1" s="31">
      <c r="A103" s="66" t="inlineStr">
        <is>
          <t>ART_032</t>
        </is>
      </c>
      <c r="B103" s="66" t="inlineStr">
        <is>
          <t>ART_032_S09</t>
        </is>
      </c>
      <c r="C103" s="66" t="inlineStr">
        <is>
          <t>Semana</t>
        </is>
      </c>
      <c r="D103" s="66" t="inlineStr">
        <is>
          <t>Política</t>
        </is>
      </c>
      <c r="E103" s="66" t="inlineStr">
        <is>
          <t>Opinión-análisis</t>
        </is>
      </c>
      <c r="F103" s="66" t="inlineStr">
        <is>
          <t>Fri, 04 Sep 2026 10:00:00 +0000</t>
        </is>
      </c>
      <c r="G103" s="67" t="inlineStr">
        <is>
          <t>Sabiendo desde hace años que los delincuentes y los grupos armados colombianos consiguen refugio en Venezuela, es indispensable que su gobierno actúe decididamente para reprimirlos y coordine con Colombia acciones efectivas para lograrlo.</t>
        </is>
      </c>
      <c r="H103" s="67" t="inlineStr">
        <is>
          <t>A esa condición se ha acostumbrado la población, a la que además le gustan los militares, que son los que dicen la última palabra, incluso en asuntos que van desde la política exterior hasta el manejo de la economía.</t>
        </is>
      </c>
      <c r="I103" s="67" t="inlineStr">
        <is>
          <t>Venezuela debe saber que Colombia nunca los invadirá, a pesar de que durante muchos años las Fuerzas Armadas venezolanas y algunos dirigentes políticos de ese país así lo preveían.</t>
        </is>
      </c>
      <c r="J103" s="68" t="n"/>
      <c r="K103" s="69" t="n"/>
      <c r="L103" s="68" t="n"/>
      <c r="M103" s="69" t="n"/>
      <c r="N103" s="68" t="n"/>
      <c r="O103" s="69" t="n"/>
      <c r="P103" s="68" t="n"/>
      <c r="Q103" s="69" t="n"/>
      <c r="R103" s="68" t="n"/>
      <c r="S103" s="69" t="n"/>
      <c r="T103" s="68" t="n"/>
      <c r="U103" s="69" t="n"/>
      <c r="V103" s="68" t="n"/>
      <c r="W103" s="69" t="n"/>
      <c r="X103" s="68" t="n"/>
      <c r="Y103" s="69" t="n"/>
      <c r="Z103" s="68" t="n"/>
      <c r="AA103" s="69" t="n"/>
      <c r="AB103" s="68" t="n"/>
      <c r="AC103" s="69" t="n"/>
      <c r="AD103" s="70">
        <f>IF(AND(COUNTIF($B$5:B103,B103)=1,$B103&lt;&gt;"",$AB103&lt;&gt;""),1,0)</f>
        <v/>
      </c>
      <c r="AE103" s="67" t="inlineStr">
        <is>
          <t>https://www.semana.com/opinion/articulo/una-venezuela-prospera-y-democratica-fundamental-para-colombia/202600/</t>
        </is>
      </c>
      <c r="AF103" s="64" t="n"/>
      <c r="AG103" s="65" t="n"/>
    </row>
    <row r="104" ht="15" customHeight="1" s="31">
      <c r="A104" s="66" t="inlineStr">
        <is>
          <t>ART_032</t>
        </is>
      </c>
      <c r="B104" s="66" t="inlineStr">
        <is>
          <t>ART_032_S10</t>
        </is>
      </c>
      <c r="C104" s="66" t="inlineStr">
        <is>
          <t>Semana</t>
        </is>
      </c>
      <c r="D104" s="66" t="inlineStr">
        <is>
          <t>Política</t>
        </is>
      </c>
      <c r="E104" s="66" t="inlineStr">
        <is>
          <t>Opinión-análisis</t>
        </is>
      </c>
      <c r="F104" s="66" t="inlineStr">
        <is>
          <t>Fri, 04 Sep 2026 10:00:00 +0000</t>
        </is>
      </c>
      <c r="G104" s="67" t="inlineStr">
        <is>
          <t>Venezuela debe saber que Colombia nunca los invadirá, a pesar de que durante muchos años las Fuerzas Armadas venezolanas y algunos dirigentes políticos de ese país así lo preveían.</t>
        </is>
      </c>
      <c r="H104" s="67" t="inlineStr">
        <is>
          <t>Sabiendo desde hace años que los delincuentes y los grupos armados colombianos consiguen refugio en Venezuela, es indispensable que su gobierno actúe decididamente para reprimirlos y coordine con Colombia acciones efectivas para lograrlo.</t>
        </is>
      </c>
      <c r="I104" s="67" t="inlineStr"/>
      <c r="J104" s="68" t="n"/>
      <c r="K104" s="69" t="n"/>
      <c r="L104" s="68" t="n"/>
      <c r="M104" s="69" t="n"/>
      <c r="N104" s="68" t="n"/>
      <c r="O104" s="69" t="n"/>
      <c r="P104" s="68" t="n"/>
      <c r="Q104" s="69" t="n"/>
      <c r="R104" s="68" t="n"/>
      <c r="S104" s="69" t="n"/>
      <c r="T104" s="68" t="n"/>
      <c r="U104" s="69" t="n"/>
      <c r="V104" s="68" t="n"/>
      <c r="W104" s="69" t="n"/>
      <c r="X104" s="68" t="n"/>
      <c r="Y104" s="69" t="n"/>
      <c r="Z104" s="68" t="n"/>
      <c r="AA104" s="69" t="n"/>
      <c r="AB104" s="68" t="n"/>
      <c r="AC104" s="69" t="n"/>
      <c r="AD104" s="70">
        <f>IF(AND(COUNTIF($B$5:B104,B104)=1,$B104&lt;&gt;"",$AB104&lt;&gt;""),1,0)</f>
        <v/>
      </c>
      <c r="AE104" s="67" t="inlineStr">
        <is>
          <t>https://www.semana.com/opinion/articulo/una-venezuela-prospera-y-democratica-fundamental-para-colombia/202600/</t>
        </is>
      </c>
      <c r="AF104" s="64" t="n"/>
      <c r="AG104" s="65" t="n"/>
    </row>
    <row r="105" ht="15" customHeight="1" s="31">
      <c r="A105" s="66" t="inlineStr">
        <is>
          <t>ART_033</t>
        </is>
      </c>
      <c r="B105" s="66" t="inlineStr">
        <is>
          <t>ART_033_S01</t>
        </is>
      </c>
      <c r="C105" s="66" t="inlineStr">
        <is>
          <t>Infobae Colombia</t>
        </is>
      </c>
      <c r="D105" s="66" t="inlineStr">
        <is>
          <t>Economía y negocios</t>
        </is>
      </c>
      <c r="E105" s="66" t="inlineStr">
        <is>
          <t>Noticia dura</t>
        </is>
      </c>
      <c r="F105" s="66" t="inlineStr">
        <is>
          <t>2026-03-17T21:04:50Z</t>
        </is>
      </c>
      <c r="G105" s="67" t="inlineStr">
        <is>
          <t>El Decreto 0234, promulgado por el Gobierno colombiano el 6 de marzo de 2026, autoriza la negociación colectiva más allá de la empresa, lo que posibilita acuerdos en sectores, ramas e industrias.</t>
        </is>
      </c>
      <c r="H105" s="67" t="inlineStr"/>
      <c r="I105" s="67" t="inlineStr">
        <is>
          <t>La reforma representa una transformación profunda en el sistema laboral del país y abre un debate sobre las implicaciones operativas y jurídicas.</t>
        </is>
      </c>
      <c r="J105" s="68" t="n"/>
      <c r="K105" s="69" t="n"/>
      <c r="L105" s="68" t="n"/>
      <c r="M105" s="69" t="n"/>
      <c r="N105" s="68" t="n"/>
      <c r="O105" s="69" t="n"/>
      <c r="P105" s="68" t="n"/>
      <c r="Q105" s="69" t="n"/>
      <c r="R105" s="68" t="n"/>
      <c r="S105" s="69" t="n"/>
      <c r="T105" s="68" t="n"/>
      <c r="U105" s="69" t="n"/>
      <c r="V105" s="68" t="n"/>
      <c r="W105" s="69" t="n"/>
      <c r="X105" s="68" t="n"/>
      <c r="Y105" s="69" t="n"/>
      <c r="Z105" s="68" t="n"/>
      <c r="AA105" s="69" t="n"/>
      <c r="AB105" s="68" t="n"/>
      <c r="AC105" s="69" t="n"/>
      <c r="AD105" s="70">
        <f>IF(AND(COUNTIF($B$5:B105,B105)=1,$B105&lt;&gt;"",$AB105&lt;&gt;""),1,0)</f>
        <v/>
      </c>
      <c r="AE105" s="67" t="inlineStr">
        <is>
          <t>https://www.infobae.com/colombia/2026/03/17/empresas-y-trabajadores-tendran-varias-dificultades-a-la-hora-de-aplicar-la-negociacion-colectiva-que-establecio-el-gobierno-petro/</t>
        </is>
      </c>
      <c r="AF105" s="64" t="n"/>
      <c r="AG105" s="65" t="n"/>
    </row>
    <row r="106" ht="15" customHeight="1" s="31">
      <c r="A106" s="66" t="inlineStr">
        <is>
          <t>ART_033</t>
        </is>
      </c>
      <c r="B106" s="66" t="inlineStr">
        <is>
          <t>ART_033_S02</t>
        </is>
      </c>
      <c r="C106" s="66" t="inlineStr">
        <is>
          <t>Infobae Colombia</t>
        </is>
      </c>
      <c r="D106" s="66" t="inlineStr">
        <is>
          <t>Economía y negocios</t>
        </is>
      </c>
      <c r="E106" s="66" t="inlineStr">
        <is>
          <t>Noticia dura</t>
        </is>
      </c>
      <c r="F106" s="66" t="inlineStr">
        <is>
          <t>2026-03-17T21:04:50Z</t>
        </is>
      </c>
      <c r="G106" s="67" t="inlineStr">
        <is>
          <t>La reforma representa una transformación profunda en el sistema laboral del país y abre un debate sobre las implicaciones operativas y jurídicas.</t>
        </is>
      </c>
      <c r="H106" s="67" t="inlineStr">
        <is>
          <t>El Decreto 0234, promulgado por el Gobierno colombiano el 6 de marzo de 2026, autoriza la negociación colectiva más allá de la empresa, lo que posibilita acuerdos en sectores, ramas e industrias.</t>
        </is>
      </c>
      <c r="I106" s="67" t="inlineStr">
        <is>
          <t>Las principales dificultades de aplicación de la norma radican en la falta de reglas claras para la representación empresarial, la ausencia de mecanismos definidos para incluir a micro, pequeñas y medianas empresas, y la inexistencia de lineamientos sobre el derecho de huelga sectorial.</t>
        </is>
      </c>
      <c r="J106" s="68" t="n"/>
      <c r="K106" s="69" t="n"/>
      <c r="L106" s="68" t="n"/>
      <c r="M106" s="69" t="n"/>
      <c r="N106" s="68" t="n"/>
      <c r="O106" s="69" t="n"/>
      <c r="P106" s="68" t="n"/>
      <c r="Q106" s="69" t="n"/>
      <c r="R106" s="68" t="n"/>
      <c r="S106" s="69" t="n"/>
      <c r="T106" s="68" t="n"/>
      <c r="U106" s="69" t="n"/>
      <c r="V106" s="68" t="n"/>
      <c r="W106" s="69" t="n"/>
      <c r="X106" s="68" t="n"/>
      <c r="Y106" s="69" t="n"/>
      <c r="Z106" s="68" t="n"/>
      <c r="AA106" s="69" t="n"/>
      <c r="AB106" s="68" t="n"/>
      <c r="AC106" s="69" t="n"/>
      <c r="AD106" s="70">
        <f>IF(AND(COUNTIF($B$5:B106,B106)=1,$B106&lt;&gt;"",$AB106&lt;&gt;""),1,0)</f>
        <v/>
      </c>
      <c r="AE106" s="67" t="inlineStr">
        <is>
          <t>https://www.infobae.com/colombia/2026/03/17/empresas-y-trabajadores-tendran-varias-dificultades-a-la-hora-de-aplicar-la-negociacion-colectiva-que-establecio-el-gobierno-petro/</t>
        </is>
      </c>
      <c r="AF106" s="64" t="n"/>
      <c r="AG106" s="65" t="n"/>
    </row>
    <row r="107" ht="15" customHeight="1" s="31">
      <c r="A107" s="66" t="inlineStr">
        <is>
          <t>ART_033</t>
        </is>
      </c>
      <c r="B107" s="66" t="inlineStr">
        <is>
          <t>ART_033_S03</t>
        </is>
      </c>
      <c r="C107" s="66" t="inlineStr">
        <is>
          <t>Infobae Colombia</t>
        </is>
      </c>
      <c r="D107" s="66" t="inlineStr">
        <is>
          <t>Economía y negocios</t>
        </is>
      </c>
      <c r="E107" s="66" t="inlineStr">
        <is>
          <t>Noticia dura</t>
        </is>
      </c>
      <c r="F107" s="66" t="inlineStr">
        <is>
          <t>2026-03-17T21:04:50Z</t>
        </is>
      </c>
      <c r="G107" s="67" t="inlineStr">
        <is>
          <t>Las principales dificultades de aplicación de la norma radican en la falta de reglas claras para la representación empresarial, la ausencia de mecanismos definidos para incluir a micro, pequeñas y medianas empresas, y la inexistencia de lineamientos sobre el derecho de huelga sectorial.</t>
        </is>
      </c>
      <c r="H107" s="67" t="inlineStr">
        <is>
          <t>La reforma representa una transformación profunda en el sistema laboral del país y abre un debate sobre las implicaciones operativas y jurídicas.</t>
        </is>
      </c>
      <c r="I107" s="67" t="inlineStr">
        <is>
          <t>Expertos advierten que estos vacíos pueden generar incertidumbre y conflictos legales en el proceso de negociación.</t>
        </is>
      </c>
      <c r="J107" s="68" t="n"/>
      <c r="K107" s="69" t="n"/>
      <c r="L107" s="68" t="n"/>
      <c r="M107" s="69" t="n"/>
      <c r="N107" s="68" t="n"/>
      <c r="O107" s="69" t="n"/>
      <c r="P107" s="68" t="n"/>
      <c r="Q107" s="69" t="n"/>
      <c r="R107" s="68" t="n"/>
      <c r="S107" s="69" t="n"/>
      <c r="T107" s="68" t="n"/>
      <c r="U107" s="69" t="n"/>
      <c r="V107" s="68" t="n"/>
      <c r="W107" s="69" t="n"/>
      <c r="X107" s="68" t="n"/>
      <c r="Y107" s="69" t="n"/>
      <c r="Z107" s="68" t="n"/>
      <c r="AA107" s="69" t="n"/>
      <c r="AB107" s="68" t="n"/>
      <c r="AC107" s="69" t="n"/>
      <c r="AD107" s="70">
        <f>IF(AND(COUNTIF($B$5:B107,B107)=1,$B107&lt;&gt;"",$AB107&lt;&gt;""),1,0)</f>
        <v/>
      </c>
      <c r="AE107" s="67" t="inlineStr">
        <is>
          <t>https://www.infobae.com/colombia/2026/03/17/empresas-y-trabajadores-tendran-varias-dificultades-a-la-hora-de-aplicar-la-negociacion-colectiva-que-establecio-el-gobierno-petro/</t>
        </is>
      </c>
      <c r="AF107" s="64" t="n"/>
      <c r="AG107" s="65" t="n"/>
    </row>
    <row r="108" ht="15" customHeight="1" s="31">
      <c r="A108" s="66" t="inlineStr">
        <is>
          <t>ART_033</t>
        </is>
      </c>
      <c r="B108" s="66" t="inlineStr">
        <is>
          <t>ART_033_S04</t>
        </is>
      </c>
      <c r="C108" s="66" t="inlineStr">
        <is>
          <t>Infobae Colombia</t>
        </is>
      </c>
      <c r="D108" s="66" t="inlineStr">
        <is>
          <t>Economía y negocios</t>
        </is>
      </c>
      <c r="E108" s="66" t="inlineStr">
        <is>
          <t>Noticia dura</t>
        </is>
      </c>
      <c r="F108" s="66" t="inlineStr">
        <is>
          <t>2026-03-17T21:04:50Z</t>
        </is>
      </c>
      <c r="G108" s="67" t="inlineStr">
        <is>
          <t>Expertos advierten que estos vacíos pueden generar incertidumbre y conflictos legales en el proceso de negociación.</t>
        </is>
      </c>
      <c r="H108" s="67" t="inlineStr">
        <is>
          <t>Las principales dificultades de aplicación de la norma radican en la falta de reglas claras para la representación empresarial, la ausencia de mecanismos definidos para incluir a micro, pequeñas y medianas empresas, y la inexistencia de lineamientos sobre el derecho de huelga sectorial.</t>
        </is>
      </c>
      <c r="I108" s="67" t="inlineStr">
        <is>
          <t>Y es que, precisamente, el Decreto 0234 marca un cambio de rumbo en las relaciones laborales en Colombia, lo que modifica el modelo tradicional centrado en la empresa.</t>
        </is>
      </c>
      <c r="J108" s="68" t="n"/>
      <c r="K108" s="69" t="n"/>
      <c r="L108" s="68" t="n"/>
      <c r="M108" s="69" t="n"/>
      <c r="N108" s="68" t="n"/>
      <c r="O108" s="69" t="n"/>
      <c r="P108" s="68" t="n"/>
      <c r="Q108" s="69" t="n"/>
      <c r="R108" s="68" t="n"/>
      <c r="S108" s="69" t="n"/>
      <c r="T108" s="68" t="n"/>
      <c r="U108" s="69" t="n"/>
      <c r="V108" s="68" t="n"/>
      <c r="W108" s="69" t="n"/>
      <c r="X108" s="68" t="n"/>
      <c r="Y108" s="69" t="n"/>
      <c r="Z108" s="68" t="n"/>
      <c r="AA108" s="69" t="n"/>
      <c r="AB108" s="68" t="n"/>
      <c r="AC108" s="69" t="n"/>
      <c r="AD108" s="70">
        <f>IF(AND(COUNTIF($B$5:B108,B108)=1,$B108&lt;&gt;"",$AB108&lt;&gt;""),1,0)</f>
        <v/>
      </c>
      <c r="AE108" s="67" t="inlineStr">
        <is>
          <t>https://www.infobae.com/colombia/2026/03/17/empresas-y-trabajadores-tendran-varias-dificultades-a-la-hora-de-aplicar-la-negociacion-colectiva-que-establecio-el-gobierno-petro/</t>
        </is>
      </c>
      <c r="AF108" s="64" t="n"/>
      <c r="AG108" s="65" t="n"/>
    </row>
    <row r="109" ht="15" customHeight="1" s="31">
      <c r="A109" s="66" t="inlineStr">
        <is>
          <t>ART_033</t>
        </is>
      </c>
      <c r="B109" s="66" t="inlineStr">
        <is>
          <t>ART_033_S05</t>
        </is>
      </c>
      <c r="C109" s="66" t="inlineStr">
        <is>
          <t>Infobae Colombia</t>
        </is>
      </c>
      <c r="D109" s="66" t="inlineStr">
        <is>
          <t>Economía y negocios</t>
        </is>
      </c>
      <c r="E109" s="66" t="inlineStr">
        <is>
          <t>Noticia dura</t>
        </is>
      </c>
      <c r="F109" s="66" t="inlineStr">
        <is>
          <t>2026-03-17T21:04:50Z</t>
        </is>
      </c>
      <c r="G109" s="67" t="inlineStr">
        <is>
          <t>Y es que, precisamente, el Decreto 0234 marca un cambio de rumbo en las relaciones laborales en Colombia, lo que modifica el modelo tradicional centrado en la empresa.</t>
        </is>
      </c>
      <c r="H109" s="67" t="inlineStr">
        <is>
          <t>Expertos advierten que estos vacíos pueden generar incertidumbre y conflictos legales en el proceso de negociación.</t>
        </is>
      </c>
      <c r="I109" s="67" t="inlineStr">
        <is>
          <t>Hasta ahora, la negociación colectiva ocurría de manera usual dentro de cada empleador, aunque la ley permitía ciertas negociaciones grupales.</t>
        </is>
      </c>
      <c r="J109" s="68" t="n"/>
      <c r="K109" s="69" t="n"/>
      <c r="L109" s="68" t="n"/>
      <c r="M109" s="69" t="n"/>
      <c r="N109" s="68" t="n"/>
      <c r="O109" s="69" t="n"/>
      <c r="P109" s="68" t="n"/>
      <c r="Q109" s="69" t="n"/>
      <c r="R109" s="68" t="n"/>
      <c r="S109" s="69" t="n"/>
      <c r="T109" s="68" t="n"/>
      <c r="U109" s="69" t="n"/>
      <c r="V109" s="68" t="n"/>
      <c r="W109" s="69" t="n"/>
      <c r="X109" s="68" t="n"/>
      <c r="Y109" s="69" t="n"/>
      <c r="Z109" s="68" t="n"/>
      <c r="AA109" s="69" t="n"/>
      <c r="AB109" s="68" t="n"/>
      <c r="AC109" s="69" t="n"/>
      <c r="AD109" s="70">
        <f>IF(AND(COUNTIF($B$5:B109,B109)=1,$B109&lt;&gt;"",$AB109&lt;&gt;""),1,0)</f>
        <v/>
      </c>
      <c r="AE109" s="67" t="inlineStr">
        <is>
          <t>https://www.infobae.com/colombia/2026/03/17/empresas-y-trabajadores-tendran-varias-dificultades-a-la-hora-de-aplicar-la-negociacion-colectiva-que-establecio-el-gobierno-petro/</t>
        </is>
      </c>
      <c r="AF109" s="64" t="n"/>
      <c r="AG109" s="65" t="n"/>
    </row>
    <row r="110" ht="15" customHeight="1" s="31">
      <c r="A110" s="66" t="inlineStr">
        <is>
          <t>ART_033</t>
        </is>
      </c>
      <c r="B110" s="66" t="inlineStr">
        <is>
          <t>ART_033_S06</t>
        </is>
      </c>
      <c r="C110" s="66" t="inlineStr">
        <is>
          <t>Infobae Colombia</t>
        </is>
      </c>
      <c r="D110" s="66" t="inlineStr">
        <is>
          <t>Economía y negocios</t>
        </is>
      </c>
      <c r="E110" s="66" t="inlineStr">
        <is>
          <t>Noticia dura</t>
        </is>
      </c>
      <c r="F110" s="66" t="inlineStr">
        <is>
          <t>2026-03-17T21:04:50Z</t>
        </is>
      </c>
      <c r="G110" s="67" t="inlineStr">
        <is>
          <t>Hasta ahora, la negociación colectiva ocurría de manera usual dentro de cada empleador, aunque la ley permitía ciertas negociaciones grupales.</t>
        </is>
      </c>
      <c r="H110" s="67" t="inlineStr">
        <is>
          <t>Y es que, precisamente, el Decreto 0234 marca un cambio de rumbo en las relaciones laborales en Colombia, lo que modifica el modelo tradicional centrado en la empresa.</t>
        </is>
      </c>
      <c r="I110" s="67" t="inlineStr">
        <is>
          <t>Con la nueva norma, las convenciones podrán fijar condiciones mínimas en niveles superiores, que no podrán ser rebajadas en acuerdos posteriores al interior de las compañías.</t>
        </is>
      </c>
      <c r="J110" s="68" t="n"/>
      <c r="K110" s="69" t="n"/>
      <c r="L110" s="68" t="n"/>
      <c r="M110" s="69" t="n"/>
      <c r="N110" s="68" t="n"/>
      <c r="O110" s="69" t="n"/>
      <c r="P110" s="68" t="n"/>
      <c r="Q110" s="69" t="n"/>
      <c r="R110" s="68" t="n"/>
      <c r="S110" s="69" t="n"/>
      <c r="T110" s="68" t="n"/>
      <c r="U110" s="69" t="n"/>
      <c r="V110" s="68" t="n"/>
      <c r="W110" s="69" t="n"/>
      <c r="X110" s="68" t="n"/>
      <c r="Y110" s="69" t="n"/>
      <c r="Z110" s="68" t="n"/>
      <c r="AA110" s="69" t="n"/>
      <c r="AB110" s="68" t="n"/>
      <c r="AC110" s="69" t="n"/>
      <c r="AD110" s="70">
        <f>IF(AND(COUNTIF($B$5:B110,B110)=1,$B110&lt;&gt;"",$AB110&lt;&gt;""),1,0)</f>
        <v/>
      </c>
      <c r="AE110" s="67" t="inlineStr">
        <is>
          <t>https://www.infobae.com/colombia/2026/03/17/empresas-y-trabajadores-tendran-varias-dificultades-a-la-hora-de-aplicar-la-negociacion-colectiva-que-establecio-el-gobierno-petro/</t>
        </is>
      </c>
      <c r="AF110" s="64" t="n"/>
      <c r="AG110" s="65" t="n"/>
    </row>
    <row r="111" ht="15" customHeight="1" s="31">
      <c r="A111" s="66" t="inlineStr">
        <is>
          <t>ART_033</t>
        </is>
      </c>
      <c r="B111" s="66" t="inlineStr">
        <is>
          <t>ART_033_S07</t>
        </is>
      </c>
      <c r="C111" s="66" t="inlineStr">
        <is>
          <t>Infobae Colombia</t>
        </is>
      </c>
      <c r="D111" s="66" t="inlineStr">
        <is>
          <t>Economía y negocios</t>
        </is>
      </c>
      <c r="E111" s="66" t="inlineStr">
        <is>
          <t>Noticia dura</t>
        </is>
      </c>
      <c r="F111" s="66" t="inlineStr">
        <is>
          <t>2026-03-17T21:04:50Z</t>
        </is>
      </c>
      <c r="G111" s="67" t="inlineStr">
        <is>
          <t>Con la nueva norma, las convenciones podrán fijar condiciones mínimas en niveles superiores, que no podrán ser rebajadas en acuerdos posteriores al interior de las compañías.</t>
        </is>
      </c>
      <c r="H111" s="67" t="inlineStr">
        <is>
          <t>Hasta ahora, la negociación colectiva ocurría de manera usual dentro de cada empleador, aunque la ley permitía ciertas negociaciones grupales.</t>
        </is>
      </c>
      <c r="I111" s="67" t="inlineStr">
        <is>
          <t>Para el gobernador del Colegio de Abogados del Trabajo de Colombia, Juan Fernando Escandón, la reforma contiene vacíos esenciales, ya que no desarrolla la arquitectura institucional que requiere el nuevo modelo.</t>
        </is>
      </c>
      <c r="J111" s="68" t="n"/>
      <c r="K111" s="69" t="n"/>
      <c r="L111" s="68" t="n"/>
      <c r="M111" s="69" t="n"/>
      <c r="N111" s="68" t="n"/>
      <c r="O111" s="69" t="n"/>
      <c r="P111" s="68" t="n"/>
      <c r="Q111" s="69" t="n"/>
      <c r="R111" s="68" t="n"/>
      <c r="S111" s="69" t="n"/>
      <c r="T111" s="68" t="n"/>
      <c r="U111" s="69" t="n"/>
      <c r="V111" s="68" t="n"/>
      <c r="W111" s="69" t="n"/>
      <c r="X111" s="68" t="n"/>
      <c r="Y111" s="69" t="n"/>
      <c r="Z111" s="68" t="n"/>
      <c r="AA111" s="69" t="n"/>
      <c r="AB111" s="68" t="n"/>
      <c r="AC111" s="69" t="n"/>
      <c r="AD111" s="70">
        <f>IF(AND(COUNTIF($B$5:B111,B111)=1,$B111&lt;&gt;"",$AB111&lt;&gt;""),1,0)</f>
        <v/>
      </c>
      <c r="AE111" s="67" t="inlineStr">
        <is>
          <t>https://www.infobae.com/colombia/2026/03/17/empresas-y-trabajadores-tendran-varias-dificultades-a-la-hora-de-aplicar-la-negociacion-colectiva-que-establecio-el-gobierno-petro/</t>
        </is>
      </c>
      <c r="AF111" s="64" t="n"/>
      <c r="AG111" s="65" t="n"/>
    </row>
    <row r="112" ht="15" customHeight="1" s="31">
      <c r="A112" s="66" t="inlineStr">
        <is>
          <t>ART_033</t>
        </is>
      </c>
      <c r="B112" s="66" t="inlineStr">
        <is>
          <t>ART_033_S08</t>
        </is>
      </c>
      <c r="C112" s="66" t="inlineStr">
        <is>
          <t>Infobae Colombia</t>
        </is>
      </c>
      <c r="D112" s="66" t="inlineStr">
        <is>
          <t>Economía y negocios</t>
        </is>
      </c>
      <c r="E112" s="66" t="inlineStr">
        <is>
          <t>Noticia dura</t>
        </is>
      </c>
      <c r="F112" s="66" t="inlineStr">
        <is>
          <t>2026-03-17T21:04:50Z</t>
        </is>
      </c>
      <c r="G112" s="67" t="inlineStr">
        <is>
          <t>Para el gobernador del Colegio de Abogados del Trabajo de Colombia, Juan Fernando Escandón, la reforma contiene vacíos esenciales, ya que no desarrolla la arquitectura institucional que requiere el nuevo modelo.</t>
        </is>
      </c>
      <c r="H112" s="67" t="inlineStr">
        <is>
          <t>Con la nueva norma, las convenciones podrán fijar condiciones mínimas en niveles superiores, que no podrán ser rebajadas en acuerdos posteriores al interior de las compañías.</t>
        </is>
      </c>
      <c r="I112" s="67" t="inlineStr">
        <is>
          <t>“El decreto plantea un cambio estructural en la forma en que se negocian las condiciones laborales en el país.</t>
        </is>
      </c>
      <c r="J112" s="68" t="n"/>
      <c r="K112" s="69" t="n"/>
      <c r="L112" s="68" t="n"/>
      <c r="M112" s="69" t="n"/>
      <c r="N112" s="68" t="n"/>
      <c r="O112" s="69" t="n"/>
      <c r="P112" s="68" t="n"/>
      <c r="Q112" s="69" t="n"/>
      <c r="R112" s="68" t="n"/>
      <c r="S112" s="69" t="n"/>
      <c r="T112" s="68" t="n"/>
      <c r="U112" s="69" t="n"/>
      <c r="V112" s="68" t="n"/>
      <c r="W112" s="69" t="n"/>
      <c r="X112" s="68" t="n"/>
      <c r="Y112" s="69" t="n"/>
      <c r="Z112" s="68" t="n"/>
      <c r="AA112" s="69" t="n"/>
      <c r="AB112" s="68" t="n"/>
      <c r="AC112" s="69" t="n"/>
      <c r="AD112" s="70">
        <f>IF(AND(COUNTIF($B$5:B112,B112)=1,$B112&lt;&gt;"",$AB112&lt;&gt;""),1,0)</f>
        <v/>
      </c>
      <c r="AE112" s="67" t="inlineStr">
        <is>
          <t>https://www.infobae.com/colombia/2026/03/17/empresas-y-trabajadores-tendran-varias-dificultades-a-la-hora-de-aplicar-la-negociacion-colectiva-que-establecio-el-gobierno-petro/</t>
        </is>
      </c>
      <c r="AF112" s="64" t="n"/>
      <c r="AG112" s="65" t="n"/>
    </row>
    <row r="113" ht="15" customHeight="1" s="31">
      <c r="A113" s="66" t="inlineStr">
        <is>
          <t>ART_033</t>
        </is>
      </c>
      <c r="B113" s="66" t="inlineStr">
        <is>
          <t>ART_033_S09</t>
        </is>
      </c>
      <c r="C113" s="66" t="inlineStr">
        <is>
          <t>Infobae Colombia</t>
        </is>
      </c>
      <c r="D113" s="66" t="inlineStr">
        <is>
          <t>Economía y negocios</t>
        </is>
      </c>
      <c r="E113" s="66" t="inlineStr">
        <is>
          <t>Noticia dura</t>
        </is>
      </c>
      <c r="F113" s="66" t="inlineStr">
        <is>
          <t>2026-03-17T21:04:50Z</t>
        </is>
      </c>
      <c r="G113" s="67" t="inlineStr">
        <is>
          <t>“El decreto plantea un cambio estructural en la forma en que se negocian las condiciones laborales en el país.</t>
        </is>
      </c>
      <c r="H113" s="67" t="inlineStr">
        <is>
          <t>Para el gobernador del Colegio de Abogados del Trabajo de Colombia, Juan Fernando Escandón, la reforma contiene vacíos esenciales, ya que no desarrolla la arquitectura institucional que requiere el nuevo modelo.</t>
        </is>
      </c>
      <c r="I113" s="67" t="inlineStr">
        <is>
          <t>No obstante, su diseño técnico deja numerosas preguntas sobre cómo funcionará realmente este nuevo esquema”, afirmó Escandón.</t>
        </is>
      </c>
      <c r="J113" s="68" t="n"/>
      <c r="K113" s="69" t="n"/>
      <c r="L113" s="68" t="n"/>
      <c r="M113" s="69" t="n"/>
      <c r="N113" s="68" t="n"/>
      <c r="O113" s="69" t="n"/>
      <c r="P113" s="68" t="n"/>
      <c r="Q113" s="69" t="n"/>
      <c r="R113" s="68" t="n"/>
      <c r="S113" s="69" t="n"/>
      <c r="T113" s="68" t="n"/>
      <c r="U113" s="69" t="n"/>
      <c r="V113" s="68" t="n"/>
      <c r="W113" s="69" t="n"/>
      <c r="X113" s="68" t="n"/>
      <c r="Y113" s="69" t="n"/>
      <c r="Z113" s="68" t="n"/>
      <c r="AA113" s="69" t="n"/>
      <c r="AB113" s="68" t="n"/>
      <c r="AC113" s="69" t="n"/>
      <c r="AD113" s="70">
        <f>IF(AND(COUNTIF($B$5:B113,B113)=1,$B113&lt;&gt;"",$AB113&lt;&gt;""),1,0)</f>
        <v/>
      </c>
      <c r="AE113" s="67" t="inlineStr">
        <is>
          <t>https://www.infobae.com/colombia/2026/03/17/empresas-y-trabajadores-tendran-varias-dificultades-a-la-hora-de-aplicar-la-negociacion-colectiva-que-establecio-el-gobierno-petro/</t>
        </is>
      </c>
      <c r="AF113" s="64" t="n"/>
      <c r="AG113" s="65" t="n"/>
    </row>
    <row r="114" ht="15" customHeight="1" s="31">
      <c r="A114" s="66" t="inlineStr">
        <is>
          <t>ART_033</t>
        </is>
      </c>
      <c r="B114" s="66" t="inlineStr">
        <is>
          <t>ART_033_S10</t>
        </is>
      </c>
      <c r="C114" s="66" t="inlineStr">
        <is>
          <t>Infobae Colombia</t>
        </is>
      </c>
      <c r="D114" s="66" t="inlineStr">
        <is>
          <t>Economía y negocios</t>
        </is>
      </c>
      <c r="E114" s="66" t="inlineStr">
        <is>
          <t>Noticia dura</t>
        </is>
      </c>
      <c r="F114" s="66" t="inlineStr">
        <is>
          <t>2026-03-17T21:04:50Z</t>
        </is>
      </c>
      <c r="G114" s="67" t="inlineStr">
        <is>
          <t>No obstante, su diseño técnico deja numerosas preguntas sobre cómo funcionará realmente este nuevo esquema”, afirmó Escandón.</t>
        </is>
      </c>
      <c r="H114" s="67" t="inlineStr">
        <is>
          <t>“El decreto plantea un cambio estructural en la forma en que se negocian las condiciones laborales en el país.</t>
        </is>
      </c>
      <c r="I114" s="67" t="inlineStr"/>
      <c r="J114" s="68" t="n"/>
      <c r="K114" s="69" t="n"/>
      <c r="L114" s="68" t="n"/>
      <c r="M114" s="69" t="n"/>
      <c r="N114" s="68" t="n"/>
      <c r="O114" s="69" t="n"/>
      <c r="P114" s="68" t="n"/>
      <c r="Q114" s="69" t="n"/>
      <c r="R114" s="68" t="n"/>
      <c r="S114" s="69" t="n"/>
      <c r="T114" s="68" t="n"/>
      <c r="U114" s="69" t="n"/>
      <c r="V114" s="68" t="n"/>
      <c r="W114" s="69" t="n"/>
      <c r="X114" s="68" t="n"/>
      <c r="Y114" s="69" t="n"/>
      <c r="Z114" s="68" t="n"/>
      <c r="AA114" s="69" t="n"/>
      <c r="AB114" s="68" t="n"/>
      <c r="AC114" s="69" t="n"/>
      <c r="AD114" s="70">
        <f>IF(AND(COUNTIF($B$5:B114,B114)=1,$B114&lt;&gt;"",$AB114&lt;&gt;""),1,0)</f>
        <v/>
      </c>
      <c r="AE114" s="67" t="inlineStr">
        <is>
          <t>https://www.infobae.com/colombia/2026/03/17/empresas-y-trabajadores-tendran-varias-dificultades-a-la-hora-de-aplicar-la-negociacion-colectiva-que-establecio-el-gobierno-petro/</t>
        </is>
      </c>
      <c r="AF114" s="64" t="n"/>
      <c r="AG114" s="65" t="n"/>
    </row>
    <row r="115" ht="15" customHeight="1" s="31">
      <c r="A115" s="66" t="inlineStr">
        <is>
          <t>ART_034</t>
        </is>
      </c>
      <c r="B115" s="66" t="inlineStr">
        <is>
          <t>ART_034_S01</t>
        </is>
      </c>
      <c r="C115" s="66" t="inlineStr">
        <is>
          <t>Infobae Colombia</t>
        </is>
      </c>
      <c r="D115" s="66" t="inlineStr">
        <is>
          <t>Economía y negocios</t>
        </is>
      </c>
      <c r="E115" s="66" t="inlineStr">
        <is>
          <t>Noticia dura</t>
        </is>
      </c>
      <c r="F115" s="66" t="inlineStr">
        <is>
          <t>2026-03-26T17:40:28Z</t>
        </is>
      </c>
      <c r="G115" s="67" t="inlineStr">
        <is>
          <t>Un nuevo cruce público reavivó la tensión entre el Gobierno nacional y el sector empresarial por cuenta de las reglas laborales.</t>
        </is>
      </c>
      <c r="H115" s="67" t="inlineStr"/>
      <c r="I115" s="67" t="inlineStr">
        <is>
          <t>Esta vez, el intercambio se produjo en la red social X entre el ministro de Trabajo, Antonio Sanguino, y el presidente de Fenalco, Jaime Alberto Cabal, en el contexto de la demanda contra el Decreto 234 de 2026.</t>
        </is>
      </c>
      <c r="J115" s="68" t="n"/>
      <c r="K115" s="69" t="n"/>
      <c r="L115" s="68" t="n"/>
      <c r="M115" s="69" t="n"/>
      <c r="N115" s="68" t="n"/>
      <c r="O115" s="69" t="n"/>
      <c r="P115" s="68" t="n"/>
      <c r="Q115" s="69" t="n"/>
      <c r="R115" s="68" t="n"/>
      <c r="S115" s="69" t="n"/>
      <c r="T115" s="68" t="n"/>
      <c r="U115" s="69" t="n"/>
      <c r="V115" s="68" t="n"/>
      <c r="W115" s="69" t="n"/>
      <c r="X115" s="68" t="n"/>
      <c r="Y115" s="69" t="n"/>
      <c r="Z115" s="68" t="n"/>
      <c r="AA115" s="69" t="n"/>
      <c r="AB115" s="68" t="n"/>
      <c r="AC115" s="69" t="n"/>
      <c r="AD115" s="70">
        <f>IF(AND(COUNTIF($B$5:B115,B115)=1,$B115&lt;&gt;"",$AB115&lt;&gt;""),1,0)</f>
        <v/>
      </c>
      <c r="AE115" s="67" t="inlineStr">
        <is>
          <t>https://www.infobae.com/colombia/2026/03/26/nueva-disputa-por-reforma-laboral-gobierno-defiende-decreto-y-fenalco-lo-lleva-a-la-justicia/</t>
        </is>
      </c>
      <c r="AF115" s="64" t="n"/>
      <c r="AG115" s="65" t="n"/>
    </row>
    <row r="116" ht="15" customHeight="1" s="31">
      <c r="A116" s="66" t="inlineStr">
        <is>
          <t>ART_034</t>
        </is>
      </c>
      <c r="B116" s="66" t="inlineStr">
        <is>
          <t>ART_034_S02</t>
        </is>
      </c>
      <c r="C116" s="66" t="inlineStr">
        <is>
          <t>Infobae Colombia</t>
        </is>
      </c>
      <c r="D116" s="66" t="inlineStr">
        <is>
          <t>Economía y negocios</t>
        </is>
      </c>
      <c r="E116" s="66" t="inlineStr">
        <is>
          <t>Noticia dura</t>
        </is>
      </c>
      <c r="F116" s="66" t="inlineStr">
        <is>
          <t>2026-03-26T17:40:28Z</t>
        </is>
      </c>
      <c r="G116" s="67" t="inlineStr">
        <is>
          <t>Esta vez, el intercambio se produjo en la red social X entre el ministro de Trabajo, Antonio Sanguino, y el presidente de Fenalco, Jaime Alberto Cabal, en el contexto de la demanda contra el Decreto 234 de 2026.</t>
        </is>
      </c>
      <c r="H116" s="67" t="inlineStr">
        <is>
          <t>Un nuevo cruce público reavivó la tensión entre el Gobierno nacional y el sector empresarial por cuenta de las reglas laborales.</t>
        </is>
      </c>
      <c r="I116" s="67" t="inlineStr">
        <is>
          <t>El origen del desacuerdo está en esa norma, que regula aspectos de la negociación colectiva entre trabajadores y empleadores.</t>
        </is>
      </c>
      <c r="J116" s="68" t="n"/>
      <c r="K116" s="69" t="n"/>
      <c r="L116" s="68" t="n"/>
      <c r="M116" s="69" t="n"/>
      <c r="N116" s="68" t="n"/>
      <c r="O116" s="69" t="n"/>
      <c r="P116" s="68" t="n"/>
      <c r="Q116" s="69" t="n"/>
      <c r="R116" s="68" t="n"/>
      <c r="S116" s="69" t="n"/>
      <c r="T116" s="68" t="n"/>
      <c r="U116" s="69" t="n"/>
      <c r="V116" s="68" t="n"/>
      <c r="W116" s="69" t="n"/>
      <c r="X116" s="68" t="n"/>
      <c r="Y116" s="69" t="n"/>
      <c r="Z116" s="68" t="n"/>
      <c r="AA116" s="69" t="n"/>
      <c r="AB116" s="68" t="n"/>
      <c r="AC116" s="69" t="n"/>
      <c r="AD116" s="70">
        <f>IF(AND(COUNTIF($B$5:B116,B116)=1,$B116&lt;&gt;"",$AB116&lt;&gt;""),1,0)</f>
        <v/>
      </c>
      <c r="AE116" s="67" t="inlineStr">
        <is>
          <t>https://www.infobae.com/colombia/2026/03/26/nueva-disputa-por-reforma-laboral-gobierno-defiende-decreto-y-fenalco-lo-lleva-a-la-justicia/</t>
        </is>
      </c>
      <c r="AF116" s="64" t="n"/>
      <c r="AG116" s="65" t="n"/>
    </row>
    <row r="117" ht="15" customHeight="1" s="31">
      <c r="A117" s="66" t="inlineStr">
        <is>
          <t>ART_034</t>
        </is>
      </c>
      <c r="B117" s="66" t="inlineStr">
        <is>
          <t>ART_034_S03</t>
        </is>
      </c>
      <c r="C117" s="66" t="inlineStr">
        <is>
          <t>Infobae Colombia</t>
        </is>
      </c>
      <c r="D117" s="66" t="inlineStr">
        <is>
          <t>Economía y negocios</t>
        </is>
      </c>
      <c r="E117" s="66" t="inlineStr">
        <is>
          <t>Noticia dura</t>
        </is>
      </c>
      <c r="F117" s="66" t="inlineStr">
        <is>
          <t>2026-03-26T17:40:28Z</t>
        </is>
      </c>
      <c r="G117" s="67" t="inlineStr">
        <is>
          <t>El origen del desacuerdo está en esa norma, que regula aspectos de la negociación colectiva entre trabajadores y empleadores.</t>
        </is>
      </c>
      <c r="H117" s="67" t="inlineStr">
        <is>
          <t>Esta vez, el intercambio se produjo en la red social X entre el ministro de Trabajo, Antonio Sanguino, y el presidente de Fenalco, Jaime Alberto Cabal, en el contexto de la demanda contra el Decreto 234 de 2026.</t>
        </is>
      </c>
      <c r="I117" s="67" t="inlineStr">
        <is>
          <t>Según el gremio, el Gobierno fue más allá de lo que le permite la ley al expedirla, por lo que pidió su anulación ante la justicia administrativa.</t>
        </is>
      </c>
      <c r="J117" s="68" t="n"/>
      <c r="K117" s="69" t="n"/>
      <c r="L117" s="68" t="n"/>
      <c r="M117" s="69" t="n"/>
      <c r="N117" s="68" t="n"/>
      <c r="O117" s="69" t="n"/>
      <c r="P117" s="68" t="n"/>
      <c r="Q117" s="69" t="n"/>
      <c r="R117" s="68" t="n"/>
      <c r="S117" s="69" t="n"/>
      <c r="T117" s="68" t="n"/>
      <c r="U117" s="69" t="n"/>
      <c r="V117" s="68" t="n"/>
      <c r="W117" s="69" t="n"/>
      <c r="X117" s="68" t="n"/>
      <c r="Y117" s="69" t="n"/>
      <c r="Z117" s="68" t="n"/>
      <c r="AA117" s="69" t="n"/>
      <c r="AB117" s="68" t="n"/>
      <c r="AC117" s="69" t="n"/>
      <c r="AD117" s="70">
        <f>IF(AND(COUNTIF($B$5:B117,B117)=1,$B117&lt;&gt;"",$AB117&lt;&gt;""),1,0)</f>
        <v/>
      </c>
      <c r="AE117" s="67" t="inlineStr">
        <is>
          <t>https://www.infobae.com/colombia/2026/03/26/nueva-disputa-por-reforma-laboral-gobierno-defiende-decreto-y-fenalco-lo-lleva-a-la-justicia/</t>
        </is>
      </c>
      <c r="AF117" s="64" t="n"/>
      <c r="AG117" s="65" t="n"/>
    </row>
    <row r="118" ht="15" customHeight="1" s="31">
      <c r="A118" s="66" t="inlineStr">
        <is>
          <t>ART_034</t>
        </is>
      </c>
      <c r="B118" s="66" t="inlineStr">
        <is>
          <t>ART_034_S04</t>
        </is>
      </c>
      <c r="C118" s="66" t="inlineStr">
        <is>
          <t>Infobae Colombia</t>
        </is>
      </c>
      <c r="D118" s="66" t="inlineStr">
        <is>
          <t>Economía y negocios</t>
        </is>
      </c>
      <c r="E118" s="66" t="inlineStr">
        <is>
          <t>Noticia dura</t>
        </is>
      </c>
      <c r="F118" s="66" t="inlineStr">
        <is>
          <t>2026-03-26T17:40:28Z</t>
        </is>
      </c>
      <c r="G118" s="67" t="inlineStr">
        <is>
          <t>Según el gremio, el Gobierno fue más allá de lo que le permite la ley al expedirla, por lo que pidió su anulación ante la justicia administrativa.</t>
        </is>
      </c>
      <c r="H118" s="67" t="inlineStr">
        <is>
          <t>El origen del desacuerdo está en esa norma, que regula aspectos de la negociación colectiva entre trabajadores y empleadores.</t>
        </is>
      </c>
      <c r="I118" s="67" t="inlineStr">
        <is>
          <t>En medio de ese escenario, el ministro publicó un mensaje en el que señaló: “Al antisindicalismo abusando de la falacia para debilitar la capacidad negociadora de los trabajadores en la negociación de sus pliegos y sus derechos”.</t>
        </is>
      </c>
      <c r="J118" s="68" t="n"/>
      <c r="K118" s="69" t="n"/>
      <c r="L118" s="68" t="n"/>
      <c r="M118" s="69" t="n"/>
      <c r="N118" s="68" t="n"/>
      <c r="O118" s="69" t="n"/>
      <c r="P118" s="68" t="n"/>
      <c r="Q118" s="69" t="n"/>
      <c r="R118" s="68" t="n"/>
      <c r="S118" s="69" t="n"/>
      <c r="T118" s="68" t="n"/>
      <c r="U118" s="69" t="n"/>
      <c r="V118" s="68" t="n"/>
      <c r="W118" s="69" t="n"/>
      <c r="X118" s="68" t="n"/>
      <c r="Y118" s="69" t="n"/>
      <c r="Z118" s="68" t="n"/>
      <c r="AA118" s="69" t="n"/>
      <c r="AB118" s="68" t="n"/>
      <c r="AC118" s="69" t="n"/>
      <c r="AD118" s="70">
        <f>IF(AND(COUNTIF($B$5:B118,B118)=1,$B118&lt;&gt;"",$AB118&lt;&gt;""),1,0)</f>
        <v/>
      </c>
      <c r="AE118" s="67" t="inlineStr">
        <is>
          <t>https://www.infobae.com/colombia/2026/03/26/nueva-disputa-por-reforma-laboral-gobierno-defiende-decreto-y-fenalco-lo-lleva-a-la-justicia/</t>
        </is>
      </c>
      <c r="AF118" s="64" t="n"/>
      <c r="AG118" s="65" t="n"/>
    </row>
    <row r="119" ht="15" customHeight="1" s="31">
      <c r="A119" s="66" t="inlineStr">
        <is>
          <t>ART_034</t>
        </is>
      </c>
      <c r="B119" s="66" t="inlineStr">
        <is>
          <t>ART_034_S05</t>
        </is>
      </c>
      <c r="C119" s="66" t="inlineStr">
        <is>
          <t>Infobae Colombia</t>
        </is>
      </c>
      <c r="D119" s="66" t="inlineStr">
        <is>
          <t>Economía y negocios</t>
        </is>
      </c>
      <c r="E119" s="66" t="inlineStr">
        <is>
          <t>Noticia dura</t>
        </is>
      </c>
      <c r="F119" s="66" t="inlineStr">
        <is>
          <t>2026-03-26T17:40:28Z</t>
        </is>
      </c>
      <c r="G119" s="67" t="inlineStr">
        <is>
          <t>En medio de ese escenario, el ministro publicó un mensaje en el que señaló: “Al antisindicalismo abusando de la falacia para debilitar la capacidad negociadora de los trabajadores en la negociación de sus pliegos y sus derechos”.</t>
        </is>
      </c>
      <c r="H119" s="67" t="inlineStr">
        <is>
          <t>Según el gremio, el Gobierno fue más allá de lo que le permite la ley al expedirla, por lo que pidió su anulación ante la justicia administrativa.</t>
        </is>
      </c>
      <c r="I119" s="67" t="inlineStr">
        <is>
          <t>La afirmación fue interpretada como una crítica directa a la posición de los empresarios frente al decreto.</t>
        </is>
      </c>
      <c r="J119" s="68" t="n"/>
      <c r="K119" s="69" t="n"/>
      <c r="L119" s="68" t="n"/>
      <c r="M119" s="69" t="n"/>
      <c r="N119" s="68" t="n"/>
      <c r="O119" s="69" t="n"/>
      <c r="P119" s="68" t="n"/>
      <c r="Q119" s="69" t="n"/>
      <c r="R119" s="68" t="n"/>
      <c r="S119" s="69" t="n"/>
      <c r="T119" s="68" t="n"/>
      <c r="U119" s="69" t="n"/>
      <c r="V119" s="68" t="n"/>
      <c r="W119" s="69" t="n"/>
      <c r="X119" s="68" t="n"/>
      <c r="Y119" s="69" t="n"/>
      <c r="Z119" s="68" t="n"/>
      <c r="AA119" s="69" t="n"/>
      <c r="AB119" s="68" t="n"/>
      <c r="AC119" s="69" t="n"/>
      <c r="AD119" s="70">
        <f>IF(AND(COUNTIF($B$5:B119,B119)=1,$B119&lt;&gt;"",$AB119&lt;&gt;""),1,0)</f>
        <v/>
      </c>
      <c r="AE119" s="67" t="inlineStr">
        <is>
          <t>https://www.infobae.com/colombia/2026/03/26/nueva-disputa-por-reforma-laboral-gobierno-defiende-decreto-y-fenalco-lo-lleva-a-la-justicia/</t>
        </is>
      </c>
      <c r="AF119" s="64" t="n"/>
      <c r="AG119" s="65" t="n"/>
    </row>
    <row r="120" ht="15" customHeight="1" s="31">
      <c r="A120" s="66" t="inlineStr">
        <is>
          <t>ART_034</t>
        </is>
      </c>
      <c r="B120" s="66" t="inlineStr">
        <is>
          <t>ART_034_S06</t>
        </is>
      </c>
      <c r="C120" s="66" t="inlineStr">
        <is>
          <t>Infobae Colombia</t>
        </is>
      </c>
      <c r="D120" s="66" t="inlineStr">
        <is>
          <t>Economía y negocios</t>
        </is>
      </c>
      <c r="E120" s="66" t="inlineStr">
        <is>
          <t>Noticia dura</t>
        </is>
      </c>
      <c r="F120" s="66" t="inlineStr">
        <is>
          <t>2026-03-26T17:40:28Z</t>
        </is>
      </c>
      <c r="G120" s="67" t="inlineStr">
        <is>
          <t>La afirmación fue interpretada como una crítica directa a la posición de los empresarios frente al decreto.</t>
        </is>
      </c>
      <c r="H120" s="67" t="inlineStr">
        <is>
          <t>En medio de ese escenario, el ministro publicó un mensaje en el que señaló: “Al antisindicalismo abusando de la falacia para debilitar la capacidad negociadora de los trabajadores en la negociación de sus pliegos y sus derechos”.</t>
        </is>
      </c>
      <c r="I120" s="67" t="inlineStr">
        <is>
          <t>La respuesta de Cabal no se hizo esperar.</t>
        </is>
      </c>
      <c r="J120" s="68" t="n"/>
      <c r="K120" s="69" t="n"/>
      <c r="L120" s="68" t="n"/>
      <c r="M120" s="69" t="n"/>
      <c r="N120" s="68" t="n"/>
      <c r="O120" s="69" t="n"/>
      <c r="P120" s="68" t="n"/>
      <c r="Q120" s="69" t="n"/>
      <c r="R120" s="68" t="n"/>
      <c r="S120" s="69" t="n"/>
      <c r="T120" s="68" t="n"/>
      <c r="U120" s="69" t="n"/>
      <c r="V120" s="68" t="n"/>
      <c r="W120" s="69" t="n"/>
      <c r="X120" s="68" t="n"/>
      <c r="Y120" s="69" t="n"/>
      <c r="Z120" s="68" t="n"/>
      <c r="AA120" s="69" t="n"/>
      <c r="AB120" s="68" t="n"/>
      <c r="AC120" s="69" t="n"/>
      <c r="AD120" s="70">
        <f>IF(AND(COUNTIF($B$5:B120,B120)=1,$B120&lt;&gt;"",$AB120&lt;&gt;""),1,0)</f>
        <v/>
      </c>
      <c r="AE120" s="67" t="inlineStr">
        <is>
          <t>https://www.infobae.com/colombia/2026/03/26/nueva-disputa-por-reforma-laboral-gobierno-defiende-decreto-y-fenalco-lo-lleva-a-la-justicia/</t>
        </is>
      </c>
      <c r="AF120" s="64" t="n"/>
      <c r="AG120" s="65" t="n"/>
    </row>
    <row r="121" ht="15" customHeight="1" s="31">
      <c r="A121" s="66" t="inlineStr">
        <is>
          <t>ART_034</t>
        </is>
      </c>
      <c r="B121" s="66" t="inlineStr">
        <is>
          <t>ART_034_S07</t>
        </is>
      </c>
      <c r="C121" s="66" t="inlineStr">
        <is>
          <t>Infobae Colombia</t>
        </is>
      </c>
      <c r="D121" s="66" t="inlineStr">
        <is>
          <t>Economía y negocios</t>
        </is>
      </c>
      <c r="E121" s="66" t="inlineStr">
        <is>
          <t>Noticia dura</t>
        </is>
      </c>
      <c r="F121" s="66" t="inlineStr">
        <is>
          <t>2026-03-26T17:40:28Z</t>
        </is>
      </c>
      <c r="G121" s="67" t="inlineStr">
        <is>
          <t>La respuesta de Cabal no se hizo esperar.</t>
        </is>
      </c>
      <c r="H121" s="67" t="inlineStr">
        <is>
          <t>La afirmación fue interpretada como una crítica directa a la posición de los empresarios frente al decreto.</t>
        </is>
      </c>
      <c r="I121" s="67" t="inlineStr"/>
      <c r="J121" s="68" t="n"/>
      <c r="K121" s="69" t="n"/>
      <c r="L121" s="68" t="n"/>
      <c r="M121" s="69" t="n"/>
      <c r="N121" s="68" t="n"/>
      <c r="O121" s="69" t="n"/>
      <c r="P121" s="68" t="n"/>
      <c r="Q121" s="69" t="n"/>
      <c r="R121" s="68" t="n"/>
      <c r="S121" s="69" t="n"/>
      <c r="T121" s="68" t="n"/>
      <c r="U121" s="69" t="n"/>
      <c r="V121" s="68" t="n"/>
      <c r="W121" s="69" t="n"/>
      <c r="X121" s="68" t="n"/>
      <c r="Y121" s="69" t="n"/>
      <c r="Z121" s="68" t="n"/>
      <c r="AA121" s="69" t="n"/>
      <c r="AB121" s="68" t="n"/>
      <c r="AC121" s="69" t="n"/>
      <c r="AD121" s="70">
        <f>IF(AND(COUNTIF($B$5:B121,B121)=1,$B121&lt;&gt;"",$AB121&lt;&gt;""),1,0)</f>
        <v/>
      </c>
      <c r="AE121" s="67" t="inlineStr">
        <is>
          <t>https://www.infobae.com/colombia/2026/03/26/nueva-disputa-por-reforma-laboral-gobierno-defiende-decreto-y-fenalco-lo-lleva-a-la-justicia/</t>
        </is>
      </c>
      <c r="AF121" s="64" t="n"/>
      <c r="AG121" s="65" t="n"/>
    </row>
    <row r="122" ht="15" customHeight="1" s="31">
      <c r="A122" s="66" t="inlineStr">
        <is>
          <t>ART_035</t>
        </is>
      </c>
      <c r="B122" s="66" t="inlineStr">
        <is>
          <t>ART_035_S01</t>
        </is>
      </c>
      <c r="C122" s="66" t="inlineStr">
        <is>
          <t>Infobae Colombia</t>
        </is>
      </c>
      <c r="D122" s="66" t="inlineStr">
        <is>
          <t>Economía y negocios</t>
        </is>
      </c>
      <c r="E122" s="66" t="inlineStr">
        <is>
          <t>Noticia dura</t>
        </is>
      </c>
      <c r="F122" s="66" t="inlineStr">
        <is>
          <t>2025-12-20T20:19:04Z</t>
        </is>
      </c>
      <c r="G122" s="67" t="inlineStr">
        <is>
          <t>El cierre de la negociación dejó un sabor amargo y un documento sobre la mesa.</t>
        </is>
      </c>
      <c r="H122" s="67" t="inlineStr"/>
      <c r="I122" s="67" t="inlineStr">
        <is>
          <t>Sin consenso para fijar el aumento del salario mínimo de 2026, las centrales obreras y las confederaciones de pensionados optaron por dejar constancia formal de sus desacuerdos ante el Ministerio del Trabajo, en una comunicación dirigida al ministro Antonio Sanguino.</t>
        </is>
      </c>
      <c r="J122" s="68" t="n"/>
      <c r="K122" s="69" t="n"/>
      <c r="L122" s="68" t="n"/>
      <c r="M122" s="69" t="n"/>
      <c r="N122" s="68" t="n"/>
      <c r="O122" s="69" t="n"/>
      <c r="P122" s="68" t="n"/>
      <c r="Q122" s="69" t="n"/>
      <c r="R122" s="68" t="n"/>
      <c r="S122" s="69" t="n"/>
      <c r="T122" s="68" t="n"/>
      <c r="U122" s="69" t="n"/>
      <c r="V122" s="68" t="n"/>
      <c r="W122" s="69" t="n"/>
      <c r="X122" s="68" t="n"/>
      <c r="Y122" s="69" t="n"/>
      <c r="Z122" s="68" t="n"/>
      <c r="AA122" s="69" t="n"/>
      <c r="AB122" s="68" t="n"/>
      <c r="AC122" s="69" t="n"/>
      <c r="AD122" s="70">
        <f>IF(AND(COUNTIF($B$5:B122,B122)=1,$B122&lt;&gt;"",$AB122&lt;&gt;""),1,0)</f>
        <v/>
      </c>
      <c r="AE122" s="67" t="inlineStr">
        <is>
          <t>https://www.infobae.com/colombia/2025/12/20/salario-minimo-2026-al-rojo-vivo-sindicatos-piden-alza-del-16-y-la-negociacion-termina-en-ruptura/</t>
        </is>
      </c>
      <c r="AF122" s="64" t="n"/>
      <c r="AG122" s="65" t="n"/>
    </row>
    <row r="123" ht="15" customHeight="1" s="31">
      <c r="A123" s="66" t="inlineStr">
        <is>
          <t>ART_035</t>
        </is>
      </c>
      <c r="B123" s="66" t="inlineStr">
        <is>
          <t>ART_035_S02</t>
        </is>
      </c>
      <c r="C123" s="66" t="inlineStr">
        <is>
          <t>Infobae Colombia</t>
        </is>
      </c>
      <c r="D123" s="66" t="inlineStr">
        <is>
          <t>Economía y negocios</t>
        </is>
      </c>
      <c r="E123" s="66" t="inlineStr">
        <is>
          <t>Noticia dura</t>
        </is>
      </c>
      <c r="F123" s="66" t="inlineStr">
        <is>
          <t>2025-12-20T20:19:04Z</t>
        </is>
      </c>
      <c r="G123" s="67" t="inlineStr">
        <is>
          <t>Sin consenso para fijar el aumento del salario mínimo de 2026, las centrales obreras y las confederaciones de pensionados optaron por dejar constancia formal de sus desacuerdos ante el Ministerio del Trabajo, en una comunicación dirigida al ministro Antonio Sanguino.</t>
        </is>
      </c>
      <c r="H123" s="67" t="inlineStr">
        <is>
          <t>El cierre de la negociación dejó un sabor amargo y un documento sobre la mesa.</t>
        </is>
      </c>
      <c r="I123" s="67" t="inlineStr">
        <is>
          <t>El mensaje fue claro, no se trató solo de cifras, sino de visiones opuestas sobre cómo debe protegerse el ingreso de millones de hogares.</t>
        </is>
      </c>
      <c r="J123" s="68" t="n"/>
      <c r="K123" s="69" t="n"/>
      <c r="L123" s="68" t="n"/>
      <c r="M123" s="69" t="n"/>
      <c r="N123" s="68" t="n"/>
      <c r="O123" s="69" t="n"/>
      <c r="P123" s="68" t="n"/>
      <c r="Q123" s="69" t="n"/>
      <c r="R123" s="68" t="n"/>
      <c r="S123" s="69" t="n"/>
      <c r="T123" s="68" t="n"/>
      <c r="U123" s="69" t="n"/>
      <c r="V123" s="68" t="n"/>
      <c r="W123" s="69" t="n"/>
      <c r="X123" s="68" t="n"/>
      <c r="Y123" s="69" t="n"/>
      <c r="Z123" s="68" t="n"/>
      <c r="AA123" s="69" t="n"/>
      <c r="AB123" s="68" t="n"/>
      <c r="AC123" s="69" t="n"/>
      <c r="AD123" s="70">
        <f>IF(AND(COUNTIF($B$5:B123,B123)=1,$B123&lt;&gt;"",$AB123&lt;&gt;""),1,0)</f>
        <v/>
      </c>
      <c r="AE123" s="67" t="inlineStr">
        <is>
          <t>https://www.infobae.com/colombia/2025/12/20/salario-minimo-2026-al-rojo-vivo-sindicatos-piden-alza-del-16-y-la-negociacion-termina-en-ruptura/</t>
        </is>
      </c>
      <c r="AF123" s="64" t="n"/>
      <c r="AG123" s="65" t="n"/>
    </row>
    <row r="124" ht="15" customHeight="1" s="31">
      <c r="A124" s="66" t="inlineStr">
        <is>
          <t>ART_035</t>
        </is>
      </c>
      <c r="B124" s="66" t="inlineStr">
        <is>
          <t>ART_035_S03</t>
        </is>
      </c>
      <c r="C124" s="66" t="inlineStr">
        <is>
          <t>Infobae Colombia</t>
        </is>
      </c>
      <c r="D124" s="66" t="inlineStr">
        <is>
          <t>Economía y negocios</t>
        </is>
      </c>
      <c r="E124" s="66" t="inlineStr">
        <is>
          <t>Noticia dura</t>
        </is>
      </c>
      <c r="F124" s="66" t="inlineStr">
        <is>
          <t>2025-12-20T20:19:04Z</t>
        </is>
      </c>
      <c r="G124" s="67" t="inlineStr">
        <is>
          <t>El mensaje fue claro, no se trató solo de cifras, sino de visiones opuestas sobre cómo debe protegerse el ingreso de millones de hogares.</t>
        </is>
      </c>
      <c r="H124" s="67" t="inlineStr">
        <is>
          <t>Sin consenso para fijar el aumento del salario mínimo de 2026, las centrales obreras y las confederaciones de pensionados optaron por dejar constancia formal de sus desacuerdos ante el Ministerio del Trabajo, en una comunicación dirigida al ministro Antonio Sanguino.</t>
        </is>
      </c>
      <c r="I124" s="67" t="inlineStr"/>
      <c r="J124" s="68" t="n"/>
      <c r="K124" s="69" t="n"/>
      <c r="L124" s="68" t="n"/>
      <c r="M124" s="69" t="n"/>
      <c r="N124" s="68" t="n"/>
      <c r="O124" s="69" t="n"/>
      <c r="P124" s="68" t="n"/>
      <c r="Q124" s="69" t="n"/>
      <c r="R124" s="68" t="n"/>
      <c r="S124" s="69" t="n"/>
      <c r="T124" s="68" t="n"/>
      <c r="U124" s="69" t="n"/>
      <c r="V124" s="68" t="n"/>
      <c r="W124" s="69" t="n"/>
      <c r="X124" s="68" t="n"/>
      <c r="Y124" s="69" t="n"/>
      <c r="Z124" s="68" t="n"/>
      <c r="AA124" s="69" t="n"/>
      <c r="AB124" s="68" t="n"/>
      <c r="AC124" s="69" t="n"/>
      <c r="AD124" s="70">
        <f>IF(AND(COUNTIF($B$5:B124,B124)=1,$B124&lt;&gt;"",$AB124&lt;&gt;""),1,0)</f>
        <v/>
      </c>
      <c r="AE124" s="67" t="inlineStr">
        <is>
          <t>https://www.infobae.com/colombia/2025/12/20/salario-minimo-2026-al-rojo-vivo-sindicatos-piden-alza-del-16-y-la-negociacion-termina-en-ruptura/</t>
        </is>
      </c>
      <c r="AF124" s="64" t="n"/>
      <c r="AG124" s="65" t="n"/>
    </row>
    <row r="125" ht="15" customHeight="1" s="31">
      <c r="A125" s="66" t="inlineStr">
        <is>
          <t>ART_036</t>
        </is>
      </c>
      <c r="B125" s="66" t="inlineStr">
        <is>
          <t>ART_036_S01</t>
        </is>
      </c>
      <c r="C125" s="66" t="inlineStr">
        <is>
          <t>El Tiempo</t>
        </is>
      </c>
      <c r="D125" s="66" t="inlineStr">
        <is>
          <t>Economía y negocios</t>
        </is>
      </c>
      <c r="E125" s="66" t="inlineStr">
        <is>
          <t>Noticia dura</t>
        </is>
      </c>
      <c r="F125" s="66" t="inlineStr">
        <is>
          <t>2026-09-09T00:01:00-05:00</t>
        </is>
      </c>
      <c r="G125" s="67" t="inlineStr">
        <is>
          <t>El Banco de la República ha endurecido su política monetaria, mantiene las tasas de interés en niveles históricamente altos (12 por ciento) y lleva meses intentando enfriar la demanda.</t>
        </is>
      </c>
      <c r="H125" s="67" t="inlineStr"/>
      <c r="I125" s="67" t="inlineStr">
        <is>
          <t>Pese a ello, la inflación volvió a acelerarse y llegó a 6,24 por ciento en agosto, más del doble de la meta del 3 por ciento.</t>
        </is>
      </c>
      <c r="J125" s="68" t="n"/>
      <c r="K125" s="69" t="n"/>
      <c r="L125" s="68" t="n"/>
      <c r="M125" s="69" t="n"/>
      <c r="N125" s="68" t="n"/>
      <c r="O125" s="69" t="n"/>
      <c r="P125" s="68" t="n"/>
      <c r="Q125" s="69" t="n"/>
      <c r="R125" s="68" t="n"/>
      <c r="S125" s="69" t="n"/>
      <c r="T125" s="68" t="n"/>
      <c r="U125" s="69" t="n"/>
      <c r="V125" s="68" t="n"/>
      <c r="W125" s="69" t="n"/>
      <c r="X125" s="68" t="n"/>
      <c r="Y125" s="69" t="n"/>
      <c r="Z125" s="68" t="n"/>
      <c r="AA125" s="69" t="n"/>
      <c r="AB125" s="68" t="n"/>
      <c r="AC125" s="69" t="n"/>
      <c r="AD125" s="70">
        <f>IF(AND(COUNTIF($B$5:B125,B125)=1,$B125&lt;&gt;"",$AB125&lt;&gt;""),1,0)</f>
        <v/>
      </c>
      <c r="AE125" s="67" t="inlineStr">
        <is>
          <t>https://www.eltiempo.com/economia/sectores/advierten-que-el-persistente-incumplimiento-del-objetivo-de-inflacion-afecta-la-confianza-en-la-meta-del-emisor-3584541</t>
        </is>
      </c>
      <c r="AF125" s="64" t="n"/>
      <c r="AG125" s="65" t="n"/>
    </row>
    <row r="126" ht="15" customHeight="1" s="31">
      <c r="A126" s="66" t="inlineStr">
        <is>
          <t>ART_036</t>
        </is>
      </c>
      <c r="B126" s="66" t="inlineStr">
        <is>
          <t>ART_036_S02</t>
        </is>
      </c>
      <c r="C126" s="66" t="inlineStr">
        <is>
          <t>El Tiempo</t>
        </is>
      </c>
      <c r="D126" s="66" t="inlineStr">
        <is>
          <t>Economía y negocios</t>
        </is>
      </c>
      <c r="E126" s="66" t="inlineStr">
        <is>
          <t>Noticia dura</t>
        </is>
      </c>
      <c r="F126" s="66" t="inlineStr">
        <is>
          <t>2026-09-09T00:01:00-05:00</t>
        </is>
      </c>
      <c r="G126" s="67" t="inlineStr">
        <is>
          <t>Pese a ello, la inflación volvió a acelerarse y llegó a 6,24 por ciento en agosto, más del doble de la meta del 3 por ciento.</t>
        </is>
      </c>
      <c r="H126" s="67" t="inlineStr">
        <is>
          <t>El Banco de la República ha endurecido su política monetaria, mantiene las tasas de interés en niveles históricamente altos (12 por ciento) y lleva meses intentando enfriar la demanda.</t>
        </is>
      </c>
      <c r="I126" s="67" t="inlineStr">
        <is>
          <t>El dato de la variación en el costo de vida de los colombianos revelado el lunes por el Departamento Administrativo Nacional de Estadística (Dane) no solo encendió las alarmas, sino que puso sobre la mesa una pregunta que gana espacio entre analistas y mercados.</t>
        </is>
      </c>
      <c r="J126" s="68" t="n"/>
      <c r="K126" s="69" t="n"/>
      <c r="L126" s="68" t="n"/>
      <c r="M126" s="69" t="n"/>
      <c r="N126" s="68" t="n"/>
      <c r="O126" s="69" t="n"/>
      <c r="P126" s="68" t="n"/>
      <c r="Q126" s="69" t="n"/>
      <c r="R126" s="68" t="n"/>
      <c r="S126" s="69" t="n"/>
      <c r="T126" s="68" t="n"/>
      <c r="U126" s="69" t="n"/>
      <c r="V126" s="68" t="n"/>
      <c r="W126" s="69" t="n"/>
      <c r="X126" s="68" t="n"/>
      <c r="Y126" s="69" t="n"/>
      <c r="Z126" s="68" t="n"/>
      <c r="AA126" s="69" t="n"/>
      <c r="AB126" s="68" t="n"/>
      <c r="AC126" s="69" t="n"/>
      <c r="AD126" s="70">
        <f>IF(AND(COUNTIF($B$5:B126,B126)=1,$B126&lt;&gt;"",$AB126&lt;&gt;""),1,0)</f>
        <v/>
      </c>
      <c r="AE126" s="67" t="inlineStr">
        <is>
          <t>https://www.eltiempo.com/economia/sectores/advierten-que-el-persistente-incumplimiento-del-objetivo-de-inflacion-afecta-la-confianza-en-la-meta-del-emisor-3584541</t>
        </is>
      </c>
      <c r="AF126" s="64" t="n"/>
      <c r="AG126" s="65" t="n"/>
    </row>
    <row r="127" ht="15" customHeight="1" s="31">
      <c r="A127" s="66" t="inlineStr">
        <is>
          <t>ART_036</t>
        </is>
      </c>
      <c r="B127" s="66" t="inlineStr">
        <is>
          <t>ART_036_S03</t>
        </is>
      </c>
      <c r="C127" s="66" t="inlineStr">
        <is>
          <t>El Tiempo</t>
        </is>
      </c>
      <c r="D127" s="66" t="inlineStr">
        <is>
          <t>Economía y negocios</t>
        </is>
      </c>
      <c r="E127" s="66" t="inlineStr">
        <is>
          <t>Noticia dura</t>
        </is>
      </c>
      <c r="F127" s="66" t="inlineStr">
        <is>
          <t>2026-09-09T00:01:00-05:00</t>
        </is>
      </c>
      <c r="G127" s="67" t="inlineStr">
        <is>
          <t>El dato de la variación en el costo de vida de los colombianos revelado el lunes por el Departamento Administrativo Nacional de Estadística (Dane) no solo encendió las alarmas, sino que puso sobre la mesa una pregunta que gana espacio entre analistas y mercados.</t>
        </is>
      </c>
      <c r="H127" s="67" t="inlineStr">
        <is>
          <t>Pese a ello, la inflación volvió a acelerarse y llegó a 6,24 por ciento en agosto, más del doble de la meta del 3 por ciento.</t>
        </is>
      </c>
      <c r="I127" s="67" t="inlineStr">
        <is>
          <t>¿Por qué las decisiones del Emisor todavía no consiguen doblegar la inflación?</t>
        </is>
      </c>
      <c r="J127" s="68" t="n"/>
      <c r="K127" s="69" t="n"/>
      <c r="L127" s="68" t="n"/>
      <c r="M127" s="69" t="n"/>
      <c r="N127" s="68" t="n"/>
      <c r="O127" s="69" t="n"/>
      <c r="P127" s="68" t="n"/>
      <c r="Q127" s="69" t="n"/>
      <c r="R127" s="68" t="n"/>
      <c r="S127" s="69" t="n"/>
      <c r="T127" s="68" t="n"/>
      <c r="U127" s="69" t="n"/>
      <c r="V127" s="68" t="n"/>
      <c r="W127" s="69" t="n"/>
      <c r="X127" s="68" t="n"/>
      <c r="Y127" s="69" t="n"/>
      <c r="Z127" s="68" t="n"/>
      <c r="AA127" s="69" t="n"/>
      <c r="AB127" s="68" t="n"/>
      <c r="AC127" s="69" t="n"/>
      <c r="AD127" s="70">
        <f>IF(AND(COUNTIF($B$5:B127,B127)=1,$B127&lt;&gt;"",$AB127&lt;&gt;""),1,0)</f>
        <v/>
      </c>
      <c r="AE127" s="67" t="inlineStr">
        <is>
          <t>https://www.eltiempo.com/economia/sectores/advierten-que-el-persistente-incumplimiento-del-objetivo-de-inflacion-afecta-la-confianza-en-la-meta-del-emisor-3584541</t>
        </is>
      </c>
      <c r="AF127" s="64" t="n"/>
      <c r="AG127" s="65" t="n"/>
    </row>
    <row r="128" ht="15" customHeight="1" s="31">
      <c r="A128" s="66" t="inlineStr">
        <is>
          <t>ART_036</t>
        </is>
      </c>
      <c r="B128" s="66" t="inlineStr">
        <is>
          <t>ART_036_S04</t>
        </is>
      </c>
      <c r="C128" s="66" t="inlineStr">
        <is>
          <t>El Tiempo</t>
        </is>
      </c>
      <c r="D128" s="66" t="inlineStr">
        <is>
          <t>Economía y negocios</t>
        </is>
      </c>
      <c r="E128" s="66" t="inlineStr">
        <is>
          <t>Noticia dura</t>
        </is>
      </c>
      <c r="F128" s="66" t="inlineStr">
        <is>
          <t>2026-09-09T00:01:00-05:00</t>
        </is>
      </c>
      <c r="G128" s="67" t="inlineStr">
        <is>
          <t>¿Por qué las decisiones del Emisor todavía no consiguen doblegar la inflación?</t>
        </is>
      </c>
      <c r="H128" s="67" t="inlineStr">
        <is>
          <t>El dato de la variación en el costo de vida de los colombianos revelado el lunes por el Departamento Administrativo Nacional de Estadística (Dane) no solo encendió las alarmas, sino que puso sobre la mesa una pregunta que gana espacio entre analistas y mercados.</t>
        </is>
      </c>
      <c r="I128" s="67" t="inlineStr">
        <is>
          <t>Lo preocupante, advierten algunos economistas consultados, es que Colombia completa varios años lejos de la meta, mientras las señales que llegan desde el propio Banco de la República indican que converger hacia ese objetivo tomará más tiempo.</t>
        </is>
      </c>
      <c r="J128" s="68" t="n"/>
      <c r="K128" s="69" t="n"/>
      <c r="L128" s="68" t="n"/>
      <c r="M128" s="69" t="n"/>
      <c r="N128" s="68" t="n"/>
      <c r="O128" s="69" t="n"/>
      <c r="P128" s="68" t="n"/>
      <c r="Q128" s="69" t="n"/>
      <c r="R128" s="68" t="n"/>
      <c r="S128" s="69" t="n"/>
      <c r="T128" s="68" t="n"/>
      <c r="U128" s="69" t="n"/>
      <c r="V128" s="68" t="n"/>
      <c r="W128" s="69" t="n"/>
      <c r="X128" s="68" t="n"/>
      <c r="Y128" s="69" t="n"/>
      <c r="Z128" s="68" t="n"/>
      <c r="AA128" s="69" t="n"/>
      <c r="AB128" s="68" t="n"/>
      <c r="AC128" s="69" t="n"/>
      <c r="AD128" s="70">
        <f>IF(AND(COUNTIF($B$5:B128,B128)=1,$B128&lt;&gt;"",$AB128&lt;&gt;""),1,0)</f>
        <v/>
      </c>
      <c r="AE128" s="67" t="inlineStr">
        <is>
          <t>https://www.eltiempo.com/economia/sectores/advierten-que-el-persistente-incumplimiento-del-objetivo-de-inflacion-afecta-la-confianza-en-la-meta-del-emisor-3584541</t>
        </is>
      </c>
      <c r="AF128" s="64" t="n"/>
      <c r="AG128" s="65" t="n"/>
    </row>
    <row r="129" ht="15" customHeight="1" s="31">
      <c r="A129" s="66" t="inlineStr">
        <is>
          <t>ART_036</t>
        </is>
      </c>
      <c r="B129" s="66" t="inlineStr">
        <is>
          <t>ART_036_S05</t>
        </is>
      </c>
      <c r="C129" s="66" t="inlineStr">
        <is>
          <t>El Tiempo</t>
        </is>
      </c>
      <c r="D129" s="66" t="inlineStr">
        <is>
          <t>Economía y negocios</t>
        </is>
      </c>
      <c r="E129" s="66" t="inlineStr">
        <is>
          <t>Noticia dura</t>
        </is>
      </c>
      <c r="F129" s="66" t="inlineStr">
        <is>
          <t>2026-09-09T00:01:00-05:00</t>
        </is>
      </c>
      <c r="G129" s="67" t="inlineStr">
        <is>
          <t>Lo preocupante, advierten algunos economistas consultados, es que Colombia completa varios años lejos de la meta, mientras las señales que llegan desde el propio Banco de la República indican que converger hacia ese objetivo tomará más tiempo.</t>
        </is>
      </c>
      <c r="H129" s="67" t="inlineStr">
        <is>
          <t>¿Por qué las decisiones del Emisor todavía no consiguen doblegar la inflación?</t>
        </is>
      </c>
      <c r="I129" s="67" t="inlineStr">
        <is>
          <t>“Solo se regresaría a esa meta hacia mediados de 2028”, señaló recientemente Leonardo Villar, gerente del Emisor.</t>
        </is>
      </c>
      <c r="J129" s="68" t="n"/>
      <c r="K129" s="69" t="n"/>
      <c r="L129" s="68" t="n"/>
      <c r="M129" s="69" t="n"/>
      <c r="N129" s="68" t="n"/>
      <c r="O129" s="69" t="n"/>
      <c r="P129" s="68" t="n"/>
      <c r="Q129" s="69" t="n"/>
      <c r="R129" s="68" t="n"/>
      <c r="S129" s="69" t="n"/>
      <c r="T129" s="68" t="n"/>
      <c r="U129" s="69" t="n"/>
      <c r="V129" s="68" t="n"/>
      <c r="W129" s="69" t="n"/>
      <c r="X129" s="68" t="n"/>
      <c r="Y129" s="69" t="n"/>
      <c r="Z129" s="68" t="n"/>
      <c r="AA129" s="69" t="n"/>
      <c r="AB129" s="68" t="n"/>
      <c r="AC129" s="69" t="n"/>
      <c r="AD129" s="70">
        <f>IF(AND(COUNTIF($B$5:B129,B129)=1,$B129&lt;&gt;"",$AB129&lt;&gt;""),1,0)</f>
        <v/>
      </c>
      <c r="AE129" s="67" t="inlineStr">
        <is>
          <t>https://www.eltiempo.com/economia/sectores/advierten-que-el-persistente-incumplimiento-del-objetivo-de-inflacion-afecta-la-confianza-en-la-meta-del-emisor-3584541</t>
        </is>
      </c>
      <c r="AF129" s="64" t="n"/>
      <c r="AG129" s="65" t="n"/>
    </row>
    <row r="130" ht="15" customHeight="1" s="31">
      <c r="A130" s="66" t="inlineStr">
        <is>
          <t>ART_036</t>
        </is>
      </c>
      <c r="B130" s="66" t="inlineStr">
        <is>
          <t>ART_036_S06</t>
        </is>
      </c>
      <c r="C130" s="66" t="inlineStr">
        <is>
          <t>El Tiempo</t>
        </is>
      </c>
      <c r="D130" s="66" t="inlineStr">
        <is>
          <t>Economía y negocios</t>
        </is>
      </c>
      <c r="E130" s="66" t="inlineStr">
        <is>
          <t>Noticia dura</t>
        </is>
      </c>
      <c r="F130" s="66" t="inlineStr">
        <is>
          <t>2026-09-09T00:01:00-05:00</t>
        </is>
      </c>
      <c r="G130" s="67" t="inlineStr">
        <is>
          <t>“Solo se regresaría a esa meta hacia mediados de 2028”, señaló recientemente Leonardo Villar, gerente del Emisor.</t>
        </is>
      </c>
      <c r="H130" s="67" t="inlineStr">
        <is>
          <t>Lo preocupante, advierten algunos economistas consultados, es que Colombia completa varios años lejos de la meta, mientras las señales que llegan desde el propio Banco de la República indican que converger hacia ese objetivo tomará más tiempo.</t>
        </is>
      </c>
      <c r="I130" s="67" t="inlineStr">
        <is>
          <t>De ahí surge otra pregunta que comienza a ganar espacio entre los analistas: ¿una demora tan prolongada puede terminar afectando la credibilidad de la autoridad monetaria?</t>
        </is>
      </c>
      <c r="J130" s="68" t="n"/>
      <c r="K130" s="69" t="n"/>
      <c r="L130" s="68" t="n"/>
      <c r="M130" s="69" t="n"/>
      <c r="N130" s="68" t="n"/>
      <c r="O130" s="69" t="n"/>
      <c r="P130" s="68" t="n"/>
      <c r="Q130" s="69" t="n"/>
      <c r="R130" s="68" t="n"/>
      <c r="S130" s="69" t="n"/>
      <c r="T130" s="68" t="n"/>
      <c r="U130" s="69" t="n"/>
      <c r="V130" s="68" t="n"/>
      <c r="W130" s="69" t="n"/>
      <c r="X130" s="68" t="n"/>
      <c r="Y130" s="69" t="n"/>
      <c r="Z130" s="68" t="n"/>
      <c r="AA130" s="69" t="n"/>
      <c r="AB130" s="68" t="n"/>
      <c r="AC130" s="69" t="n"/>
      <c r="AD130" s="70">
        <f>IF(AND(COUNTIF($B$5:B130,B130)=1,$B130&lt;&gt;"",$AB130&lt;&gt;""),1,0)</f>
        <v/>
      </c>
      <c r="AE130" s="67" t="inlineStr">
        <is>
          <t>https://www.eltiempo.com/economia/sectores/advierten-que-el-persistente-incumplimiento-del-objetivo-de-inflacion-afecta-la-confianza-en-la-meta-del-emisor-3584541</t>
        </is>
      </c>
      <c r="AF130" s="64" t="n"/>
      <c r="AG130" s="65" t="n"/>
    </row>
    <row r="131" ht="15" customHeight="1" s="31">
      <c r="A131" s="66" t="inlineStr">
        <is>
          <t>ART_036</t>
        </is>
      </c>
      <c r="B131" s="66" t="inlineStr">
        <is>
          <t>ART_036_S07</t>
        </is>
      </c>
      <c r="C131" s="66" t="inlineStr">
        <is>
          <t>El Tiempo</t>
        </is>
      </c>
      <c r="D131" s="66" t="inlineStr">
        <is>
          <t>Economía y negocios</t>
        </is>
      </c>
      <c r="E131" s="66" t="inlineStr">
        <is>
          <t>Noticia dura</t>
        </is>
      </c>
      <c r="F131" s="66" t="inlineStr">
        <is>
          <t>2026-09-09T00:01:00-05:00</t>
        </is>
      </c>
      <c r="G131" s="67" t="inlineStr">
        <is>
          <t>De ahí surge otra pregunta que comienza a ganar espacio entre los analistas: ¿una demora tan prolongada puede terminar afectando la credibilidad de la autoridad monetaria?</t>
        </is>
      </c>
      <c r="H131" s="67" t="inlineStr">
        <is>
          <t>“Solo se regresaría a esa meta hacia mediados de 2028”, señaló recientemente Leonardo Villar, gerente del Emisor.</t>
        </is>
      </c>
      <c r="I131" s="67" t="inlineStr">
        <is>
          <t>La respuesta de los consultados apunta menos a una falla de la política monetaria que a los límites de la herramienta que tiene el Banco para combatir las presiones actuales.</t>
        </is>
      </c>
      <c r="J131" s="68" t="n"/>
      <c r="K131" s="69" t="n"/>
      <c r="L131" s="68" t="n"/>
      <c r="M131" s="69" t="n"/>
      <c r="N131" s="68" t="n"/>
      <c r="O131" s="69" t="n"/>
      <c r="P131" s="68" t="n"/>
      <c r="Q131" s="69" t="n"/>
      <c r="R131" s="68" t="n"/>
      <c r="S131" s="69" t="n"/>
      <c r="T131" s="68" t="n"/>
      <c r="U131" s="69" t="n"/>
      <c r="V131" s="68" t="n"/>
      <c r="W131" s="69" t="n"/>
      <c r="X131" s="68" t="n"/>
      <c r="Y131" s="69" t="n"/>
      <c r="Z131" s="68" t="n"/>
      <c r="AA131" s="69" t="n"/>
      <c r="AB131" s="68" t="n"/>
      <c r="AC131" s="69" t="n"/>
      <c r="AD131" s="70">
        <f>IF(AND(COUNTIF($B$5:B131,B131)=1,$B131&lt;&gt;"",$AB131&lt;&gt;""),1,0)</f>
        <v/>
      </c>
      <c r="AE131" s="67" t="inlineStr">
        <is>
          <t>https://www.eltiempo.com/economia/sectores/advierten-que-el-persistente-incumplimiento-del-objetivo-de-inflacion-afecta-la-confianza-en-la-meta-del-emisor-3584541</t>
        </is>
      </c>
      <c r="AF131" s="64" t="n"/>
      <c r="AG131" s="65" t="n"/>
    </row>
    <row r="132" ht="15" customHeight="1" s="31">
      <c r="A132" s="66" t="inlineStr">
        <is>
          <t>ART_036</t>
        </is>
      </c>
      <c r="B132" s="66" t="inlineStr">
        <is>
          <t>ART_036_S08</t>
        </is>
      </c>
      <c r="C132" s="66" t="inlineStr">
        <is>
          <t>El Tiempo</t>
        </is>
      </c>
      <c r="D132" s="66" t="inlineStr">
        <is>
          <t>Economía y negocios</t>
        </is>
      </c>
      <c r="E132" s="66" t="inlineStr">
        <is>
          <t>Noticia dura</t>
        </is>
      </c>
      <c r="F132" s="66" t="inlineStr">
        <is>
          <t>2026-09-09T00:01:00-05:00</t>
        </is>
      </c>
      <c r="G132" s="67" t="inlineStr">
        <is>
          <t>La respuesta de los consultados apunta menos a una falla de la política monetaria que a los límites de la herramienta que tiene el Banco para combatir las presiones actuales.</t>
        </is>
      </c>
      <c r="H132" s="67" t="inlineStr">
        <is>
          <t>De ahí surge otra pregunta que comienza a ganar espacio entre los analistas: ¿una demora tan prolongada puede terminar afectando la credibilidad de la autoridad monetaria?</t>
        </is>
      </c>
      <c r="I132" s="67" t="inlineStr">
        <is>
          <t>Alimentos, energía y clima están jugando en contra, mientras el elevado aumento del salario mínimo, el gasto público y el deterioro fiscal agregan presión.</t>
        </is>
      </c>
      <c r="J132" s="68" t="n"/>
      <c r="K132" s="69" t="n"/>
      <c r="L132" s="68" t="n"/>
      <c r="M132" s="69" t="n"/>
      <c r="N132" s="68" t="n"/>
      <c r="O132" s="69" t="n"/>
      <c r="P132" s="68" t="n"/>
      <c r="Q132" s="69" t="n"/>
      <c r="R132" s="68" t="n"/>
      <c r="S132" s="69" t="n"/>
      <c r="T132" s="68" t="n"/>
      <c r="U132" s="69" t="n"/>
      <c r="V132" s="68" t="n"/>
      <c r="W132" s="69" t="n"/>
      <c r="X132" s="68" t="n"/>
      <c r="Y132" s="69" t="n"/>
      <c r="Z132" s="68" t="n"/>
      <c r="AA132" s="69" t="n"/>
      <c r="AB132" s="68" t="n"/>
      <c r="AC132" s="69" t="n"/>
      <c r="AD132" s="70">
        <f>IF(AND(COUNTIF($B$5:B132,B132)=1,$B132&lt;&gt;"",$AB132&lt;&gt;""),1,0)</f>
        <v/>
      </c>
      <c r="AE132" s="67" t="inlineStr">
        <is>
          <t>https://www.eltiempo.com/economia/sectores/advierten-que-el-persistente-incumplimiento-del-objetivo-de-inflacion-afecta-la-confianza-en-la-meta-del-emisor-3584541</t>
        </is>
      </c>
      <c r="AF132" s="64" t="n"/>
      <c r="AG132" s="65" t="n"/>
    </row>
    <row r="133" ht="15" customHeight="1" s="31">
      <c r="A133" s="66" t="inlineStr">
        <is>
          <t>ART_036</t>
        </is>
      </c>
      <c r="B133" s="66" t="inlineStr">
        <is>
          <t>ART_036_S09</t>
        </is>
      </c>
      <c r="C133" s="66" t="inlineStr">
        <is>
          <t>El Tiempo</t>
        </is>
      </c>
      <c r="D133" s="66" t="inlineStr">
        <is>
          <t>Economía y negocios</t>
        </is>
      </c>
      <c r="E133" s="66" t="inlineStr">
        <is>
          <t>Noticia dura</t>
        </is>
      </c>
      <c r="F133" s="66" t="inlineStr">
        <is>
          <t>2026-09-09T00:01:00-05:00</t>
        </is>
      </c>
      <c r="G133" s="67" t="inlineStr">
        <is>
          <t>Alimentos, energía y clima están jugando en contra, mientras el elevado aumento del salario mínimo, el gasto público y el deterioro fiscal agregan presión.</t>
        </is>
      </c>
      <c r="H133" s="67" t="inlineStr">
        <is>
          <t>La respuesta de los consultados apunta menos a una falla de la política monetaria que a los límites de la herramienta que tiene el Banco para combatir las presiones actuales.</t>
        </is>
      </c>
      <c r="I133" s="67" t="inlineStr">
        <is>
          <t>El problema es que, cuanto más tiempo permanezca alta la inflación, mayor será el riesgo de que hogares y empresas comiencen a verla como algo permanente.</t>
        </is>
      </c>
      <c r="J133" s="68" t="n"/>
      <c r="K133" s="69" t="n"/>
      <c r="L133" s="68" t="n"/>
      <c r="M133" s="69" t="n"/>
      <c r="N133" s="68" t="n"/>
      <c r="O133" s="69" t="n"/>
      <c r="P133" s="68" t="n"/>
      <c r="Q133" s="69" t="n"/>
      <c r="R133" s="68" t="n"/>
      <c r="S133" s="69" t="n"/>
      <c r="T133" s="68" t="n"/>
      <c r="U133" s="69" t="n"/>
      <c r="V133" s="68" t="n"/>
      <c r="W133" s="69" t="n"/>
      <c r="X133" s="68" t="n"/>
      <c r="Y133" s="69" t="n"/>
      <c r="Z133" s="68" t="n"/>
      <c r="AA133" s="69" t="n"/>
      <c r="AB133" s="68" t="n"/>
      <c r="AC133" s="69" t="n"/>
      <c r="AD133" s="70">
        <f>IF(AND(COUNTIF($B$5:B133,B133)=1,$B133&lt;&gt;"",$AB133&lt;&gt;""),1,0)</f>
        <v/>
      </c>
      <c r="AE133" s="67" t="inlineStr">
        <is>
          <t>https://www.eltiempo.com/economia/sectores/advierten-que-el-persistente-incumplimiento-del-objetivo-de-inflacion-afecta-la-confianza-en-la-meta-del-emisor-3584541</t>
        </is>
      </c>
      <c r="AF133" s="64" t="n"/>
      <c r="AG133" s="65" t="n"/>
    </row>
    <row r="134" ht="15" customHeight="1" s="31">
      <c r="A134" s="66" t="inlineStr">
        <is>
          <t>ART_036</t>
        </is>
      </c>
      <c r="B134" s="66" t="inlineStr">
        <is>
          <t>ART_036_S10</t>
        </is>
      </c>
      <c r="C134" s="66" t="inlineStr">
        <is>
          <t>El Tiempo</t>
        </is>
      </c>
      <c r="D134" s="66" t="inlineStr">
        <is>
          <t>Economía y negocios</t>
        </is>
      </c>
      <c r="E134" s="66" t="inlineStr">
        <is>
          <t>Noticia dura</t>
        </is>
      </c>
      <c r="F134" s="66" t="inlineStr">
        <is>
          <t>2026-09-09T00:01:00-05:00</t>
        </is>
      </c>
      <c r="G134" s="67" t="inlineStr">
        <is>
          <t>El problema es que, cuanto más tiempo permanezca alta la inflación, mayor será el riesgo de que hogares y empresas comiencen a verla como algo permanente.</t>
        </is>
      </c>
      <c r="H134" s="67" t="inlineStr">
        <is>
          <t>Alimentos, energía y clima están jugando en contra, mientras el elevado aumento del salario mínimo, el gasto público y el deterioro fiscal agregan presión.</t>
        </is>
      </c>
      <c r="I134" s="67" t="inlineStr">
        <is>
          <t>Munir Jalil, director de investigaciones económicas de BTG Pactual Colombia, descarta que el resultado de agosto pueda atribuirse a un Banco de la República que no esté haciendo su tarea.</t>
        </is>
      </c>
      <c r="J134" s="68" t="n"/>
      <c r="K134" s="69" t="n"/>
      <c r="L134" s="68" t="n"/>
      <c r="M134" s="69" t="n"/>
      <c r="N134" s="68" t="n"/>
      <c r="O134" s="69" t="n"/>
      <c r="P134" s="68" t="n"/>
      <c r="Q134" s="69" t="n"/>
      <c r="R134" s="68" t="n"/>
      <c r="S134" s="69" t="n"/>
      <c r="T134" s="68" t="n"/>
      <c r="U134" s="69" t="n"/>
      <c r="V134" s="68" t="n"/>
      <c r="W134" s="69" t="n"/>
      <c r="X134" s="68" t="n"/>
      <c r="Y134" s="69" t="n"/>
      <c r="Z134" s="68" t="n"/>
      <c r="AA134" s="69" t="n"/>
      <c r="AB134" s="68" t="n"/>
      <c r="AC134" s="69" t="n"/>
      <c r="AD134" s="70">
        <f>IF(AND(COUNTIF($B$5:B134,B134)=1,$B134&lt;&gt;"",$AB134&lt;&gt;""),1,0)</f>
        <v/>
      </c>
      <c r="AE134" s="67" t="inlineStr">
        <is>
          <t>https://www.eltiempo.com/economia/sectores/advierten-que-el-persistente-incumplimiento-del-objetivo-de-inflacion-afecta-la-confianza-en-la-meta-del-emisor-3584541</t>
        </is>
      </c>
      <c r="AF134" s="64" t="n"/>
      <c r="AG134" s="65" t="n"/>
    </row>
    <row r="135" ht="15" customHeight="1" s="31">
      <c r="A135" s="66" t="inlineStr">
        <is>
          <t>ART_036</t>
        </is>
      </c>
      <c r="B135" s="66" t="inlineStr">
        <is>
          <t>ART_036_S11</t>
        </is>
      </c>
      <c r="C135" s="66" t="inlineStr">
        <is>
          <t>El Tiempo</t>
        </is>
      </c>
      <c r="D135" s="66" t="inlineStr">
        <is>
          <t>Economía y negocios</t>
        </is>
      </c>
      <c r="E135" s="66" t="inlineStr">
        <is>
          <t>Noticia dura</t>
        </is>
      </c>
      <c r="F135" s="66" t="inlineStr">
        <is>
          <t>2026-09-09T00:01:00-05:00</t>
        </is>
      </c>
      <c r="G135" s="67" t="inlineStr">
        <is>
          <t>Munir Jalil, director de investigaciones económicas de BTG Pactual Colombia, descarta que el resultado de agosto pueda atribuirse a un Banco de la República que no esté haciendo su tarea.</t>
        </is>
      </c>
      <c r="H135" s="67" t="inlineStr">
        <is>
          <t>El problema es que, cuanto más tiempo permanezca alta la inflación, mayor será el riesgo de que hogares y empresas comiencen a verla como algo permanente.</t>
        </is>
      </c>
      <c r="I135" s="67" t="inlineStr">
        <is>
          <t>Sin embargo, reconoce que después de mantener una política restrictiva durante meses, un dato como este “sí levanta la pregunta de qué debe suceder para que la inflación baje”.</t>
        </is>
      </c>
      <c r="J135" s="68" t="n"/>
      <c r="K135" s="69" t="n"/>
      <c r="L135" s="68" t="n"/>
      <c r="M135" s="69" t="n"/>
      <c r="N135" s="68" t="n"/>
      <c r="O135" s="69" t="n"/>
      <c r="P135" s="68" t="n"/>
      <c r="Q135" s="69" t="n"/>
      <c r="R135" s="68" t="n"/>
      <c r="S135" s="69" t="n"/>
      <c r="T135" s="68" t="n"/>
      <c r="U135" s="69" t="n"/>
      <c r="V135" s="68" t="n"/>
      <c r="W135" s="69" t="n"/>
      <c r="X135" s="68" t="n"/>
      <c r="Y135" s="69" t="n"/>
      <c r="Z135" s="68" t="n"/>
      <c r="AA135" s="69" t="n"/>
      <c r="AB135" s="68" t="n"/>
      <c r="AC135" s="69" t="n"/>
      <c r="AD135" s="70">
        <f>IF(AND(COUNTIF($B$5:B135,B135)=1,$B135&lt;&gt;"",$AB135&lt;&gt;""),1,0)</f>
        <v/>
      </c>
      <c r="AE135" s="67" t="inlineStr">
        <is>
          <t>https://www.eltiempo.com/economia/sectores/advierten-que-el-persistente-incumplimiento-del-objetivo-de-inflacion-afecta-la-confianza-en-la-meta-del-emisor-3584541</t>
        </is>
      </c>
      <c r="AF135" s="64" t="n"/>
      <c r="AG135" s="65" t="n"/>
    </row>
    <row r="136" ht="15" customHeight="1" s="31">
      <c r="A136" s="66" t="inlineStr">
        <is>
          <t>ART_036</t>
        </is>
      </c>
      <c r="B136" s="66" t="inlineStr">
        <is>
          <t>ART_036_S12</t>
        </is>
      </c>
      <c r="C136" s="66" t="inlineStr">
        <is>
          <t>El Tiempo</t>
        </is>
      </c>
      <c r="D136" s="66" t="inlineStr">
        <is>
          <t>Economía y negocios</t>
        </is>
      </c>
      <c r="E136" s="66" t="inlineStr">
        <is>
          <t>Noticia dura</t>
        </is>
      </c>
      <c r="F136" s="66" t="inlineStr">
        <is>
          <t>2026-09-09T00:01:00-05:00</t>
        </is>
      </c>
      <c r="G136" s="67" t="inlineStr">
        <is>
          <t>Sin embargo, reconoce que después de mantener una política restrictiva durante meses, un dato como este “sí levanta la pregunta de qué debe suceder para que la inflación baje”.</t>
        </is>
      </c>
      <c r="H136" s="67" t="inlineStr">
        <is>
          <t>Munir Jalil, director de investigaciones económicas de BTG Pactual Colombia, descarta que el resultado de agosto pueda atribuirse a un Banco de la República que no esté haciendo su tarea.</t>
        </is>
      </c>
      <c r="I136" s="67" t="inlineStr"/>
      <c r="J136" s="68" t="n"/>
      <c r="K136" s="69" t="n"/>
      <c r="L136" s="68" t="n"/>
      <c r="M136" s="69" t="n"/>
      <c r="N136" s="68" t="n"/>
      <c r="O136" s="69" t="n"/>
      <c r="P136" s="68" t="n"/>
      <c r="Q136" s="69" t="n"/>
      <c r="R136" s="68" t="n"/>
      <c r="S136" s="69" t="n"/>
      <c r="T136" s="68" t="n"/>
      <c r="U136" s="69" t="n"/>
      <c r="V136" s="68" t="n"/>
      <c r="W136" s="69" t="n"/>
      <c r="X136" s="68" t="n"/>
      <c r="Y136" s="69" t="n"/>
      <c r="Z136" s="68" t="n"/>
      <c r="AA136" s="69" t="n"/>
      <c r="AB136" s="68" t="n"/>
      <c r="AC136" s="69" t="n"/>
      <c r="AD136" s="70">
        <f>IF(AND(COUNTIF($B$5:B136,B136)=1,$B136&lt;&gt;"",$AB136&lt;&gt;""),1,0)</f>
        <v/>
      </c>
      <c r="AE136" s="67" t="inlineStr">
        <is>
          <t>https://www.eltiempo.com/economia/sectores/advierten-que-el-persistente-incumplimiento-del-objetivo-de-inflacion-afecta-la-confianza-en-la-meta-del-emisor-3584541</t>
        </is>
      </c>
      <c r="AF136" s="64" t="n"/>
      <c r="AG136" s="65" t="n"/>
    </row>
    <row r="137" ht="15" customHeight="1" s="31">
      <c r="A137" s="66" t="inlineStr">
        <is>
          <t>ART_037</t>
        </is>
      </c>
      <c r="B137" s="66" t="inlineStr">
        <is>
          <t>ART_037_S01</t>
        </is>
      </c>
      <c r="C137" s="66" t="inlineStr">
        <is>
          <t>El Tiempo</t>
        </is>
      </c>
      <c r="D137" s="66" t="inlineStr">
        <is>
          <t>Economía y negocios</t>
        </is>
      </c>
      <c r="E137" s="66" t="inlineStr">
        <is>
          <t>Noticia dura</t>
        </is>
      </c>
      <c r="F137" s="66" t="inlineStr">
        <is>
          <t>2026-03-10T09:53:42-05:00</t>
        </is>
      </c>
      <c r="G137" s="67" t="inlineStr">
        <is>
          <t>La expedición del Decreto 0234 de 2026 por parte del Gobierno nacional abrió un nuevo debate en Colombia sobre el modelo de negociación colectiva.</t>
        </is>
      </c>
      <c r="H137" s="67" t="inlineStr"/>
      <c r="I137" s="67" t="inlineStr">
        <is>
          <t>La norma, firmada por el Ministerio del Trabajo y anunciada el 6 de marzo, permite que las negociaciones laborales no solo se realicen a nivel de empresa, sino también por sectores económicos, grupos empresariales o en niveles superiores.</t>
        </is>
      </c>
      <c r="J137" s="68" t="n"/>
      <c r="K137" s="69" t="n"/>
      <c r="L137" s="68" t="n"/>
      <c r="M137" s="69" t="n"/>
      <c r="N137" s="68" t="n"/>
      <c r="O137" s="69" t="n"/>
      <c r="P137" s="68" t="n"/>
      <c r="Q137" s="69" t="n"/>
      <c r="R137" s="68" t="n"/>
      <c r="S137" s="69" t="n"/>
      <c r="T137" s="68" t="n"/>
      <c r="U137" s="69" t="n"/>
      <c r="V137" s="68" t="n"/>
      <c r="W137" s="69" t="n"/>
      <c r="X137" s="68" t="n"/>
      <c r="Y137" s="69" t="n"/>
      <c r="Z137" s="68" t="n"/>
      <c r="AA137" s="69" t="n"/>
      <c r="AB137" s="68" t="n"/>
      <c r="AC137" s="69" t="n"/>
      <c r="AD137" s="70">
        <f>IF(AND(COUNTIF($B$5:B137,B137)=1,$B137&lt;&gt;"",$AB137&lt;&gt;""),1,0)</f>
        <v/>
      </c>
      <c r="AE137" s="67" t="inlineStr">
        <is>
          <t>https://www.eltiempo.com/economia/sector-financiero/gobierno-reglamenta-por-decreto-la-negociacion-colectiva-y-abre-nuevo-capitulo-en-las-relaciones-laborales-3538964</t>
        </is>
      </c>
      <c r="AF137" s="64" t="n"/>
      <c r="AG137" s="65" t="n"/>
    </row>
    <row r="138" ht="15" customHeight="1" s="31">
      <c r="A138" s="66" t="inlineStr">
        <is>
          <t>ART_037</t>
        </is>
      </c>
      <c r="B138" s="66" t="inlineStr">
        <is>
          <t>ART_037_S02</t>
        </is>
      </c>
      <c r="C138" s="66" t="inlineStr">
        <is>
          <t>El Tiempo</t>
        </is>
      </c>
      <c r="D138" s="66" t="inlineStr">
        <is>
          <t>Economía y negocios</t>
        </is>
      </c>
      <c r="E138" s="66" t="inlineStr">
        <is>
          <t>Noticia dura</t>
        </is>
      </c>
      <c r="F138" s="66" t="inlineStr">
        <is>
          <t>2026-03-10T09:53:42-05:00</t>
        </is>
      </c>
      <c r="G138" s="67" t="inlineStr">
        <is>
          <t>La norma, firmada por el Ministerio del Trabajo y anunciada el 6 de marzo, permite que las negociaciones laborales no solo se realicen a nivel de empresa, sino también por sectores económicos, grupos empresariales o en niveles superiores.</t>
        </is>
      </c>
      <c r="H138" s="67" t="inlineStr">
        <is>
          <t>La expedición del Decreto 0234 de 2026 por parte del Gobierno nacional abrió un nuevo debate en Colombia sobre el modelo de negociación colectiva.</t>
        </is>
      </c>
      <c r="I138" s="67" t="inlineStr"/>
      <c r="J138" s="68" t="n"/>
      <c r="K138" s="69" t="n"/>
      <c r="L138" s="68" t="n"/>
      <c r="M138" s="69" t="n"/>
      <c r="N138" s="68" t="n"/>
      <c r="O138" s="69" t="n"/>
      <c r="P138" s="68" t="n"/>
      <c r="Q138" s="69" t="n"/>
      <c r="R138" s="68" t="n"/>
      <c r="S138" s="69" t="n"/>
      <c r="T138" s="68" t="n"/>
      <c r="U138" s="69" t="n"/>
      <c r="V138" s="68" t="n"/>
      <c r="W138" s="69" t="n"/>
      <c r="X138" s="68" t="n"/>
      <c r="Y138" s="69" t="n"/>
      <c r="Z138" s="68" t="n"/>
      <c r="AA138" s="69" t="n"/>
      <c r="AB138" s="68" t="n"/>
      <c r="AC138" s="69" t="n"/>
      <c r="AD138" s="70">
        <f>IF(AND(COUNTIF($B$5:B138,B138)=1,$B138&lt;&gt;"",$AB138&lt;&gt;""),1,0)</f>
        <v/>
      </c>
      <c r="AE138" s="67" t="inlineStr">
        <is>
          <t>https://www.eltiempo.com/economia/sector-financiero/gobierno-reglamenta-por-decreto-la-negociacion-colectiva-y-abre-nuevo-capitulo-en-las-relaciones-laborales-3538964</t>
        </is>
      </c>
      <c r="AF138" s="64" t="n"/>
      <c r="AG138" s="65" t="n"/>
    </row>
    <row r="139" ht="15" customHeight="1" s="31">
      <c r="A139" s="66" t="inlineStr">
        <is>
          <t>ART_038</t>
        </is>
      </c>
      <c r="B139" s="66" t="inlineStr">
        <is>
          <t>ART_038_S01</t>
        </is>
      </c>
      <c r="C139" s="66" t="inlineStr">
        <is>
          <t>El Tiempo</t>
        </is>
      </c>
      <c r="D139" s="66" t="inlineStr">
        <is>
          <t>Economía y negocios</t>
        </is>
      </c>
      <c r="E139" s="66" t="inlineStr">
        <is>
          <t>Opinión-análisis</t>
        </is>
      </c>
      <c r="F139" s="66" t="inlineStr">
        <is>
          <t>2025-11-30T22:00:00-05:00</t>
        </is>
      </c>
      <c r="G139" s="67" t="inlineStr">
        <is>
          <t>Hoy se instala formalmente la mesa de la Comisión de Concertación de Políticas Salariales y Laborales, a cargo del proceso de diálogo para la definición del salario mínimo para el 2026.</t>
        </is>
      </c>
      <c r="H139" s="67" t="inlineStr"/>
      <c r="I139" s="67" t="inlineStr">
        <is>
          <t>Este diálogo tripartito –empresarios, sindicatos y Gobierno Nacional– está previsto para desarrollarse hasta el próximo 30 de diciembre y es la instancia legal para esta negociación, crucial para la economía, la inflación y el empleo.</t>
        </is>
      </c>
      <c r="J139" s="68" t="n"/>
      <c r="K139" s="69" t="n"/>
      <c r="L139" s="68" t="n"/>
      <c r="M139" s="69" t="n"/>
      <c r="N139" s="68" t="n"/>
      <c r="O139" s="69" t="n"/>
      <c r="P139" s="68" t="n"/>
      <c r="Q139" s="69" t="n"/>
      <c r="R139" s="68" t="n"/>
      <c r="S139" s="69" t="n"/>
      <c r="T139" s="68" t="n"/>
      <c r="U139" s="69" t="n"/>
      <c r="V139" s="68" t="n"/>
      <c r="W139" s="69" t="n"/>
      <c r="X139" s="68" t="n"/>
      <c r="Y139" s="69" t="n"/>
      <c r="Z139" s="68" t="n"/>
      <c r="AA139" s="69" t="n"/>
      <c r="AB139" s="68" t="n"/>
      <c r="AC139" s="69" t="n"/>
      <c r="AD139" s="70">
        <f>IF(AND(COUNTIF($B$5:B139,B139)=1,$B139&lt;&gt;"",$AB139&lt;&gt;""),1,0)</f>
        <v/>
      </c>
      <c r="AE139" s="67" t="inlineStr">
        <is>
          <t>https://www.eltiempo.com/opinion/editorial/minimo-de-discusion-3513132</t>
        </is>
      </c>
      <c r="AF139" s="64" t="n"/>
      <c r="AG139" s="65" t="n"/>
    </row>
    <row r="140" ht="15" customHeight="1" s="31">
      <c r="A140" s="66" t="inlineStr">
        <is>
          <t>ART_038</t>
        </is>
      </c>
      <c r="B140" s="66" t="inlineStr">
        <is>
          <t>ART_038_S02</t>
        </is>
      </c>
      <c r="C140" s="66" t="inlineStr">
        <is>
          <t>El Tiempo</t>
        </is>
      </c>
      <c r="D140" s="66" t="inlineStr">
        <is>
          <t>Economía y negocios</t>
        </is>
      </c>
      <c r="E140" s="66" t="inlineStr">
        <is>
          <t>Opinión-análisis</t>
        </is>
      </c>
      <c r="F140" s="66" t="inlineStr">
        <is>
          <t>2025-11-30T22:00:00-05:00</t>
        </is>
      </c>
      <c r="G140" s="67" t="inlineStr">
        <is>
          <t>Este diálogo tripartito –empresarios, sindicatos y Gobierno Nacional– está previsto para desarrollarse hasta el próximo 30 de diciembre y es la instancia legal para esta negociación, crucial para la economía, la inflación y el empleo.</t>
        </is>
      </c>
      <c r="H140" s="67" t="inlineStr">
        <is>
          <t>Hoy se instala formalmente la mesa de la Comisión de Concertación de Políticas Salariales y Laborales, a cargo del proceso de diálogo para la definición del salario mínimo para el 2026.</t>
        </is>
      </c>
      <c r="I140" s="67" t="inlineStr">
        <is>
          <t>Esta definición no solo impacta los ingresos básicos de alrededor de 3,7 millones de trabajadores que devengan la remuneración mínima legal en Colombia, sino que también desencadena efectos en los precios, los niveles de formalidad laboral y las finanzas de las empresas, en especial las micro, pequeñas y medianas.</t>
        </is>
      </c>
      <c r="J140" s="68" t="n"/>
      <c r="K140" s="69" t="n"/>
      <c r="L140" s="68" t="n"/>
      <c r="M140" s="69" t="n"/>
      <c r="N140" s="68" t="n"/>
      <c r="O140" s="69" t="n"/>
      <c r="P140" s="68" t="n"/>
      <c r="Q140" s="69" t="n"/>
      <c r="R140" s="68" t="n"/>
      <c r="S140" s="69" t="n"/>
      <c r="T140" s="68" t="n"/>
      <c r="U140" s="69" t="n"/>
      <c r="V140" s="68" t="n"/>
      <c r="W140" s="69" t="n"/>
      <c r="X140" s="68" t="n"/>
      <c r="Y140" s="69" t="n"/>
      <c r="Z140" s="68" t="n"/>
      <c r="AA140" s="69" t="n"/>
      <c r="AB140" s="68" t="n"/>
      <c r="AC140" s="69" t="n"/>
      <c r="AD140" s="70">
        <f>IF(AND(COUNTIF($B$5:B140,B140)=1,$B140&lt;&gt;"",$AB140&lt;&gt;""),1,0)</f>
        <v/>
      </c>
      <c r="AE140" s="67" t="inlineStr">
        <is>
          <t>https://www.eltiempo.com/opinion/editorial/minimo-de-discusion-3513132</t>
        </is>
      </c>
      <c r="AF140" s="64" t="n"/>
      <c r="AG140" s="65" t="n"/>
    </row>
    <row r="141" ht="15" customHeight="1" s="31">
      <c r="A141" s="66" t="inlineStr">
        <is>
          <t>ART_038</t>
        </is>
      </c>
      <c r="B141" s="66" t="inlineStr">
        <is>
          <t>ART_038_S03</t>
        </is>
      </c>
      <c r="C141" s="66" t="inlineStr">
        <is>
          <t>El Tiempo</t>
        </is>
      </c>
      <c r="D141" s="66" t="inlineStr">
        <is>
          <t>Economía y negocios</t>
        </is>
      </c>
      <c r="E141" s="66" t="inlineStr">
        <is>
          <t>Opinión-análisis</t>
        </is>
      </c>
      <c r="F141" s="66" t="inlineStr">
        <is>
          <t>2025-11-30T22:00:00-05:00</t>
        </is>
      </c>
      <c r="G141" s="67" t="inlineStr">
        <is>
          <t>Esta definición no solo impacta los ingresos básicos de alrededor de 3,7 millones de trabajadores que devengan la remuneración mínima legal en Colombia, sino que también desencadena efectos en los precios, los niveles de formalidad laboral y las finanzas de las empresas, en especial las micro, pequeñas y medianas.</t>
        </is>
      </c>
      <c r="H141" s="67" t="inlineStr">
        <is>
          <t>Este diálogo tripartito –empresarios, sindicatos y Gobierno Nacional– está previsto para desarrollarse hasta el próximo 30 de diciembre y es la instancia legal para esta negociación, crucial para la economía, la inflación y el empleo.</t>
        </is>
      </c>
      <c r="I141" s="67" t="inlineStr">
        <is>
          <t>En años recientes, los aumentos del salario mínimo han crecido de forma sostenida varios puntos por encima de la inflación y de la productividad laboral.</t>
        </is>
      </c>
      <c r="J141" s="68" t="n"/>
      <c r="K141" s="69" t="n"/>
      <c r="L141" s="68" t="n"/>
      <c r="M141" s="69" t="n"/>
      <c r="N141" s="68" t="n"/>
      <c r="O141" s="69" t="n"/>
      <c r="P141" s="68" t="n"/>
      <c r="Q141" s="69" t="n"/>
      <c r="R141" s="68" t="n"/>
      <c r="S141" s="69" t="n"/>
      <c r="T141" s="68" t="n"/>
      <c r="U141" s="69" t="n"/>
      <c r="V141" s="68" t="n"/>
      <c r="W141" s="69" t="n"/>
      <c r="X141" s="68" t="n"/>
      <c r="Y141" s="69" t="n"/>
      <c r="Z141" s="68" t="n"/>
      <c r="AA141" s="69" t="n"/>
      <c r="AB141" s="68" t="n"/>
      <c r="AC141" s="69" t="n"/>
      <c r="AD141" s="70">
        <f>IF(AND(COUNTIF($B$5:B141,B141)=1,$B141&lt;&gt;"",$AB141&lt;&gt;""),1,0)</f>
        <v/>
      </c>
      <c r="AE141" s="67" t="inlineStr">
        <is>
          <t>https://www.eltiempo.com/opinion/editorial/minimo-de-discusion-3513132</t>
        </is>
      </c>
      <c r="AF141" s="64" t="n"/>
      <c r="AG141" s="65" t="n"/>
    </row>
    <row r="142" ht="15" customHeight="1" s="31">
      <c r="A142" s="66" t="inlineStr">
        <is>
          <t>ART_038</t>
        </is>
      </c>
      <c r="B142" s="66" t="inlineStr">
        <is>
          <t>ART_038_S04</t>
        </is>
      </c>
      <c r="C142" s="66" t="inlineStr">
        <is>
          <t>El Tiempo</t>
        </is>
      </c>
      <c r="D142" s="66" t="inlineStr">
        <is>
          <t>Economía y negocios</t>
        </is>
      </c>
      <c r="E142" s="66" t="inlineStr">
        <is>
          <t>Opinión-análisis</t>
        </is>
      </c>
      <c r="F142" s="66" t="inlineStr">
        <is>
          <t>2025-11-30T22:00:00-05:00</t>
        </is>
      </c>
      <c r="G142" s="67" t="inlineStr">
        <is>
          <t>En años recientes, los aumentos del salario mínimo han crecido de forma sostenida varios puntos por encima de la inflación y de la productividad laboral.</t>
        </is>
      </c>
      <c r="H142" s="67" t="inlineStr">
        <is>
          <t>Esta definición no solo impacta los ingresos básicos de alrededor de 3,7 millones de trabajadores que devengan la remuneración mínima legal en Colombia, sino que también desencadena efectos en los precios, los niveles de formalidad laboral y las finanzas de las empresas, en especial las micro, pequeñas y medianas.</t>
        </is>
      </c>
      <c r="I142" s="67" t="inlineStr">
        <is>
          <t>Además, ha sido más evidente que los aspectos técnicos de esta discusión han quedado subordinados a las consideraciones políticas de las respectivas administraciones.</t>
        </is>
      </c>
      <c r="J142" s="68" t="n"/>
      <c r="K142" s="69" t="n"/>
      <c r="L142" s="68" t="n"/>
      <c r="M142" s="69" t="n"/>
      <c r="N142" s="68" t="n"/>
      <c r="O142" s="69" t="n"/>
      <c r="P142" s="68" t="n"/>
      <c r="Q142" s="69" t="n"/>
      <c r="R142" s="68" t="n"/>
      <c r="S142" s="69" t="n"/>
      <c r="T142" s="68" t="n"/>
      <c r="U142" s="69" t="n"/>
      <c r="V142" s="68" t="n"/>
      <c r="W142" s="69" t="n"/>
      <c r="X142" s="68" t="n"/>
      <c r="Y142" s="69" t="n"/>
      <c r="Z142" s="68" t="n"/>
      <c r="AA142" s="69" t="n"/>
      <c r="AB142" s="68" t="n"/>
      <c r="AC142" s="69" t="n"/>
      <c r="AD142" s="70">
        <f>IF(AND(COUNTIF($B$5:B142,B142)=1,$B142&lt;&gt;"",$AB142&lt;&gt;""),1,0)</f>
        <v/>
      </c>
      <c r="AE142" s="67" t="inlineStr">
        <is>
          <t>https://www.eltiempo.com/opinion/editorial/minimo-de-discusion-3513132</t>
        </is>
      </c>
      <c r="AF142" s="64" t="n"/>
      <c r="AG142" s="65" t="n"/>
    </row>
    <row r="143" ht="15" customHeight="1" s="31">
      <c r="A143" s="66" t="inlineStr">
        <is>
          <t>ART_038</t>
        </is>
      </c>
      <c r="B143" s="66" t="inlineStr">
        <is>
          <t>ART_038_S05</t>
        </is>
      </c>
      <c r="C143" s="66" t="inlineStr">
        <is>
          <t>El Tiempo</t>
        </is>
      </c>
      <c r="D143" s="66" t="inlineStr">
        <is>
          <t>Economía y negocios</t>
        </is>
      </c>
      <c r="E143" s="66" t="inlineStr">
        <is>
          <t>Opinión-análisis</t>
        </is>
      </c>
      <c r="F143" s="66" t="inlineStr">
        <is>
          <t>2025-11-30T22:00:00-05:00</t>
        </is>
      </c>
      <c r="G143" s="67" t="inlineStr">
        <is>
          <t>Además, ha sido más evidente que los aspectos técnicos de esta discusión han quedado subordinados a las consideraciones políticas de las respectivas administraciones.</t>
        </is>
      </c>
      <c r="H143" s="67" t="inlineStr">
        <is>
          <t>En años recientes, los aumentos del salario mínimo han crecido de forma sostenida varios puntos por encima de la inflación y de la productividad laboral.</t>
        </is>
      </c>
      <c r="I143" s="67" t="inlineStr">
        <is>
          <t>Las consecuencias de estos incrementos se han sentido en las dinámicas de los precios y, junto con otros factores, han ralentizado la senda descendiente del índice de precios al consumidor (IPC) anual.</t>
        </is>
      </c>
      <c r="J143" s="68" t="n"/>
      <c r="K143" s="69" t="n"/>
      <c r="L143" s="68" t="n"/>
      <c r="M143" s="69" t="n"/>
      <c r="N143" s="68" t="n"/>
      <c r="O143" s="69" t="n"/>
      <c r="P143" s="68" t="n"/>
      <c r="Q143" s="69" t="n"/>
      <c r="R143" s="68" t="n"/>
      <c r="S143" s="69" t="n"/>
      <c r="T143" s="68" t="n"/>
      <c r="U143" s="69" t="n"/>
      <c r="V143" s="68" t="n"/>
      <c r="W143" s="69" t="n"/>
      <c r="X143" s="68" t="n"/>
      <c r="Y143" s="69" t="n"/>
      <c r="Z143" s="68" t="n"/>
      <c r="AA143" s="69" t="n"/>
      <c r="AB143" s="68" t="n"/>
      <c r="AC143" s="69" t="n"/>
      <c r="AD143" s="70">
        <f>IF(AND(COUNTIF($B$5:B143,B143)=1,$B143&lt;&gt;"",$AB143&lt;&gt;""),1,0)</f>
        <v/>
      </c>
      <c r="AE143" s="67" t="inlineStr">
        <is>
          <t>https://www.eltiempo.com/opinion/editorial/minimo-de-discusion-3513132</t>
        </is>
      </c>
      <c r="AF143" s="64" t="n"/>
      <c r="AG143" s="65" t="n"/>
    </row>
    <row r="144" ht="15" customHeight="1" s="31">
      <c r="A144" s="66" t="inlineStr">
        <is>
          <t>ART_038</t>
        </is>
      </c>
      <c r="B144" s="66" t="inlineStr">
        <is>
          <t>ART_038_S06</t>
        </is>
      </c>
      <c r="C144" s="66" t="inlineStr">
        <is>
          <t>El Tiempo</t>
        </is>
      </c>
      <c r="D144" s="66" t="inlineStr">
        <is>
          <t>Economía y negocios</t>
        </is>
      </c>
      <c r="E144" s="66" t="inlineStr">
        <is>
          <t>Opinión-análisis</t>
        </is>
      </c>
      <c r="F144" s="66" t="inlineStr">
        <is>
          <t>2025-11-30T22:00:00-05:00</t>
        </is>
      </c>
      <c r="G144" s="67" t="inlineStr">
        <is>
          <t>Las consecuencias de estos incrementos se han sentido en las dinámicas de los precios y, junto con otros factores, han ralentizado la senda descendiente del índice de precios al consumidor (IPC) anual.</t>
        </is>
      </c>
      <c r="H144" s="67" t="inlineStr">
        <is>
          <t>Además, ha sido más evidente que los aspectos técnicos de esta discusión han quedado subordinados a las consideraciones políticas de las respectivas administraciones.</t>
        </is>
      </c>
      <c r="I144" s="67" t="inlineStr"/>
      <c r="J144" s="68" t="n"/>
      <c r="K144" s="69" t="n"/>
      <c r="L144" s="68" t="n"/>
      <c r="M144" s="69" t="n"/>
      <c r="N144" s="68" t="n"/>
      <c r="O144" s="69" t="n"/>
      <c r="P144" s="68" t="n"/>
      <c r="Q144" s="69" t="n"/>
      <c r="R144" s="68" t="n"/>
      <c r="S144" s="69" t="n"/>
      <c r="T144" s="68" t="n"/>
      <c r="U144" s="69" t="n"/>
      <c r="V144" s="68" t="n"/>
      <c r="W144" s="69" t="n"/>
      <c r="X144" s="68" t="n"/>
      <c r="Y144" s="69" t="n"/>
      <c r="Z144" s="68" t="n"/>
      <c r="AA144" s="69" t="n"/>
      <c r="AB144" s="68" t="n"/>
      <c r="AC144" s="69" t="n"/>
      <c r="AD144" s="70">
        <f>IF(AND(COUNTIF($B$5:B144,B144)=1,$B144&lt;&gt;"",$AB144&lt;&gt;""),1,0)</f>
        <v/>
      </c>
      <c r="AE144" s="67" t="inlineStr">
        <is>
          <t>https://www.eltiempo.com/opinion/editorial/minimo-de-discusion-3513132</t>
        </is>
      </c>
      <c r="AF144" s="64" t="n"/>
      <c r="AG144" s="65" t="n"/>
    </row>
    <row r="145" ht="15" customHeight="1" s="31">
      <c r="A145" s="66" t="inlineStr">
        <is>
          <t>ART_039</t>
        </is>
      </c>
      <c r="B145" s="66" t="inlineStr">
        <is>
          <t>ART_039_S01</t>
        </is>
      </c>
      <c r="C145" s="66" t="inlineStr">
        <is>
          <t>El Espectador</t>
        </is>
      </c>
      <c r="D145" s="66" t="inlineStr">
        <is>
          <t>Economía y negocios</t>
        </is>
      </c>
      <c r="E145" s="66" t="inlineStr">
        <is>
          <t>Noticia dura</t>
        </is>
      </c>
      <c r="F145" s="66" t="inlineStr">
        <is>
          <t>2026-03-10T18:09:31-05:00</t>
        </is>
      </c>
      <c r="G145" s="67" t="inlineStr">
        <is>
          <t>La forma en que se negocian las condiciones laborales entre sindicatos y empresas privadas en Colombia cambiará con el Decreto 0234 de 2026, expedido por el Gobierno el pasado 6 de marzo.</t>
        </is>
      </c>
      <c r="H145" s="67" t="inlineStr"/>
      <c r="I145" s="67" t="inlineStr">
        <is>
          <t>A grandes rasgos, la norma reglamenta la negociación colectiva multinivel, es decir, permite que sindicatos y empleadores negocien no solo dentro de una empresa, sino también en escenarios más amplios, como por sector, rama de actividad o grupo de empresas.</t>
        </is>
      </c>
      <c r="J145" s="68" t="n"/>
      <c r="K145" s="69" t="n"/>
      <c r="L145" s="68" t="n"/>
      <c r="M145" s="69" t="n"/>
      <c r="N145" s="68" t="n"/>
      <c r="O145" s="69" t="n"/>
      <c r="P145" s="68" t="n"/>
      <c r="Q145" s="69" t="n"/>
      <c r="R145" s="68" t="n"/>
      <c r="S145" s="69" t="n"/>
      <c r="T145" s="68" t="n"/>
      <c r="U145" s="69" t="n"/>
      <c r="V145" s="68" t="n"/>
      <c r="W145" s="69" t="n"/>
      <c r="X145" s="68" t="n"/>
      <c r="Y145" s="69" t="n"/>
      <c r="Z145" s="68" t="n"/>
      <c r="AA145" s="69" t="n"/>
      <c r="AB145" s="68" t="n"/>
      <c r="AC145" s="69" t="n"/>
      <c r="AD145" s="70">
        <f>IF(AND(COUNTIF($B$5:B145,B145)=1,$B145&lt;&gt;"",$AB145&lt;&gt;""),1,0)</f>
        <v/>
      </c>
      <c r="AE145" s="67" t="inlineStr">
        <is>
          <t>https://www.elespectador.com/economia/que-dice-y-por-que-genera-polemica-el-decreto-de-negociacion-colectiva-del-gobierno-noticias-colombia/</t>
        </is>
      </c>
      <c r="AF145" s="64" t="n"/>
      <c r="AG145" s="65" t="n"/>
    </row>
    <row r="146" ht="15" customHeight="1" s="31">
      <c r="A146" s="66" t="inlineStr">
        <is>
          <t>ART_039</t>
        </is>
      </c>
      <c r="B146" s="66" t="inlineStr">
        <is>
          <t>ART_039_S02</t>
        </is>
      </c>
      <c r="C146" s="66" t="inlineStr">
        <is>
          <t>El Espectador</t>
        </is>
      </c>
      <c r="D146" s="66" t="inlineStr">
        <is>
          <t>Economía y negocios</t>
        </is>
      </c>
      <c r="E146" s="66" t="inlineStr">
        <is>
          <t>Noticia dura</t>
        </is>
      </c>
      <c r="F146" s="66" t="inlineStr">
        <is>
          <t>2026-03-10T18:09:31-05:00</t>
        </is>
      </c>
      <c r="G146" s="67" t="inlineStr">
        <is>
          <t>A grandes rasgos, la norma reglamenta la negociación colectiva multinivel, es decir, permite que sindicatos y empleadores negocien no solo dentro de una empresa, sino también en escenarios más amplios, como por sector, rama de actividad o grupo de empresas.</t>
        </is>
      </c>
      <c r="H146" s="67" t="inlineStr">
        <is>
          <t>La forma en que se negocian las condiciones laborales entre sindicatos y empresas privadas en Colombia cambiará con el Decreto 0234 de 2026, expedido por el Gobierno el pasado 6 de marzo.</t>
        </is>
      </c>
      <c r="I146" s="67" t="inlineStr">
        <is>
          <t>Desde algunos gremios empresariales, la medida ha despertado reparos por la posibilidad de que surjan “megasindicatos” con capacidad de negociar por sectores económicos.</t>
        </is>
      </c>
      <c r="J146" s="68" t="n"/>
      <c r="K146" s="69" t="n"/>
      <c r="L146" s="68" t="n"/>
      <c r="M146" s="69" t="n"/>
      <c r="N146" s="68" t="n"/>
      <c r="O146" s="69" t="n"/>
      <c r="P146" s="68" t="n"/>
      <c r="Q146" s="69" t="n"/>
      <c r="R146" s="68" t="n"/>
      <c r="S146" s="69" t="n"/>
      <c r="T146" s="68" t="n"/>
      <c r="U146" s="69" t="n"/>
      <c r="V146" s="68" t="n"/>
      <c r="W146" s="69" t="n"/>
      <c r="X146" s="68" t="n"/>
      <c r="Y146" s="69" t="n"/>
      <c r="Z146" s="68" t="n"/>
      <c r="AA146" s="69" t="n"/>
      <c r="AB146" s="68" t="n"/>
      <c r="AC146" s="69" t="n"/>
      <c r="AD146" s="70">
        <f>IF(AND(COUNTIF($B$5:B146,B146)=1,$B146&lt;&gt;"",$AB146&lt;&gt;""),1,0)</f>
        <v/>
      </c>
      <c r="AE146" s="67" t="inlineStr">
        <is>
          <t>https://www.elespectador.com/economia/que-dice-y-por-que-genera-polemica-el-decreto-de-negociacion-colectiva-del-gobierno-noticias-colombia/</t>
        </is>
      </c>
      <c r="AF146" s="64" t="n"/>
      <c r="AG146" s="65" t="n"/>
    </row>
    <row r="147" ht="15" customHeight="1" s="31">
      <c r="A147" s="66" t="inlineStr">
        <is>
          <t>ART_039</t>
        </is>
      </c>
      <c r="B147" s="66" t="inlineStr">
        <is>
          <t>ART_039_S03</t>
        </is>
      </c>
      <c r="C147" s="66" t="inlineStr">
        <is>
          <t>El Espectador</t>
        </is>
      </c>
      <c r="D147" s="66" t="inlineStr">
        <is>
          <t>Economía y negocios</t>
        </is>
      </c>
      <c r="E147" s="66" t="inlineStr">
        <is>
          <t>Noticia dura</t>
        </is>
      </c>
      <c r="F147" s="66" t="inlineStr">
        <is>
          <t>2026-03-10T18:09:31-05:00</t>
        </is>
      </c>
      <c r="G147" s="67" t="inlineStr">
        <is>
          <t>Desde algunos gremios empresariales, la medida ha despertado reparos por la posibilidad de que surjan “megasindicatos” con capacidad de negociar por sectores económicos.</t>
        </is>
      </c>
      <c r="H147" s="67" t="inlineStr">
        <is>
          <t>A grandes rasgos, la norma reglamenta la negociación colectiva multinivel, es decir, permite que sindicatos y empleadores negocien no solo dentro de una empresa, sino también en escenarios más amplios, como por sector, rama de actividad o grupo de empresas.</t>
        </is>
      </c>
      <c r="I147" s="67" t="inlineStr">
        <is>
          <t>A eso se suma otro de los puntos que más debate ha generado: la denominada “cuota por beneficio convencional”.</t>
        </is>
      </c>
      <c r="J147" s="68" t="n"/>
      <c r="K147" s="69" t="n"/>
      <c r="L147" s="68" t="n"/>
      <c r="M147" s="69" t="n"/>
      <c r="N147" s="68" t="n"/>
      <c r="O147" s="69" t="n"/>
      <c r="P147" s="68" t="n"/>
      <c r="Q147" s="69" t="n"/>
      <c r="R147" s="68" t="n"/>
      <c r="S147" s="69" t="n"/>
      <c r="T147" s="68" t="n"/>
      <c r="U147" s="69" t="n"/>
      <c r="V147" s="68" t="n"/>
      <c r="W147" s="69" t="n"/>
      <c r="X147" s="68" t="n"/>
      <c r="Y147" s="69" t="n"/>
      <c r="Z147" s="68" t="n"/>
      <c r="AA147" s="69" t="n"/>
      <c r="AB147" s="68" t="n"/>
      <c r="AC147" s="69" t="n"/>
      <c r="AD147" s="70">
        <f>IF(AND(COUNTIF($B$5:B147,B147)=1,$B147&lt;&gt;"",$AB147&lt;&gt;""),1,0)</f>
        <v/>
      </c>
      <c r="AE147" s="67" t="inlineStr">
        <is>
          <t>https://www.elespectador.com/economia/que-dice-y-por-que-genera-polemica-el-decreto-de-negociacion-colectiva-del-gobierno-noticias-colombia/</t>
        </is>
      </c>
      <c r="AF147" s="64" t="n"/>
      <c r="AG147" s="65" t="n"/>
    </row>
    <row r="148" ht="15" customHeight="1" s="31">
      <c r="A148" s="66" t="inlineStr">
        <is>
          <t>ART_039</t>
        </is>
      </c>
      <c r="B148" s="66" t="inlineStr">
        <is>
          <t>ART_039_S04</t>
        </is>
      </c>
      <c r="C148" s="66" t="inlineStr">
        <is>
          <t>El Espectador</t>
        </is>
      </c>
      <c r="D148" s="66" t="inlineStr">
        <is>
          <t>Economía y negocios</t>
        </is>
      </c>
      <c r="E148" s="66" t="inlineStr">
        <is>
          <t>Noticia dura</t>
        </is>
      </c>
      <c r="F148" s="66" t="inlineStr">
        <is>
          <t>2026-03-10T18:09:31-05:00</t>
        </is>
      </c>
      <c r="G148" s="67" t="inlineStr">
        <is>
          <t>A eso se suma otro de los puntos que más debate ha generado: la denominada “cuota por beneficio convencional”.</t>
        </is>
      </c>
      <c r="H148" s="67" t="inlineStr">
        <is>
          <t>Desde algunos gremios empresariales, la medida ha despertado reparos por la posibilidad de que surjan “megasindicatos” con capacidad de negociar por sectores económicos.</t>
        </is>
      </c>
      <c r="I148" s="67" t="inlineStr">
        <is>
          <t>Según indica el decreto, los trabajadores no sindicalizados que se beneficien de una convención colectiva deberán pagar a los sindicatos una suma equivalente a la cuota ordinaria que aportan sus afiliados.</t>
        </is>
      </c>
      <c r="J148" s="68" t="n"/>
      <c r="K148" s="69" t="n"/>
      <c r="L148" s="68" t="n"/>
      <c r="M148" s="69" t="n"/>
      <c r="N148" s="68" t="n"/>
      <c r="O148" s="69" t="n"/>
      <c r="P148" s="68" t="n"/>
      <c r="Q148" s="69" t="n"/>
      <c r="R148" s="68" t="n"/>
      <c r="S148" s="69" t="n"/>
      <c r="T148" s="68" t="n"/>
      <c r="U148" s="69" t="n"/>
      <c r="V148" s="68" t="n"/>
      <c r="W148" s="69" t="n"/>
      <c r="X148" s="68" t="n"/>
      <c r="Y148" s="69" t="n"/>
      <c r="Z148" s="68" t="n"/>
      <c r="AA148" s="69" t="n"/>
      <c r="AB148" s="68" t="n"/>
      <c r="AC148" s="69" t="n"/>
      <c r="AD148" s="70">
        <f>IF(AND(COUNTIF($B$5:B148,B148)=1,$B148&lt;&gt;"",$AB148&lt;&gt;""),1,0)</f>
        <v/>
      </c>
      <c r="AE148" s="67" t="inlineStr">
        <is>
          <t>https://www.elespectador.com/economia/que-dice-y-por-que-genera-polemica-el-decreto-de-negociacion-colectiva-del-gobierno-noticias-colombia/</t>
        </is>
      </c>
      <c r="AF148" s="64" t="n"/>
      <c r="AG148" s="65" t="n"/>
    </row>
    <row r="149" ht="15" customHeight="1" s="31">
      <c r="A149" s="66" t="inlineStr">
        <is>
          <t>ART_039</t>
        </is>
      </c>
      <c r="B149" s="66" t="inlineStr">
        <is>
          <t>ART_039_S05</t>
        </is>
      </c>
      <c r="C149" s="66" t="inlineStr">
        <is>
          <t>El Espectador</t>
        </is>
      </c>
      <c r="D149" s="66" t="inlineStr">
        <is>
          <t>Economía y negocios</t>
        </is>
      </c>
      <c r="E149" s="66" t="inlineStr">
        <is>
          <t>Noticia dura</t>
        </is>
      </c>
      <c r="F149" s="66" t="inlineStr">
        <is>
          <t>2026-03-10T18:09:31-05:00</t>
        </is>
      </c>
      <c r="G149" s="67" t="inlineStr">
        <is>
          <t>Según indica el decreto, los trabajadores no sindicalizados que se beneficien de una convención colectiva deberán pagar a los sindicatos una suma equivalente a la cuota ordinaria que aportan sus afiliados.</t>
        </is>
      </c>
      <c r="H149" s="67" t="inlineStr">
        <is>
          <t>A eso se suma otro de los puntos que más debate ha generado: la denominada “cuota por beneficio convencional”.</t>
        </is>
      </c>
      <c r="I149" s="67" t="inlineStr">
        <is>
          <t>Para entender la discusión, conviene ir por partes.</t>
        </is>
      </c>
      <c r="J149" s="68" t="n"/>
      <c r="K149" s="69" t="n"/>
      <c r="L149" s="68" t="n"/>
      <c r="M149" s="69" t="n"/>
      <c r="N149" s="68" t="n"/>
      <c r="O149" s="69" t="n"/>
      <c r="P149" s="68" t="n"/>
      <c r="Q149" s="69" t="n"/>
      <c r="R149" s="68" t="n"/>
      <c r="S149" s="69" t="n"/>
      <c r="T149" s="68" t="n"/>
      <c r="U149" s="69" t="n"/>
      <c r="V149" s="68" t="n"/>
      <c r="W149" s="69" t="n"/>
      <c r="X149" s="68" t="n"/>
      <c r="Y149" s="69" t="n"/>
      <c r="Z149" s="68" t="n"/>
      <c r="AA149" s="69" t="n"/>
      <c r="AB149" s="68" t="n"/>
      <c r="AC149" s="69" t="n"/>
      <c r="AD149" s="70">
        <f>IF(AND(COUNTIF($B$5:B149,B149)=1,$B149&lt;&gt;"",$AB149&lt;&gt;""),1,0)</f>
        <v/>
      </c>
      <c r="AE149" s="67" t="inlineStr">
        <is>
          <t>https://www.elespectador.com/economia/que-dice-y-por-que-genera-polemica-el-decreto-de-negociacion-colectiva-del-gobierno-noticias-colombia/</t>
        </is>
      </c>
      <c r="AF149" s="64" t="n"/>
      <c r="AG149" s="65" t="n"/>
    </row>
    <row r="150" ht="15" customHeight="1" s="31">
      <c r="A150" s="66" t="inlineStr">
        <is>
          <t>ART_039</t>
        </is>
      </c>
      <c r="B150" s="66" t="inlineStr">
        <is>
          <t>ART_039_S06</t>
        </is>
      </c>
      <c r="C150" s="66" t="inlineStr">
        <is>
          <t>El Espectador</t>
        </is>
      </c>
      <c r="D150" s="66" t="inlineStr">
        <is>
          <t>Economía y negocios</t>
        </is>
      </c>
      <c r="E150" s="66" t="inlineStr">
        <is>
          <t>Noticia dura</t>
        </is>
      </c>
      <c r="F150" s="66" t="inlineStr">
        <is>
          <t>2026-03-10T18:09:31-05:00</t>
        </is>
      </c>
      <c r="G150" s="67" t="inlineStr">
        <is>
          <t>Para entender la discusión, conviene ir por partes.</t>
        </is>
      </c>
      <c r="H150" s="67" t="inlineStr">
        <is>
          <t>Según indica el decreto, los trabajadores no sindicalizados que se beneficien de una convención colectiva deberán pagar a los sindicatos una suma equivalente a la cuota ordinaria que aportan sus afiliados.</t>
        </is>
      </c>
      <c r="I150" s="67" t="inlineStr"/>
      <c r="J150" s="68" t="n"/>
      <c r="K150" s="69" t="n"/>
      <c r="L150" s="68" t="n"/>
      <c r="M150" s="69" t="n"/>
      <c r="N150" s="68" t="n"/>
      <c r="O150" s="69" t="n"/>
      <c r="P150" s="68" t="n"/>
      <c r="Q150" s="69" t="n"/>
      <c r="R150" s="68" t="n"/>
      <c r="S150" s="69" t="n"/>
      <c r="T150" s="68" t="n"/>
      <c r="U150" s="69" t="n"/>
      <c r="V150" s="68" t="n"/>
      <c r="W150" s="69" t="n"/>
      <c r="X150" s="68" t="n"/>
      <c r="Y150" s="69" t="n"/>
      <c r="Z150" s="68" t="n"/>
      <c r="AA150" s="69" t="n"/>
      <c r="AB150" s="68" t="n"/>
      <c r="AC150" s="69" t="n"/>
      <c r="AD150" s="70">
        <f>IF(AND(COUNTIF($B$5:B150,B150)=1,$B150&lt;&gt;"",$AB150&lt;&gt;""),1,0)</f>
        <v/>
      </c>
      <c r="AE150" s="67" t="inlineStr">
        <is>
          <t>https://www.elespectador.com/economia/que-dice-y-por-que-genera-polemica-el-decreto-de-negociacion-colectiva-del-gobierno-noticias-colombia/</t>
        </is>
      </c>
      <c r="AF150" s="64" t="n"/>
      <c r="AG150" s="65" t="n"/>
    </row>
    <row r="151" ht="15" customHeight="1" s="31">
      <c r="A151" s="66" t="inlineStr">
        <is>
          <t>ART_040</t>
        </is>
      </c>
      <c r="B151" s="66" t="inlineStr">
        <is>
          <t>ART_040_S01</t>
        </is>
      </c>
      <c r="C151" s="66" t="inlineStr">
        <is>
          <t>El Espectador</t>
        </is>
      </c>
      <c r="D151" s="66" t="inlineStr">
        <is>
          <t>Economía y negocios</t>
        </is>
      </c>
      <c r="E151" s="66" t="inlineStr">
        <is>
          <t>Opinión-análisis</t>
        </is>
      </c>
      <c r="F151" s="66" t="inlineStr">
        <is>
          <t>2025-06-24T00:00:00-05:00</t>
        </is>
      </c>
      <c r="G151" s="67" t="inlineStr">
        <is>
          <t>Después de meses de tensiones, con la reforma laboral se logró recuperar –por la vía democrática– un conjunto de derechos laborales que se habían ido perdiendo desde el gobierno de Álvaro Uribe Vélez.</t>
        </is>
      </c>
      <c r="H151" s="67" t="inlineStr"/>
      <c r="I151" s="67" t="inlineStr">
        <is>
          <t>Volver a reconocer el contrato a término indefinido como la regla general, ampliar el recargo dominical hasta el 100 % (de manera escalonada), reconocer derechos laborales para trabajadores de plataformas, ajustar la jornada nocturna y formalizar con más claridad figuras como el teletrabajo no solo son avances técnicos, sino que son decisiones políticas que reafirman un principio fundamental: el trabajo digno no es un privilegio.</t>
        </is>
      </c>
      <c r="J151" s="68" t="n"/>
      <c r="K151" s="69" t="n"/>
      <c r="L151" s="68" t="n"/>
      <c r="M151" s="69" t="n"/>
      <c r="N151" s="68" t="n"/>
      <c r="O151" s="69" t="n"/>
      <c r="P151" s="68" t="n"/>
      <c r="Q151" s="69" t="n"/>
      <c r="R151" s="68" t="n"/>
      <c r="S151" s="69" t="n"/>
      <c r="T151" s="68" t="n"/>
      <c r="U151" s="69" t="n"/>
      <c r="V151" s="68" t="n"/>
      <c r="W151" s="69" t="n"/>
      <c r="X151" s="68" t="n"/>
      <c r="Y151" s="69" t="n"/>
      <c r="Z151" s="68" t="n"/>
      <c r="AA151" s="69" t="n"/>
      <c r="AB151" s="68" t="n"/>
      <c r="AC151" s="69" t="n"/>
      <c r="AD151" s="70">
        <f>IF(AND(COUNTIF($B$5:B151,B151)=1,$B151&lt;&gt;"",$AB151&lt;&gt;""),1,0)</f>
        <v/>
      </c>
      <c r="AE151" s="67" t="inlineStr">
        <is>
          <t>https://www.elespectador.com/opinion/editorial/editorial-reforma-laboral-la-politica-si-sirve-cuando-quiere/</t>
        </is>
      </c>
      <c r="AF151" s="64" t="n"/>
      <c r="AG151" s="65" t="n"/>
    </row>
    <row r="152" ht="15" customHeight="1" s="31">
      <c r="A152" s="66" t="inlineStr">
        <is>
          <t>ART_040</t>
        </is>
      </c>
      <c r="B152" s="66" t="inlineStr">
        <is>
          <t>ART_040_S02</t>
        </is>
      </c>
      <c r="C152" s="66" t="inlineStr">
        <is>
          <t>El Espectador</t>
        </is>
      </c>
      <c r="D152" s="66" t="inlineStr">
        <is>
          <t>Economía y negocios</t>
        </is>
      </c>
      <c r="E152" s="66" t="inlineStr">
        <is>
          <t>Opinión-análisis</t>
        </is>
      </c>
      <c r="F152" s="66" t="inlineStr">
        <is>
          <t>2025-06-24T00:00:00-05:00</t>
        </is>
      </c>
      <c r="G152" s="67" t="inlineStr">
        <is>
          <t>Volver a reconocer el contrato a término indefinido como la regla general, ampliar el recargo dominical hasta el 100 % (de manera escalonada), reconocer derechos laborales para trabajadores de plataformas, ajustar la jornada nocturna y formalizar con más claridad figuras como el teletrabajo no solo son avances técnicos, sino que son decisiones políticas que reafirman un principio fundamental: el trabajo digno no es un privilegio.</t>
        </is>
      </c>
      <c r="H152" s="67" t="inlineStr">
        <is>
          <t>Después de meses de tensiones, con la reforma laboral se logró recuperar –por la vía democrática– un conjunto de derechos laborales que se habían ido perdiendo desde el gobierno de Álvaro Uribe Vélez.</t>
        </is>
      </c>
      <c r="I152" s="67" t="inlineStr">
        <is>
          <t>Además, esta aprobación por vía legislativa desarma la narrativa del petrismo sobre un supuesto bloqueo institucional que habría obligado a convocar a una consulta popular.</t>
        </is>
      </c>
      <c r="J152" s="68" t="n"/>
      <c r="K152" s="69" t="n"/>
      <c r="L152" s="68" t="n"/>
      <c r="M152" s="69" t="n"/>
      <c r="N152" s="68" t="n"/>
      <c r="O152" s="69" t="n"/>
      <c r="P152" s="68" t="n"/>
      <c r="Q152" s="69" t="n"/>
      <c r="R152" s="68" t="n"/>
      <c r="S152" s="69" t="n"/>
      <c r="T152" s="68" t="n"/>
      <c r="U152" s="69" t="n"/>
      <c r="V152" s="68" t="n"/>
      <c r="W152" s="69" t="n"/>
      <c r="X152" s="68" t="n"/>
      <c r="Y152" s="69" t="n"/>
      <c r="Z152" s="68" t="n"/>
      <c r="AA152" s="69" t="n"/>
      <c r="AB152" s="68" t="n"/>
      <c r="AC152" s="69" t="n"/>
      <c r="AD152" s="70">
        <f>IF(AND(COUNTIF($B$5:B152,B152)=1,$B152&lt;&gt;"",$AB152&lt;&gt;""),1,0)</f>
        <v/>
      </c>
      <c r="AE152" s="67" t="inlineStr">
        <is>
          <t>https://www.elespectador.com/opinion/editorial/editorial-reforma-laboral-la-politica-si-sirve-cuando-quiere/</t>
        </is>
      </c>
      <c r="AF152" s="64" t="n"/>
      <c r="AG152" s="65" t="n"/>
    </row>
    <row r="153" ht="15" customHeight="1" s="31">
      <c r="A153" s="66" t="inlineStr">
        <is>
          <t>ART_040</t>
        </is>
      </c>
      <c r="B153" s="66" t="inlineStr">
        <is>
          <t>ART_040_S03</t>
        </is>
      </c>
      <c r="C153" s="66" t="inlineStr">
        <is>
          <t>El Espectador</t>
        </is>
      </c>
      <c r="D153" s="66" t="inlineStr">
        <is>
          <t>Economía y negocios</t>
        </is>
      </c>
      <c r="E153" s="66" t="inlineStr">
        <is>
          <t>Opinión-análisis</t>
        </is>
      </c>
      <c r="F153" s="66" t="inlineStr">
        <is>
          <t>2025-06-24T00:00:00-05:00</t>
        </is>
      </c>
      <c r="G153" s="67" t="inlineStr">
        <is>
          <t>Además, esta aprobación por vía legislativa desarma la narrativa del petrismo sobre un supuesto bloqueo institucional que habría obligado a convocar a una consulta popular.</t>
        </is>
      </c>
      <c r="H153" s="67" t="inlineStr">
        <is>
          <t>Volver a reconocer el contrato a término indefinido como la regla general, ampliar el recargo dominical hasta el 100 % (de manera escalonada), reconocer derechos laborales para trabajadores de plataformas, ajustar la jornada nocturna y formalizar con más claridad figuras como el teletrabajo no solo son avances técnicos, sino que son decisiones políticas que reafirman un principio fundamental: el trabajo digno no es un privilegio.</t>
        </is>
      </c>
      <c r="I153" s="67" t="inlineStr">
        <is>
          <t>Que el Congreso haya aprobado esta reforma clave demuestra que los canales democráticos siguen abiertos.</t>
        </is>
      </c>
      <c r="J153" s="68" t="n"/>
      <c r="K153" s="69" t="n"/>
      <c r="L153" s="68" t="n"/>
      <c r="M153" s="69" t="n"/>
      <c r="N153" s="68" t="n"/>
      <c r="O153" s="69" t="n"/>
      <c r="P153" s="68" t="n"/>
      <c r="Q153" s="69" t="n"/>
      <c r="R153" s="68" t="n"/>
      <c r="S153" s="69" t="n"/>
      <c r="T153" s="68" t="n"/>
      <c r="U153" s="69" t="n"/>
      <c r="V153" s="68" t="n"/>
      <c r="W153" s="69" t="n"/>
      <c r="X153" s="68" t="n"/>
      <c r="Y153" s="69" t="n"/>
      <c r="Z153" s="68" t="n"/>
      <c r="AA153" s="69" t="n"/>
      <c r="AB153" s="68" t="n"/>
      <c r="AC153" s="69" t="n"/>
      <c r="AD153" s="70">
        <f>IF(AND(COUNTIF($B$5:B153,B153)=1,$B153&lt;&gt;"",$AB153&lt;&gt;""),1,0)</f>
        <v/>
      </c>
      <c r="AE153" s="67" t="inlineStr">
        <is>
          <t>https://www.elespectador.com/opinion/editorial/editorial-reforma-laboral-la-politica-si-sirve-cuando-quiere/</t>
        </is>
      </c>
      <c r="AF153" s="64" t="n"/>
      <c r="AG153" s="65" t="n"/>
    </row>
    <row r="154" ht="15" customHeight="1" s="31">
      <c r="A154" s="66" t="inlineStr">
        <is>
          <t>ART_040</t>
        </is>
      </c>
      <c r="B154" s="66" t="inlineStr">
        <is>
          <t>ART_040_S04</t>
        </is>
      </c>
      <c r="C154" s="66" t="inlineStr">
        <is>
          <t>El Espectador</t>
        </is>
      </c>
      <c r="D154" s="66" t="inlineStr">
        <is>
          <t>Economía y negocios</t>
        </is>
      </c>
      <c r="E154" s="66" t="inlineStr">
        <is>
          <t>Opinión-análisis</t>
        </is>
      </c>
      <c r="F154" s="66" t="inlineStr">
        <is>
          <t>2025-06-24T00:00:00-05:00</t>
        </is>
      </c>
      <c r="G154" s="67" t="inlineStr">
        <is>
          <t>Que el Congreso haya aprobado esta reforma clave demuestra que los canales democráticos siguen abiertos.</t>
        </is>
      </c>
      <c r="H154" s="67" t="inlineStr">
        <is>
          <t>Además, esta aprobación por vía legislativa desarma la narrativa del petrismo sobre un supuesto bloqueo institucional que habría obligado a convocar a una consulta popular.</t>
        </is>
      </c>
      <c r="I154" s="67" t="inlineStr">
        <is>
          <t>Aunque se podría argumentar que el resultado no hubiera sido posible sin la presión del chantaje plebiscitario, hay que recordar que el Congreso también aprobó dos reformas tributarias y una pensional.</t>
        </is>
      </c>
      <c r="J154" s="68" t="n"/>
      <c r="K154" s="69" t="n"/>
      <c r="L154" s="68" t="n"/>
      <c r="M154" s="69" t="n"/>
      <c r="N154" s="68" t="n"/>
      <c r="O154" s="69" t="n"/>
      <c r="P154" s="68" t="n"/>
      <c r="Q154" s="69" t="n"/>
      <c r="R154" s="68" t="n"/>
      <c r="S154" s="69" t="n"/>
      <c r="T154" s="68" t="n"/>
      <c r="U154" s="69" t="n"/>
      <c r="V154" s="68" t="n"/>
      <c r="W154" s="69" t="n"/>
      <c r="X154" s="68" t="n"/>
      <c r="Y154" s="69" t="n"/>
      <c r="Z154" s="68" t="n"/>
      <c r="AA154" s="69" t="n"/>
      <c r="AB154" s="68" t="n"/>
      <c r="AC154" s="69" t="n"/>
      <c r="AD154" s="70">
        <f>IF(AND(COUNTIF($B$5:B154,B154)=1,$B154&lt;&gt;"",$AB154&lt;&gt;""),1,0)</f>
        <v/>
      </c>
      <c r="AE154" s="67" t="inlineStr">
        <is>
          <t>https://www.elespectador.com/opinion/editorial/editorial-reforma-laboral-la-politica-si-sirve-cuando-quiere/</t>
        </is>
      </c>
      <c r="AF154" s="64" t="n"/>
      <c r="AG154" s="65" t="n"/>
    </row>
    <row r="155" ht="15" customHeight="1" s="31">
      <c r="A155" s="66" t="inlineStr">
        <is>
          <t>ART_040</t>
        </is>
      </c>
      <c r="B155" s="66" t="inlineStr">
        <is>
          <t>ART_040_S05</t>
        </is>
      </c>
      <c r="C155" s="66" t="inlineStr">
        <is>
          <t>El Espectador</t>
        </is>
      </c>
      <c r="D155" s="66" t="inlineStr">
        <is>
          <t>Economía y negocios</t>
        </is>
      </c>
      <c r="E155" s="66" t="inlineStr">
        <is>
          <t>Opinión-análisis</t>
        </is>
      </c>
      <c r="F155" s="66" t="inlineStr">
        <is>
          <t>2025-06-24T00:00:00-05:00</t>
        </is>
      </c>
      <c r="G155" s="67" t="inlineStr">
        <is>
          <t>Aunque se podría argumentar que el resultado no hubiera sido posible sin la presión del chantaje plebiscitario, hay que recordar que el Congreso también aprobó dos reformas tributarias y una pensional.</t>
        </is>
      </c>
      <c r="H155" s="67" t="inlineStr">
        <is>
          <t>Que el Congreso haya aprobado esta reforma clave demuestra que los canales democráticos siguen abiertos.</t>
        </is>
      </c>
      <c r="I155" s="67" t="inlineStr">
        <is>
          <t>Que la oposición obstaculice las iniciativas gubernamentales no es una conspiración, sino un ejercicio de contrapeso lógico y necesario.</t>
        </is>
      </c>
      <c r="J155" s="68" t="n"/>
      <c r="K155" s="69" t="n"/>
      <c r="L155" s="68" t="n"/>
      <c r="M155" s="69" t="n"/>
      <c r="N155" s="68" t="n"/>
      <c r="O155" s="69" t="n"/>
      <c r="P155" s="68" t="n"/>
      <c r="Q155" s="69" t="n"/>
      <c r="R155" s="68" t="n"/>
      <c r="S155" s="69" t="n"/>
      <c r="T155" s="68" t="n"/>
      <c r="U155" s="69" t="n"/>
      <c r="V155" s="68" t="n"/>
      <c r="W155" s="69" t="n"/>
      <c r="X155" s="68" t="n"/>
      <c r="Y155" s="69" t="n"/>
      <c r="Z155" s="68" t="n"/>
      <c r="AA155" s="69" t="n"/>
      <c r="AB155" s="68" t="n"/>
      <c r="AC155" s="69" t="n"/>
      <c r="AD155" s="70">
        <f>IF(AND(COUNTIF($B$5:B155,B155)=1,$B155&lt;&gt;"",$AB155&lt;&gt;""),1,0)</f>
        <v/>
      </c>
      <c r="AE155" s="67" t="inlineStr">
        <is>
          <t>https://www.elespectador.com/opinion/editorial/editorial-reforma-laboral-la-politica-si-sirve-cuando-quiere/</t>
        </is>
      </c>
      <c r="AF155" s="64" t="n"/>
      <c r="AG155" s="65" t="n"/>
    </row>
    <row r="156" ht="15" customHeight="1" s="31">
      <c r="A156" s="66" t="inlineStr">
        <is>
          <t>ART_040</t>
        </is>
      </c>
      <c r="B156" s="66" t="inlineStr">
        <is>
          <t>ART_040_S06</t>
        </is>
      </c>
      <c r="C156" s="66" t="inlineStr">
        <is>
          <t>El Espectador</t>
        </is>
      </c>
      <c r="D156" s="66" t="inlineStr">
        <is>
          <t>Economía y negocios</t>
        </is>
      </c>
      <c r="E156" s="66" t="inlineStr">
        <is>
          <t>Opinión-análisis</t>
        </is>
      </c>
      <c r="F156" s="66" t="inlineStr">
        <is>
          <t>2025-06-24T00:00:00-05:00</t>
        </is>
      </c>
      <c r="G156" s="67" t="inlineStr">
        <is>
          <t>Que la oposición obstaculice las iniciativas gubernamentales no es una conspiración, sino un ejercicio de contrapeso lógico y necesario.</t>
        </is>
      </c>
      <c r="H156" s="67" t="inlineStr">
        <is>
          <t>Aunque se podría argumentar que el resultado no hubiera sido posible sin la presión del chantaje plebiscitario, hay que recordar que el Congreso también aprobó dos reformas tributarias y una pensional.</t>
        </is>
      </c>
      <c r="I156" s="67" t="inlineStr">
        <is>
          <t>Ahora bien, la oposición igual merece ser cuestionada por haberle jugado al fuego institucional cuando, en la Comisión Séptima, intentó sepultar la reforma sin darle el debate que merecía.</t>
        </is>
      </c>
      <c r="J156" s="68" t="n"/>
      <c r="K156" s="69" t="n"/>
      <c r="L156" s="68" t="n"/>
      <c r="M156" s="69" t="n"/>
      <c r="N156" s="68" t="n"/>
      <c r="O156" s="69" t="n"/>
      <c r="P156" s="68" t="n"/>
      <c r="Q156" s="69" t="n"/>
      <c r="R156" s="68" t="n"/>
      <c r="S156" s="69" t="n"/>
      <c r="T156" s="68" t="n"/>
      <c r="U156" s="69" t="n"/>
      <c r="V156" s="68" t="n"/>
      <c r="W156" s="69" t="n"/>
      <c r="X156" s="68" t="n"/>
      <c r="Y156" s="69" t="n"/>
      <c r="Z156" s="68" t="n"/>
      <c r="AA156" s="69" t="n"/>
      <c r="AB156" s="68" t="n"/>
      <c r="AC156" s="69" t="n"/>
      <c r="AD156" s="70">
        <f>IF(AND(COUNTIF($B$5:B156,B156)=1,$B156&lt;&gt;"",$AB156&lt;&gt;""),1,0)</f>
        <v/>
      </c>
      <c r="AE156" s="67" t="inlineStr">
        <is>
          <t>https://www.elespectador.com/opinion/editorial/editorial-reforma-laboral-la-politica-si-sirve-cuando-quiere/</t>
        </is>
      </c>
      <c r="AF156" s="64" t="n"/>
      <c r="AG156" s="65" t="n"/>
    </row>
    <row r="157" ht="15" customHeight="1" s="31">
      <c r="A157" s="66" t="inlineStr">
        <is>
          <t>ART_040</t>
        </is>
      </c>
      <c r="B157" s="66" t="inlineStr">
        <is>
          <t>ART_040_S07</t>
        </is>
      </c>
      <c r="C157" s="66" t="inlineStr">
        <is>
          <t>El Espectador</t>
        </is>
      </c>
      <c r="D157" s="66" t="inlineStr">
        <is>
          <t>Economía y negocios</t>
        </is>
      </c>
      <c r="E157" s="66" t="inlineStr">
        <is>
          <t>Opinión-análisis</t>
        </is>
      </c>
      <c r="F157" s="66" t="inlineStr">
        <is>
          <t>2025-06-24T00:00:00-05:00</t>
        </is>
      </c>
      <c r="G157" s="67" t="inlineStr">
        <is>
          <t>Ahora bien, la oposición igual merece ser cuestionada por haberle jugado al fuego institucional cuando, en la Comisión Séptima, intentó sepultar la reforma sin darle el debate que merecía.</t>
        </is>
      </c>
      <c r="H157" s="67" t="inlineStr">
        <is>
          <t>Que la oposición obstaculice las iniciativas gubernamentales no es una conspiración, sino un ejercicio de contrapeso lógico y necesario.</t>
        </is>
      </c>
      <c r="I157" s="67" t="inlineStr">
        <is>
          <t>Dicho esto, la mesa sigue coja.</t>
        </is>
      </c>
      <c r="J157" s="68" t="n"/>
      <c r="K157" s="69" t="n"/>
      <c r="L157" s="68" t="n"/>
      <c r="M157" s="69" t="n"/>
      <c r="N157" s="68" t="n"/>
      <c r="O157" s="69" t="n"/>
      <c r="P157" s="68" t="n"/>
      <c r="Q157" s="69" t="n"/>
      <c r="R157" s="68" t="n"/>
      <c r="S157" s="69" t="n"/>
      <c r="T157" s="68" t="n"/>
      <c r="U157" s="69" t="n"/>
      <c r="V157" s="68" t="n"/>
      <c r="W157" s="69" t="n"/>
      <c r="X157" s="68" t="n"/>
      <c r="Y157" s="69" t="n"/>
      <c r="Z157" s="68" t="n"/>
      <c r="AA157" s="69" t="n"/>
      <c r="AB157" s="68" t="n"/>
      <c r="AC157" s="69" t="n"/>
      <c r="AD157" s="70">
        <f>IF(AND(COUNTIF($B$5:B157,B157)=1,$B157&lt;&gt;"",$AB157&lt;&gt;""),1,0)</f>
        <v/>
      </c>
      <c r="AE157" s="67" t="inlineStr">
        <is>
          <t>https://www.elespectador.com/opinion/editorial/editorial-reforma-laboral-la-politica-si-sirve-cuando-quiere/</t>
        </is>
      </c>
      <c r="AF157" s="64" t="n"/>
      <c r="AG157" s="65" t="n"/>
    </row>
    <row r="158" ht="15" customHeight="1" s="31">
      <c r="A158" s="66" t="inlineStr">
        <is>
          <t>ART_040</t>
        </is>
      </c>
      <c r="B158" s="66" t="inlineStr">
        <is>
          <t>ART_040_S08</t>
        </is>
      </c>
      <c r="C158" s="66" t="inlineStr">
        <is>
          <t>El Espectador</t>
        </is>
      </c>
      <c r="D158" s="66" t="inlineStr">
        <is>
          <t>Economía y negocios</t>
        </is>
      </c>
      <c r="E158" s="66" t="inlineStr">
        <is>
          <t>Opinión-análisis</t>
        </is>
      </c>
      <c r="F158" s="66" t="inlineStr">
        <is>
          <t>2025-06-24T00:00:00-05:00</t>
        </is>
      </c>
      <c r="G158" s="67" t="inlineStr">
        <is>
          <t>Dicho esto, la mesa sigue coja.</t>
        </is>
      </c>
      <c r="H158" s="67" t="inlineStr">
        <is>
          <t>Ahora bien, la oposición igual merece ser cuestionada por haberle jugado al fuego institucional cuando, en la Comisión Séptima, intentó sepultar la reforma sin darle el debate que merecía.</t>
        </is>
      </c>
      <c r="I158" s="67" t="inlineStr">
        <is>
          <t>Esta reforma solo aplica al trabajo formal, mientras que, según el DANE, el 55,4 % de las y los trabajadores colombianos siguen en la informalidad.</t>
        </is>
      </c>
      <c r="J158" s="68" t="n"/>
      <c r="K158" s="69" t="n"/>
      <c r="L158" s="68" t="n"/>
      <c r="M158" s="69" t="n"/>
      <c r="N158" s="68" t="n"/>
      <c r="O158" s="69" t="n"/>
      <c r="P158" s="68" t="n"/>
      <c r="Q158" s="69" t="n"/>
      <c r="R158" s="68" t="n"/>
      <c r="S158" s="69" t="n"/>
      <c r="T158" s="68" t="n"/>
      <c r="U158" s="69" t="n"/>
      <c r="V158" s="68" t="n"/>
      <c r="W158" s="69" t="n"/>
      <c r="X158" s="68" t="n"/>
      <c r="Y158" s="69" t="n"/>
      <c r="Z158" s="68" t="n"/>
      <c r="AA158" s="69" t="n"/>
      <c r="AB158" s="68" t="n"/>
      <c r="AC158" s="69" t="n"/>
      <c r="AD158" s="70">
        <f>IF(AND(COUNTIF($B$5:B158,B158)=1,$B158&lt;&gt;"",$AB158&lt;&gt;""),1,0)</f>
        <v/>
      </c>
      <c r="AE158" s="67" t="inlineStr">
        <is>
          <t>https://www.elespectador.com/opinion/editorial/editorial-reforma-laboral-la-politica-si-sirve-cuando-quiere/</t>
        </is>
      </c>
      <c r="AF158" s="64" t="n"/>
      <c r="AG158" s="65" t="n"/>
    </row>
    <row r="159" ht="15" customHeight="1" s="31">
      <c r="A159" s="66" t="inlineStr">
        <is>
          <t>ART_040</t>
        </is>
      </c>
      <c r="B159" s="66" t="inlineStr">
        <is>
          <t>ART_040_S09</t>
        </is>
      </c>
      <c r="C159" s="66" t="inlineStr">
        <is>
          <t>El Espectador</t>
        </is>
      </c>
      <c r="D159" s="66" t="inlineStr">
        <is>
          <t>Economía y negocios</t>
        </is>
      </c>
      <c r="E159" s="66" t="inlineStr">
        <is>
          <t>Opinión-análisis</t>
        </is>
      </c>
      <c r="F159" s="66" t="inlineStr">
        <is>
          <t>2025-06-24T00:00:00-05:00</t>
        </is>
      </c>
      <c r="G159" s="67" t="inlineStr">
        <is>
          <t>Esta reforma solo aplica al trabajo formal, mientras que, según el DANE, el 55,4 % de las y los trabajadores colombianos siguen en la informalidad.</t>
        </is>
      </c>
      <c r="H159" s="67" t="inlineStr">
        <is>
          <t>Dicho esto, la mesa sigue coja.</t>
        </is>
      </c>
      <c r="I159" s="67" t="inlineStr">
        <is>
          <t>Mejorar las condiciones del trabajo formal es fundamental, sí, pero insuficiente para transformar de fondo los derechos de los trabajadores en el país.</t>
        </is>
      </c>
      <c r="J159" s="68" t="n"/>
      <c r="K159" s="69" t="n"/>
      <c r="L159" s="68" t="n"/>
      <c r="M159" s="69" t="n"/>
      <c r="N159" s="68" t="n"/>
      <c r="O159" s="69" t="n"/>
      <c r="P159" s="68" t="n"/>
      <c r="Q159" s="69" t="n"/>
      <c r="R159" s="68" t="n"/>
      <c r="S159" s="69" t="n"/>
      <c r="T159" s="68" t="n"/>
      <c r="U159" s="69" t="n"/>
      <c r="V159" s="68" t="n"/>
      <c r="W159" s="69" t="n"/>
      <c r="X159" s="68" t="n"/>
      <c r="Y159" s="69" t="n"/>
      <c r="Z159" s="68" t="n"/>
      <c r="AA159" s="69" t="n"/>
      <c r="AB159" s="68" t="n"/>
      <c r="AC159" s="69" t="n"/>
      <c r="AD159" s="70">
        <f>IF(AND(COUNTIF($B$5:B159,B159)=1,$B159&lt;&gt;"",$AB159&lt;&gt;""),1,0)</f>
        <v/>
      </c>
      <c r="AE159" s="67" t="inlineStr">
        <is>
          <t>https://www.elespectador.com/opinion/editorial/editorial-reforma-laboral-la-politica-si-sirve-cuando-quiere/</t>
        </is>
      </c>
      <c r="AF159" s="64" t="n"/>
      <c r="AG159" s="65" t="n"/>
    </row>
    <row r="160" ht="15" customHeight="1" s="31">
      <c r="A160" s="66" t="inlineStr">
        <is>
          <t>ART_040</t>
        </is>
      </c>
      <c r="B160" s="66" t="inlineStr">
        <is>
          <t>ART_040_S10</t>
        </is>
      </c>
      <c r="C160" s="66" t="inlineStr">
        <is>
          <t>El Espectador</t>
        </is>
      </c>
      <c r="D160" s="66" t="inlineStr">
        <is>
          <t>Economía y negocios</t>
        </is>
      </c>
      <c r="E160" s="66" t="inlineStr">
        <is>
          <t>Opinión-análisis</t>
        </is>
      </c>
      <c r="F160" s="66" t="inlineStr">
        <is>
          <t>2025-06-24T00:00:00-05:00</t>
        </is>
      </c>
      <c r="G160" s="67" t="inlineStr">
        <is>
          <t>Mejorar las condiciones del trabajo formal es fundamental, sí, pero insuficiente para transformar de fondo los derechos de los trabajadores en el país.</t>
        </is>
      </c>
      <c r="H160" s="67" t="inlineStr">
        <is>
          <t>Esta reforma solo aplica al trabajo formal, mientras que, según el DANE, el 55,4 % de las y los trabajadores colombianos siguen en la informalidad.</t>
        </is>
      </c>
      <c r="I160" s="67" t="inlineStr">
        <is>
          <t>Sin una política clara que aborde la informalidad con rigor, la promesa del trabajo digno seguirá siendo una ficción para millones.</t>
        </is>
      </c>
      <c r="J160" s="68" t="n"/>
      <c r="K160" s="69" t="n"/>
      <c r="L160" s="68" t="n"/>
      <c r="M160" s="69" t="n"/>
      <c r="N160" s="68" t="n"/>
      <c r="O160" s="69" t="n"/>
      <c r="P160" s="68" t="n"/>
      <c r="Q160" s="69" t="n"/>
      <c r="R160" s="68" t="n"/>
      <c r="S160" s="69" t="n"/>
      <c r="T160" s="68" t="n"/>
      <c r="U160" s="69" t="n"/>
      <c r="V160" s="68" t="n"/>
      <c r="W160" s="69" t="n"/>
      <c r="X160" s="68" t="n"/>
      <c r="Y160" s="69" t="n"/>
      <c r="Z160" s="68" t="n"/>
      <c r="AA160" s="69" t="n"/>
      <c r="AB160" s="68" t="n"/>
      <c r="AC160" s="69" t="n"/>
      <c r="AD160" s="70">
        <f>IF(AND(COUNTIF($B$5:B160,B160)=1,$B160&lt;&gt;"",$AB160&lt;&gt;""),1,0)</f>
        <v/>
      </c>
      <c r="AE160" s="67" t="inlineStr">
        <is>
          <t>https://www.elespectador.com/opinion/editorial/editorial-reforma-laboral-la-politica-si-sirve-cuando-quiere/</t>
        </is>
      </c>
      <c r="AF160" s="64" t="n"/>
      <c r="AG160" s="65" t="n"/>
    </row>
    <row r="161" ht="15" customHeight="1" s="31">
      <c r="A161" s="66" t="inlineStr">
        <is>
          <t>ART_040</t>
        </is>
      </c>
      <c r="B161" s="66" t="inlineStr">
        <is>
          <t>ART_040_S11</t>
        </is>
      </c>
      <c r="C161" s="66" t="inlineStr">
        <is>
          <t>El Espectador</t>
        </is>
      </c>
      <c r="D161" s="66" t="inlineStr">
        <is>
          <t>Economía y negocios</t>
        </is>
      </c>
      <c r="E161" s="66" t="inlineStr">
        <is>
          <t>Opinión-análisis</t>
        </is>
      </c>
      <c r="F161" s="66" t="inlineStr">
        <is>
          <t>2025-06-24T00:00:00-05:00</t>
        </is>
      </c>
      <c r="G161" s="67" t="inlineStr">
        <is>
          <t>Sin una política clara que aborde la informalidad con rigor, la promesa del trabajo digno seguirá siendo una ficción para millones.</t>
        </is>
      </c>
      <c r="H161" s="67" t="inlineStr">
        <is>
          <t>Mejorar las condiciones del trabajo formal es fundamental, sí, pero insuficiente para transformar de fondo los derechos de los trabajadores en el país.</t>
        </is>
      </c>
      <c r="I161" s="67" t="inlineStr">
        <is>
          <t>También hay críticas legítimas.</t>
        </is>
      </c>
      <c r="J161" s="68" t="n"/>
      <c r="K161" s="69" t="n"/>
      <c r="L161" s="68" t="n"/>
      <c r="M161" s="69" t="n"/>
      <c r="N161" s="68" t="n"/>
      <c r="O161" s="69" t="n"/>
      <c r="P161" s="68" t="n"/>
      <c r="Q161" s="69" t="n"/>
      <c r="R161" s="68" t="n"/>
      <c r="S161" s="69" t="n"/>
      <c r="T161" s="68" t="n"/>
      <c r="U161" s="69" t="n"/>
      <c r="V161" s="68" t="n"/>
      <c r="W161" s="69" t="n"/>
      <c r="X161" s="68" t="n"/>
      <c r="Y161" s="69" t="n"/>
      <c r="Z161" s="68" t="n"/>
      <c r="AA161" s="69" t="n"/>
      <c r="AB161" s="68" t="n"/>
      <c r="AC161" s="69" t="n"/>
      <c r="AD161" s="70">
        <f>IF(AND(COUNTIF($B$5:B161,B161)=1,$B161&lt;&gt;"",$AB161&lt;&gt;""),1,0)</f>
        <v/>
      </c>
      <c r="AE161" s="67" t="inlineStr">
        <is>
          <t>https://www.elespectador.com/opinion/editorial/editorial-reforma-laboral-la-politica-si-sirve-cuando-quiere/</t>
        </is>
      </c>
      <c r="AF161" s="64" t="n"/>
      <c r="AG161" s="65" t="n"/>
    </row>
    <row r="162" ht="15" customHeight="1" s="31">
      <c r="A162" s="66" t="inlineStr">
        <is>
          <t>ART_040</t>
        </is>
      </c>
      <c r="B162" s="66" t="inlineStr">
        <is>
          <t>ART_040_S12</t>
        </is>
      </c>
      <c r="C162" s="66" t="inlineStr">
        <is>
          <t>El Espectador</t>
        </is>
      </c>
      <c r="D162" s="66" t="inlineStr">
        <is>
          <t>Economía y negocios</t>
        </is>
      </c>
      <c r="E162" s="66" t="inlineStr">
        <is>
          <t>Opinión-análisis</t>
        </is>
      </c>
      <c r="F162" s="66" t="inlineStr">
        <is>
          <t>2025-06-24T00:00:00-05:00</t>
        </is>
      </c>
      <c r="G162" s="67" t="inlineStr">
        <is>
          <t>También hay críticas legítimas.</t>
        </is>
      </c>
      <c r="H162" s="67" t="inlineStr">
        <is>
          <t>Sin una política clara que aborde la informalidad con rigor, la promesa del trabajo digno seguirá siendo una ficción para millones.</t>
        </is>
      </c>
      <c r="I162" s="67" t="inlineStr">
        <is>
          <t>Al elevar los costos laborales, existe el riesgo de que algunos empleadores –especialmente los de medianas o pequeñas empresas que apenas comienzan– opten por reducir la contratación formal o recurran a figuras menos protegidas.</t>
        </is>
      </c>
      <c r="J162" s="68" t="n"/>
      <c r="K162" s="69" t="n"/>
      <c r="L162" s="68" t="n"/>
      <c r="M162" s="69" t="n"/>
      <c r="N162" s="68" t="n"/>
      <c r="O162" s="69" t="n"/>
      <c r="P162" s="68" t="n"/>
      <c r="Q162" s="69" t="n"/>
      <c r="R162" s="68" t="n"/>
      <c r="S162" s="69" t="n"/>
      <c r="T162" s="68" t="n"/>
      <c r="U162" s="69" t="n"/>
      <c r="V162" s="68" t="n"/>
      <c r="W162" s="69" t="n"/>
      <c r="X162" s="68" t="n"/>
      <c r="Y162" s="69" t="n"/>
      <c r="Z162" s="68" t="n"/>
      <c r="AA162" s="69" t="n"/>
      <c r="AB162" s="68" t="n"/>
      <c r="AC162" s="69" t="n"/>
      <c r="AD162" s="70">
        <f>IF(AND(COUNTIF($B$5:B162,B162)=1,$B162&lt;&gt;"",$AB162&lt;&gt;""),1,0)</f>
        <v/>
      </c>
      <c r="AE162" s="67" t="inlineStr">
        <is>
          <t>https://www.elespectador.com/opinion/editorial/editorial-reforma-laboral-la-politica-si-sirve-cuando-quiere/</t>
        </is>
      </c>
      <c r="AF162" s="64" t="n"/>
      <c r="AG162" s="65" t="n"/>
    </row>
    <row r="163" ht="15" customHeight="1" s="31">
      <c r="A163" s="66" t="inlineStr">
        <is>
          <t>ART_040</t>
        </is>
      </c>
      <c r="B163" s="66" t="inlineStr">
        <is>
          <t>ART_040_S13</t>
        </is>
      </c>
      <c r="C163" s="66" t="inlineStr">
        <is>
          <t>El Espectador</t>
        </is>
      </c>
      <c r="D163" s="66" t="inlineStr">
        <is>
          <t>Economía y negocios</t>
        </is>
      </c>
      <c r="E163" s="66" t="inlineStr">
        <is>
          <t>Opinión-análisis</t>
        </is>
      </c>
      <c r="F163" s="66" t="inlineStr">
        <is>
          <t>2025-06-24T00:00:00-05:00</t>
        </is>
      </c>
      <c r="G163" s="67" t="inlineStr">
        <is>
          <t>Al elevar los costos laborales, existe el riesgo de que algunos empleadores –especialmente los de medianas o pequeñas empresas que apenas comienzan– opten por reducir la contratación formal o recurran a figuras menos protegidas.</t>
        </is>
      </c>
      <c r="H163" s="67" t="inlineStr">
        <is>
          <t>También hay críticas legítimas.</t>
        </is>
      </c>
      <c r="I163" s="67" t="inlineStr">
        <is>
          <t>Aunque estos costos no pretenden ser una carga arbitraria, sino una forma justa de reconocer derechos que nunca debieron perderse, será necesaria una reglamentación diferencial según el tamaño de las empresas.</t>
        </is>
      </c>
      <c r="J163" s="68" t="n"/>
      <c r="K163" s="69" t="n"/>
      <c r="L163" s="68" t="n"/>
      <c r="M163" s="69" t="n"/>
      <c r="N163" s="68" t="n"/>
      <c r="O163" s="69" t="n"/>
      <c r="P163" s="68" t="n"/>
      <c r="Q163" s="69" t="n"/>
      <c r="R163" s="68" t="n"/>
      <c r="S163" s="69" t="n"/>
      <c r="T163" s="68" t="n"/>
      <c r="U163" s="69" t="n"/>
      <c r="V163" s="68" t="n"/>
      <c r="W163" s="69" t="n"/>
      <c r="X163" s="68" t="n"/>
      <c r="Y163" s="69" t="n"/>
      <c r="Z163" s="68" t="n"/>
      <c r="AA163" s="69" t="n"/>
      <c r="AB163" s="68" t="n"/>
      <c r="AC163" s="69" t="n"/>
      <c r="AD163" s="70">
        <f>IF(AND(COUNTIF($B$5:B163,B163)=1,$B163&lt;&gt;"",$AB163&lt;&gt;""),1,0)</f>
        <v/>
      </c>
      <c r="AE163" s="67" t="inlineStr">
        <is>
          <t>https://www.elespectador.com/opinion/editorial/editorial-reforma-laboral-la-politica-si-sirve-cuando-quiere/</t>
        </is>
      </c>
      <c r="AF163" s="64" t="n"/>
      <c r="AG163" s="65" t="n"/>
    </row>
    <row r="164" ht="15" customHeight="1" s="31">
      <c r="A164" s="66" t="inlineStr">
        <is>
          <t>ART_040</t>
        </is>
      </c>
      <c r="B164" s="66" t="inlineStr">
        <is>
          <t>ART_040_S14</t>
        </is>
      </c>
      <c r="C164" s="66" t="inlineStr">
        <is>
          <t>El Espectador</t>
        </is>
      </c>
      <c r="D164" s="66" t="inlineStr">
        <is>
          <t>Economía y negocios</t>
        </is>
      </c>
      <c r="E164" s="66" t="inlineStr">
        <is>
          <t>Opinión-análisis</t>
        </is>
      </c>
      <c r="F164" s="66" t="inlineStr">
        <is>
          <t>2025-06-24T00:00:00-05:00</t>
        </is>
      </c>
      <c r="G164" s="67" t="inlineStr">
        <is>
          <t>Aunque estos costos no pretenden ser una carga arbitraria, sino una forma justa de reconocer derechos que nunca debieron perderse, será necesaria una reglamentación diferencial según el tamaño de las empresas.</t>
        </is>
      </c>
      <c r="H164" s="67" t="inlineStr">
        <is>
          <t>Al elevar los costos laborales, existe el riesgo de que algunos empleadores –especialmente los de medianas o pequeñas empresas que apenas comienzan– opten por reducir la contratación formal o recurran a figuras menos protegidas.</t>
        </is>
      </c>
      <c r="I164" s="67" t="inlineStr"/>
      <c r="J164" s="68" t="n"/>
      <c r="K164" s="69" t="n"/>
      <c r="L164" s="68" t="n"/>
      <c r="M164" s="69" t="n"/>
      <c r="N164" s="68" t="n"/>
      <c r="O164" s="69" t="n"/>
      <c r="P164" s="68" t="n"/>
      <c r="Q164" s="69" t="n"/>
      <c r="R164" s="68" t="n"/>
      <c r="S164" s="69" t="n"/>
      <c r="T164" s="68" t="n"/>
      <c r="U164" s="69" t="n"/>
      <c r="V164" s="68" t="n"/>
      <c r="W164" s="69" t="n"/>
      <c r="X164" s="68" t="n"/>
      <c r="Y164" s="69" t="n"/>
      <c r="Z164" s="68" t="n"/>
      <c r="AA164" s="69" t="n"/>
      <c r="AB164" s="68" t="n"/>
      <c r="AC164" s="69" t="n"/>
      <c r="AD164" s="70">
        <f>IF(AND(COUNTIF($B$5:B164,B164)=1,$B164&lt;&gt;"",$AB164&lt;&gt;""),1,0)</f>
        <v/>
      </c>
      <c r="AE164" s="67" t="inlineStr">
        <is>
          <t>https://www.elespectador.com/opinion/editorial/editorial-reforma-laboral-la-politica-si-sirve-cuando-quiere/</t>
        </is>
      </c>
      <c r="AF164" s="64" t="n"/>
      <c r="AG164" s="65" t="n"/>
    </row>
    <row r="165" ht="15" customHeight="1" s="31">
      <c r="A165" s="66" t="inlineStr">
        <is>
          <t>ART_041</t>
        </is>
      </c>
      <c r="B165" s="66" t="inlineStr">
        <is>
          <t>ART_041_S01</t>
        </is>
      </c>
      <c r="C165" s="66" t="inlineStr">
        <is>
          <t>La Silla Vacía</t>
        </is>
      </c>
      <c r="D165" s="66" t="inlineStr">
        <is>
          <t>Economía y negocios</t>
        </is>
      </c>
      <c r="E165" s="66" t="inlineStr">
        <is>
          <t>Noticia dura</t>
        </is>
      </c>
      <c r="F165" s="66" t="inlineStr">
        <is>
          <t>Tue, 25 Aug 2026 23:52:59 +0000</t>
        </is>
      </c>
      <c r="G165" s="67" t="inlineStr">
        <is>
          <t>Circula en redes sociales que el gobierno del presidente Abelardo de la Espriella eliminó el pago de las horas extras de los vigilantes ( 1 , 2 , 3 , 4 , 5 , 6 , 7 ).</t>
        </is>
      </c>
      <c r="H165" s="67" t="inlineStr"/>
      <c r="I165" s="67" t="inlineStr">
        <is>
          <t>Pero eso es falso.</t>
        </is>
      </c>
      <c r="J165" s="68" t="n"/>
      <c r="K165" s="69" t="n"/>
      <c r="L165" s="68" t="n"/>
      <c r="M165" s="69" t="n"/>
      <c r="N165" s="68" t="n"/>
      <c r="O165" s="69" t="n"/>
      <c r="P165" s="68" t="n"/>
      <c r="Q165" s="69" t="n"/>
      <c r="R165" s="68" t="n"/>
      <c r="S165" s="69" t="n"/>
      <c r="T165" s="68" t="n"/>
      <c r="U165" s="69" t="n"/>
      <c r="V165" s="68" t="n"/>
      <c r="W165" s="69" t="n"/>
      <c r="X165" s="68" t="n"/>
      <c r="Y165" s="69" t="n"/>
      <c r="Z165" s="68" t="n"/>
      <c r="AA165" s="69" t="n"/>
      <c r="AB165" s="68" t="n"/>
      <c r="AC165" s="69" t="n"/>
      <c r="AD165" s="70">
        <f>IF(AND(COUNTIF($B$5:B165,B165)=1,$B165&lt;&gt;"",$AB165&lt;&gt;""),1,0)</f>
        <v/>
      </c>
      <c r="AE165" s="67" t="inlineStr">
        <is>
          <t>https://www.lasillavacia.com/detector-de-mentiras/falso/abelardo-no-elimino-extras-a-vigilantes-al-derogar-circular-del-mintrabajo/</t>
        </is>
      </c>
      <c r="AF165" s="64" t="n"/>
      <c r="AG165" s="65" t="n"/>
    </row>
    <row r="166" ht="15" customHeight="1" s="31">
      <c r="A166" s="66" t="inlineStr">
        <is>
          <t>ART_041</t>
        </is>
      </c>
      <c r="B166" s="66" t="inlineStr">
        <is>
          <t>ART_041_S02</t>
        </is>
      </c>
      <c r="C166" s="66" t="inlineStr">
        <is>
          <t>La Silla Vacía</t>
        </is>
      </c>
      <c r="D166" s="66" t="inlineStr">
        <is>
          <t>Economía y negocios</t>
        </is>
      </c>
      <c r="E166" s="66" t="inlineStr">
        <is>
          <t>Noticia dura</t>
        </is>
      </c>
      <c r="F166" s="66" t="inlineStr">
        <is>
          <t>Tue, 25 Aug 2026 23:52:59 +0000</t>
        </is>
      </c>
      <c r="G166" s="67" t="inlineStr">
        <is>
          <t>Pero eso es falso.</t>
        </is>
      </c>
      <c r="H166" s="67" t="inlineStr">
        <is>
          <t>Circula en redes sociales que el gobierno del presidente Abelardo de la Espriella eliminó el pago de las horas extras de los vigilantes ( 1 , 2 , 3 , 4 , 5 , 6 , 7 ).</t>
        </is>
      </c>
      <c r="I166" s="67" t="inlineStr">
        <is>
          <t>El gobierno derogó una circular del Ministerio del Trabajo que daba orientaciones sobre la jornada y las horas extras en el sector de vigilancia.</t>
        </is>
      </c>
      <c r="J166" s="68" t="n"/>
      <c r="K166" s="69" t="n"/>
      <c r="L166" s="68" t="n"/>
      <c r="M166" s="69" t="n"/>
      <c r="N166" s="68" t="n"/>
      <c r="O166" s="69" t="n"/>
      <c r="P166" s="68" t="n"/>
      <c r="Q166" s="69" t="n"/>
      <c r="R166" s="68" t="n"/>
      <c r="S166" s="69" t="n"/>
      <c r="T166" s="68" t="n"/>
      <c r="U166" s="69" t="n"/>
      <c r="V166" s="68" t="n"/>
      <c r="W166" s="69" t="n"/>
      <c r="X166" s="68" t="n"/>
      <c r="Y166" s="69" t="n"/>
      <c r="Z166" s="68" t="n"/>
      <c r="AA166" s="69" t="n"/>
      <c r="AB166" s="68" t="n"/>
      <c r="AC166" s="69" t="n"/>
      <c r="AD166" s="70">
        <f>IF(AND(COUNTIF($B$5:B166,B166)=1,$B166&lt;&gt;"",$AB166&lt;&gt;""),1,0)</f>
        <v/>
      </c>
      <c r="AE166" s="67" t="inlineStr">
        <is>
          <t>https://www.lasillavacia.com/detector-de-mentiras/falso/abelardo-no-elimino-extras-a-vigilantes-al-derogar-circular-del-mintrabajo/</t>
        </is>
      </c>
      <c r="AF166" s="64" t="n"/>
      <c r="AG166" s="65" t="n"/>
    </row>
    <row r="167" ht="15" customHeight="1" s="31">
      <c r="A167" s="66" t="inlineStr">
        <is>
          <t>ART_041</t>
        </is>
      </c>
      <c r="B167" s="66" t="inlineStr">
        <is>
          <t>ART_041_S03</t>
        </is>
      </c>
      <c r="C167" s="66" t="inlineStr">
        <is>
          <t>La Silla Vacía</t>
        </is>
      </c>
      <c r="D167" s="66" t="inlineStr">
        <is>
          <t>Economía y negocios</t>
        </is>
      </c>
      <c r="E167" s="66" t="inlineStr">
        <is>
          <t>Noticia dura</t>
        </is>
      </c>
      <c r="F167" s="66" t="inlineStr">
        <is>
          <t>Tue, 25 Aug 2026 23:52:59 +0000</t>
        </is>
      </c>
      <c r="G167" s="67" t="inlineStr">
        <is>
          <t>El gobierno derogó una circular del Ministerio del Trabajo que daba orientaciones sobre la jornada y las horas extras en el sector de vigilancia.</t>
        </is>
      </c>
      <c r="H167" s="67" t="inlineStr">
        <is>
          <t>Pero eso es falso.</t>
        </is>
      </c>
      <c r="I167" s="67" t="inlineStr">
        <is>
          <t>Pero esa decisión no elimina el derecho al pago del trabajo suplementario, ni de los recargos nocturnos, dominicales y festivos, que siguen vigentes por ley para ese sector.</t>
        </is>
      </c>
      <c r="J167" s="68" t="n"/>
      <c r="K167" s="69" t="n"/>
      <c r="L167" s="68" t="n"/>
      <c r="M167" s="69" t="n"/>
      <c r="N167" s="68" t="n"/>
      <c r="O167" s="69" t="n"/>
      <c r="P167" s="68" t="n"/>
      <c r="Q167" s="69" t="n"/>
      <c r="R167" s="68" t="n"/>
      <c r="S167" s="69" t="n"/>
      <c r="T167" s="68" t="n"/>
      <c r="U167" s="69" t="n"/>
      <c r="V167" s="68" t="n"/>
      <c r="W167" s="69" t="n"/>
      <c r="X167" s="68" t="n"/>
      <c r="Y167" s="69" t="n"/>
      <c r="Z167" s="68" t="n"/>
      <c r="AA167" s="69" t="n"/>
      <c r="AB167" s="68" t="n"/>
      <c r="AC167" s="69" t="n"/>
      <c r="AD167" s="70">
        <f>IF(AND(COUNTIF($B$5:B167,B167)=1,$B167&lt;&gt;"",$AB167&lt;&gt;""),1,0)</f>
        <v/>
      </c>
      <c r="AE167" s="67" t="inlineStr">
        <is>
          <t>https://www.lasillavacia.com/detector-de-mentiras/falso/abelardo-no-elimino-extras-a-vigilantes-al-derogar-circular-del-mintrabajo/</t>
        </is>
      </c>
      <c r="AF167" s="64" t="n"/>
      <c r="AG167" s="65" t="n"/>
    </row>
    <row r="168" ht="15" customHeight="1" s="31">
      <c r="A168" s="66" t="inlineStr">
        <is>
          <t>ART_041</t>
        </is>
      </c>
      <c r="B168" s="66" t="inlineStr">
        <is>
          <t>ART_041_S04</t>
        </is>
      </c>
      <c r="C168" s="66" t="inlineStr">
        <is>
          <t>La Silla Vacía</t>
        </is>
      </c>
      <c r="D168" s="66" t="inlineStr">
        <is>
          <t>Economía y negocios</t>
        </is>
      </c>
      <c r="E168" s="66" t="inlineStr">
        <is>
          <t>Noticia dura</t>
        </is>
      </c>
      <c r="F168" s="66" t="inlineStr">
        <is>
          <t>Tue, 25 Aug 2026 23:52:59 +0000</t>
        </is>
      </c>
      <c r="G168" s="67" t="inlineStr">
        <is>
          <t>Pero esa decisión no elimina el derecho al pago del trabajo suplementario, ni de los recargos nocturnos, dominicales y festivos, que siguen vigentes por ley para ese sector.</t>
        </is>
      </c>
      <c r="H168" s="67" t="inlineStr">
        <is>
          <t>El gobierno derogó una circular del Ministerio del Trabajo que daba orientaciones sobre la jornada y las horas extras en el sector de vigilancia.</t>
        </is>
      </c>
      <c r="I168" s="67" t="inlineStr">
        <is>
          <t>Una circular es un documento administrativo de menor rango que da lineamientos pero en ningún caso modifica, cambia o deroga una ley aprobada por el Congreso.</t>
        </is>
      </c>
      <c r="J168" s="68" t="n"/>
      <c r="K168" s="69" t="n"/>
      <c r="L168" s="68" t="n"/>
      <c r="M168" s="69" t="n"/>
      <c r="N168" s="68" t="n"/>
      <c r="O168" s="69" t="n"/>
      <c r="P168" s="68" t="n"/>
      <c r="Q168" s="69" t="n"/>
      <c r="R168" s="68" t="n"/>
      <c r="S168" s="69" t="n"/>
      <c r="T168" s="68" t="n"/>
      <c r="U168" s="69" t="n"/>
      <c r="V168" s="68" t="n"/>
      <c r="W168" s="69" t="n"/>
      <c r="X168" s="68" t="n"/>
      <c r="Y168" s="69" t="n"/>
      <c r="Z168" s="68" t="n"/>
      <c r="AA168" s="69" t="n"/>
      <c r="AB168" s="68" t="n"/>
      <c r="AC168" s="69" t="n"/>
      <c r="AD168" s="70">
        <f>IF(AND(COUNTIF($B$5:B168,B168)=1,$B168&lt;&gt;"",$AB168&lt;&gt;""),1,0)</f>
        <v/>
      </c>
      <c r="AE168" s="67" t="inlineStr">
        <is>
          <t>https://www.lasillavacia.com/detector-de-mentiras/falso/abelardo-no-elimino-extras-a-vigilantes-al-derogar-circular-del-mintrabajo/</t>
        </is>
      </c>
      <c r="AF168" s="64" t="n"/>
      <c r="AG168" s="65" t="n"/>
    </row>
    <row r="169" ht="15" customHeight="1" s="31">
      <c r="A169" s="66" t="inlineStr">
        <is>
          <t>ART_041</t>
        </is>
      </c>
      <c r="B169" s="66" t="inlineStr">
        <is>
          <t>ART_041_S05</t>
        </is>
      </c>
      <c r="C169" s="66" t="inlineStr">
        <is>
          <t>La Silla Vacía</t>
        </is>
      </c>
      <c r="D169" s="66" t="inlineStr">
        <is>
          <t>Economía y negocios</t>
        </is>
      </c>
      <c r="E169" s="66" t="inlineStr">
        <is>
          <t>Noticia dura</t>
        </is>
      </c>
      <c r="F169" s="66" t="inlineStr">
        <is>
          <t>Tue, 25 Aug 2026 23:52:59 +0000</t>
        </is>
      </c>
      <c r="G169" s="67" t="inlineStr">
        <is>
          <t>Una circular es un documento administrativo de menor rango que da lineamientos pero en ningún caso modifica, cambia o deroga una ley aprobada por el Congreso.</t>
        </is>
      </c>
      <c r="H169" s="67" t="inlineStr">
        <is>
          <t>Pero esa decisión no elimina el derecho al pago del trabajo suplementario, ni de los recargos nocturnos, dominicales y festivos, que siguen vigentes por ley para ese sector.</t>
        </is>
      </c>
      <c r="I169" s="67" t="inlineStr">
        <is>
          <t>El Detector de Mentiras encontró que el 20 de agosto el Ministerio del Trabajo expidió la Resolución 2708 de 2026, que dejó sin efectos 11 circulares expedidas durante el gobierno de Gustavo Petro.</t>
        </is>
      </c>
      <c r="J169" s="68" t="n"/>
      <c r="K169" s="69" t="n"/>
      <c r="L169" s="68" t="n"/>
      <c r="M169" s="69" t="n"/>
      <c r="N169" s="68" t="n"/>
      <c r="O169" s="69" t="n"/>
      <c r="P169" s="68" t="n"/>
      <c r="Q169" s="69" t="n"/>
      <c r="R169" s="68" t="n"/>
      <c r="S169" s="69" t="n"/>
      <c r="T169" s="68" t="n"/>
      <c r="U169" s="69" t="n"/>
      <c r="V169" s="68" t="n"/>
      <c r="W169" s="69" t="n"/>
      <c r="X169" s="68" t="n"/>
      <c r="Y169" s="69" t="n"/>
      <c r="Z169" s="68" t="n"/>
      <c r="AA169" s="69" t="n"/>
      <c r="AB169" s="68" t="n"/>
      <c r="AC169" s="69" t="n"/>
      <c r="AD169" s="70">
        <f>IF(AND(COUNTIF($B$5:B169,B169)=1,$B169&lt;&gt;"",$AB169&lt;&gt;""),1,0)</f>
        <v/>
      </c>
      <c r="AE169" s="67" t="inlineStr">
        <is>
          <t>https://www.lasillavacia.com/detector-de-mentiras/falso/abelardo-no-elimino-extras-a-vigilantes-al-derogar-circular-del-mintrabajo/</t>
        </is>
      </c>
      <c r="AF169" s="64" t="n"/>
      <c r="AG169" s="65" t="n"/>
    </row>
    <row r="170" ht="15" customHeight="1" s="31">
      <c r="A170" s="66" t="inlineStr">
        <is>
          <t>ART_041</t>
        </is>
      </c>
      <c r="B170" s="66" t="inlineStr">
        <is>
          <t>ART_041_S06</t>
        </is>
      </c>
      <c r="C170" s="66" t="inlineStr">
        <is>
          <t>La Silla Vacía</t>
        </is>
      </c>
      <c r="D170" s="66" t="inlineStr">
        <is>
          <t>Economía y negocios</t>
        </is>
      </c>
      <c r="E170" s="66" t="inlineStr">
        <is>
          <t>Noticia dura</t>
        </is>
      </c>
      <c r="F170" s="66" t="inlineStr">
        <is>
          <t>Tue, 25 Aug 2026 23:52:59 +0000</t>
        </is>
      </c>
      <c r="G170" s="67" t="inlineStr">
        <is>
          <t>El Detector de Mentiras encontró que el 20 de agosto el Ministerio del Trabajo expidió la Resolución 2708 de 2026, que dejó sin efectos 11 circulares expedidas durante el gobierno de Gustavo Petro.</t>
        </is>
      </c>
      <c r="H170" s="67" t="inlineStr">
        <is>
          <t>Una circular es un documento administrativo de menor rango que da lineamientos pero en ningún caso modifica, cambia o deroga una ley aprobada por el Congreso.</t>
        </is>
      </c>
      <c r="I170" s="67" t="inlineStr"/>
      <c r="J170" s="68" t="n"/>
      <c r="K170" s="69" t="n"/>
      <c r="L170" s="68" t="n"/>
      <c r="M170" s="69" t="n"/>
      <c r="N170" s="68" t="n"/>
      <c r="O170" s="69" t="n"/>
      <c r="P170" s="68" t="n"/>
      <c r="Q170" s="69" t="n"/>
      <c r="R170" s="68" t="n"/>
      <c r="S170" s="69" t="n"/>
      <c r="T170" s="68" t="n"/>
      <c r="U170" s="69" t="n"/>
      <c r="V170" s="68" t="n"/>
      <c r="W170" s="69" t="n"/>
      <c r="X170" s="68" t="n"/>
      <c r="Y170" s="69" t="n"/>
      <c r="Z170" s="68" t="n"/>
      <c r="AA170" s="69" t="n"/>
      <c r="AB170" s="68" t="n"/>
      <c r="AC170" s="69" t="n"/>
      <c r="AD170" s="70">
        <f>IF(AND(COUNTIF($B$5:B170,B170)=1,$B170&lt;&gt;"",$AB170&lt;&gt;""),1,0)</f>
        <v/>
      </c>
      <c r="AE170" s="67" t="inlineStr">
        <is>
          <t>https://www.lasillavacia.com/detector-de-mentiras/falso/abelardo-no-elimino-extras-a-vigilantes-al-derogar-circular-del-mintrabajo/</t>
        </is>
      </c>
      <c r="AF170" s="64" t="n"/>
      <c r="AG170" s="65" t="n"/>
    </row>
    <row r="171" ht="15" customHeight="1" s="31">
      <c r="A171" s="66" t="inlineStr">
        <is>
          <t>ART_042</t>
        </is>
      </c>
      <c r="B171" s="66" t="inlineStr">
        <is>
          <t>ART_042_S01</t>
        </is>
      </c>
      <c r="C171" s="66" t="inlineStr">
        <is>
          <t>La Silla Vacía</t>
        </is>
      </c>
      <c r="D171" s="66" t="inlineStr">
        <is>
          <t>Economía y negocios</t>
        </is>
      </c>
      <c r="E171" s="66" t="inlineStr">
        <is>
          <t>Noticia dura</t>
        </is>
      </c>
      <c r="F171" s="66" t="inlineStr">
        <is>
          <t>2026-01-15T11:27:11+00:00</t>
        </is>
      </c>
      <c r="G171" s="67" t="inlineStr">
        <is>
          <t>Ayer en la primera alocución presidencial del año el presidente habló de cómo la subida del salario minimo no impacta los precios y por el contrario, beneficia a toda la sociedad.</t>
        </is>
      </c>
      <c r="H171" s="67" t="inlineStr"/>
      <c r="I171" s="67" t="inlineStr">
        <is>
          <t>No es cierto.</t>
        </is>
      </c>
      <c r="J171" s="68" t="n"/>
      <c r="K171" s="69" t="n"/>
      <c r="L171" s="68" t="n"/>
      <c r="M171" s="69" t="n"/>
      <c r="N171" s="68" t="n"/>
      <c r="O171" s="69" t="n"/>
      <c r="P171" s="68" t="n"/>
      <c r="Q171" s="69" t="n"/>
      <c r="R171" s="68" t="n"/>
      <c r="S171" s="69" t="n"/>
      <c r="T171" s="68" t="n"/>
      <c r="U171" s="69" t="n"/>
      <c r="V171" s="68" t="n"/>
      <c r="W171" s="69" t="n"/>
      <c r="X171" s="68" t="n"/>
      <c r="Y171" s="69" t="n"/>
      <c r="Z171" s="68" t="n"/>
      <c r="AA171" s="69" t="n"/>
      <c r="AB171" s="68" t="n"/>
      <c r="AC171" s="69" t="n"/>
      <c r="AD171" s="70">
        <f>IF(AND(COUNTIF($B$5:B171,B171)=1,$B171&lt;&gt;"",$AB171&lt;&gt;""),1,0)</f>
        <v/>
      </c>
      <c r="AE171" s="67" t="inlineStr">
        <is>
          <t>https://www.lasillavacia.com/silla-nacional/alza-historica-del-salario-minimo-pocos-ganan-muchos-pierden/</t>
        </is>
      </c>
      <c r="AF171" s="64" t="n"/>
      <c r="AG171" s="65" t="n"/>
    </row>
    <row r="172" ht="15" customHeight="1" s="31">
      <c r="A172" s="66" t="inlineStr">
        <is>
          <t>ART_042</t>
        </is>
      </c>
      <c r="B172" s="66" t="inlineStr">
        <is>
          <t>ART_042_S02</t>
        </is>
      </c>
      <c r="C172" s="66" t="inlineStr">
        <is>
          <t>La Silla Vacía</t>
        </is>
      </c>
      <c r="D172" s="66" t="inlineStr">
        <is>
          <t>Economía y negocios</t>
        </is>
      </c>
      <c r="E172" s="66" t="inlineStr">
        <is>
          <t>Noticia dura</t>
        </is>
      </c>
      <c r="F172" s="66" t="inlineStr">
        <is>
          <t>2026-01-15T11:27:11+00:00</t>
        </is>
      </c>
      <c r="G172" s="67" t="inlineStr">
        <is>
          <t>No es cierto.</t>
        </is>
      </c>
      <c r="H172" s="67" t="inlineStr">
        <is>
          <t>Ayer en la primera alocución presidencial del año el presidente habló de cómo la subida del salario minimo no impacta los precios y por el contrario, beneficia a toda la sociedad.</t>
        </is>
      </c>
      <c r="I172" s="67" t="inlineStr"/>
      <c r="J172" s="68" t="n"/>
      <c r="K172" s="69" t="n"/>
      <c r="L172" s="68" t="n"/>
      <c r="M172" s="69" t="n"/>
      <c r="N172" s="68" t="n"/>
      <c r="O172" s="69" t="n"/>
      <c r="P172" s="68" t="n"/>
      <c r="Q172" s="69" t="n"/>
      <c r="R172" s="68" t="n"/>
      <c r="S172" s="69" t="n"/>
      <c r="T172" s="68" t="n"/>
      <c r="U172" s="69" t="n"/>
      <c r="V172" s="68" t="n"/>
      <c r="W172" s="69" t="n"/>
      <c r="X172" s="68" t="n"/>
      <c r="Y172" s="69" t="n"/>
      <c r="Z172" s="68" t="n"/>
      <c r="AA172" s="69" t="n"/>
      <c r="AB172" s="68" t="n"/>
      <c r="AC172" s="69" t="n"/>
      <c r="AD172" s="70">
        <f>IF(AND(COUNTIF($B$5:B172,B172)=1,$B172&lt;&gt;"",$AB172&lt;&gt;""),1,0)</f>
        <v/>
      </c>
      <c r="AE172" s="67" t="inlineStr">
        <is>
          <t>https://www.lasillavacia.com/silla-nacional/alza-historica-del-salario-minimo-pocos-ganan-muchos-pierden/</t>
        </is>
      </c>
      <c r="AF172" s="64" t="n"/>
      <c r="AG172" s="65" t="n"/>
    </row>
    <row r="173" ht="15" customHeight="1" s="31">
      <c r="A173" s="66" t="inlineStr">
        <is>
          <t>ART_043</t>
        </is>
      </c>
      <c r="B173" s="66" t="inlineStr">
        <is>
          <t>ART_043_S01</t>
        </is>
      </c>
      <c r="C173" s="66" t="inlineStr">
        <is>
          <t>La Silla Vacía</t>
        </is>
      </c>
      <c r="D173" s="66" t="inlineStr">
        <is>
          <t>Economía y negocios</t>
        </is>
      </c>
      <c r="E173" s="66" t="inlineStr">
        <is>
          <t>Opinión-análisis</t>
        </is>
      </c>
      <c r="F173" s="66" t="inlineStr">
        <is>
          <t>Sun, 28 Dec 2025 15:45:53 +0000</t>
        </is>
      </c>
      <c r="G173" s="67" t="inlineStr">
        <is>
          <t>Desde un punto de vista del largo plazo, la discusión sobre el incremento del salario mínimo en Colombia para el año 2026 va más allá de la habitual negociación tripartita de fin de año y debe ser comprendida en el centro de un debate más profundo sobre el modelo de acumulación y desarrollo del país.</t>
        </is>
      </c>
      <c r="H173" s="67" t="inlineStr"/>
      <c r="I173" s="67" t="inlineStr">
        <is>
          <t>Más allá de los argumentos de salario vital, cierre de brechas históricas, o la consideración de que se trata de una “favor a los trabajadores”, la medida puede ser parte de un paquete de políticas que, como la reforma laboral, mejoren la participación de los trabajadores en el ingreso nacional.</t>
        </is>
      </c>
      <c r="J173" s="68" t="n"/>
      <c r="K173" s="69" t="n"/>
      <c r="L173" s="68" t="n"/>
      <c r="M173" s="69" t="n"/>
      <c r="N173" s="68" t="n"/>
      <c r="O173" s="69" t="n"/>
      <c r="P173" s="68" t="n"/>
      <c r="Q173" s="69" t="n"/>
      <c r="R173" s="68" t="n"/>
      <c r="S173" s="69" t="n"/>
      <c r="T173" s="68" t="n"/>
      <c r="U173" s="69" t="n"/>
      <c r="V173" s="68" t="n"/>
      <c r="W173" s="69" t="n"/>
      <c r="X173" s="68" t="n"/>
      <c r="Y173" s="69" t="n"/>
      <c r="Z173" s="68" t="n"/>
      <c r="AA173" s="69" t="n"/>
      <c r="AB173" s="68" t="n"/>
      <c r="AC173" s="69" t="n"/>
      <c r="AD173" s="70">
        <f>IF(AND(COUNTIF($B$5:B173,B173)=1,$B173&lt;&gt;"",$AB173&lt;&gt;""),1,0)</f>
        <v/>
      </c>
      <c r="AE173" s="67" t="inlineStr">
        <is>
          <t>https://www.lasillavacia.com/red-de-expertos/red-social/el-salario-minimo-para-2026-y-el-giro-del-modelo-economico-en-colombia/</t>
        </is>
      </c>
      <c r="AF173" s="64" t="n"/>
      <c r="AG173" s="65" t="n"/>
    </row>
    <row r="174" ht="15" customHeight="1" s="31">
      <c r="A174" s="66" t="inlineStr">
        <is>
          <t>ART_043</t>
        </is>
      </c>
      <c r="B174" s="66" t="inlineStr">
        <is>
          <t>ART_043_S02</t>
        </is>
      </c>
      <c r="C174" s="66" t="inlineStr">
        <is>
          <t>La Silla Vacía</t>
        </is>
      </c>
      <c r="D174" s="66" t="inlineStr">
        <is>
          <t>Economía y negocios</t>
        </is>
      </c>
      <c r="E174" s="66" t="inlineStr">
        <is>
          <t>Opinión-análisis</t>
        </is>
      </c>
      <c r="F174" s="66" t="inlineStr">
        <is>
          <t>Sun, 28 Dec 2025 15:45:53 +0000</t>
        </is>
      </c>
      <c r="G174" s="67" t="inlineStr">
        <is>
          <t>Más allá de los argumentos de salario vital, cierre de brechas históricas, o la consideración de que se trata de una “favor a los trabajadores”, la medida puede ser parte de un paquete de políticas que, como la reforma laboral, mejoren la participación de los trabajadores en el ingreso nacional.</t>
        </is>
      </c>
      <c r="H174" s="67" t="inlineStr">
        <is>
          <t>Desde un punto de vista del largo plazo, la discusión sobre el incremento del salario mínimo en Colombia para el año 2026 va más allá de la habitual negociación tripartita de fin de año y debe ser comprendida en el centro de un debate más profundo sobre el modelo de acumulación y desarrollo del país.</t>
        </is>
      </c>
      <c r="I174" s="67" t="inlineStr">
        <is>
          <t>Además, una medida que, correctamente acompañada y siendo parte de una estrategia productiva, debe ser coherente con un nuevo modelo de crecimiento y desarrollo en el que el trabajo y la demanda interna son más relevantes.</t>
        </is>
      </c>
      <c r="J174" s="68" t="n"/>
      <c r="K174" s="69" t="n"/>
      <c r="L174" s="68" t="n"/>
      <c r="M174" s="69" t="n"/>
      <c r="N174" s="68" t="n"/>
      <c r="O174" s="69" t="n"/>
      <c r="P174" s="68" t="n"/>
      <c r="Q174" s="69" t="n"/>
      <c r="R174" s="68" t="n"/>
      <c r="S174" s="69" t="n"/>
      <c r="T174" s="68" t="n"/>
      <c r="U174" s="69" t="n"/>
      <c r="V174" s="68" t="n"/>
      <c r="W174" s="69" t="n"/>
      <c r="X174" s="68" t="n"/>
      <c r="Y174" s="69" t="n"/>
      <c r="Z174" s="68" t="n"/>
      <c r="AA174" s="69" t="n"/>
      <c r="AB174" s="68" t="n"/>
      <c r="AC174" s="69" t="n"/>
      <c r="AD174" s="70">
        <f>IF(AND(COUNTIF($B$5:B174,B174)=1,$B174&lt;&gt;"",$AB174&lt;&gt;""),1,0)</f>
        <v/>
      </c>
      <c r="AE174" s="67" t="inlineStr">
        <is>
          <t>https://www.lasillavacia.com/red-de-expertos/red-social/el-salario-minimo-para-2026-y-el-giro-del-modelo-economico-en-colombia/</t>
        </is>
      </c>
      <c r="AF174" s="64" t="n"/>
      <c r="AG174" s="65" t="n"/>
    </row>
    <row r="175" ht="15" customHeight="1" s="31">
      <c r="A175" s="66" t="inlineStr">
        <is>
          <t>ART_043</t>
        </is>
      </c>
      <c r="B175" s="66" t="inlineStr">
        <is>
          <t>ART_043_S03</t>
        </is>
      </c>
      <c r="C175" s="66" t="inlineStr">
        <is>
          <t>La Silla Vacía</t>
        </is>
      </c>
      <c r="D175" s="66" t="inlineStr">
        <is>
          <t>Economía y negocios</t>
        </is>
      </c>
      <c r="E175" s="66" t="inlineStr">
        <is>
          <t>Opinión-análisis</t>
        </is>
      </c>
      <c r="F175" s="66" t="inlineStr">
        <is>
          <t>Sun, 28 Dec 2025 15:45:53 +0000</t>
        </is>
      </c>
      <c r="G175" s="67" t="inlineStr">
        <is>
          <t>Además, una medida que, correctamente acompañada y siendo parte de una estrategia productiva, debe ser coherente con un nuevo modelo de crecimiento y desarrollo en el que el trabajo y la demanda interna son más relevantes.</t>
        </is>
      </c>
      <c r="H175" s="67" t="inlineStr">
        <is>
          <t>Más allá de los argumentos de salario vital, cierre de brechas históricas, o la consideración de que se trata de una “favor a los trabajadores”, la medida puede ser parte de un paquete de políticas que, como la reforma laboral, mejoren la participación de los trabajadores en el ingreso nacional.</t>
        </is>
      </c>
      <c r="I175" s="67" t="inlineStr">
        <is>
          <t>Con la postura del gobierno, anticipando un incremento de dos dígitos que se aproxime a lo que la OIT denomina salario vital se han vuelto a hacer presentes las predicciones apocalípticas sobre los efectos adversos de la medida.</t>
        </is>
      </c>
      <c r="J175" s="68" t="n"/>
      <c r="K175" s="69" t="n"/>
      <c r="L175" s="68" t="n"/>
      <c r="M175" s="69" t="n"/>
      <c r="N175" s="68" t="n"/>
      <c r="O175" s="69" t="n"/>
      <c r="P175" s="68" t="n"/>
      <c r="Q175" s="69" t="n"/>
      <c r="R175" s="68" t="n"/>
      <c r="S175" s="69" t="n"/>
      <c r="T175" s="68" t="n"/>
      <c r="U175" s="69" t="n"/>
      <c r="V175" s="68" t="n"/>
      <c r="W175" s="69" t="n"/>
      <c r="X175" s="68" t="n"/>
      <c r="Y175" s="69" t="n"/>
      <c r="Z175" s="68" t="n"/>
      <c r="AA175" s="69" t="n"/>
      <c r="AB175" s="68" t="n"/>
      <c r="AC175" s="69" t="n"/>
      <c r="AD175" s="70">
        <f>IF(AND(COUNTIF($B$5:B175,B175)=1,$B175&lt;&gt;"",$AB175&lt;&gt;""),1,0)</f>
        <v/>
      </c>
      <c r="AE175" s="67" t="inlineStr">
        <is>
          <t>https://www.lasillavacia.com/red-de-expertos/red-social/el-salario-minimo-para-2026-y-el-giro-del-modelo-economico-en-colombia/</t>
        </is>
      </c>
      <c r="AF175" s="64" t="n"/>
      <c r="AG175" s="65" t="n"/>
    </row>
    <row r="176" ht="15" customHeight="1" s="31">
      <c r="A176" s="66" t="inlineStr">
        <is>
          <t>ART_043</t>
        </is>
      </c>
      <c r="B176" s="66" t="inlineStr">
        <is>
          <t>ART_043_S04</t>
        </is>
      </c>
      <c r="C176" s="66" t="inlineStr">
        <is>
          <t>La Silla Vacía</t>
        </is>
      </c>
      <c r="D176" s="66" t="inlineStr">
        <is>
          <t>Economía y negocios</t>
        </is>
      </c>
      <c r="E176" s="66" t="inlineStr">
        <is>
          <t>Opinión-análisis</t>
        </is>
      </c>
      <c r="F176" s="66" t="inlineStr">
        <is>
          <t>Sun, 28 Dec 2025 15:45:53 +0000</t>
        </is>
      </c>
      <c r="G176" s="67" t="inlineStr">
        <is>
          <t>Con la postura del gobierno, anticipando un incremento de dos dígitos que se aproxime a lo que la OIT denomina salario vital se han vuelto a hacer presentes las predicciones apocalípticas sobre los efectos adversos de la medida.</t>
        </is>
      </c>
      <c r="H176" s="67" t="inlineStr">
        <is>
          <t>Además, una medida que, correctamente acompañada y siendo parte de una estrategia productiva, debe ser coherente con un nuevo modelo de crecimiento y desarrollo en el que el trabajo y la demanda interna son más relevantes.</t>
        </is>
      </c>
      <c r="I176" s="67" t="inlineStr">
        <is>
          <t>Estas predicciones que habían acompañado los aumentos del salario mínimo en 2023 y 2024 — augurando la pérdida masiva de empleo, inflación desbordada y migración a la informalidad— no se materializaron.</t>
        </is>
      </c>
      <c r="J176" s="68" t="n"/>
      <c r="K176" s="69" t="n"/>
      <c r="L176" s="68" t="n"/>
      <c r="M176" s="69" t="n"/>
      <c r="N176" s="68" t="n"/>
      <c r="O176" s="69" t="n"/>
      <c r="P176" s="68" t="n"/>
      <c r="Q176" s="69" t="n"/>
      <c r="R176" s="68" t="n"/>
      <c r="S176" s="69" t="n"/>
      <c r="T176" s="68" t="n"/>
      <c r="U176" s="69" t="n"/>
      <c r="V176" s="68" t="n"/>
      <c r="W176" s="69" t="n"/>
      <c r="X176" s="68" t="n"/>
      <c r="Y176" s="69" t="n"/>
      <c r="Z176" s="68" t="n"/>
      <c r="AA176" s="69" t="n"/>
      <c r="AB176" s="68" t="n"/>
      <c r="AC176" s="69" t="n"/>
      <c r="AD176" s="70">
        <f>IF(AND(COUNTIF($B$5:B176,B176)=1,$B176&lt;&gt;"",$AB176&lt;&gt;""),1,0)</f>
        <v/>
      </c>
      <c r="AE176" s="67" t="inlineStr">
        <is>
          <t>https://www.lasillavacia.com/red-de-expertos/red-social/el-salario-minimo-para-2026-y-el-giro-del-modelo-economico-en-colombia/</t>
        </is>
      </c>
      <c r="AF176" s="64" t="n"/>
      <c r="AG176" s="65" t="n"/>
    </row>
    <row r="177" ht="15" customHeight="1" s="31">
      <c r="A177" s="66" t="inlineStr">
        <is>
          <t>ART_043</t>
        </is>
      </c>
      <c r="B177" s="66" t="inlineStr">
        <is>
          <t>ART_043_S05</t>
        </is>
      </c>
      <c r="C177" s="66" t="inlineStr">
        <is>
          <t>La Silla Vacía</t>
        </is>
      </c>
      <c r="D177" s="66" t="inlineStr">
        <is>
          <t>Economía y negocios</t>
        </is>
      </c>
      <c r="E177" s="66" t="inlineStr">
        <is>
          <t>Opinión-análisis</t>
        </is>
      </c>
      <c r="F177" s="66" t="inlineStr">
        <is>
          <t>Sun, 28 Dec 2025 15:45:53 +0000</t>
        </is>
      </c>
      <c r="G177" s="67" t="inlineStr">
        <is>
          <t>Estas predicciones que habían acompañado los aumentos del salario mínimo en 2023 y 2024 — augurando la pérdida masiva de empleo, inflación desbordada y migración a la informalidad— no se materializaron.</t>
        </is>
      </c>
      <c r="H177" s="67" t="inlineStr">
        <is>
          <t>Con la postura del gobierno, anticipando un incremento de dos dígitos que se aproxime a lo que la OIT denomina salario vital se han vuelto a hacer presentes las predicciones apocalípticas sobre los efectos adversos de la medida.</t>
        </is>
      </c>
      <c r="I177" s="67" t="inlineStr">
        <is>
          <t>Los datos oficiales muestran lo contrario: el desempleo se redujo de 10,3% a 8,9% entre diciembre de 2022 y septiembre de 2025 (llegando a mínimos históricos en los últimos treinta años), mientras la informalidad cayó de 57,1% a 55,4%, y la inflación del rebote post-pandemia está bajando.</t>
        </is>
      </c>
      <c r="J177" s="68" t="n"/>
      <c r="K177" s="69" t="n"/>
      <c r="L177" s="68" t="n"/>
      <c r="M177" s="69" t="n"/>
      <c r="N177" s="68" t="n"/>
      <c r="O177" s="69" t="n"/>
      <c r="P177" s="68" t="n"/>
      <c r="Q177" s="69" t="n"/>
      <c r="R177" s="68" t="n"/>
      <c r="S177" s="69" t="n"/>
      <c r="T177" s="68" t="n"/>
      <c r="U177" s="69" t="n"/>
      <c r="V177" s="68" t="n"/>
      <c r="W177" s="69" t="n"/>
      <c r="X177" s="68" t="n"/>
      <c r="Y177" s="69" t="n"/>
      <c r="Z177" s="68" t="n"/>
      <c r="AA177" s="69" t="n"/>
      <c r="AB177" s="68" t="n"/>
      <c r="AC177" s="69" t="n"/>
      <c r="AD177" s="70">
        <f>IF(AND(COUNTIF($B$5:B177,B177)=1,$B177&lt;&gt;"",$AB177&lt;&gt;""),1,0)</f>
        <v/>
      </c>
      <c r="AE177" s="67" t="inlineStr">
        <is>
          <t>https://www.lasillavacia.com/red-de-expertos/red-social/el-salario-minimo-para-2026-y-el-giro-del-modelo-economico-en-colombia/</t>
        </is>
      </c>
      <c r="AF177" s="64" t="n"/>
      <c r="AG177" s="65" t="n"/>
    </row>
    <row r="178" ht="15" customHeight="1" s="31">
      <c r="A178" s="66" t="inlineStr">
        <is>
          <t>ART_043</t>
        </is>
      </c>
      <c r="B178" s="66" t="inlineStr">
        <is>
          <t>ART_043_S06</t>
        </is>
      </c>
      <c r="C178" s="66" t="inlineStr">
        <is>
          <t>La Silla Vacía</t>
        </is>
      </c>
      <c r="D178" s="66" t="inlineStr">
        <is>
          <t>Economía y negocios</t>
        </is>
      </c>
      <c r="E178" s="66" t="inlineStr">
        <is>
          <t>Opinión-análisis</t>
        </is>
      </c>
      <c r="F178" s="66" t="inlineStr">
        <is>
          <t>Sun, 28 Dec 2025 15:45:53 +0000</t>
        </is>
      </c>
      <c r="G178" s="67" t="inlineStr">
        <is>
          <t>Los datos oficiales muestran lo contrario: el desempleo se redujo de 10,3% a 8,9% entre diciembre de 2022 y septiembre de 2025 (llegando a mínimos históricos en los últimos treinta años), mientras la informalidad cayó de 57,1% a 55,4%, y la inflación del rebote post-pandemia está bajando.</t>
        </is>
      </c>
      <c r="H178" s="67" t="inlineStr">
        <is>
          <t>Estas predicciones que habían acompañado los aumentos del salario mínimo en 2023 y 2024 — augurando la pérdida masiva de empleo, inflación desbordada y migración a la informalidad— no se materializaron.</t>
        </is>
      </c>
      <c r="I178" s="67" t="inlineStr">
        <is>
          <t>Este comportamiento de las variables macroeconómicas desmonta el argumento de que subir salarios es “populista” o “irresponsable”.</t>
        </is>
      </c>
      <c r="J178" s="68" t="n"/>
      <c r="K178" s="69" t="n"/>
      <c r="L178" s="68" t="n"/>
      <c r="M178" s="69" t="n"/>
      <c r="N178" s="68" t="n"/>
      <c r="O178" s="69" t="n"/>
      <c r="P178" s="68" t="n"/>
      <c r="Q178" s="69" t="n"/>
      <c r="R178" s="68" t="n"/>
      <c r="S178" s="69" t="n"/>
      <c r="T178" s="68" t="n"/>
      <c r="U178" s="69" t="n"/>
      <c r="V178" s="68" t="n"/>
      <c r="W178" s="69" t="n"/>
      <c r="X178" s="68" t="n"/>
      <c r="Y178" s="69" t="n"/>
      <c r="Z178" s="68" t="n"/>
      <c r="AA178" s="69" t="n"/>
      <c r="AB178" s="68" t="n"/>
      <c r="AC178" s="69" t="n"/>
      <c r="AD178" s="70">
        <f>IF(AND(COUNTIF($B$5:B178,B178)=1,$B178&lt;&gt;"",$AB178&lt;&gt;""),1,0)</f>
        <v/>
      </c>
      <c r="AE178" s="67" t="inlineStr">
        <is>
          <t>https://www.lasillavacia.com/red-de-expertos/red-social/el-salario-minimo-para-2026-y-el-giro-del-modelo-economico-en-colombia/</t>
        </is>
      </c>
      <c r="AF178" s="64" t="n"/>
      <c r="AG178" s="65" t="n"/>
    </row>
    <row r="179" ht="15" customHeight="1" s="31">
      <c r="A179" s="66" t="inlineStr">
        <is>
          <t>ART_043</t>
        </is>
      </c>
      <c r="B179" s="66" t="inlineStr">
        <is>
          <t>ART_043_S07</t>
        </is>
      </c>
      <c r="C179" s="66" t="inlineStr">
        <is>
          <t>La Silla Vacía</t>
        </is>
      </c>
      <c r="D179" s="66" t="inlineStr">
        <is>
          <t>Economía y negocios</t>
        </is>
      </c>
      <c r="E179" s="66" t="inlineStr">
        <is>
          <t>Opinión-análisis</t>
        </is>
      </c>
      <c r="F179" s="66" t="inlineStr">
        <is>
          <t>Sun, 28 Dec 2025 15:45:53 +0000</t>
        </is>
      </c>
      <c r="G179" s="67" t="inlineStr">
        <is>
          <t>Este comportamiento de las variables macroeconómicas desmonta el argumento de que subir salarios es “populista” o “irresponsable”.</t>
        </is>
      </c>
      <c r="H179" s="67" t="inlineStr">
        <is>
          <t>Los datos oficiales muestran lo contrario: el desempleo se redujo de 10,3% a 8,9% entre diciembre de 2022 y septiembre de 2025 (llegando a mínimos históricos en los últimos treinta años), mientras la informalidad cayó de 57,1% a 55,4%, y la inflación del rebote post-pandemia está bajando.</t>
        </is>
      </c>
      <c r="I179" s="67" t="inlineStr">
        <is>
          <t>Sin embargo, si nos lleva a una discusión más profunda, pues sugiere que la demanda interna deprimida puede responder al estímulo salarial.</t>
        </is>
      </c>
      <c r="J179" s="68" t="n"/>
      <c r="K179" s="69" t="n"/>
      <c r="L179" s="68" t="n"/>
      <c r="M179" s="69" t="n"/>
      <c r="N179" s="68" t="n"/>
      <c r="O179" s="69" t="n"/>
      <c r="P179" s="68" t="n"/>
      <c r="Q179" s="69" t="n"/>
      <c r="R179" s="68" t="n"/>
      <c r="S179" s="69" t="n"/>
      <c r="T179" s="68" t="n"/>
      <c r="U179" s="69" t="n"/>
      <c r="V179" s="68" t="n"/>
      <c r="W179" s="69" t="n"/>
      <c r="X179" s="68" t="n"/>
      <c r="Y179" s="69" t="n"/>
      <c r="Z179" s="68" t="n"/>
      <c r="AA179" s="69" t="n"/>
      <c r="AB179" s="68" t="n"/>
      <c r="AC179" s="69" t="n"/>
      <c r="AD179" s="70">
        <f>IF(AND(COUNTIF($B$5:B179,B179)=1,$B179&lt;&gt;"",$AB179&lt;&gt;""),1,0)</f>
        <v/>
      </c>
      <c r="AE179" s="67" t="inlineStr">
        <is>
          <t>https://www.lasillavacia.com/red-de-expertos/red-social/el-salario-minimo-para-2026-y-el-giro-del-modelo-economico-en-colombia/</t>
        </is>
      </c>
      <c r="AF179" s="64" t="n"/>
      <c r="AG179" s="65" t="n"/>
    </row>
    <row r="180" ht="15" customHeight="1" s="31">
      <c r="A180" s="66" t="inlineStr">
        <is>
          <t>ART_043</t>
        </is>
      </c>
      <c r="B180" s="66" t="inlineStr">
        <is>
          <t>ART_043_S08</t>
        </is>
      </c>
      <c r="C180" s="66" t="inlineStr">
        <is>
          <t>La Silla Vacía</t>
        </is>
      </c>
      <c r="D180" s="66" t="inlineStr">
        <is>
          <t>Economía y negocios</t>
        </is>
      </c>
      <c r="E180" s="66" t="inlineStr">
        <is>
          <t>Opinión-análisis</t>
        </is>
      </c>
      <c r="F180" s="66" t="inlineStr">
        <is>
          <t>Sun, 28 Dec 2025 15:45:53 +0000</t>
        </is>
      </c>
      <c r="G180" s="67" t="inlineStr">
        <is>
          <t>Sin embargo, si nos lleva a una discusión más profunda, pues sugiere que la demanda interna deprimida puede responder al estímulo salarial.</t>
        </is>
      </c>
      <c r="H180" s="67" t="inlineStr">
        <is>
          <t>Este comportamiento de las variables macroeconómicas desmonta el argumento de que subir salarios es “populista” o “irresponsable”.</t>
        </is>
      </c>
      <c r="I180" s="67" t="inlineStr">
        <is>
          <t>Un primer argumento teórico en torno a los mecanismos de fortalecimiento de la participación de los trabajadores en el ingreso nacional descansa en las tesis del crecimiento impulsado por la demanda.</t>
        </is>
      </c>
      <c r="J180" s="68" t="n"/>
      <c r="K180" s="69" t="n"/>
      <c r="L180" s="68" t="n"/>
      <c r="M180" s="69" t="n"/>
      <c r="N180" s="68" t="n"/>
      <c r="O180" s="69" t="n"/>
      <c r="P180" s="68" t="n"/>
      <c r="Q180" s="69" t="n"/>
      <c r="R180" s="68" t="n"/>
      <c r="S180" s="69" t="n"/>
      <c r="T180" s="68" t="n"/>
      <c r="U180" s="69" t="n"/>
      <c r="V180" s="68" t="n"/>
      <c r="W180" s="69" t="n"/>
      <c r="X180" s="68" t="n"/>
      <c r="Y180" s="69" t="n"/>
      <c r="Z180" s="68" t="n"/>
      <c r="AA180" s="69" t="n"/>
      <c r="AB180" s="68" t="n"/>
      <c r="AC180" s="69" t="n"/>
      <c r="AD180" s="70">
        <f>IF(AND(COUNTIF($B$5:B180,B180)=1,$B180&lt;&gt;"",$AB180&lt;&gt;""),1,0)</f>
        <v/>
      </c>
      <c r="AE180" s="67" t="inlineStr">
        <is>
          <t>https://www.lasillavacia.com/red-de-expertos/red-social/el-salario-minimo-para-2026-y-el-giro-del-modelo-economico-en-colombia/</t>
        </is>
      </c>
      <c r="AF180" s="64" t="n"/>
      <c r="AG180" s="65" t="n"/>
    </row>
    <row r="181" ht="15" customHeight="1" s="31">
      <c r="A181" s="66" t="inlineStr">
        <is>
          <t>ART_043</t>
        </is>
      </c>
      <c r="B181" s="66" t="inlineStr">
        <is>
          <t>ART_043_S09</t>
        </is>
      </c>
      <c r="C181" s="66" t="inlineStr">
        <is>
          <t>La Silla Vacía</t>
        </is>
      </c>
      <c r="D181" s="66" t="inlineStr">
        <is>
          <t>Economía y negocios</t>
        </is>
      </c>
      <c r="E181" s="66" t="inlineStr">
        <is>
          <t>Opinión-análisis</t>
        </is>
      </c>
      <c r="F181" s="66" t="inlineStr">
        <is>
          <t>Sun, 28 Dec 2025 15:45:53 +0000</t>
        </is>
      </c>
      <c r="G181" s="67" t="inlineStr">
        <is>
          <t>Un primer argumento teórico en torno a los mecanismos de fortalecimiento de la participación de los trabajadores en el ingreso nacional descansa en las tesis del crecimiento impulsado por la demanda.</t>
        </is>
      </c>
      <c r="H181" s="67" t="inlineStr">
        <is>
          <t>Sin embargo, si nos lleva a una discusión más profunda, pues sugiere que la demanda interna deprimida puede responder al estímulo salarial.</t>
        </is>
      </c>
      <c r="I181" s="67" t="inlineStr">
        <is>
          <t>La idea de que cada peso adicional en el bolsillo de los trabajadores se traduce en demanda efectiva.</t>
        </is>
      </c>
      <c r="J181" s="68" t="n"/>
      <c r="K181" s="69" t="n"/>
      <c r="L181" s="68" t="n"/>
      <c r="M181" s="69" t="n"/>
      <c r="N181" s="68" t="n"/>
      <c r="O181" s="69" t="n"/>
      <c r="P181" s="68" t="n"/>
      <c r="Q181" s="69" t="n"/>
      <c r="R181" s="68" t="n"/>
      <c r="S181" s="69" t="n"/>
      <c r="T181" s="68" t="n"/>
      <c r="U181" s="69" t="n"/>
      <c r="V181" s="68" t="n"/>
      <c r="W181" s="69" t="n"/>
      <c r="X181" s="68" t="n"/>
      <c r="Y181" s="69" t="n"/>
      <c r="Z181" s="68" t="n"/>
      <c r="AA181" s="69" t="n"/>
      <c r="AB181" s="68" t="n"/>
      <c r="AC181" s="69" t="n"/>
      <c r="AD181" s="70">
        <f>IF(AND(COUNTIF($B$5:B181,B181)=1,$B181&lt;&gt;"",$AB181&lt;&gt;""),1,0)</f>
        <v/>
      </c>
      <c r="AE181" s="67" t="inlineStr">
        <is>
          <t>https://www.lasillavacia.com/red-de-expertos/red-social/el-salario-minimo-para-2026-y-el-giro-del-modelo-economico-en-colombia/</t>
        </is>
      </c>
      <c r="AF181" s="64" t="n"/>
      <c r="AG181" s="65" t="n"/>
    </row>
    <row r="182" ht="15" customHeight="1" s="31">
      <c r="A182" s="66" t="inlineStr">
        <is>
          <t>ART_043</t>
        </is>
      </c>
      <c r="B182" s="66" t="inlineStr">
        <is>
          <t>ART_043_S10</t>
        </is>
      </c>
      <c r="C182" s="66" t="inlineStr">
        <is>
          <t>La Silla Vacía</t>
        </is>
      </c>
      <c r="D182" s="66" t="inlineStr">
        <is>
          <t>Economía y negocios</t>
        </is>
      </c>
      <c r="E182" s="66" t="inlineStr">
        <is>
          <t>Opinión-análisis</t>
        </is>
      </c>
      <c r="F182" s="66" t="inlineStr">
        <is>
          <t>Sun, 28 Dec 2025 15:45:53 +0000</t>
        </is>
      </c>
      <c r="G182" s="67" t="inlineStr">
        <is>
          <t>La idea de que cada peso adicional en el bolsillo de los trabajadores se traduce en demanda efectiva.</t>
        </is>
      </c>
      <c r="H182" s="67" t="inlineStr">
        <is>
          <t>Un primer argumento teórico en torno a los mecanismos de fortalecimiento de la participación de los trabajadores en el ingreso nacional descansa en las tesis del crecimiento impulsado por la demanda.</t>
        </is>
      </c>
      <c r="I182" s="67" t="inlineStr">
        <is>
          <t>No se destina a cuentas en paraísos fiscales ni a especulación financiera; se convierte en alimentos, electrodomésticos, matrículas escolares y adquisición de servicios.</t>
        </is>
      </c>
      <c r="J182" s="68" t="n"/>
      <c r="K182" s="69" t="n"/>
      <c r="L182" s="68" t="n"/>
      <c r="M182" s="69" t="n"/>
      <c r="N182" s="68" t="n"/>
      <c r="O182" s="69" t="n"/>
      <c r="P182" s="68" t="n"/>
      <c r="Q182" s="69" t="n"/>
      <c r="R182" s="68" t="n"/>
      <c r="S182" s="69" t="n"/>
      <c r="T182" s="68" t="n"/>
      <c r="U182" s="69" t="n"/>
      <c r="V182" s="68" t="n"/>
      <c r="W182" s="69" t="n"/>
      <c r="X182" s="68" t="n"/>
      <c r="Y182" s="69" t="n"/>
      <c r="Z182" s="68" t="n"/>
      <c r="AA182" s="69" t="n"/>
      <c r="AB182" s="68" t="n"/>
      <c r="AC182" s="69" t="n"/>
      <c r="AD182" s="70">
        <f>IF(AND(COUNTIF($B$5:B182,B182)=1,$B182&lt;&gt;"",$AB182&lt;&gt;""),1,0)</f>
        <v/>
      </c>
      <c r="AE182" s="67" t="inlineStr">
        <is>
          <t>https://www.lasillavacia.com/red-de-expertos/red-social/el-salario-minimo-para-2026-y-el-giro-del-modelo-economico-en-colombia/</t>
        </is>
      </c>
      <c r="AF182" s="64" t="n"/>
      <c r="AG182" s="65" t="n"/>
    </row>
    <row r="183" ht="15" customHeight="1" s="31">
      <c r="A183" s="66" t="inlineStr">
        <is>
          <t>ART_043</t>
        </is>
      </c>
      <c r="B183" s="66" t="inlineStr">
        <is>
          <t>ART_043_S11</t>
        </is>
      </c>
      <c r="C183" s="66" t="inlineStr">
        <is>
          <t>La Silla Vacía</t>
        </is>
      </c>
      <c r="D183" s="66" t="inlineStr">
        <is>
          <t>Economía y negocios</t>
        </is>
      </c>
      <c r="E183" s="66" t="inlineStr">
        <is>
          <t>Opinión-análisis</t>
        </is>
      </c>
      <c r="F183" s="66" t="inlineStr">
        <is>
          <t>Sun, 28 Dec 2025 15:45:53 +0000</t>
        </is>
      </c>
      <c r="G183" s="67" t="inlineStr">
        <is>
          <t>No se destina a cuentas en paraísos fiscales ni a especulación financiera; se convierte en alimentos, electrodomésticos, matrículas escolares y adquisición de servicios.</t>
        </is>
      </c>
      <c r="H183" s="67" t="inlineStr">
        <is>
          <t>La idea de que cada peso adicional en el bolsillo de los trabajadores se traduce en demanda efectiva.</t>
        </is>
      </c>
      <c r="I183" s="67" t="inlineStr">
        <is>
          <t>Una vieja frase del economista polaco Michał Kalecki reza “los trabajadores gastan todo lo que ganan, mientras que los empresarios ganan todo lo que gastan”.</t>
        </is>
      </c>
      <c r="J183" s="68" t="n"/>
      <c r="K183" s="69" t="n"/>
      <c r="L183" s="68" t="n"/>
      <c r="M183" s="69" t="n"/>
      <c r="N183" s="68" t="n"/>
      <c r="O183" s="69" t="n"/>
      <c r="P183" s="68" t="n"/>
      <c r="Q183" s="69" t="n"/>
      <c r="R183" s="68" t="n"/>
      <c r="S183" s="69" t="n"/>
      <c r="T183" s="68" t="n"/>
      <c r="U183" s="69" t="n"/>
      <c r="V183" s="68" t="n"/>
      <c r="W183" s="69" t="n"/>
      <c r="X183" s="68" t="n"/>
      <c r="Y183" s="69" t="n"/>
      <c r="Z183" s="68" t="n"/>
      <c r="AA183" s="69" t="n"/>
      <c r="AB183" s="68" t="n"/>
      <c r="AC183" s="69" t="n"/>
      <c r="AD183" s="70">
        <f>IF(AND(COUNTIF($B$5:B183,B183)=1,$B183&lt;&gt;"",$AB183&lt;&gt;""),1,0)</f>
        <v/>
      </c>
      <c r="AE183" s="67" t="inlineStr">
        <is>
          <t>https://www.lasillavacia.com/red-de-expertos/red-social/el-salario-minimo-para-2026-y-el-giro-del-modelo-economico-en-colombia/</t>
        </is>
      </c>
      <c r="AF183" s="64" t="n"/>
      <c r="AG183" s="65" t="n"/>
    </row>
    <row r="184" ht="15" customHeight="1" s="31">
      <c r="A184" s="66" t="inlineStr">
        <is>
          <t>ART_043</t>
        </is>
      </c>
      <c r="B184" s="66" t="inlineStr">
        <is>
          <t>ART_043_S12</t>
        </is>
      </c>
      <c r="C184" s="66" t="inlineStr">
        <is>
          <t>La Silla Vacía</t>
        </is>
      </c>
      <c r="D184" s="66" t="inlineStr">
        <is>
          <t>Economía y negocios</t>
        </is>
      </c>
      <c r="E184" s="66" t="inlineStr">
        <is>
          <t>Opinión-análisis</t>
        </is>
      </c>
      <c r="F184" s="66" t="inlineStr">
        <is>
          <t>Sun, 28 Dec 2025 15:45:53 +0000</t>
        </is>
      </c>
      <c r="G184" s="67" t="inlineStr">
        <is>
          <t>Una vieja frase del economista polaco Michał Kalecki reza “los trabajadores gastan todo lo que ganan, mientras que los empresarios ganan todo lo que gastan”.</t>
        </is>
      </c>
      <c r="H184" s="67" t="inlineStr">
        <is>
          <t>No se destina a cuentas en paraísos fiscales ni a especulación financiera; se convierte en alimentos, electrodomésticos, matrículas escolares y adquisición de servicios.</t>
        </is>
      </c>
      <c r="I184" s="67" t="inlineStr"/>
      <c r="J184" s="68" t="n"/>
      <c r="K184" s="69" t="n"/>
      <c r="L184" s="68" t="n"/>
      <c r="M184" s="69" t="n"/>
      <c r="N184" s="68" t="n"/>
      <c r="O184" s="69" t="n"/>
      <c r="P184" s="68" t="n"/>
      <c r="Q184" s="69" t="n"/>
      <c r="R184" s="68" t="n"/>
      <c r="S184" s="69" t="n"/>
      <c r="T184" s="68" t="n"/>
      <c r="U184" s="69" t="n"/>
      <c r="V184" s="68" t="n"/>
      <c r="W184" s="69" t="n"/>
      <c r="X184" s="68" t="n"/>
      <c r="Y184" s="69" t="n"/>
      <c r="Z184" s="68" t="n"/>
      <c r="AA184" s="69" t="n"/>
      <c r="AB184" s="68" t="n"/>
      <c r="AC184" s="69" t="n"/>
      <c r="AD184" s="70">
        <f>IF(AND(COUNTIF($B$5:B184,B184)=1,$B184&lt;&gt;"",$AB184&lt;&gt;""),1,0)</f>
        <v/>
      </c>
      <c r="AE184" s="67" t="inlineStr">
        <is>
          <t>https://www.lasillavacia.com/red-de-expertos/red-social/el-salario-minimo-para-2026-y-el-giro-del-modelo-economico-en-colombia/</t>
        </is>
      </c>
      <c r="AF184" s="64" t="n"/>
      <c r="AG184" s="65" t="n"/>
    </row>
    <row r="185" ht="15" customHeight="1" s="31">
      <c r="A185" s="66" t="inlineStr">
        <is>
          <t>ART_044</t>
        </is>
      </c>
      <c r="B185" s="66" t="inlineStr">
        <is>
          <t>ART_044_S01</t>
        </is>
      </c>
      <c r="C185" s="66" t="inlineStr">
        <is>
          <t>Semana</t>
        </is>
      </c>
      <c r="D185" s="66" t="inlineStr">
        <is>
          <t>Economía y negocios</t>
        </is>
      </c>
      <c r="E185" s="66" t="inlineStr">
        <is>
          <t>Noticia dura</t>
        </is>
      </c>
      <c r="F185" s="66" t="inlineStr">
        <is>
          <t>Tue, 08 Sep 2026 20:14:54 +0000</t>
        </is>
      </c>
      <c r="G185" s="67" t="inlineStr">
        <is>
          <t>Una amplia expectativa había este martes, 8 de septiembre, alrededor de la reunión de la junta directiva de la Andi, el gremio de los empresarios más poderosos del país.</t>
        </is>
      </c>
      <c r="H185" s="67" t="inlineStr"/>
      <c r="I185" s="67" t="inlineStr">
        <is>
          <t>Se sabía que harían cambios, y así lo anunciaron al término del encuentro.</t>
        </is>
      </c>
      <c r="J185" s="68" t="n"/>
      <c r="K185" s="69" t="n"/>
      <c r="L185" s="68" t="n"/>
      <c r="M185" s="69" t="n"/>
      <c r="N185" s="68" t="n"/>
      <c r="O185" s="69" t="n"/>
      <c r="P185" s="68" t="n"/>
      <c r="Q185" s="69" t="n"/>
      <c r="R185" s="68" t="n"/>
      <c r="S185" s="69" t="n"/>
      <c r="T185" s="68" t="n"/>
      <c r="U185" s="69" t="n"/>
      <c r="V185" s="68" t="n"/>
      <c r="W185" s="69" t="n"/>
      <c r="X185" s="68" t="n"/>
      <c r="Y185" s="69" t="n"/>
      <c r="Z185" s="68" t="n"/>
      <c r="AA185" s="69" t="n"/>
      <c r="AB185" s="68" t="n"/>
      <c r="AC185" s="69" t="n"/>
      <c r="AD185" s="70">
        <f>IF(AND(COUNTIF($B$5:B185,B185)=1,$B185&lt;&gt;"",$AB185&lt;&gt;""),1,0)</f>
        <v/>
      </c>
      <c r="AE185" s="67" t="inlineStr">
        <is>
          <t>https://www.semana.com/economia/empresas/articulo/junta-directiva-de-la-andi-concluye-reunion-y-estos-son-los-cambios-que-decidieron-hacer/202654/</t>
        </is>
      </c>
      <c r="AF185" s="64" t="n"/>
      <c r="AG185" s="65" t="n"/>
    </row>
    <row r="186" ht="15" customHeight="1" s="31">
      <c r="A186" s="66" t="inlineStr">
        <is>
          <t>ART_044</t>
        </is>
      </c>
      <c r="B186" s="66" t="inlineStr">
        <is>
          <t>ART_044_S02</t>
        </is>
      </c>
      <c r="C186" s="66" t="inlineStr">
        <is>
          <t>Semana</t>
        </is>
      </c>
      <c r="D186" s="66" t="inlineStr">
        <is>
          <t>Economía y negocios</t>
        </is>
      </c>
      <c r="E186" s="66" t="inlineStr">
        <is>
          <t>Noticia dura</t>
        </is>
      </c>
      <c r="F186" s="66" t="inlineStr">
        <is>
          <t>Tue, 08 Sep 2026 20:14:54 +0000</t>
        </is>
      </c>
      <c r="G186" s="67" t="inlineStr">
        <is>
          <t>Se sabía que harían cambios, y así lo anunciaron al término del encuentro.</t>
        </is>
      </c>
      <c r="H186" s="67" t="inlineStr">
        <is>
          <t>Una amplia expectativa había este martes, 8 de septiembre, alrededor de la reunión de la junta directiva de la Andi, el gremio de los empresarios más poderosos del país.</t>
        </is>
      </c>
      <c r="I186" s="67" t="inlineStr">
        <is>
          <t>De esa manera, la nueva Junta de Dirección General de la ANDI – Asociación Nacional de Empresarios de Colombia, en su primera sesión del 8 de septiembre, eligió la nueva Mesa Directiva para el periodo 2026-2027.</t>
        </is>
      </c>
      <c r="J186" s="68" t="n"/>
      <c r="K186" s="69" t="n"/>
      <c r="L186" s="68" t="n"/>
      <c r="M186" s="69" t="n"/>
      <c r="N186" s="68" t="n"/>
      <c r="O186" s="69" t="n"/>
      <c r="P186" s="68" t="n"/>
      <c r="Q186" s="69" t="n"/>
      <c r="R186" s="68" t="n"/>
      <c r="S186" s="69" t="n"/>
      <c r="T186" s="68" t="n"/>
      <c r="U186" s="69" t="n"/>
      <c r="V186" s="68" t="n"/>
      <c r="W186" s="69" t="n"/>
      <c r="X186" s="68" t="n"/>
      <c r="Y186" s="69" t="n"/>
      <c r="Z186" s="68" t="n"/>
      <c r="AA186" s="69" t="n"/>
      <c r="AB186" s="68" t="n"/>
      <c r="AC186" s="69" t="n"/>
      <c r="AD186" s="70">
        <f>IF(AND(COUNTIF($B$5:B186,B186)=1,$B186&lt;&gt;"",$AB186&lt;&gt;""),1,0)</f>
        <v/>
      </c>
      <c r="AE186" s="67" t="inlineStr">
        <is>
          <t>https://www.semana.com/economia/empresas/articulo/junta-directiva-de-la-andi-concluye-reunion-y-estos-son-los-cambios-que-decidieron-hacer/202654/</t>
        </is>
      </c>
      <c r="AF186" s="64" t="n"/>
      <c r="AG186" s="65" t="n"/>
    </row>
    <row r="187" ht="15" customHeight="1" s="31">
      <c r="A187" s="66" t="inlineStr">
        <is>
          <t>ART_044</t>
        </is>
      </c>
      <c r="B187" s="66" t="inlineStr">
        <is>
          <t>ART_044_S03</t>
        </is>
      </c>
      <c r="C187" s="66" t="inlineStr">
        <is>
          <t>Semana</t>
        </is>
      </c>
      <c r="D187" s="66" t="inlineStr">
        <is>
          <t>Economía y negocios</t>
        </is>
      </c>
      <c r="E187" s="66" t="inlineStr">
        <is>
          <t>Noticia dura</t>
        </is>
      </c>
      <c r="F187" s="66" t="inlineStr">
        <is>
          <t>Tue, 08 Sep 2026 20:14:54 +0000</t>
        </is>
      </c>
      <c r="G187" s="67" t="inlineStr">
        <is>
          <t>De esa manera, la nueva Junta de Dirección General de la ANDI – Asociación Nacional de Empresarios de Colombia, en su primera sesión del 8 de septiembre, eligió la nueva Mesa Directiva para el periodo 2026-2027.</t>
        </is>
      </c>
      <c r="H187" s="67" t="inlineStr">
        <is>
          <t>Se sabía que harían cambios, y así lo anunciaron al término del encuentro.</t>
        </is>
      </c>
      <c r="I187" s="67" t="inlineStr">
        <is>
          <t>Como presidente de la Junta fue elegido Rodolfo Castillo García, fundador y presidente de Icoharinas, y como vicepresidente, María del Rosario Gómez Jaramillo, socia directora de DG&amp;A Abogados.</t>
        </is>
      </c>
      <c r="J187" s="68" t="n"/>
      <c r="K187" s="69" t="n"/>
      <c r="L187" s="68" t="n"/>
      <c r="M187" s="69" t="n"/>
      <c r="N187" s="68" t="n"/>
      <c r="O187" s="69" t="n"/>
      <c r="P187" s="68" t="n"/>
      <c r="Q187" s="69" t="n"/>
      <c r="R187" s="68" t="n"/>
      <c r="S187" s="69" t="n"/>
      <c r="T187" s="68" t="n"/>
      <c r="U187" s="69" t="n"/>
      <c r="V187" s="68" t="n"/>
      <c r="W187" s="69" t="n"/>
      <c r="X187" s="68" t="n"/>
      <c r="Y187" s="69" t="n"/>
      <c r="Z187" s="68" t="n"/>
      <c r="AA187" s="69" t="n"/>
      <c r="AB187" s="68" t="n"/>
      <c r="AC187" s="69" t="n"/>
      <c r="AD187" s="70">
        <f>IF(AND(COUNTIF($B$5:B187,B187)=1,$B187&lt;&gt;"",$AB187&lt;&gt;""),1,0)</f>
        <v/>
      </c>
      <c r="AE187" s="67" t="inlineStr">
        <is>
          <t>https://www.semana.com/economia/empresas/articulo/junta-directiva-de-la-andi-concluye-reunion-y-estos-son-los-cambios-que-decidieron-hacer/202654/</t>
        </is>
      </c>
      <c r="AF187" s="64" t="n"/>
      <c r="AG187" s="65" t="n"/>
    </row>
    <row r="188" ht="15" customHeight="1" s="31">
      <c r="A188" s="66" t="inlineStr">
        <is>
          <t>ART_044</t>
        </is>
      </c>
      <c r="B188" s="66" t="inlineStr">
        <is>
          <t>ART_044_S04</t>
        </is>
      </c>
      <c r="C188" s="66" t="inlineStr">
        <is>
          <t>Semana</t>
        </is>
      </c>
      <c r="D188" s="66" t="inlineStr">
        <is>
          <t>Economía y negocios</t>
        </is>
      </c>
      <c r="E188" s="66" t="inlineStr">
        <is>
          <t>Noticia dura</t>
        </is>
      </c>
      <c r="F188" s="66" t="inlineStr">
        <is>
          <t>Tue, 08 Sep 2026 20:14:54 +0000</t>
        </is>
      </c>
      <c r="G188" s="67" t="inlineStr">
        <is>
          <t>Como presidente de la Junta fue elegido Rodolfo Castillo García, fundador y presidente de Icoharinas, y como vicepresidente, María del Rosario Gómez Jaramillo, socia directora de DG&amp;A Abogados.</t>
        </is>
      </c>
      <c r="H188" s="67" t="inlineStr">
        <is>
          <t>De esa manera, la nueva Junta de Dirección General de la ANDI – Asociación Nacional de Empresarios de Colombia, en su primera sesión del 8 de septiembre, eligió la nueva Mesa Directiva para el periodo 2026-2027.</t>
        </is>
      </c>
      <c r="I188" s="67" t="inlineStr">
        <is>
          <t>Entrarán a liderar el gremio, que tiene ramificaciones en todos los sectores de la industria y otras áreas de la economía, para lo cual, opera con más de una treintena de células, entre cámaras y comités que se encargan cada una de temas específicos, en pos de difundir y propiciar los principios políticos, económicos y sociales en un sistema de libre empresa.</t>
        </is>
      </c>
      <c r="J188" s="68" t="n"/>
      <c r="K188" s="69" t="n"/>
      <c r="L188" s="68" t="n"/>
      <c r="M188" s="69" t="n"/>
      <c r="N188" s="68" t="n"/>
      <c r="O188" s="69" t="n"/>
      <c r="P188" s="68" t="n"/>
      <c r="Q188" s="69" t="n"/>
      <c r="R188" s="68" t="n"/>
      <c r="S188" s="69" t="n"/>
      <c r="T188" s="68" t="n"/>
      <c r="U188" s="69" t="n"/>
      <c r="V188" s="68" t="n"/>
      <c r="W188" s="69" t="n"/>
      <c r="X188" s="68" t="n"/>
      <c r="Y188" s="69" t="n"/>
      <c r="Z188" s="68" t="n"/>
      <c r="AA188" s="69" t="n"/>
      <c r="AB188" s="68" t="n"/>
      <c r="AC188" s="69" t="n"/>
      <c r="AD188" s="70">
        <f>IF(AND(COUNTIF($B$5:B188,B188)=1,$B188&lt;&gt;"",$AB188&lt;&gt;""),1,0)</f>
        <v/>
      </c>
      <c r="AE188" s="67" t="inlineStr">
        <is>
          <t>https://www.semana.com/economia/empresas/articulo/junta-directiva-de-la-andi-concluye-reunion-y-estos-son-los-cambios-que-decidieron-hacer/202654/</t>
        </is>
      </c>
      <c r="AF188" s="64" t="n"/>
      <c r="AG188" s="65" t="n"/>
    </row>
    <row r="189" ht="15" customHeight="1" s="31">
      <c r="A189" s="66" t="inlineStr">
        <is>
          <t>ART_044</t>
        </is>
      </c>
      <c r="B189" s="66" t="inlineStr">
        <is>
          <t>ART_044_S05</t>
        </is>
      </c>
      <c r="C189" s="66" t="inlineStr">
        <is>
          <t>Semana</t>
        </is>
      </c>
      <c r="D189" s="66" t="inlineStr">
        <is>
          <t>Economía y negocios</t>
        </is>
      </c>
      <c r="E189" s="66" t="inlineStr">
        <is>
          <t>Noticia dura</t>
        </is>
      </c>
      <c r="F189" s="66" t="inlineStr">
        <is>
          <t>Tue, 08 Sep 2026 20:14:54 +0000</t>
        </is>
      </c>
      <c r="G189" s="67" t="inlineStr">
        <is>
          <t>Entrarán a liderar el gremio, que tiene ramificaciones en todos los sectores de la industria y otras áreas de la economía, para lo cual, opera con más de una treintena de células, entre cámaras y comités que se encargan cada una de temas específicos, en pos de difundir y propiciar los principios políticos, económicos y sociales en un sistema de libre empresa.</t>
        </is>
      </c>
      <c r="H189" s="67" t="inlineStr">
        <is>
          <t>Como presidente de la Junta fue elegido Rodolfo Castillo García, fundador y presidente de Icoharinas, y como vicepresidente, María del Rosario Gómez Jaramillo, socia directora de DG&amp;A Abogados.</t>
        </is>
      </c>
      <c r="I189" s="67" t="inlineStr">
        <is>
          <t>El gremio sobrepasa los 80 años desde su primera aparición, lo que ocurrió en la ciudad de Medellín, y desde entonces ha sido uno de los gremios empresariales más poderosos e influyentes en el país.</t>
        </is>
      </c>
      <c r="J189" s="68" t="n"/>
      <c r="K189" s="69" t="n"/>
      <c r="L189" s="68" t="n"/>
      <c r="M189" s="69" t="n"/>
      <c r="N189" s="68" t="n"/>
      <c r="O189" s="69" t="n"/>
      <c r="P189" s="68" t="n"/>
      <c r="Q189" s="69" t="n"/>
      <c r="R189" s="68" t="n"/>
      <c r="S189" s="69" t="n"/>
      <c r="T189" s="68" t="n"/>
      <c r="U189" s="69" t="n"/>
      <c r="V189" s="68" t="n"/>
      <c r="W189" s="69" t="n"/>
      <c r="X189" s="68" t="n"/>
      <c r="Y189" s="69" t="n"/>
      <c r="Z189" s="68" t="n"/>
      <c r="AA189" s="69" t="n"/>
      <c r="AB189" s="68" t="n"/>
      <c r="AC189" s="69" t="n"/>
      <c r="AD189" s="70">
        <f>IF(AND(COUNTIF($B$5:B189,B189)=1,$B189&lt;&gt;"",$AB189&lt;&gt;""),1,0)</f>
        <v/>
      </c>
      <c r="AE189" s="67" t="inlineStr">
        <is>
          <t>https://www.semana.com/economia/empresas/articulo/junta-directiva-de-la-andi-concluye-reunion-y-estos-son-los-cambios-que-decidieron-hacer/202654/</t>
        </is>
      </c>
      <c r="AF189" s="64" t="n"/>
      <c r="AG189" s="65" t="n"/>
    </row>
    <row r="190" ht="15" customHeight="1" s="31">
      <c r="A190" s="66" t="inlineStr">
        <is>
          <t>ART_044</t>
        </is>
      </c>
      <c r="B190" s="66" t="inlineStr">
        <is>
          <t>ART_044_S06</t>
        </is>
      </c>
      <c r="C190" s="66" t="inlineStr">
        <is>
          <t>Semana</t>
        </is>
      </c>
      <c r="D190" s="66" t="inlineStr">
        <is>
          <t>Economía y negocios</t>
        </is>
      </c>
      <c r="E190" s="66" t="inlineStr">
        <is>
          <t>Noticia dura</t>
        </is>
      </c>
      <c r="F190" s="66" t="inlineStr">
        <is>
          <t>Tue, 08 Sep 2026 20:14:54 +0000</t>
        </is>
      </c>
      <c r="G190" s="67" t="inlineStr">
        <is>
          <t>El gremio sobrepasa los 80 años desde su primera aparición, lo que ocurrió en la ciudad de Medellín, y desde entonces ha sido uno de los gremios empresariales más poderosos e influyentes en el país.</t>
        </is>
      </c>
      <c r="H190" s="67" t="inlineStr">
        <is>
          <t>Entrarán a liderar el gremio, que tiene ramificaciones en todos los sectores de la industria y otras áreas de la economía, para lo cual, opera con más de una treintena de células, entre cámaras y comités que se encargan cada una de temas específicos, en pos de difundir y propiciar los principios políticos, económicos y sociales en un sistema de libre empresa.</t>
        </is>
      </c>
      <c r="I190" s="67" t="inlineStr">
        <is>
          <t>En la actualidad, la agremiación tiene bajo su sombrilla a un número significativo de empresas: tradicionalmente son entre 1.400 y 1.500 afiliados a nivel nacional; pertenecientes a sectores como el industrial, financiero, agroindustrial, de alimentos, comercial y de servicios, entre otros.</t>
        </is>
      </c>
      <c r="J190" s="68" t="n"/>
      <c r="K190" s="69" t="n"/>
      <c r="L190" s="68" t="n"/>
      <c r="M190" s="69" t="n"/>
      <c r="N190" s="68" t="n"/>
      <c r="O190" s="69" t="n"/>
      <c r="P190" s="68" t="n"/>
      <c r="Q190" s="69" t="n"/>
      <c r="R190" s="68" t="n"/>
      <c r="S190" s="69" t="n"/>
      <c r="T190" s="68" t="n"/>
      <c r="U190" s="69" t="n"/>
      <c r="V190" s="68" t="n"/>
      <c r="W190" s="69" t="n"/>
      <c r="X190" s="68" t="n"/>
      <c r="Y190" s="69" t="n"/>
      <c r="Z190" s="68" t="n"/>
      <c r="AA190" s="69" t="n"/>
      <c r="AB190" s="68" t="n"/>
      <c r="AC190" s="69" t="n"/>
      <c r="AD190" s="70">
        <f>IF(AND(COUNTIF($B$5:B190,B190)=1,$B190&lt;&gt;"",$AB190&lt;&gt;""),1,0)</f>
        <v/>
      </c>
      <c r="AE190" s="67" t="inlineStr">
        <is>
          <t>https://www.semana.com/economia/empresas/articulo/junta-directiva-de-la-andi-concluye-reunion-y-estos-son-los-cambios-que-decidieron-hacer/202654/</t>
        </is>
      </c>
      <c r="AF190" s="64" t="n"/>
      <c r="AG190" s="65" t="n"/>
    </row>
    <row r="191" ht="15" customHeight="1" s="31">
      <c r="A191" s="66" t="inlineStr">
        <is>
          <t>ART_044</t>
        </is>
      </c>
      <c r="B191" s="66" t="inlineStr">
        <is>
          <t>ART_044_S07</t>
        </is>
      </c>
      <c r="C191" s="66" t="inlineStr">
        <is>
          <t>Semana</t>
        </is>
      </c>
      <c r="D191" s="66" t="inlineStr">
        <is>
          <t>Economía y negocios</t>
        </is>
      </c>
      <c r="E191" s="66" t="inlineStr">
        <is>
          <t>Noticia dura</t>
        </is>
      </c>
      <c r="F191" s="66" t="inlineStr">
        <is>
          <t>Tue, 08 Sep 2026 20:14:54 +0000</t>
        </is>
      </c>
      <c r="G191" s="67" t="inlineStr">
        <is>
          <t>En la actualidad, la agremiación tiene bajo su sombrilla a un número significativo de empresas: tradicionalmente son entre 1.400 y 1.500 afiliados a nivel nacional; pertenecientes a sectores como el industrial, financiero, agroindustrial, de alimentos, comercial y de servicios, entre otros.</t>
        </is>
      </c>
      <c r="H191" s="67" t="inlineStr">
        <is>
          <t>El gremio sobrepasa los 80 años desde su primera aparición, lo que ocurrió en la ciudad de Medellín, y desde entonces ha sido uno de los gremios empresariales más poderosos e influyentes en el país.</t>
        </is>
      </c>
      <c r="I191" s="67" t="inlineStr">
        <is>
          <t>Opera con sucursales en Barranquilla, Bogotá, Bucaramanga, Cali, Cartagena, Cúcuta, Ibagué, Manizales, Pereira, Santander de Quilichao y Villavicencio.</t>
        </is>
      </c>
      <c r="J191" s="68" t="n"/>
      <c r="K191" s="69" t="n"/>
      <c r="L191" s="68" t="n"/>
      <c r="M191" s="69" t="n"/>
      <c r="N191" s="68" t="n"/>
      <c r="O191" s="69" t="n"/>
      <c r="P191" s="68" t="n"/>
      <c r="Q191" s="69" t="n"/>
      <c r="R191" s="68" t="n"/>
      <c r="S191" s="69" t="n"/>
      <c r="T191" s="68" t="n"/>
      <c r="U191" s="69" t="n"/>
      <c r="V191" s="68" t="n"/>
      <c r="W191" s="69" t="n"/>
      <c r="X191" s="68" t="n"/>
      <c r="Y191" s="69" t="n"/>
      <c r="Z191" s="68" t="n"/>
      <c r="AA191" s="69" t="n"/>
      <c r="AB191" s="68" t="n"/>
      <c r="AC191" s="69" t="n"/>
      <c r="AD191" s="70">
        <f>IF(AND(COUNTIF($B$5:B191,B191)=1,$B191&lt;&gt;"",$AB191&lt;&gt;""),1,0)</f>
        <v/>
      </c>
      <c r="AE191" s="67" t="inlineStr">
        <is>
          <t>https://www.semana.com/economia/empresas/articulo/junta-directiva-de-la-andi-concluye-reunion-y-estos-son-los-cambios-que-decidieron-hacer/202654/</t>
        </is>
      </c>
      <c r="AF191" s="64" t="n"/>
      <c r="AG191" s="65" t="n"/>
    </row>
    <row r="192" ht="15" customHeight="1" s="31">
      <c r="A192" s="66" t="inlineStr">
        <is>
          <t>ART_044</t>
        </is>
      </c>
      <c r="B192" s="66" t="inlineStr">
        <is>
          <t>ART_044_S08</t>
        </is>
      </c>
      <c r="C192" s="66" t="inlineStr">
        <is>
          <t>Semana</t>
        </is>
      </c>
      <c r="D192" s="66" t="inlineStr">
        <is>
          <t>Economía y negocios</t>
        </is>
      </c>
      <c r="E192" s="66" t="inlineStr">
        <is>
          <t>Noticia dura</t>
        </is>
      </c>
      <c r="F192" s="66" t="inlineStr">
        <is>
          <t>Tue, 08 Sep 2026 20:14:54 +0000</t>
        </is>
      </c>
      <c r="G192" s="67" t="inlineStr">
        <is>
          <t>Opera con sucursales en Barranquilla, Bogotá, Bucaramanga, Cali, Cartagena, Cúcuta, Ibagué, Manizales, Pereira, Santander de Quilichao y Villavicencio.</t>
        </is>
      </c>
      <c r="H192" s="67" t="inlineStr">
        <is>
          <t>En la actualidad, la agremiación tiene bajo su sombrilla a un número significativo de empresas: tradicionalmente son entre 1.400 y 1.500 afiliados a nivel nacional; pertenecientes a sectores como el industrial, financiero, agroindustrial, de alimentos, comercial y de servicios, entre otros.</t>
        </is>
      </c>
      <c r="I192" s="67" t="inlineStr">
        <is>
          <t>Como gremio, están comprometidos con la reactivación económica del país, a través de propuestas que generen empleo de calidad y aceleren el crecimiento en el corto plazo.</t>
        </is>
      </c>
      <c r="J192" s="68" t="n"/>
      <c r="K192" s="69" t="n"/>
      <c r="L192" s="68" t="n"/>
      <c r="M192" s="69" t="n"/>
      <c r="N192" s="68" t="n"/>
      <c r="O192" s="69" t="n"/>
      <c r="P192" s="68" t="n"/>
      <c r="Q192" s="69" t="n"/>
      <c r="R192" s="68" t="n"/>
      <c r="S192" s="69" t="n"/>
      <c r="T192" s="68" t="n"/>
      <c r="U192" s="69" t="n"/>
      <c r="V192" s="68" t="n"/>
      <c r="W192" s="69" t="n"/>
      <c r="X192" s="68" t="n"/>
      <c r="Y192" s="69" t="n"/>
      <c r="Z192" s="68" t="n"/>
      <c r="AA192" s="69" t="n"/>
      <c r="AB192" s="68" t="n"/>
      <c r="AC192" s="69" t="n"/>
      <c r="AD192" s="70">
        <f>IF(AND(COUNTIF($B$5:B192,B192)=1,$B192&lt;&gt;"",$AB192&lt;&gt;""),1,0)</f>
        <v/>
      </c>
      <c r="AE192" s="67" t="inlineStr">
        <is>
          <t>https://www.semana.com/economia/empresas/articulo/junta-directiva-de-la-andi-concluye-reunion-y-estos-son-los-cambios-que-decidieron-hacer/202654/</t>
        </is>
      </c>
      <c r="AF192" s="64" t="n"/>
      <c r="AG192" s="65" t="n"/>
    </row>
    <row r="193" ht="15" customHeight="1" s="31">
      <c r="A193" s="66" t="inlineStr">
        <is>
          <t>ART_044</t>
        </is>
      </c>
      <c r="B193" s="66" t="inlineStr">
        <is>
          <t>ART_044_S09</t>
        </is>
      </c>
      <c r="C193" s="66" t="inlineStr">
        <is>
          <t>Semana</t>
        </is>
      </c>
      <c r="D193" s="66" t="inlineStr">
        <is>
          <t>Economía y negocios</t>
        </is>
      </c>
      <c r="E193" s="66" t="inlineStr">
        <is>
          <t>Noticia dura</t>
        </is>
      </c>
      <c r="F193" s="66" t="inlineStr">
        <is>
          <t>Tue, 08 Sep 2026 20:14:54 +0000</t>
        </is>
      </c>
      <c r="G193" s="67" t="inlineStr">
        <is>
          <t>Como gremio, están comprometidos con la reactivación económica del país, a través de propuestas que generen empleo de calidad y aceleren el crecimiento en el corto plazo.</t>
        </is>
      </c>
      <c r="H193" s="67" t="inlineStr">
        <is>
          <t>Opera con sucursales en Barranquilla, Bogotá, Bucaramanga, Cali, Cartagena, Cúcuta, Ibagué, Manizales, Pereira, Santander de Quilichao y Villavicencio.</t>
        </is>
      </c>
      <c r="I193" s="67" t="inlineStr"/>
      <c r="J193" s="68" t="n"/>
      <c r="K193" s="69" t="n"/>
      <c r="L193" s="68" t="n"/>
      <c r="M193" s="69" t="n"/>
      <c r="N193" s="68" t="n"/>
      <c r="O193" s="69" t="n"/>
      <c r="P193" s="68" t="n"/>
      <c r="Q193" s="69" t="n"/>
      <c r="R193" s="68" t="n"/>
      <c r="S193" s="69" t="n"/>
      <c r="T193" s="68" t="n"/>
      <c r="U193" s="69" t="n"/>
      <c r="V193" s="68" t="n"/>
      <c r="W193" s="69" t="n"/>
      <c r="X193" s="68" t="n"/>
      <c r="Y193" s="69" t="n"/>
      <c r="Z193" s="68" t="n"/>
      <c r="AA193" s="69" t="n"/>
      <c r="AB193" s="68" t="n"/>
      <c r="AC193" s="69" t="n"/>
      <c r="AD193" s="70">
        <f>IF(AND(COUNTIF($B$5:B193,B193)=1,$B193&lt;&gt;"",$AB193&lt;&gt;""),1,0)</f>
        <v/>
      </c>
      <c r="AE193" s="67" t="inlineStr">
        <is>
          <t>https://www.semana.com/economia/empresas/articulo/junta-directiva-de-la-andi-concluye-reunion-y-estos-son-los-cambios-que-decidieron-hacer/202654/</t>
        </is>
      </c>
      <c r="AF193" s="64" t="n"/>
      <c r="AG193" s="65" t="n"/>
    </row>
    <row r="194" ht="15" customHeight="1" s="31">
      <c r="A194" s="66" t="inlineStr">
        <is>
          <t>ART_045</t>
        </is>
      </c>
      <c r="B194" s="66" t="inlineStr">
        <is>
          <t>ART_045_S01</t>
        </is>
      </c>
      <c r="C194" s="66" t="inlineStr">
        <is>
          <t>Semana</t>
        </is>
      </c>
      <c r="D194" s="66" t="inlineStr">
        <is>
          <t>Economía y negocios</t>
        </is>
      </c>
      <c r="E194" s="66" t="inlineStr">
        <is>
          <t>Noticia dura</t>
        </is>
      </c>
      <c r="F194" s="66" t="inlineStr">
        <is>
          <t>2025-12-01T08:58:51-05:00</t>
        </is>
      </c>
      <c r="G194" s="67" t="inlineStr">
        <is>
          <t>Aunque solo hasta el viernes 5 de diciembre se conocerá el Índice de Precios al Consumidor (IPC), quizás el insumo determinante para la negociación del incremento en el salario mínimo, por lo tanto, después de esa fecha se tiene previsto el destape de las cifras para lo que podría ser una puja.</t>
        </is>
      </c>
      <c r="H194" s="67" t="inlineStr"/>
      <c r="I194" s="67" t="inlineStr"/>
      <c r="J194" s="68" t="n"/>
      <c r="K194" s="69" t="n"/>
      <c r="L194" s="68" t="n"/>
      <c r="M194" s="69" t="n"/>
      <c r="N194" s="68" t="n"/>
      <c r="O194" s="69" t="n"/>
      <c r="P194" s="68" t="n"/>
      <c r="Q194" s="69" t="n"/>
      <c r="R194" s="68" t="n"/>
      <c r="S194" s="69" t="n"/>
      <c r="T194" s="68" t="n"/>
      <c r="U194" s="69" t="n"/>
      <c r="V194" s="68" t="n"/>
      <c r="W194" s="69" t="n"/>
      <c r="X194" s="68" t="n"/>
      <c r="Y194" s="69" t="n"/>
      <c r="Z194" s="68" t="n"/>
      <c r="AA194" s="69" t="n"/>
      <c r="AB194" s="68" t="n"/>
      <c r="AC194" s="69" t="n"/>
      <c r="AD194" s="70">
        <f>IF(AND(COUNTIF($B$5:B194,B194)=1,$B194&lt;&gt;"",$AB194&lt;&gt;""),1,0)</f>
        <v/>
      </c>
      <c r="AE194" s="67" t="inlineStr">
        <is>
          <t>https://www.semana.com/economia/macroeconomia/articulo/con-el-salario-minimo-2026-sindicatos-pelearan-por-alza-de-dos-digitos-confirma-presidente-de-la-cut/202510/</t>
        </is>
      </c>
      <c r="AF194" s="64" t="n"/>
      <c r="AG194" s="65" t="n"/>
    </row>
    <row r="195" ht="15" customHeight="1" s="31">
      <c r="A195" s="66" t="inlineStr">
        <is>
          <t>ART_046</t>
        </is>
      </c>
      <c r="B195" s="66" t="inlineStr">
        <is>
          <t>ART_046_S01</t>
        </is>
      </c>
      <c r="C195" s="66" t="inlineStr">
        <is>
          <t>Semana</t>
        </is>
      </c>
      <c r="D195" s="66" t="inlineStr">
        <is>
          <t>Economía y negocios</t>
        </is>
      </c>
      <c r="E195" s="66" t="inlineStr">
        <is>
          <t>Opinión-análisis</t>
        </is>
      </c>
      <c r="F195" s="66" t="inlineStr">
        <is>
          <t>2026-09-04T05:00:00-05:00</t>
        </is>
      </c>
      <c r="G195" s="67" t="inlineStr">
        <is>
          <t>Parafraseando aquel viejo eslogan de una popular emisora radial colombiana, llegó septiembre y, para muchos, ya se siente diciembre.</t>
        </is>
      </c>
      <c r="H195" s="67" t="inlineStr"/>
      <c r="I195" s="67" t="inlineStr">
        <is>
          <t>No porque hayan comenzado las novenas ni porque los centros comerciales estén desempolvando los adornos navideños, sino porque este es el mes en el que las empresas comienzan a construir sus presupuestos para 2027.</t>
        </is>
      </c>
      <c r="J195" s="68" t="n"/>
      <c r="K195" s="69" t="n"/>
      <c r="L195" s="68" t="n"/>
      <c r="M195" s="69" t="n"/>
      <c r="N195" s="68" t="n"/>
      <c r="O195" s="69" t="n"/>
      <c r="P195" s="68" t="n"/>
      <c r="Q195" s="69" t="n"/>
      <c r="R195" s="68" t="n"/>
      <c r="S195" s="69" t="n"/>
      <c r="T195" s="68" t="n"/>
      <c r="U195" s="69" t="n"/>
      <c r="V195" s="68" t="n"/>
      <c r="W195" s="69" t="n"/>
      <c r="X195" s="68" t="n"/>
      <c r="Y195" s="69" t="n"/>
      <c r="Z195" s="68" t="n"/>
      <c r="AA195" s="69" t="n"/>
      <c r="AB195" s="68" t="n"/>
      <c r="AC195" s="69" t="n"/>
      <c r="AD195" s="70">
        <f>IF(AND(COUNTIF($B$5:B195,B195)=1,$B195&lt;&gt;"",$AB195&lt;&gt;""),1,0)</f>
        <v/>
      </c>
      <c r="AE195" s="67" t="inlineStr">
        <is>
          <t>https://www.semana.com/economia/opinion/articulo/septiembre-y-la-gran-pregunta-de-los-presupuestos-cuanto-subira-el-salario-minimo-en-2027/202600/</t>
        </is>
      </c>
      <c r="AF195" s="64" t="n"/>
      <c r="AG195" s="65" t="n"/>
    </row>
    <row r="196" ht="15" customHeight="1" s="31">
      <c r="A196" s="66" t="inlineStr">
        <is>
          <t>ART_046</t>
        </is>
      </c>
      <c r="B196" s="66" t="inlineStr">
        <is>
          <t>ART_046_S02</t>
        </is>
      </c>
      <c r="C196" s="66" t="inlineStr">
        <is>
          <t>Semana</t>
        </is>
      </c>
      <c r="D196" s="66" t="inlineStr">
        <is>
          <t>Economía y negocios</t>
        </is>
      </c>
      <c r="E196" s="66" t="inlineStr">
        <is>
          <t>Opinión-análisis</t>
        </is>
      </c>
      <c r="F196" s="66" t="inlineStr">
        <is>
          <t>2026-09-04T05:00:00-05:00</t>
        </is>
      </c>
      <c r="G196" s="67" t="inlineStr">
        <is>
          <t>No porque hayan comenzado las novenas ni porque los centros comerciales estén desempolvando los adornos navideños, sino porque este es el mes en el que las empresas comienzan a construir sus presupuestos para 2027.</t>
        </is>
      </c>
      <c r="H196" s="67" t="inlineStr">
        <is>
          <t>Parafraseando aquel viejo eslogan de una popular emisora radial colombiana, llegó septiembre y, para muchos, ya se siente diciembre.</t>
        </is>
      </c>
      <c r="I196" s="67" t="inlineStr">
        <is>
          <t>Y en ese ejercicio hay una pregunta que suele eclipsar todas las demás: ¿cuánto va a subir el salario mínimo?</t>
        </is>
      </c>
      <c r="J196" s="68" t="n"/>
      <c r="K196" s="69" t="n"/>
      <c r="L196" s="68" t="n"/>
      <c r="M196" s="69" t="n"/>
      <c r="N196" s="68" t="n"/>
      <c r="O196" s="69" t="n"/>
      <c r="P196" s="68" t="n"/>
      <c r="Q196" s="69" t="n"/>
      <c r="R196" s="68" t="n"/>
      <c r="S196" s="69" t="n"/>
      <c r="T196" s="68" t="n"/>
      <c r="U196" s="69" t="n"/>
      <c r="V196" s="68" t="n"/>
      <c r="W196" s="69" t="n"/>
      <c r="X196" s="68" t="n"/>
      <c r="Y196" s="69" t="n"/>
      <c r="Z196" s="68" t="n"/>
      <c r="AA196" s="69" t="n"/>
      <c r="AB196" s="68" t="n"/>
      <c r="AC196" s="69" t="n"/>
      <c r="AD196" s="70">
        <f>IF(AND(COUNTIF($B$5:B196,B196)=1,$B196&lt;&gt;"",$AB196&lt;&gt;""),1,0)</f>
        <v/>
      </c>
      <c r="AE196" s="67" t="inlineStr">
        <is>
          <t>https://www.semana.com/economia/opinion/articulo/septiembre-y-la-gran-pregunta-de-los-presupuestos-cuanto-subira-el-salario-minimo-en-2027/202600/</t>
        </is>
      </c>
      <c r="AF196" s="64" t="n"/>
      <c r="AG196" s="65" t="n"/>
    </row>
    <row r="197" ht="15" customHeight="1" s="31">
      <c r="A197" s="66" t="inlineStr">
        <is>
          <t>ART_046</t>
        </is>
      </c>
      <c r="B197" s="66" t="inlineStr">
        <is>
          <t>ART_046_S03</t>
        </is>
      </c>
      <c r="C197" s="66" t="inlineStr">
        <is>
          <t>Semana</t>
        </is>
      </c>
      <c r="D197" s="66" t="inlineStr">
        <is>
          <t>Economía y negocios</t>
        </is>
      </c>
      <c r="E197" s="66" t="inlineStr">
        <is>
          <t>Opinión-análisis</t>
        </is>
      </c>
      <c r="F197" s="66" t="inlineStr">
        <is>
          <t>2026-09-04T05:00:00-05:00</t>
        </is>
      </c>
      <c r="G197" s="67" t="inlineStr">
        <is>
          <t>Y en ese ejercicio hay una pregunta que suele eclipsar todas las demás: ¿cuánto va a subir el salario mínimo?</t>
        </is>
      </c>
      <c r="H197" s="67" t="inlineStr">
        <is>
          <t>No porque hayan comenzado las novenas ni porque los centros comerciales estén desempolvando los adornos navideños, sino porque este es el mes en el que las empresas comienzan a construir sus presupuestos para 2027.</t>
        </is>
      </c>
      <c r="I197" s="67" t="inlineStr">
        <is>
          <t>La respuesta no es menor.</t>
        </is>
      </c>
      <c r="J197" s="68" t="n"/>
      <c r="K197" s="69" t="n"/>
      <c r="L197" s="68" t="n"/>
      <c r="M197" s="69" t="n"/>
      <c r="N197" s="68" t="n"/>
      <c r="O197" s="69" t="n"/>
      <c r="P197" s="68" t="n"/>
      <c r="Q197" s="69" t="n"/>
      <c r="R197" s="68" t="n"/>
      <c r="S197" s="69" t="n"/>
      <c r="T197" s="68" t="n"/>
      <c r="U197" s="69" t="n"/>
      <c r="V197" s="68" t="n"/>
      <c r="W197" s="69" t="n"/>
      <c r="X197" s="68" t="n"/>
      <c r="Y197" s="69" t="n"/>
      <c r="Z197" s="68" t="n"/>
      <c r="AA197" s="69" t="n"/>
      <c r="AB197" s="68" t="n"/>
      <c r="AC197" s="69" t="n"/>
      <c r="AD197" s="70">
        <f>IF(AND(COUNTIF($B$5:B197,B197)=1,$B197&lt;&gt;"",$AB197&lt;&gt;""),1,0)</f>
        <v/>
      </c>
      <c r="AE197" s="67" t="inlineStr">
        <is>
          <t>https://www.semana.com/economia/opinion/articulo/septiembre-y-la-gran-pregunta-de-los-presupuestos-cuanto-subira-el-salario-minimo-en-2027/202600/</t>
        </is>
      </c>
      <c r="AF197" s="64" t="n"/>
      <c r="AG197" s="65" t="n"/>
    </row>
    <row r="198" ht="15" customHeight="1" s="31">
      <c r="A198" s="66" t="inlineStr">
        <is>
          <t>ART_046</t>
        </is>
      </c>
      <c r="B198" s="66" t="inlineStr">
        <is>
          <t>ART_046_S04</t>
        </is>
      </c>
      <c r="C198" s="66" t="inlineStr">
        <is>
          <t>Semana</t>
        </is>
      </c>
      <c r="D198" s="66" t="inlineStr">
        <is>
          <t>Economía y negocios</t>
        </is>
      </c>
      <c r="E198" s="66" t="inlineStr">
        <is>
          <t>Opinión-análisis</t>
        </is>
      </c>
      <c r="F198" s="66" t="inlineStr">
        <is>
          <t>2026-09-04T05:00:00-05:00</t>
        </is>
      </c>
      <c r="G198" s="67" t="inlineStr">
        <is>
          <t>La respuesta no es menor.</t>
        </is>
      </c>
      <c r="H198" s="67" t="inlineStr">
        <is>
          <t>Y en ese ejercicio hay una pregunta que suele eclipsar todas las demás: ¿cuánto va a subir el salario mínimo?</t>
        </is>
      </c>
      <c r="I198" s="67" t="inlineStr">
        <is>
          <t>De ella dependen los costos laborales, las provisiones de prestaciones sociales, los contratos indexados, innumerables tarifas regulatorias y, en general, una porción significativa de la estructura de costos de la economía colombiana.</t>
        </is>
      </c>
      <c r="J198" s="68" t="n"/>
      <c r="K198" s="69" t="n"/>
      <c r="L198" s="68" t="n"/>
      <c r="M198" s="69" t="n"/>
      <c r="N198" s="68" t="n"/>
      <c r="O198" s="69" t="n"/>
      <c r="P198" s="68" t="n"/>
      <c r="Q198" s="69" t="n"/>
      <c r="R198" s="68" t="n"/>
      <c r="S198" s="69" t="n"/>
      <c r="T198" s="68" t="n"/>
      <c r="U198" s="69" t="n"/>
      <c r="V198" s="68" t="n"/>
      <c r="W198" s="69" t="n"/>
      <c r="X198" s="68" t="n"/>
      <c r="Y198" s="69" t="n"/>
      <c r="Z198" s="68" t="n"/>
      <c r="AA198" s="69" t="n"/>
      <c r="AB198" s="68" t="n"/>
      <c r="AC198" s="69" t="n"/>
      <c r="AD198" s="70">
        <f>IF(AND(COUNTIF($B$5:B198,B198)=1,$B198&lt;&gt;"",$AB198&lt;&gt;""),1,0)</f>
        <v/>
      </c>
      <c r="AE198" s="67" t="inlineStr">
        <is>
          <t>https://www.semana.com/economia/opinion/articulo/septiembre-y-la-gran-pregunta-de-los-presupuestos-cuanto-subira-el-salario-minimo-en-2027/202600/</t>
        </is>
      </c>
      <c r="AF198" s="64" t="n"/>
      <c r="AG198" s="65" t="n"/>
    </row>
    <row r="199" ht="15" customHeight="1" s="31">
      <c r="A199" s="66" t="inlineStr">
        <is>
          <t>ART_046</t>
        </is>
      </c>
      <c r="B199" s="66" t="inlineStr">
        <is>
          <t>ART_046_S05</t>
        </is>
      </c>
      <c r="C199" s="66" t="inlineStr">
        <is>
          <t>Semana</t>
        </is>
      </c>
      <c r="D199" s="66" t="inlineStr">
        <is>
          <t>Economía y negocios</t>
        </is>
      </c>
      <c r="E199" s="66" t="inlineStr">
        <is>
          <t>Opinión-análisis</t>
        </is>
      </c>
      <c r="F199" s="66" t="inlineStr">
        <is>
          <t>2026-09-04T05:00:00-05:00</t>
        </is>
      </c>
      <c r="G199" s="67" t="inlineStr">
        <is>
          <t>De ella dependen los costos laborales, las provisiones de prestaciones sociales, los contratos indexados, innumerables tarifas regulatorias y, en general, una porción significativa de la estructura de costos de la economía colombiana.</t>
        </is>
      </c>
      <c r="H199" s="67" t="inlineStr">
        <is>
          <t>La respuesta no es menor.</t>
        </is>
      </c>
      <c r="I199" s="67" t="inlineStr">
        <is>
          <t>Por eso, cada septiembre los empresarios intentan hacer algo que, en realidad, se asemeja más a leer hojas de té que a un ejercicio financiero riguroso: adivinar cuál será la cifra que terminará apareciendo en el decreto de finales de diciembre.</t>
        </is>
      </c>
      <c r="J199" s="68" t="n"/>
      <c r="K199" s="69" t="n"/>
      <c r="L199" s="68" t="n"/>
      <c r="M199" s="69" t="n"/>
      <c r="N199" s="68" t="n"/>
      <c r="O199" s="69" t="n"/>
      <c r="P199" s="68" t="n"/>
      <c r="Q199" s="69" t="n"/>
      <c r="R199" s="68" t="n"/>
      <c r="S199" s="69" t="n"/>
      <c r="T199" s="68" t="n"/>
      <c r="U199" s="69" t="n"/>
      <c r="V199" s="68" t="n"/>
      <c r="W199" s="69" t="n"/>
      <c r="X199" s="68" t="n"/>
      <c r="Y199" s="69" t="n"/>
      <c r="Z199" s="68" t="n"/>
      <c r="AA199" s="69" t="n"/>
      <c r="AB199" s="68" t="n"/>
      <c r="AC199" s="69" t="n"/>
      <c r="AD199" s="70">
        <f>IF(AND(COUNTIF($B$5:B199,B199)=1,$B199&lt;&gt;"",$AB199&lt;&gt;""),1,0)</f>
        <v/>
      </c>
      <c r="AE199" s="67" t="inlineStr">
        <is>
          <t>https://www.semana.com/economia/opinion/articulo/septiembre-y-la-gran-pregunta-de-los-presupuestos-cuanto-subira-el-salario-minimo-en-2027/202600/</t>
        </is>
      </c>
      <c r="AF199" s="64" t="n"/>
      <c r="AG199" s="65" t="n"/>
    </row>
    <row r="200" ht="15" customHeight="1" s="31">
      <c r="A200" s="66" t="inlineStr">
        <is>
          <t>ART_046</t>
        </is>
      </c>
      <c r="B200" s="66" t="inlineStr">
        <is>
          <t>ART_046_S06</t>
        </is>
      </c>
      <c r="C200" s="66" t="inlineStr">
        <is>
          <t>Semana</t>
        </is>
      </c>
      <c r="D200" s="66" t="inlineStr">
        <is>
          <t>Economía y negocios</t>
        </is>
      </c>
      <c r="E200" s="66" t="inlineStr">
        <is>
          <t>Opinión-análisis</t>
        </is>
      </c>
      <c r="F200" s="66" t="inlineStr">
        <is>
          <t>2026-09-04T05:00:00-05:00</t>
        </is>
      </c>
      <c r="G200" s="67" t="inlineStr">
        <is>
          <t>Por eso, cada septiembre los empresarios intentan hacer algo que, en realidad, se asemeja más a leer hojas de té que a un ejercicio financiero riguroso: adivinar cuál será la cifra que terminará apareciendo en el decreto de finales de diciembre.</t>
        </is>
      </c>
      <c r="H200" s="67" t="inlineStr">
        <is>
          <t>De ella dependen los costos laborales, las provisiones de prestaciones sociales, los contratos indexados, innumerables tarifas regulatorias y, en general, una porción significativa de la estructura de costos de la economía colombiana.</t>
        </is>
      </c>
      <c r="I200" s="67" t="inlineStr">
        <is>
          <t>Esta vez, además, la incertidumbre viene acompañada de un antecedente particularmente complejo.</t>
        </is>
      </c>
      <c r="J200" s="68" t="n"/>
      <c r="K200" s="69" t="n"/>
      <c r="L200" s="68" t="n"/>
      <c r="M200" s="69" t="n"/>
      <c r="N200" s="68" t="n"/>
      <c r="O200" s="69" t="n"/>
      <c r="P200" s="68" t="n"/>
      <c r="Q200" s="69" t="n"/>
      <c r="R200" s="68" t="n"/>
      <c r="S200" s="69" t="n"/>
      <c r="T200" s="68" t="n"/>
      <c r="U200" s="69" t="n"/>
      <c r="V200" s="68" t="n"/>
      <c r="W200" s="69" t="n"/>
      <c r="X200" s="68" t="n"/>
      <c r="Y200" s="69" t="n"/>
      <c r="Z200" s="68" t="n"/>
      <c r="AA200" s="69" t="n"/>
      <c r="AB200" s="68" t="n"/>
      <c r="AC200" s="69" t="n"/>
      <c r="AD200" s="70">
        <f>IF(AND(COUNTIF($B$5:B200,B200)=1,$B200&lt;&gt;"",$AB200&lt;&gt;""),1,0)</f>
        <v/>
      </c>
      <c r="AE200" s="67" t="inlineStr">
        <is>
          <t>https://www.semana.com/economia/opinion/articulo/septiembre-y-la-gran-pregunta-de-los-presupuestos-cuanto-subira-el-salario-minimo-en-2027/202600/</t>
        </is>
      </c>
      <c r="AF200" s="64" t="n"/>
      <c r="AG200" s="65" t="n"/>
    </row>
    <row r="201" ht="15" customHeight="1" s="31">
      <c r="A201" s="66" t="inlineStr">
        <is>
          <t>ART_046</t>
        </is>
      </c>
      <c r="B201" s="66" t="inlineStr">
        <is>
          <t>ART_046_S07</t>
        </is>
      </c>
      <c r="C201" s="66" t="inlineStr">
        <is>
          <t>Semana</t>
        </is>
      </c>
      <c r="D201" s="66" t="inlineStr">
        <is>
          <t>Economía y negocios</t>
        </is>
      </c>
      <c r="E201" s="66" t="inlineStr">
        <is>
          <t>Opinión-análisis</t>
        </is>
      </c>
      <c r="F201" s="66" t="inlineStr">
        <is>
          <t>2026-09-04T05:00:00-05:00</t>
        </is>
      </c>
      <c r="G201" s="67" t="inlineStr">
        <is>
          <t>Esta vez, además, la incertidumbre viene acompañada de un antecedente particularmente complejo.</t>
        </is>
      </c>
      <c r="H201" s="67" t="inlineStr">
        <is>
          <t>Por eso, cada septiembre los empresarios intentan hacer algo que, en realidad, se asemeja más a leer hojas de té que a un ejercicio financiero riguroso: adivinar cuál será la cifra que terminará apareciendo en el decreto de finales de diciembre.</t>
        </is>
      </c>
      <c r="I201" s="67" t="inlineStr">
        <is>
          <t>El incremento rocambolesco decretado para 2026 por el gobierno Petro dejó efectos económicos que todavía estamos procesando.</t>
        </is>
      </c>
      <c r="J201" s="68" t="n"/>
      <c r="K201" s="69" t="n"/>
      <c r="L201" s="68" t="n"/>
      <c r="M201" s="69" t="n"/>
      <c r="N201" s="68" t="n"/>
      <c r="O201" s="69" t="n"/>
      <c r="P201" s="68" t="n"/>
      <c r="Q201" s="69" t="n"/>
      <c r="R201" s="68" t="n"/>
      <c r="S201" s="69" t="n"/>
      <c r="T201" s="68" t="n"/>
      <c r="U201" s="69" t="n"/>
      <c r="V201" s="68" t="n"/>
      <c r="W201" s="69" t="n"/>
      <c r="X201" s="68" t="n"/>
      <c r="Y201" s="69" t="n"/>
      <c r="Z201" s="68" t="n"/>
      <c r="AA201" s="69" t="n"/>
      <c r="AB201" s="68" t="n"/>
      <c r="AC201" s="69" t="n"/>
      <c r="AD201" s="70">
        <f>IF(AND(COUNTIF($B$5:B201,B201)=1,$B201&lt;&gt;"",$AB201&lt;&gt;""),1,0)</f>
        <v/>
      </c>
      <c r="AE201" s="67" t="inlineStr">
        <is>
          <t>https://www.semana.com/economia/opinion/articulo/septiembre-y-la-gran-pregunta-de-los-presupuestos-cuanto-subira-el-salario-minimo-en-2027/202600/</t>
        </is>
      </c>
      <c r="AF201" s="64" t="n"/>
      <c r="AG201" s="65" t="n"/>
    </row>
    <row r="202" ht="15" customHeight="1" s="31">
      <c r="A202" s="66" t="inlineStr">
        <is>
          <t>ART_046</t>
        </is>
      </c>
      <c r="B202" s="66" t="inlineStr">
        <is>
          <t>ART_046_S08</t>
        </is>
      </c>
      <c r="C202" s="66" t="inlineStr">
        <is>
          <t>Semana</t>
        </is>
      </c>
      <c r="D202" s="66" t="inlineStr">
        <is>
          <t>Economía y negocios</t>
        </is>
      </c>
      <c r="E202" s="66" t="inlineStr">
        <is>
          <t>Opinión-análisis</t>
        </is>
      </c>
      <c r="F202" s="66" t="inlineStr">
        <is>
          <t>2026-09-04T05:00:00-05:00</t>
        </is>
      </c>
      <c r="G202" s="67" t="inlineStr">
        <is>
          <t>El incremento rocambolesco decretado para 2026 por el gobierno Petro dejó efectos económicos que todavía estamos procesando.</t>
        </is>
      </c>
      <c r="H202" s="67" t="inlineStr">
        <is>
          <t>Esta vez, además, la incertidumbre viene acompañada de un antecedente particularmente complejo.</t>
        </is>
      </c>
      <c r="I202" s="67" t="inlineStr">
        <is>
          <t>Más allá del debate político, resulta difícil desconocer que un aumento varias veces superior a la inflación y a la productividad terminó trasladándose a los precios, presionando sensiblemente la inflación y afectando la capacidad de ajuste de numerosas empresas.</t>
        </is>
      </c>
      <c r="J202" s="68" t="n"/>
      <c r="K202" s="69" t="n"/>
      <c r="L202" s="68" t="n"/>
      <c r="M202" s="69" t="n"/>
      <c r="N202" s="68" t="n"/>
      <c r="O202" s="69" t="n"/>
      <c r="P202" s="68" t="n"/>
      <c r="Q202" s="69" t="n"/>
      <c r="R202" s="68" t="n"/>
      <c r="S202" s="69" t="n"/>
      <c r="T202" s="68" t="n"/>
      <c r="U202" s="69" t="n"/>
      <c r="V202" s="68" t="n"/>
      <c r="W202" s="69" t="n"/>
      <c r="X202" s="68" t="n"/>
      <c r="Y202" s="69" t="n"/>
      <c r="Z202" s="68" t="n"/>
      <c r="AA202" s="69" t="n"/>
      <c r="AB202" s="68" t="n"/>
      <c r="AC202" s="69" t="n"/>
      <c r="AD202" s="70">
        <f>IF(AND(COUNTIF($B$5:B202,B202)=1,$B202&lt;&gt;"",$AB202&lt;&gt;""),1,0)</f>
        <v/>
      </c>
      <c r="AE202" s="67" t="inlineStr">
        <is>
          <t>https://www.semana.com/economia/opinion/articulo/septiembre-y-la-gran-pregunta-de-los-presupuestos-cuanto-subira-el-salario-minimo-en-2027/202600/</t>
        </is>
      </c>
      <c r="AF202" s="64" t="n"/>
      <c r="AG202" s="65" t="n"/>
    </row>
    <row r="203" ht="15" customHeight="1" s="31">
      <c r="A203" s="66" t="inlineStr">
        <is>
          <t>ART_046</t>
        </is>
      </c>
      <c r="B203" s="66" t="inlineStr">
        <is>
          <t>ART_046_S09</t>
        </is>
      </c>
      <c r="C203" s="66" t="inlineStr">
        <is>
          <t>Semana</t>
        </is>
      </c>
      <c r="D203" s="66" t="inlineStr">
        <is>
          <t>Economía y negocios</t>
        </is>
      </c>
      <c r="E203" s="66" t="inlineStr">
        <is>
          <t>Opinión-análisis</t>
        </is>
      </c>
      <c r="F203" s="66" t="inlineStr">
        <is>
          <t>2026-09-04T05:00:00-05:00</t>
        </is>
      </c>
      <c r="G203" s="67" t="inlineStr">
        <is>
          <t>Más allá del debate político, resulta difícil desconocer que un aumento varias veces superior a la inflación y a la productividad terminó trasladándose a los precios, presionando sensiblemente la inflación y afectando la capacidad de ajuste de numerosas empresas.</t>
        </is>
      </c>
      <c r="H203" s="67" t="inlineStr">
        <is>
          <t>El incremento rocambolesco decretado para 2026 por el gobierno Petro dejó efectos económicos que todavía estamos procesando.</t>
        </is>
      </c>
      <c r="I203" s="67" t="inlineStr">
        <is>
          <t>Los economistas vienen advirtiendo justamente eso.</t>
        </is>
      </c>
      <c r="J203" s="68" t="n"/>
      <c r="K203" s="69" t="n"/>
      <c r="L203" s="68" t="n"/>
      <c r="M203" s="69" t="n"/>
      <c r="N203" s="68" t="n"/>
      <c r="O203" s="69" t="n"/>
      <c r="P203" s="68" t="n"/>
      <c r="Q203" s="69" t="n"/>
      <c r="R203" s="68" t="n"/>
      <c r="S203" s="69" t="n"/>
      <c r="T203" s="68" t="n"/>
      <c r="U203" s="69" t="n"/>
      <c r="V203" s="68" t="n"/>
      <c r="W203" s="69" t="n"/>
      <c r="X203" s="68" t="n"/>
      <c r="Y203" s="69" t="n"/>
      <c r="Z203" s="68" t="n"/>
      <c r="AA203" s="69" t="n"/>
      <c r="AB203" s="68" t="n"/>
      <c r="AC203" s="69" t="n"/>
      <c r="AD203" s="70">
        <f>IF(AND(COUNTIF($B$5:B203,B203)=1,$B203&lt;&gt;"",$AB203&lt;&gt;""),1,0)</f>
        <v/>
      </c>
      <c r="AE203" s="67" t="inlineStr">
        <is>
          <t>https://www.semana.com/economia/opinion/articulo/septiembre-y-la-gran-pregunta-de-los-presupuestos-cuanto-subira-el-salario-minimo-en-2027/202600/</t>
        </is>
      </c>
      <c r="AF203" s="64" t="n"/>
      <c r="AG203" s="65" t="n"/>
    </row>
    <row r="204" ht="15" customHeight="1" s="31">
      <c r="A204" s="66" t="inlineStr">
        <is>
          <t>ART_046</t>
        </is>
      </c>
      <c r="B204" s="66" t="inlineStr">
        <is>
          <t>ART_046_S10</t>
        </is>
      </c>
      <c r="C204" s="66" t="inlineStr">
        <is>
          <t>Semana</t>
        </is>
      </c>
      <c r="D204" s="66" t="inlineStr">
        <is>
          <t>Economía y negocios</t>
        </is>
      </c>
      <c r="E204" s="66" t="inlineStr">
        <is>
          <t>Opinión-análisis</t>
        </is>
      </c>
      <c r="F204" s="66" t="inlineStr">
        <is>
          <t>2026-09-04T05:00:00-05:00</t>
        </is>
      </c>
      <c r="G204" s="67" t="inlineStr">
        <is>
          <t>Los economistas vienen advirtiendo justamente eso.</t>
        </is>
      </c>
      <c r="H204" s="67" t="inlineStr">
        <is>
          <t>Más allá del debate político, resulta difícil desconocer que un aumento varias veces superior a la inflación y a la productividad terminó trasladándose a los precios, presionando sensiblemente la inflación y afectando la capacidad de ajuste de numerosas empresas.</t>
        </is>
      </c>
      <c r="I204" s="67" t="inlineStr"/>
      <c r="J204" s="68" t="n"/>
      <c r="K204" s="69" t="n"/>
      <c r="L204" s="68" t="n"/>
      <c r="M204" s="69" t="n"/>
      <c r="N204" s="68" t="n"/>
      <c r="O204" s="69" t="n"/>
      <c r="P204" s="68" t="n"/>
      <c r="Q204" s="69" t="n"/>
      <c r="R204" s="68" t="n"/>
      <c r="S204" s="69" t="n"/>
      <c r="T204" s="68" t="n"/>
      <c r="U204" s="69" t="n"/>
      <c r="V204" s="68" t="n"/>
      <c r="W204" s="69" t="n"/>
      <c r="X204" s="68" t="n"/>
      <c r="Y204" s="69" t="n"/>
      <c r="Z204" s="68" t="n"/>
      <c r="AA204" s="69" t="n"/>
      <c r="AB204" s="68" t="n"/>
      <c r="AC204" s="69" t="n"/>
      <c r="AD204" s="70">
        <f>IF(AND(COUNTIF($B$5:B204,B204)=1,$B204&lt;&gt;"",$AB204&lt;&gt;""),1,0)</f>
        <v/>
      </c>
      <c r="AE204" s="67" t="inlineStr">
        <is>
          <t>https://www.semana.com/economia/opinion/articulo/septiembre-y-la-gran-pregunta-de-los-presupuestos-cuanto-subira-el-salario-minimo-en-2027/202600/</t>
        </is>
      </c>
      <c r="AF204" s="64" t="n"/>
      <c r="AG204" s="65" t="n"/>
    </row>
    <row r="205" ht="15" customHeight="1" s="31">
      <c r="A205" s="66" t="inlineStr">
        <is>
          <t>ART_047</t>
        </is>
      </c>
      <c r="B205" s="66" t="inlineStr">
        <is>
          <t>ART_047_S01</t>
        </is>
      </c>
      <c r="C205" s="66" t="inlineStr">
        <is>
          <t>Infobae Colombia</t>
        </is>
      </c>
      <c r="D205" s="66" t="inlineStr">
        <is>
          <t>Salud</t>
        </is>
      </c>
      <c r="E205" s="66" t="inlineStr">
        <is>
          <t>Noticia dura</t>
        </is>
      </c>
      <c r="F205" s="66" t="inlineStr">
        <is>
          <t>2026-09-05T02:30:10Z</t>
        </is>
      </c>
      <c r="G205" s="67" t="inlineStr">
        <is>
          <t>Uno de los problemas que el gobierno de Abelardo de la Espriella heredó de la administración de Gustavo Petro fue la crisis de la salud, debido a la billonaria deuda de las EPS, la deficiente atención a los usuarios y las denuncias por la falta de medicamentos, en especial para pacientes con enfermedades graves.</t>
        </is>
      </c>
      <c r="H205" s="67" t="inlineStr"/>
      <c r="I205" s="67" t="inlineStr">
        <is>
          <t>Debido a eso, el presidente De la Espriella dejó claro que liquidará las entidades que no funcionen en el país, pues su objetivo es que se mejore cuanto antes la atención en salud, que es uno de sus frentes en los primeros meses de su gestión.</t>
        </is>
      </c>
      <c r="J205" s="68" t="n"/>
      <c r="K205" s="69" t="n"/>
      <c r="L205" s="68" t="n"/>
      <c r="M205" s="69" t="n"/>
      <c r="N205" s="68" t="n"/>
      <c r="O205" s="69" t="n"/>
      <c r="P205" s="68" t="n"/>
      <c r="Q205" s="69" t="n"/>
      <c r="R205" s="68" t="n"/>
      <c r="S205" s="69" t="n"/>
      <c r="T205" s="68" t="n"/>
      <c r="U205" s="69" t="n"/>
      <c r="V205" s="68" t="n"/>
      <c r="W205" s="69" t="n"/>
      <c r="X205" s="68" t="n"/>
      <c r="Y205" s="69" t="n"/>
      <c r="Z205" s="68" t="n"/>
      <c r="AA205" s="69" t="n"/>
      <c r="AB205" s="68" t="n"/>
      <c r="AC205" s="69" t="n"/>
      <c r="AD205" s="70">
        <f>IF(AND(COUNTIF($B$5:B205,B205)=1,$B205&lt;&gt;"",$AB205&lt;&gt;""),1,0)</f>
        <v/>
      </c>
      <c r="AE205" s="67" t="inlineStr">
        <is>
          <t>https://www.infobae.com/colombia/2026/09/05/abelardo-de-la-espriella-anuncio-que-liquidara-las-eps-que-no-sean-viables-para-corregir-el-desastre-que-dejo-el-regimen/</t>
        </is>
      </c>
      <c r="AF205" s="64" t="n"/>
      <c r="AG205" s="65" t="n"/>
    </row>
    <row r="206" ht="15" customHeight="1" s="31">
      <c r="A206" s="66" t="inlineStr">
        <is>
          <t>ART_047</t>
        </is>
      </c>
      <c r="B206" s="66" t="inlineStr">
        <is>
          <t>ART_047_S02</t>
        </is>
      </c>
      <c r="C206" s="66" t="inlineStr">
        <is>
          <t>Infobae Colombia</t>
        </is>
      </c>
      <c r="D206" s="66" t="inlineStr">
        <is>
          <t>Salud</t>
        </is>
      </c>
      <c r="E206" s="66" t="inlineStr">
        <is>
          <t>Noticia dura</t>
        </is>
      </c>
      <c r="F206" s="66" t="inlineStr">
        <is>
          <t>2026-09-05T02:30:10Z</t>
        </is>
      </c>
      <c r="G206" s="67" t="inlineStr">
        <is>
          <t>Debido a eso, el presidente De la Espriella dejó claro que liquidará las entidades que no funcionen en el país, pues su objetivo es que se mejore cuanto antes la atención en salud, que es uno de sus frentes en los primeros meses de su gestión.</t>
        </is>
      </c>
      <c r="H206" s="67" t="inlineStr">
        <is>
          <t>Uno de los problemas que el gobierno de Abelardo de la Espriella heredó de la administración de Gustavo Petro fue la crisis de la salud, debido a la billonaria deuda de las EPS, la deficiente atención a los usuarios y las denuncias por la falta de medicamentos, en especial para pacientes con enfermedades graves.</t>
        </is>
      </c>
      <c r="I206" s="67" t="inlineStr">
        <is>
          <t>Por otro lado, la Contraloría General de la Nación presentó un informe sobre la deuda de las EPS en el país, el cual deja un alarmante panorama para los próximos años y sin un camino claro para cumplir con sus obligaciones, en especial con la Nueva EPS, una de las más cuestionadas.</t>
        </is>
      </c>
      <c r="J206" s="68" t="n"/>
      <c r="K206" s="69" t="n"/>
      <c r="L206" s="68" t="n"/>
      <c r="M206" s="69" t="n"/>
      <c r="N206" s="68" t="n"/>
      <c r="O206" s="69" t="n"/>
      <c r="P206" s="68" t="n"/>
      <c r="Q206" s="69" t="n"/>
      <c r="R206" s="68" t="n"/>
      <c r="S206" s="69" t="n"/>
      <c r="T206" s="68" t="n"/>
      <c r="U206" s="69" t="n"/>
      <c r="V206" s="68" t="n"/>
      <c r="W206" s="69" t="n"/>
      <c r="X206" s="68" t="n"/>
      <c r="Y206" s="69" t="n"/>
      <c r="Z206" s="68" t="n"/>
      <c r="AA206" s="69" t="n"/>
      <c r="AB206" s="68" t="n"/>
      <c r="AC206" s="69" t="n"/>
      <c r="AD206" s="70">
        <f>IF(AND(COUNTIF($B$5:B206,B206)=1,$B206&lt;&gt;"",$AB206&lt;&gt;""),1,0)</f>
        <v/>
      </c>
      <c r="AE206" s="67" t="inlineStr">
        <is>
          <t>https://www.infobae.com/colombia/2026/09/05/abelardo-de-la-espriella-anuncio-que-liquidara-las-eps-que-no-sean-viables-para-corregir-el-desastre-que-dejo-el-regimen/</t>
        </is>
      </c>
      <c r="AF206" s="64" t="n"/>
      <c r="AG206" s="65" t="n"/>
    </row>
    <row r="207" ht="15" customHeight="1" s="31">
      <c r="A207" s="66" t="inlineStr">
        <is>
          <t>ART_047</t>
        </is>
      </c>
      <c r="B207" s="66" t="inlineStr">
        <is>
          <t>ART_047_S03</t>
        </is>
      </c>
      <c r="C207" s="66" t="inlineStr">
        <is>
          <t>Infobae Colombia</t>
        </is>
      </c>
      <c r="D207" s="66" t="inlineStr">
        <is>
          <t>Salud</t>
        </is>
      </c>
      <c r="E207" s="66" t="inlineStr">
        <is>
          <t>Noticia dura</t>
        </is>
      </c>
      <c r="F207" s="66" t="inlineStr">
        <is>
          <t>2026-09-05T02:30:10Z</t>
        </is>
      </c>
      <c r="G207" s="67" t="inlineStr">
        <is>
          <t>Por otro lado, la Contraloría General de la Nación presentó un informe sobre la deuda de las EPS en el país, el cual deja un alarmante panorama para los próximos años y sin un camino claro para cumplir con sus obligaciones, en especial con la Nueva EPS, una de las más cuestionadas.</t>
        </is>
      </c>
      <c r="H207" s="67" t="inlineStr">
        <is>
          <t>Debido a eso, el presidente De la Espriella dejó claro que liquidará las entidades que no funcionen en el país, pues su objetivo es que se mejore cuanto antes la atención en salud, que es uno de sus frentes en los primeros meses de su gestión.</t>
        </is>
      </c>
      <c r="I207" s="67" t="inlineStr">
        <is>
          <t>El presidente De la Espriella dijo este viernes 4 de septiembre de 2026 que su gobierno tomará medidas rápidas con las EPS intervenidas: las que sean viables podrán recuperarse y las que no cumplan esa condición serán liquidadas de manera ordenada, con el foco puesto en los afiliados.</t>
        </is>
      </c>
      <c r="J207" s="68" t="n"/>
      <c r="K207" s="69" t="n"/>
      <c r="L207" s="68" t="n"/>
      <c r="M207" s="69" t="n"/>
      <c r="N207" s="68" t="n"/>
      <c r="O207" s="69" t="n"/>
      <c r="P207" s="68" t="n"/>
      <c r="Q207" s="69" t="n"/>
      <c r="R207" s="68" t="n"/>
      <c r="S207" s="69" t="n"/>
      <c r="T207" s="68" t="n"/>
      <c r="U207" s="69" t="n"/>
      <c r="V207" s="68" t="n"/>
      <c r="W207" s="69" t="n"/>
      <c r="X207" s="68" t="n"/>
      <c r="Y207" s="69" t="n"/>
      <c r="Z207" s="68" t="n"/>
      <c r="AA207" s="69" t="n"/>
      <c r="AB207" s="68" t="n"/>
      <c r="AC207" s="69" t="n"/>
      <c r="AD207" s="70">
        <f>IF(AND(COUNTIF($B$5:B207,B207)=1,$B207&lt;&gt;"",$AB207&lt;&gt;""),1,0)</f>
        <v/>
      </c>
      <c r="AE207" s="67" t="inlineStr">
        <is>
          <t>https://www.infobae.com/colombia/2026/09/05/abelardo-de-la-espriella-anuncio-que-liquidara-las-eps-que-no-sean-viables-para-corregir-el-desastre-que-dejo-el-regimen/</t>
        </is>
      </c>
      <c r="AF207" s="64" t="n"/>
      <c r="AG207" s="65" t="n"/>
    </row>
    <row r="208" ht="15" customHeight="1" s="31">
      <c r="A208" s="66" t="inlineStr">
        <is>
          <t>ART_047</t>
        </is>
      </c>
      <c r="B208" s="66" t="inlineStr">
        <is>
          <t>ART_047_S04</t>
        </is>
      </c>
      <c r="C208" s="66" t="inlineStr">
        <is>
          <t>Infobae Colombia</t>
        </is>
      </c>
      <c r="D208" s="66" t="inlineStr">
        <is>
          <t>Salud</t>
        </is>
      </c>
      <c r="E208" s="66" t="inlineStr">
        <is>
          <t>Noticia dura</t>
        </is>
      </c>
      <c r="F208" s="66" t="inlineStr">
        <is>
          <t>2026-09-05T02:30:10Z</t>
        </is>
      </c>
      <c r="G208" s="67" t="inlineStr">
        <is>
          <t>El presidente De la Espriella dijo este viernes 4 de septiembre de 2026 que su gobierno tomará medidas rápidas con las EPS intervenidas: las que sean viables podrán recuperarse y las que no cumplan esa condición serán liquidadas de manera ordenada, con el foco puesto en los afiliados.</t>
        </is>
      </c>
      <c r="H208" s="67" t="inlineStr">
        <is>
          <t>Por otro lado, la Contraloría General de la Nación presentó un informe sobre la deuda de las EPS en el país, el cual deja un alarmante panorama para los próximos años y sin un camino claro para cumplir con sus obligaciones, en especial con la Nueva EPS, una de las más cuestionadas.</t>
        </is>
      </c>
      <c r="I208" s="67" t="inlineStr">
        <is>
          <t>El anuncio lo hizo en la Cumbre de Gobernadores “El milagro de las regiones” en Mompox, Bolívar, donde afirmó que la prioridad en salud es “recuperar la atención de los pacientes” y atender el rezago del sistema, que describió con “cientos de miles” de personas a la espera de procedimientos, tratamientos y medicamentos.</t>
        </is>
      </c>
      <c r="J208" s="68" t="n"/>
      <c r="K208" s="69" t="n"/>
      <c r="L208" s="68" t="n"/>
      <c r="M208" s="69" t="n"/>
      <c r="N208" s="68" t="n"/>
      <c r="O208" s="69" t="n"/>
      <c r="P208" s="68" t="n"/>
      <c r="Q208" s="69" t="n"/>
      <c r="R208" s="68" t="n"/>
      <c r="S208" s="69" t="n"/>
      <c r="T208" s="68" t="n"/>
      <c r="U208" s="69" t="n"/>
      <c r="V208" s="68" t="n"/>
      <c r="W208" s="69" t="n"/>
      <c r="X208" s="68" t="n"/>
      <c r="Y208" s="69" t="n"/>
      <c r="Z208" s="68" t="n"/>
      <c r="AA208" s="69" t="n"/>
      <c r="AB208" s="68" t="n"/>
      <c r="AC208" s="69" t="n"/>
      <c r="AD208" s="70">
        <f>IF(AND(COUNTIF($B$5:B208,B208)=1,$B208&lt;&gt;"",$AB208&lt;&gt;""),1,0)</f>
        <v/>
      </c>
      <c r="AE208" s="67" t="inlineStr">
        <is>
          <t>https://www.infobae.com/colombia/2026/09/05/abelardo-de-la-espriella-anuncio-que-liquidara-las-eps-que-no-sean-viables-para-corregir-el-desastre-que-dejo-el-regimen/</t>
        </is>
      </c>
      <c r="AF208" s="64" t="n"/>
      <c r="AG208" s="65" t="n"/>
    </row>
    <row r="209" ht="15" customHeight="1" s="31">
      <c r="A209" s="66" t="inlineStr">
        <is>
          <t>ART_047</t>
        </is>
      </c>
      <c r="B209" s="66" t="inlineStr">
        <is>
          <t>ART_047_S05</t>
        </is>
      </c>
      <c r="C209" s="66" t="inlineStr">
        <is>
          <t>Infobae Colombia</t>
        </is>
      </c>
      <c r="D209" s="66" t="inlineStr">
        <is>
          <t>Salud</t>
        </is>
      </c>
      <c r="E209" s="66" t="inlineStr">
        <is>
          <t>Noticia dura</t>
        </is>
      </c>
      <c r="F209" s="66" t="inlineStr">
        <is>
          <t>2026-09-05T02:30:10Z</t>
        </is>
      </c>
      <c r="G209" s="67" t="inlineStr">
        <is>
          <t>El anuncio lo hizo en la Cumbre de Gobernadores “El milagro de las regiones” en Mompox, Bolívar, donde afirmó que la prioridad en salud es “recuperar la atención de los pacientes” y atender el rezago del sistema, que describió con “cientos de miles” de personas a la espera de procedimientos, tratamientos y medicamentos.</t>
        </is>
      </c>
      <c r="H209" s="67" t="inlineStr">
        <is>
          <t>El presidente De la Espriella dijo este viernes 4 de septiembre de 2026 que su gobierno tomará medidas rápidas con las EPS intervenidas: las que sean viables podrán recuperarse y las que no cumplan esa condición serán liquidadas de manera ordenada, con el foco puesto en los afiliados.</t>
        </is>
      </c>
      <c r="I209" s="67" t="inlineStr">
        <is>
          <t>De la Espriella aseguró que ese rezago se enfrentará a partir de “los casos de mayor urgencia y riesgo” y con orden financiero.</t>
        </is>
      </c>
      <c r="J209" s="68" t="n"/>
      <c r="K209" s="69" t="n"/>
      <c r="L209" s="68" t="n"/>
      <c r="M209" s="69" t="n"/>
      <c r="N209" s="68" t="n"/>
      <c r="O209" s="69" t="n"/>
      <c r="P209" s="68" t="n"/>
      <c r="Q209" s="69" t="n"/>
      <c r="R209" s="68" t="n"/>
      <c r="S209" s="69" t="n"/>
      <c r="T209" s="68" t="n"/>
      <c r="U209" s="69" t="n"/>
      <c r="V209" s="68" t="n"/>
      <c r="W209" s="69" t="n"/>
      <c r="X209" s="68" t="n"/>
      <c r="Y209" s="69" t="n"/>
      <c r="Z209" s="68" t="n"/>
      <c r="AA209" s="69" t="n"/>
      <c r="AB209" s="68" t="n"/>
      <c r="AC209" s="69" t="n"/>
      <c r="AD209" s="70">
        <f>IF(AND(COUNTIF($B$5:B209,B209)=1,$B209&lt;&gt;"",$AB209&lt;&gt;""),1,0)</f>
        <v/>
      </c>
      <c r="AE209" s="67" t="inlineStr">
        <is>
          <t>https://www.infobae.com/colombia/2026/09/05/abelardo-de-la-espriella-anuncio-que-liquidara-las-eps-que-no-sean-viables-para-corregir-el-desastre-que-dejo-el-regimen/</t>
        </is>
      </c>
      <c r="AF209" s="64" t="n"/>
      <c r="AG209" s="65" t="n"/>
    </row>
    <row r="210" ht="15" customHeight="1" s="31">
      <c r="A210" s="66" t="inlineStr">
        <is>
          <t>ART_047</t>
        </is>
      </c>
      <c r="B210" s="66" t="inlineStr">
        <is>
          <t>ART_047_S06</t>
        </is>
      </c>
      <c r="C210" s="66" t="inlineStr">
        <is>
          <t>Infobae Colombia</t>
        </is>
      </c>
      <c r="D210" s="66" t="inlineStr">
        <is>
          <t>Salud</t>
        </is>
      </c>
      <c r="E210" s="66" t="inlineStr">
        <is>
          <t>Noticia dura</t>
        </is>
      </c>
      <c r="F210" s="66" t="inlineStr">
        <is>
          <t>2026-09-05T02:30:10Z</t>
        </is>
      </c>
      <c r="G210" s="67" t="inlineStr">
        <is>
          <t>De la Espriella aseguró que ese rezago se enfrentará a partir de “los casos de mayor urgencia y riesgo” y con orden financiero.</t>
        </is>
      </c>
      <c r="H210" s="67" t="inlineStr">
        <is>
          <t>El anuncio lo hizo en la Cumbre de Gobernadores “El milagro de las regiones” en Mompox, Bolívar, donde afirmó que la prioridad en salud es “recuperar la atención de los pacientes” y atender el rezago del sistema, que describió con “cientos de miles” de personas a la espera de procedimientos, tratamientos y medicamentos.</t>
        </is>
      </c>
      <c r="I210" s="67" t="inlineStr">
        <is>
          <t>“El país necesita conocer con exactitud cuánto se debe, quién le debe a quién y cuál será el mecanismo para sanear esas obligaciones”, sostuvo.</t>
        </is>
      </c>
      <c r="J210" s="68" t="n"/>
      <c r="K210" s="69" t="n"/>
      <c r="L210" s="68" t="n"/>
      <c r="M210" s="69" t="n"/>
      <c r="N210" s="68" t="n"/>
      <c r="O210" s="69" t="n"/>
      <c r="P210" s="68" t="n"/>
      <c r="Q210" s="69" t="n"/>
      <c r="R210" s="68" t="n"/>
      <c r="S210" s="69" t="n"/>
      <c r="T210" s="68" t="n"/>
      <c r="U210" s="69" t="n"/>
      <c r="V210" s="68" t="n"/>
      <c r="W210" s="69" t="n"/>
      <c r="X210" s="68" t="n"/>
      <c r="Y210" s="69" t="n"/>
      <c r="Z210" s="68" t="n"/>
      <c r="AA210" s="69" t="n"/>
      <c r="AB210" s="68" t="n"/>
      <c r="AC210" s="69" t="n"/>
      <c r="AD210" s="70">
        <f>IF(AND(COUNTIF($B$5:B210,B210)=1,$B210&lt;&gt;"",$AB210&lt;&gt;""),1,0)</f>
        <v/>
      </c>
      <c r="AE210" s="67" t="inlineStr">
        <is>
          <t>https://www.infobae.com/colombia/2026/09/05/abelardo-de-la-espriella-anuncio-que-liquidara-las-eps-que-no-sean-viables-para-corregir-el-desastre-que-dejo-el-regimen/</t>
        </is>
      </c>
      <c r="AF210" s="64" t="n"/>
      <c r="AG210" s="65" t="n"/>
    </row>
    <row r="211" ht="15" customHeight="1" s="31">
      <c r="A211" s="66" t="inlineStr">
        <is>
          <t>ART_047</t>
        </is>
      </c>
      <c r="B211" s="66" t="inlineStr">
        <is>
          <t>ART_047_S07</t>
        </is>
      </c>
      <c r="C211" s="66" t="inlineStr">
        <is>
          <t>Infobae Colombia</t>
        </is>
      </c>
      <c r="D211" s="66" t="inlineStr">
        <is>
          <t>Salud</t>
        </is>
      </c>
      <c r="E211" s="66" t="inlineStr">
        <is>
          <t>Noticia dura</t>
        </is>
      </c>
      <c r="F211" s="66" t="inlineStr">
        <is>
          <t>2026-09-05T02:30:10Z</t>
        </is>
      </c>
      <c r="G211" s="67" t="inlineStr">
        <is>
          <t>“El país necesita conocer con exactitud cuánto se debe, quién le debe a quién y cuál será el mecanismo para sanear esas obligaciones”, sostuvo.</t>
        </is>
      </c>
      <c r="H211" s="67" t="inlineStr">
        <is>
          <t>De la Espriella aseguró que ese rezago se enfrentará a partir de “los casos de mayor urgencia y riesgo” y con orden financiero.</t>
        </is>
      </c>
      <c r="I211" s="67" t="inlineStr">
        <is>
          <t>El mandatario agregó que la ministra de Salud, Ana María Vesga, está concentrada en la situación del sector, y afirmó: “En 30 días se han visto soluciones y vamos a seguir llevándole soluciones a nuestra gente en todos los rincones del país”.</t>
        </is>
      </c>
      <c r="J211" s="68" t="n"/>
      <c r="K211" s="69" t="n"/>
      <c r="L211" s="68" t="n"/>
      <c r="M211" s="69" t="n"/>
      <c r="N211" s="68" t="n"/>
      <c r="O211" s="69" t="n"/>
      <c r="P211" s="68" t="n"/>
      <c r="Q211" s="69" t="n"/>
      <c r="R211" s="68" t="n"/>
      <c r="S211" s="69" t="n"/>
      <c r="T211" s="68" t="n"/>
      <c r="U211" s="69" t="n"/>
      <c r="V211" s="68" t="n"/>
      <c r="W211" s="69" t="n"/>
      <c r="X211" s="68" t="n"/>
      <c r="Y211" s="69" t="n"/>
      <c r="Z211" s="68" t="n"/>
      <c r="AA211" s="69" t="n"/>
      <c r="AB211" s="68" t="n"/>
      <c r="AC211" s="69" t="n"/>
      <c r="AD211" s="70">
        <f>IF(AND(COUNTIF($B$5:B211,B211)=1,$B211&lt;&gt;"",$AB211&lt;&gt;""),1,0)</f>
        <v/>
      </c>
      <c r="AE211" s="67" t="inlineStr">
        <is>
          <t>https://www.infobae.com/colombia/2026/09/05/abelardo-de-la-espriella-anuncio-que-liquidara-las-eps-que-no-sean-viables-para-corregir-el-desastre-que-dejo-el-regimen/</t>
        </is>
      </c>
      <c r="AF211" s="64" t="n"/>
      <c r="AG211" s="65" t="n"/>
    </row>
    <row r="212" ht="15" customHeight="1" s="31">
      <c r="A212" s="66" t="inlineStr">
        <is>
          <t>ART_047</t>
        </is>
      </c>
      <c r="B212" s="66" t="inlineStr">
        <is>
          <t>ART_047_S08</t>
        </is>
      </c>
      <c r="C212" s="66" t="inlineStr">
        <is>
          <t>Infobae Colombia</t>
        </is>
      </c>
      <c r="D212" s="66" t="inlineStr">
        <is>
          <t>Salud</t>
        </is>
      </c>
      <c r="E212" s="66" t="inlineStr">
        <is>
          <t>Noticia dura</t>
        </is>
      </c>
      <c r="F212" s="66" t="inlineStr">
        <is>
          <t>2026-09-05T02:30:10Z</t>
        </is>
      </c>
      <c r="G212" s="67" t="inlineStr">
        <is>
          <t>El mandatario agregó que la ministra de Salud, Ana María Vesga, está concentrada en la situación del sector, y afirmó: “En 30 días se han visto soluciones y vamos a seguir llevándole soluciones a nuestra gente en todos los rincones del país”.</t>
        </is>
      </c>
      <c r="H212" s="67" t="inlineStr">
        <is>
          <t>“El país necesita conocer con exactitud cuánto se debe, quién le debe a quién y cuál será el mecanismo para sanear esas obligaciones”, sostuvo.</t>
        </is>
      </c>
      <c r="I212" s="67" t="inlineStr">
        <is>
          <t>El jefe de Estado señaló que la financiación de la salud se calculará con “criterios técnicos” y contemplará diferencias territoriales, al sostener que el costo de prestar servicios en una gran ciudad no es el mismo que en una zona apartada.</t>
        </is>
      </c>
      <c r="J212" s="68" t="n"/>
      <c r="K212" s="69" t="n"/>
      <c r="L212" s="68" t="n"/>
      <c r="M212" s="69" t="n"/>
      <c r="N212" s="68" t="n"/>
      <c r="O212" s="69" t="n"/>
      <c r="P212" s="68" t="n"/>
      <c r="Q212" s="69" t="n"/>
      <c r="R212" s="68" t="n"/>
      <c r="S212" s="69" t="n"/>
      <c r="T212" s="68" t="n"/>
      <c r="U212" s="69" t="n"/>
      <c r="V212" s="68" t="n"/>
      <c r="W212" s="69" t="n"/>
      <c r="X212" s="68" t="n"/>
      <c r="Y212" s="69" t="n"/>
      <c r="Z212" s="68" t="n"/>
      <c r="AA212" s="69" t="n"/>
      <c r="AB212" s="68" t="n"/>
      <c r="AC212" s="69" t="n"/>
      <c r="AD212" s="70">
        <f>IF(AND(COUNTIF($B$5:B212,B212)=1,$B212&lt;&gt;"",$AB212&lt;&gt;""),1,0)</f>
        <v/>
      </c>
      <c r="AE212" s="67" t="inlineStr">
        <is>
          <t>https://www.infobae.com/colombia/2026/09/05/abelardo-de-la-espriella-anuncio-que-liquidara-las-eps-que-no-sean-viables-para-corregir-el-desastre-que-dejo-el-regimen/</t>
        </is>
      </c>
      <c r="AF212" s="64" t="n"/>
      <c r="AG212" s="65" t="n"/>
    </row>
    <row r="213" ht="15" customHeight="1" s="31">
      <c r="A213" s="66" t="inlineStr">
        <is>
          <t>ART_047</t>
        </is>
      </c>
      <c r="B213" s="66" t="inlineStr">
        <is>
          <t>ART_047_S09</t>
        </is>
      </c>
      <c r="C213" s="66" t="inlineStr">
        <is>
          <t>Infobae Colombia</t>
        </is>
      </c>
      <c r="D213" s="66" t="inlineStr">
        <is>
          <t>Salud</t>
        </is>
      </c>
      <c r="E213" s="66" t="inlineStr">
        <is>
          <t>Noticia dura</t>
        </is>
      </c>
      <c r="F213" s="66" t="inlineStr">
        <is>
          <t>2026-09-05T02:30:10Z</t>
        </is>
      </c>
      <c r="G213" s="67" t="inlineStr">
        <is>
          <t>El jefe de Estado señaló que la financiación de la salud se calculará con “criterios técnicos” y contemplará diferencias territoriales, al sostener que el costo de prestar servicios en una gran ciudad no es el mismo que en una zona apartada.</t>
        </is>
      </c>
      <c r="H213" s="67" t="inlineStr">
        <is>
          <t>El mandatario agregó que la ministra de Salud, Ana María Vesga, está concentrada en la situación del sector, y afirmó: “En 30 días se han visto soluciones y vamos a seguir llevándole soluciones a nuestra gente en todos los rincones del país”.</t>
        </is>
      </c>
      <c r="I213" s="67" t="inlineStr">
        <is>
          <t>Además, anunció que su política buscará fortalecer la prevención y la atención primaria, con “mejores controles” sobre los recursos, condiciones dignas para el personal sanitario y “una lucha frontal contra la corrupción”.</t>
        </is>
      </c>
      <c r="J213" s="68" t="n"/>
      <c r="K213" s="69" t="n"/>
      <c r="L213" s="68" t="n"/>
      <c r="M213" s="69" t="n"/>
      <c r="N213" s="68" t="n"/>
      <c r="O213" s="69" t="n"/>
      <c r="P213" s="68" t="n"/>
      <c r="Q213" s="69" t="n"/>
      <c r="R213" s="68" t="n"/>
      <c r="S213" s="69" t="n"/>
      <c r="T213" s="68" t="n"/>
      <c r="U213" s="69" t="n"/>
      <c r="V213" s="68" t="n"/>
      <c r="W213" s="69" t="n"/>
      <c r="X213" s="68" t="n"/>
      <c r="Y213" s="69" t="n"/>
      <c r="Z213" s="68" t="n"/>
      <c r="AA213" s="69" t="n"/>
      <c r="AB213" s="68" t="n"/>
      <c r="AC213" s="69" t="n"/>
      <c r="AD213" s="70">
        <f>IF(AND(COUNTIF($B$5:B213,B213)=1,$B213&lt;&gt;"",$AB213&lt;&gt;""),1,0)</f>
        <v/>
      </c>
      <c r="AE213" s="67" t="inlineStr">
        <is>
          <t>https://www.infobae.com/colombia/2026/09/05/abelardo-de-la-espriella-anuncio-que-liquidara-las-eps-que-no-sean-viables-para-corregir-el-desastre-que-dejo-el-regimen/</t>
        </is>
      </c>
      <c r="AF213" s="64" t="n"/>
      <c r="AG213" s="65" t="n"/>
    </row>
    <row r="214" ht="15" customHeight="1" s="31">
      <c r="A214" s="66" t="inlineStr">
        <is>
          <t>ART_047</t>
        </is>
      </c>
      <c r="B214" s="66" t="inlineStr">
        <is>
          <t>ART_047_S10</t>
        </is>
      </c>
      <c r="C214" s="66" t="inlineStr">
        <is>
          <t>Infobae Colombia</t>
        </is>
      </c>
      <c r="D214" s="66" t="inlineStr">
        <is>
          <t>Salud</t>
        </is>
      </c>
      <c r="E214" s="66" t="inlineStr">
        <is>
          <t>Noticia dura</t>
        </is>
      </c>
      <c r="F214" s="66" t="inlineStr">
        <is>
          <t>2026-09-05T02:30:10Z</t>
        </is>
      </c>
      <c r="G214" s="67" t="inlineStr">
        <is>
          <t>Además, anunció que su política buscará fortalecer la prevención y la atención primaria, con “mejores controles” sobre los recursos, condiciones dignas para el personal sanitario y “una lucha frontal contra la corrupción”.</t>
        </is>
      </c>
      <c r="H214" s="67" t="inlineStr">
        <is>
          <t>El jefe de Estado señaló que la financiación de la salud se calculará con “criterios técnicos” y contemplará diferencias territoriales, al sostener que el costo de prestar servicios en una gran ciudad no es el mismo que en una zona apartada.</t>
        </is>
      </c>
      <c r="I214" s="67" t="inlineStr"/>
      <c r="J214" s="68" t="n"/>
      <c r="K214" s="69" t="n"/>
      <c r="L214" s="68" t="n"/>
      <c r="M214" s="69" t="n"/>
      <c r="N214" s="68" t="n"/>
      <c r="O214" s="69" t="n"/>
      <c r="P214" s="68" t="n"/>
      <c r="Q214" s="69" t="n"/>
      <c r="R214" s="68" t="n"/>
      <c r="S214" s="69" t="n"/>
      <c r="T214" s="68" t="n"/>
      <c r="U214" s="69" t="n"/>
      <c r="V214" s="68" t="n"/>
      <c r="W214" s="69" t="n"/>
      <c r="X214" s="68" t="n"/>
      <c r="Y214" s="69" t="n"/>
      <c r="Z214" s="68" t="n"/>
      <c r="AA214" s="69" t="n"/>
      <c r="AB214" s="68" t="n"/>
      <c r="AC214" s="69" t="n"/>
      <c r="AD214" s="70">
        <f>IF(AND(COUNTIF($B$5:B214,B214)=1,$B214&lt;&gt;"",$AB214&lt;&gt;""),1,0)</f>
        <v/>
      </c>
      <c r="AE214" s="67" t="inlineStr">
        <is>
          <t>https://www.infobae.com/colombia/2026/09/05/abelardo-de-la-espriella-anuncio-que-liquidara-las-eps-que-no-sean-viables-para-corregir-el-desastre-que-dejo-el-regimen/</t>
        </is>
      </c>
      <c r="AF214" s="64" t="n"/>
      <c r="AG214" s="65" t="n"/>
    </row>
    <row r="215" ht="15" customHeight="1" s="31">
      <c r="A215" s="66" t="inlineStr">
        <is>
          <t>ART_048</t>
        </is>
      </c>
      <c r="B215" s="66" t="inlineStr">
        <is>
          <t>ART_048_S01</t>
        </is>
      </c>
      <c r="C215" s="66" t="inlineStr">
        <is>
          <t>Infobae Colombia</t>
        </is>
      </c>
      <c r="D215" s="66" t="inlineStr">
        <is>
          <t>Salud</t>
        </is>
      </c>
      <c r="E215" s="66" t="inlineStr">
        <is>
          <t>Noticia dura</t>
        </is>
      </c>
      <c r="F215" s="66" t="inlineStr">
        <is>
          <t>2026-09-06T19:19:19Z</t>
        </is>
      </c>
      <c r="G215" s="67" t="inlineStr">
        <is>
          <t>La ministra de Salud, Ana María Vesga, aseguró en su cuenta oficial de X que el Gobierno de Gustavo Petro dejó una crisis humanitaria, financiera y operativa en el sistema de salud de Colombia.</t>
        </is>
      </c>
      <c r="H215" s="67" t="inlineStr"/>
      <c r="I215" s="67" t="inlineStr">
        <is>
          <t>En su mensaje, la funcionaria pidió no olvidar cómo recibieron el sistema de salud el pasado 7 de agosto de 2026.</t>
        </is>
      </c>
      <c r="J215" s="68" t="n"/>
      <c r="K215" s="69" t="n"/>
      <c r="L215" s="68" t="n"/>
      <c r="M215" s="69" t="n"/>
      <c r="N215" s="68" t="n"/>
      <c r="O215" s="69" t="n"/>
      <c r="P215" s="68" t="n"/>
      <c r="Q215" s="69" t="n"/>
      <c r="R215" s="68" t="n"/>
      <c r="S215" s="69" t="n"/>
      <c r="T215" s="68" t="n"/>
      <c r="U215" s="69" t="n"/>
      <c r="V215" s="68" t="n"/>
      <c r="W215" s="69" t="n"/>
      <c r="X215" s="68" t="n"/>
      <c r="Y215" s="69" t="n"/>
      <c r="Z215" s="68" t="n"/>
      <c r="AA215" s="69" t="n"/>
      <c r="AB215" s="68" t="n"/>
      <c r="AC215" s="69" t="n"/>
      <c r="AD215" s="70">
        <f>IF(AND(COUNTIF($B$5:B215,B215)=1,$B215&lt;&gt;"",$AB215&lt;&gt;""),1,0)</f>
        <v/>
      </c>
      <c r="AE215" s="67" t="inlineStr">
        <is>
          <t>https://www.infobae.com/colombia/2026/09/06/ministra-de-salud-aseguro-que-gobierno-petro-dejo-el-sistema-en-crisis-humanitaria-financiera-y-operativa-sin-hablar-de-la-invasion-politica/</t>
        </is>
      </c>
      <c r="AF215" s="64" t="n"/>
      <c r="AG215" s="65" t="n"/>
    </row>
    <row r="216" ht="15" customHeight="1" s="31">
      <c r="A216" s="66" t="inlineStr">
        <is>
          <t>ART_048</t>
        </is>
      </c>
      <c r="B216" s="66" t="inlineStr">
        <is>
          <t>ART_048_S02</t>
        </is>
      </c>
      <c r="C216" s="66" t="inlineStr">
        <is>
          <t>Infobae Colombia</t>
        </is>
      </c>
      <c r="D216" s="66" t="inlineStr">
        <is>
          <t>Salud</t>
        </is>
      </c>
      <c r="E216" s="66" t="inlineStr">
        <is>
          <t>Noticia dura</t>
        </is>
      </c>
      <c r="F216" s="66" t="inlineStr">
        <is>
          <t>2026-09-06T19:19:19Z</t>
        </is>
      </c>
      <c r="G216" s="67" t="inlineStr">
        <is>
          <t>En su mensaje, la funcionaria pidió no olvidar cómo recibieron el sistema de salud el pasado 7 de agosto de 2026.</t>
        </is>
      </c>
      <c r="H216" s="67" t="inlineStr">
        <is>
          <t>La ministra de Salud, Ana María Vesga, aseguró en su cuenta oficial de X que el Gobierno de Gustavo Petro dejó una crisis humanitaria, financiera y operativa en el sistema de salud de Colombia.</t>
        </is>
      </c>
      <c r="I216" s="67" t="inlineStr">
        <is>
          <t>Según afirmó, miles de pacientes estaban desatendidos y se registraban deudas billonarias con hospitales, clínicas y proveedores de medicamentos.</t>
        </is>
      </c>
      <c r="J216" s="68" t="n"/>
      <c r="K216" s="69" t="n"/>
      <c r="L216" s="68" t="n"/>
      <c r="M216" s="69" t="n"/>
      <c r="N216" s="68" t="n"/>
      <c r="O216" s="69" t="n"/>
      <c r="P216" s="68" t="n"/>
      <c r="Q216" s="69" t="n"/>
      <c r="R216" s="68" t="n"/>
      <c r="S216" s="69" t="n"/>
      <c r="T216" s="68" t="n"/>
      <c r="U216" s="69" t="n"/>
      <c r="V216" s="68" t="n"/>
      <c r="W216" s="69" t="n"/>
      <c r="X216" s="68" t="n"/>
      <c r="Y216" s="69" t="n"/>
      <c r="Z216" s="68" t="n"/>
      <c r="AA216" s="69" t="n"/>
      <c r="AB216" s="68" t="n"/>
      <c r="AC216" s="69" t="n"/>
      <c r="AD216" s="70">
        <f>IF(AND(COUNTIF($B$5:B216,B216)=1,$B216&lt;&gt;"",$AB216&lt;&gt;""),1,0)</f>
        <v/>
      </c>
      <c r="AE216" s="67" t="inlineStr">
        <is>
          <t>https://www.infobae.com/colombia/2026/09/06/ministra-de-salud-aseguro-que-gobierno-petro-dejo-el-sistema-en-crisis-humanitaria-financiera-y-operativa-sin-hablar-de-la-invasion-politica/</t>
        </is>
      </c>
      <c r="AF216" s="64" t="n"/>
      <c r="AG216" s="65" t="n"/>
    </row>
    <row r="217" ht="15" customHeight="1" s="31">
      <c r="A217" s="66" t="inlineStr">
        <is>
          <t>ART_048</t>
        </is>
      </c>
      <c r="B217" s="66" t="inlineStr">
        <is>
          <t>ART_048_S03</t>
        </is>
      </c>
      <c r="C217" s="66" t="inlineStr">
        <is>
          <t>Infobae Colombia</t>
        </is>
      </c>
      <c r="D217" s="66" t="inlineStr">
        <is>
          <t>Salud</t>
        </is>
      </c>
      <c r="E217" s="66" t="inlineStr">
        <is>
          <t>Noticia dura</t>
        </is>
      </c>
      <c r="F217" s="66" t="inlineStr">
        <is>
          <t>2026-09-06T19:19:19Z</t>
        </is>
      </c>
      <c r="G217" s="67" t="inlineStr">
        <is>
          <t>Según afirmó, miles de pacientes estaban desatendidos y se registraban deudas billonarias con hospitales, clínicas y proveedores de medicamentos.</t>
        </is>
      </c>
      <c r="H217" s="67" t="inlineStr">
        <is>
          <t>En su mensaje, la funcionaria pidió no olvidar cómo recibieron el sistema de salud el pasado 7 de agosto de 2026.</t>
        </is>
      </c>
      <c r="I217" s="67" t="inlineStr">
        <is>
          <t>“No olvidemos el sistema de salud que recibimos el 7 de agosto: miles de pacientes desatendidos, muchos de ellos críticos; deudas billonarias con hospitales, clínicas y proveedores de medicamentos (sic)”, expresó Vesga.</t>
        </is>
      </c>
      <c r="J217" s="68" t="n"/>
      <c r="K217" s="69" t="n"/>
      <c r="L217" s="68" t="n"/>
      <c r="M217" s="69" t="n"/>
      <c r="N217" s="68" t="n"/>
      <c r="O217" s="69" t="n"/>
      <c r="P217" s="68" t="n"/>
      <c r="Q217" s="69" t="n"/>
      <c r="R217" s="68" t="n"/>
      <c r="S217" s="69" t="n"/>
      <c r="T217" s="68" t="n"/>
      <c r="U217" s="69" t="n"/>
      <c r="V217" s="68" t="n"/>
      <c r="W217" s="69" t="n"/>
      <c r="X217" s="68" t="n"/>
      <c r="Y217" s="69" t="n"/>
      <c r="Z217" s="68" t="n"/>
      <c r="AA217" s="69" t="n"/>
      <c r="AB217" s="68" t="n"/>
      <c r="AC217" s="69" t="n"/>
      <c r="AD217" s="70">
        <f>IF(AND(COUNTIF($B$5:B217,B217)=1,$B217&lt;&gt;"",$AB217&lt;&gt;""),1,0)</f>
        <v/>
      </c>
      <c r="AE217" s="67" t="inlineStr">
        <is>
          <t>https://www.infobae.com/colombia/2026/09/06/ministra-de-salud-aseguro-que-gobierno-petro-dejo-el-sistema-en-crisis-humanitaria-financiera-y-operativa-sin-hablar-de-la-invasion-politica/</t>
        </is>
      </c>
      <c r="AF217" s="64" t="n"/>
      <c r="AG217" s="65" t="n"/>
    </row>
    <row r="218" ht="15" customHeight="1" s="31">
      <c r="A218" s="66" t="inlineStr">
        <is>
          <t>ART_048</t>
        </is>
      </c>
      <c r="B218" s="66" t="inlineStr">
        <is>
          <t>ART_048_S04</t>
        </is>
      </c>
      <c r="C218" s="66" t="inlineStr">
        <is>
          <t>Infobae Colombia</t>
        </is>
      </c>
      <c r="D218" s="66" t="inlineStr">
        <is>
          <t>Salud</t>
        </is>
      </c>
      <c r="E218" s="66" t="inlineStr">
        <is>
          <t>Noticia dura</t>
        </is>
      </c>
      <c r="F218" s="66" t="inlineStr">
        <is>
          <t>2026-09-06T19:19:19Z</t>
        </is>
      </c>
      <c r="G218" s="67" t="inlineStr">
        <is>
          <t>“No olvidemos el sistema de salud que recibimos el 7 de agosto: miles de pacientes desatendidos, muchos de ellos críticos; deudas billonarias con hospitales, clínicas y proveedores de medicamentos (sic)”, expresó Vesga.</t>
        </is>
      </c>
      <c r="H218" s="67" t="inlineStr">
        <is>
          <t>Según afirmó, miles de pacientes estaban desatendidos y se registraban deudas billonarias con hospitales, clínicas y proveedores de medicamentos.</t>
        </is>
      </c>
      <c r="I218" s="67" t="inlineStr">
        <is>
          <t>Asimismo, indicó que, durante la administración de Gustavo Petro, se intervinieron siete EPS que, según sus declaraciones, tenían más de 22 millones de afiliados que recibían “una atención deficiente”.</t>
        </is>
      </c>
      <c r="J218" s="68" t="n"/>
      <c r="K218" s="69" t="n"/>
      <c r="L218" s="68" t="n"/>
      <c r="M218" s="69" t="n"/>
      <c r="N218" s="68" t="n"/>
      <c r="O218" s="69" t="n"/>
      <c r="P218" s="68" t="n"/>
      <c r="Q218" s="69" t="n"/>
      <c r="R218" s="68" t="n"/>
      <c r="S218" s="69" t="n"/>
      <c r="T218" s="68" t="n"/>
      <c r="U218" s="69" t="n"/>
      <c r="V218" s="68" t="n"/>
      <c r="W218" s="69" t="n"/>
      <c r="X218" s="68" t="n"/>
      <c r="Y218" s="69" t="n"/>
      <c r="Z218" s="68" t="n"/>
      <c r="AA218" s="69" t="n"/>
      <c r="AB218" s="68" t="n"/>
      <c r="AC218" s="69" t="n"/>
      <c r="AD218" s="70">
        <f>IF(AND(COUNTIF($B$5:B218,B218)=1,$B218&lt;&gt;"",$AB218&lt;&gt;""),1,0)</f>
        <v/>
      </c>
      <c r="AE218" s="67" t="inlineStr">
        <is>
          <t>https://www.infobae.com/colombia/2026/09/06/ministra-de-salud-aseguro-que-gobierno-petro-dejo-el-sistema-en-crisis-humanitaria-financiera-y-operativa-sin-hablar-de-la-invasion-politica/</t>
        </is>
      </c>
      <c r="AF218" s="64" t="n"/>
      <c r="AG218" s="65" t="n"/>
    </row>
    <row r="219" ht="15" customHeight="1" s="31">
      <c r="A219" s="66" t="inlineStr">
        <is>
          <t>ART_048</t>
        </is>
      </c>
      <c r="B219" s="66" t="inlineStr">
        <is>
          <t>ART_048_S05</t>
        </is>
      </c>
      <c r="C219" s="66" t="inlineStr">
        <is>
          <t>Infobae Colombia</t>
        </is>
      </c>
      <c r="D219" s="66" t="inlineStr">
        <is>
          <t>Salud</t>
        </is>
      </c>
      <c r="E219" s="66" t="inlineStr">
        <is>
          <t>Noticia dura</t>
        </is>
      </c>
      <c r="F219" s="66" t="inlineStr">
        <is>
          <t>2026-09-06T19:19:19Z</t>
        </is>
      </c>
      <c r="G219" s="67" t="inlineStr">
        <is>
          <t>Asimismo, indicó que, durante la administración de Gustavo Petro, se intervinieron siete EPS que, según sus declaraciones, tenían más de 22 millones de afiliados que recibían “una atención deficiente”.</t>
        </is>
      </c>
      <c r="H219" s="67" t="inlineStr">
        <is>
          <t>“No olvidemos el sistema de salud que recibimos el 7 de agosto: miles de pacientes desatendidos, muchos de ellos críticos; deudas billonarias con hospitales, clínicas y proveedores de medicamentos (sic)”, expresó Vesga.</t>
        </is>
      </c>
      <c r="I219" s="67" t="inlineStr">
        <is>
          <t>Según Ana María Vesga, se desató una crisis humanitaria, financiera y operativa.</t>
        </is>
      </c>
      <c r="J219" s="68" t="n"/>
      <c r="K219" s="69" t="n"/>
      <c r="L219" s="68" t="n"/>
      <c r="M219" s="69" t="n"/>
      <c r="N219" s="68" t="n"/>
      <c r="O219" s="69" t="n"/>
      <c r="P219" s="68" t="n"/>
      <c r="Q219" s="69" t="n"/>
      <c r="R219" s="68" t="n"/>
      <c r="S219" s="69" t="n"/>
      <c r="T219" s="68" t="n"/>
      <c r="U219" s="69" t="n"/>
      <c r="V219" s="68" t="n"/>
      <c r="W219" s="69" t="n"/>
      <c r="X219" s="68" t="n"/>
      <c r="Y219" s="69" t="n"/>
      <c r="Z219" s="68" t="n"/>
      <c r="AA219" s="69" t="n"/>
      <c r="AB219" s="68" t="n"/>
      <c r="AC219" s="69" t="n"/>
      <c r="AD219" s="70">
        <f>IF(AND(COUNTIF($B$5:B219,B219)=1,$B219&lt;&gt;"",$AB219&lt;&gt;""),1,0)</f>
        <v/>
      </c>
      <c r="AE219" s="67" t="inlineStr">
        <is>
          <t>https://www.infobae.com/colombia/2026/09/06/ministra-de-salud-aseguro-que-gobierno-petro-dejo-el-sistema-en-crisis-humanitaria-financiera-y-operativa-sin-hablar-de-la-invasion-politica/</t>
        </is>
      </c>
      <c r="AF219" s="64" t="n"/>
      <c r="AG219" s="65" t="n"/>
    </row>
    <row r="220" ht="15" customHeight="1" s="31">
      <c r="A220" s="66" t="inlineStr">
        <is>
          <t>ART_048</t>
        </is>
      </c>
      <c r="B220" s="66" t="inlineStr">
        <is>
          <t>ART_048_S06</t>
        </is>
      </c>
      <c r="C220" s="66" t="inlineStr">
        <is>
          <t>Infobae Colombia</t>
        </is>
      </c>
      <c r="D220" s="66" t="inlineStr">
        <is>
          <t>Salud</t>
        </is>
      </c>
      <c r="E220" s="66" t="inlineStr">
        <is>
          <t>Noticia dura</t>
        </is>
      </c>
      <c r="F220" s="66" t="inlineStr">
        <is>
          <t>2026-09-06T19:19:19Z</t>
        </is>
      </c>
      <c r="G220" s="67" t="inlineStr">
        <is>
          <t>Según Ana María Vesga, se desató una crisis humanitaria, financiera y operativa.</t>
        </is>
      </c>
      <c r="H220" s="67" t="inlineStr">
        <is>
          <t>Asimismo, indicó que, durante la administración de Gustavo Petro, se intervinieron siete EPS que, según sus declaraciones, tenían más de 22 millones de afiliados que recibían “una atención deficiente”.</t>
        </is>
      </c>
      <c r="I220" s="67" t="inlineStr">
        <is>
          <t>La ministra de Salud también denunció una supuesta “invasión política” en las instituciones encargadas de la salud en Colombia y un “derroche presupuestal”.</t>
        </is>
      </c>
      <c r="J220" s="68" t="n"/>
      <c r="K220" s="69" t="n"/>
      <c r="L220" s="68" t="n"/>
      <c r="M220" s="69" t="n"/>
      <c r="N220" s="68" t="n"/>
      <c r="O220" s="69" t="n"/>
      <c r="P220" s="68" t="n"/>
      <c r="Q220" s="69" t="n"/>
      <c r="R220" s="68" t="n"/>
      <c r="S220" s="69" t="n"/>
      <c r="T220" s="68" t="n"/>
      <c r="U220" s="69" t="n"/>
      <c r="V220" s="68" t="n"/>
      <c r="W220" s="69" t="n"/>
      <c r="X220" s="68" t="n"/>
      <c r="Y220" s="69" t="n"/>
      <c r="Z220" s="68" t="n"/>
      <c r="AA220" s="69" t="n"/>
      <c r="AB220" s="68" t="n"/>
      <c r="AC220" s="69" t="n"/>
      <c r="AD220" s="70">
        <f>IF(AND(COUNTIF($B$5:B220,B220)=1,$B220&lt;&gt;"",$AB220&lt;&gt;""),1,0)</f>
        <v/>
      </c>
      <c r="AE220" s="67" t="inlineStr">
        <is>
          <t>https://www.infobae.com/colombia/2026/09/06/ministra-de-salud-aseguro-que-gobierno-petro-dejo-el-sistema-en-crisis-humanitaria-financiera-y-operativa-sin-hablar-de-la-invasion-politica/</t>
        </is>
      </c>
      <c r="AF220" s="64" t="n"/>
      <c r="AG220" s="65" t="n"/>
    </row>
    <row r="221" ht="15" customHeight="1" s="31">
      <c r="A221" s="66" t="inlineStr">
        <is>
          <t>ART_048</t>
        </is>
      </c>
      <c r="B221" s="66" t="inlineStr">
        <is>
          <t>ART_048_S07</t>
        </is>
      </c>
      <c r="C221" s="66" t="inlineStr">
        <is>
          <t>Infobae Colombia</t>
        </is>
      </c>
      <c r="D221" s="66" t="inlineStr">
        <is>
          <t>Salud</t>
        </is>
      </c>
      <c r="E221" s="66" t="inlineStr">
        <is>
          <t>Noticia dura</t>
        </is>
      </c>
      <c r="F221" s="66" t="inlineStr">
        <is>
          <t>2026-09-06T19:19:19Z</t>
        </is>
      </c>
      <c r="G221" s="67" t="inlineStr">
        <is>
          <t>La ministra de Salud también denunció una supuesta “invasión política” en las instituciones encargadas de la salud en Colombia y un “derroche presupuestal”.</t>
        </is>
      </c>
      <c r="H221" s="67" t="inlineStr">
        <is>
          <t>Según Ana María Vesga, se desató una crisis humanitaria, financiera y operativa.</t>
        </is>
      </c>
      <c r="I221" s="67" t="inlineStr">
        <is>
          <t>“Siete EPS intervenidas, con más de 22 millones de afiliados que recibían una atención deficiente.</t>
        </is>
      </c>
      <c r="J221" s="68" t="n"/>
      <c r="K221" s="69" t="n"/>
      <c r="L221" s="68" t="n"/>
      <c r="M221" s="69" t="n"/>
      <c r="N221" s="68" t="n"/>
      <c r="O221" s="69" t="n"/>
      <c r="P221" s="68" t="n"/>
      <c r="Q221" s="69" t="n"/>
      <c r="R221" s="68" t="n"/>
      <c r="S221" s="69" t="n"/>
      <c r="T221" s="68" t="n"/>
      <c r="U221" s="69" t="n"/>
      <c r="V221" s="68" t="n"/>
      <c r="W221" s="69" t="n"/>
      <c r="X221" s="68" t="n"/>
      <c r="Y221" s="69" t="n"/>
      <c r="Z221" s="68" t="n"/>
      <c r="AA221" s="69" t="n"/>
      <c r="AB221" s="68" t="n"/>
      <c r="AC221" s="69" t="n"/>
      <c r="AD221" s="70">
        <f>IF(AND(COUNTIF($B$5:B221,B221)=1,$B221&lt;&gt;"",$AB221&lt;&gt;""),1,0)</f>
        <v/>
      </c>
      <c r="AE221" s="67" t="inlineStr">
        <is>
          <t>https://www.infobae.com/colombia/2026/09/06/ministra-de-salud-aseguro-que-gobierno-petro-dejo-el-sistema-en-crisis-humanitaria-financiera-y-operativa-sin-hablar-de-la-invasion-politica/</t>
        </is>
      </c>
      <c r="AF221" s="64" t="n"/>
      <c r="AG221" s="65" t="n"/>
    </row>
    <row r="222" ht="15" customHeight="1" s="31">
      <c r="A222" s="66" t="inlineStr">
        <is>
          <t>ART_048</t>
        </is>
      </c>
      <c r="B222" s="66" t="inlineStr">
        <is>
          <t>ART_048_S08</t>
        </is>
      </c>
      <c r="C222" s="66" t="inlineStr">
        <is>
          <t>Infobae Colombia</t>
        </is>
      </c>
      <c r="D222" s="66" t="inlineStr">
        <is>
          <t>Salud</t>
        </is>
      </c>
      <c r="E222" s="66" t="inlineStr">
        <is>
          <t>Noticia dura</t>
        </is>
      </c>
      <c r="F222" s="66" t="inlineStr">
        <is>
          <t>2026-09-06T19:19:19Z</t>
        </is>
      </c>
      <c r="G222" s="67" t="inlineStr">
        <is>
          <t>“Siete EPS intervenidas, con más de 22 millones de afiliados que recibían una atención deficiente.</t>
        </is>
      </c>
      <c r="H222" s="67" t="inlineStr">
        <is>
          <t>La ministra de Salud también denunció una supuesta “invasión política” en las instituciones encargadas de la salud en Colombia y un “derroche presupuestal”.</t>
        </is>
      </c>
      <c r="I222" s="67" t="inlineStr"/>
      <c r="J222" s="68" t="n"/>
      <c r="K222" s="69" t="n"/>
      <c r="L222" s="68" t="n"/>
      <c r="M222" s="69" t="n"/>
      <c r="N222" s="68" t="n"/>
      <c r="O222" s="69" t="n"/>
      <c r="P222" s="68" t="n"/>
      <c r="Q222" s="69" t="n"/>
      <c r="R222" s="68" t="n"/>
      <c r="S222" s="69" t="n"/>
      <c r="T222" s="68" t="n"/>
      <c r="U222" s="69" t="n"/>
      <c r="V222" s="68" t="n"/>
      <c r="W222" s="69" t="n"/>
      <c r="X222" s="68" t="n"/>
      <c r="Y222" s="69" t="n"/>
      <c r="Z222" s="68" t="n"/>
      <c r="AA222" s="69" t="n"/>
      <c r="AB222" s="68" t="n"/>
      <c r="AC222" s="69" t="n"/>
      <c r="AD222" s="70">
        <f>IF(AND(COUNTIF($B$5:B222,B222)=1,$B222&lt;&gt;"",$AB222&lt;&gt;""),1,0)</f>
        <v/>
      </c>
      <c r="AE222" s="67" t="inlineStr">
        <is>
          <t>https://www.infobae.com/colombia/2026/09/06/ministra-de-salud-aseguro-que-gobierno-petro-dejo-el-sistema-en-crisis-humanitaria-financiera-y-operativa-sin-hablar-de-la-invasion-politica/</t>
        </is>
      </c>
      <c r="AF222" s="64" t="n"/>
      <c r="AG222" s="65" t="n"/>
    </row>
    <row r="223" ht="15" customHeight="1" s="31">
      <c r="A223" s="66" t="inlineStr">
        <is>
          <t>ART_049</t>
        </is>
      </c>
      <c r="B223" s="66" t="inlineStr">
        <is>
          <t>ART_049_S01</t>
        </is>
      </c>
      <c r="C223" s="66" t="inlineStr">
        <is>
          <t>Infobae Colombia</t>
        </is>
      </c>
      <c r="D223" s="66" t="inlineStr">
        <is>
          <t>Salud</t>
        </is>
      </c>
      <c r="E223" s="66" t="inlineStr">
        <is>
          <t>Noticia dura</t>
        </is>
      </c>
      <c r="F223" s="66" t="inlineStr">
        <is>
          <t>2026-09-01T04:09:00Z</t>
        </is>
      </c>
      <c r="G223" s="67" t="inlineStr">
        <is>
          <t>La crisis financiera de las EPS volvió a encender las alertas entre hospitales, clínicas y demás prestadores de servicios de salud.</t>
        </is>
      </c>
      <c r="H223" s="67" t="inlineStr"/>
      <c r="I223" s="67" t="inlineStr">
        <is>
          <t>La Unión Nacional de IPS, UNIPS, reaccionó al informe de la Contraloría General de la República sobre la situación financiera de las aseguradoras durante 2025 y advirtió que el deterioro del sistema ya está presionando la liquidez de la red prestadora.</t>
        </is>
      </c>
      <c r="J223" s="68" t="n"/>
      <c r="K223" s="69" t="n"/>
      <c r="L223" s="68" t="n"/>
      <c r="M223" s="69" t="n"/>
      <c r="N223" s="68" t="n"/>
      <c r="O223" s="69" t="n"/>
      <c r="P223" s="68" t="n"/>
      <c r="Q223" s="69" t="n"/>
      <c r="R223" s="68" t="n"/>
      <c r="S223" s="69" t="n"/>
      <c r="T223" s="68" t="n"/>
      <c r="U223" s="69" t="n"/>
      <c r="V223" s="68" t="n"/>
      <c r="W223" s="69" t="n"/>
      <c r="X223" s="68" t="n"/>
      <c r="Y223" s="69" t="n"/>
      <c r="Z223" s="68" t="n"/>
      <c r="AA223" s="69" t="n"/>
      <c r="AB223" s="68" t="n"/>
      <c r="AC223" s="69" t="n"/>
      <c r="AD223" s="70">
        <f>IF(AND(COUNTIF($B$5:B223,B223)=1,$B223&lt;&gt;"",$AB223&lt;&gt;""),1,0)</f>
        <v/>
      </c>
      <c r="AE223" s="67" t="inlineStr">
        <is>
          <t>https://www.infobae.com/colombia/2026/09/01/unips-alerta-que-crisis-de-eps-amenaza-pagos-medicamentos-y-sostenibilidad-de-hospitales/</t>
        </is>
      </c>
      <c r="AF223" s="64" t="n"/>
      <c r="AG223" s="65" t="n"/>
    </row>
    <row r="224" ht="15" customHeight="1" s="31">
      <c r="A224" s="66" t="inlineStr">
        <is>
          <t>ART_049</t>
        </is>
      </c>
      <c r="B224" s="66" t="inlineStr">
        <is>
          <t>ART_049_S02</t>
        </is>
      </c>
      <c r="C224" s="66" t="inlineStr">
        <is>
          <t>Infobae Colombia</t>
        </is>
      </c>
      <c r="D224" s="66" t="inlineStr">
        <is>
          <t>Salud</t>
        </is>
      </c>
      <c r="E224" s="66" t="inlineStr">
        <is>
          <t>Noticia dura</t>
        </is>
      </c>
      <c r="F224" s="66" t="inlineStr">
        <is>
          <t>2026-09-01T04:09:00Z</t>
        </is>
      </c>
      <c r="G224" s="67" t="inlineStr">
        <is>
          <t>La Unión Nacional de IPS, UNIPS, reaccionó al informe de la Contraloría General de la República sobre la situación financiera de las aseguradoras durante 2025 y advirtió que el deterioro del sistema ya está presionando la liquidez de la red prestadora.</t>
        </is>
      </c>
      <c r="H224" s="67" t="inlineStr">
        <is>
          <t>La crisis financiera de las EPS volvió a encender las alertas entre hospitales, clínicas y demás prestadores de servicios de salud.</t>
        </is>
      </c>
      <c r="I224" s="67" t="inlineStr"/>
      <c r="J224" s="68" t="n"/>
      <c r="K224" s="69" t="n"/>
      <c r="L224" s="68" t="n"/>
      <c r="M224" s="69" t="n"/>
      <c r="N224" s="68" t="n"/>
      <c r="O224" s="69" t="n"/>
      <c r="P224" s="68" t="n"/>
      <c r="Q224" s="69" t="n"/>
      <c r="R224" s="68" t="n"/>
      <c r="S224" s="69" t="n"/>
      <c r="T224" s="68" t="n"/>
      <c r="U224" s="69" t="n"/>
      <c r="V224" s="68" t="n"/>
      <c r="W224" s="69" t="n"/>
      <c r="X224" s="68" t="n"/>
      <c r="Y224" s="69" t="n"/>
      <c r="Z224" s="68" t="n"/>
      <c r="AA224" s="69" t="n"/>
      <c r="AB224" s="68" t="n"/>
      <c r="AC224" s="69" t="n"/>
      <c r="AD224" s="70">
        <f>IF(AND(COUNTIF($B$5:B224,B224)=1,$B224&lt;&gt;"",$AB224&lt;&gt;""),1,0)</f>
        <v/>
      </c>
      <c r="AE224" s="67" t="inlineStr">
        <is>
          <t>https://www.infobae.com/colombia/2026/09/01/unips-alerta-que-crisis-de-eps-amenaza-pagos-medicamentos-y-sostenibilidad-de-hospitales/</t>
        </is>
      </c>
      <c r="AF224" s="64" t="n"/>
      <c r="AG224" s="65" t="n"/>
    </row>
    <row r="225" ht="15" customHeight="1" s="31">
      <c r="A225" s="66" t="inlineStr">
        <is>
          <t>ART_050</t>
        </is>
      </c>
      <c r="B225" s="66" t="inlineStr">
        <is>
          <t>ART_050_S01</t>
        </is>
      </c>
      <c r="C225" s="66" t="inlineStr">
        <is>
          <t>El Tiempo</t>
        </is>
      </c>
      <c r="D225" s="66" t="inlineStr">
        <is>
          <t>Salud</t>
        </is>
      </c>
      <c r="E225" s="66" t="inlineStr">
        <is>
          <t>Noticia dura</t>
        </is>
      </c>
      <c r="F225" s="66" t="inlineStr">
        <is>
          <t>2026-01-22T16:35:02-05:00</t>
        </is>
      </c>
      <c r="G225" s="67" t="inlineStr">
        <is>
          <t>La posibilidad de una liquidación generalizada y acelerada de las Entidades Promotoras de Salud (EPS), planteada por el presidente Gustavo Petro, encendieron una nueva alarma en el ya tensionado sistema de salud colombiano.</t>
        </is>
      </c>
      <c r="H225" s="67" t="inlineStr"/>
      <c r="I225" s="67" t="inlineStr">
        <is>
          <t>En un comunicado público divulgado este 22 de enero de 2026, un amplio bloque de asociaciones de usuarios, pacientes, prestadores, gremios, académicos y exfuncionarios del sector advirtió que una decisión de este tipo profundizaría la crisis actual y aumentaría de manera inmediata los riesgos para millones de pacientes y para la red hospitalaria del país.</t>
        </is>
      </c>
      <c r="J225" s="68" t="n"/>
      <c r="K225" s="69" t="n"/>
      <c r="L225" s="68" t="n"/>
      <c r="M225" s="69" t="n"/>
      <c r="N225" s="68" t="n"/>
      <c r="O225" s="69" t="n"/>
      <c r="P225" s="68" t="n"/>
      <c r="Q225" s="69" t="n"/>
      <c r="R225" s="68" t="n"/>
      <c r="S225" s="69" t="n"/>
      <c r="T225" s="68" t="n"/>
      <c r="U225" s="69" t="n"/>
      <c r="V225" s="68" t="n"/>
      <c r="W225" s="69" t="n"/>
      <c r="X225" s="68" t="n"/>
      <c r="Y225" s="69" t="n"/>
      <c r="Z225" s="68" t="n"/>
      <c r="AA225" s="69" t="n"/>
      <c r="AB225" s="68" t="n"/>
      <c r="AC225" s="69" t="n"/>
      <c r="AD225" s="70">
        <f>IF(AND(COUNTIF($B$5:B225,B225)=1,$B225&lt;&gt;"",$AB225&lt;&gt;""),1,0)</f>
        <v/>
      </c>
      <c r="AE225" s="67" t="inlineStr">
        <is>
          <t>https://www.eltiempo.com/salud/liquidar-eps-podria-provocar-una-crisis-sin-precedentes-y-pondria-en-riesgo-a-millones-de-pacientes-advierten-exministros-y-actores-del-sector-salud-3526372</t>
        </is>
      </c>
      <c r="AF225" s="64" t="n"/>
      <c r="AG225" s="65" t="n"/>
    </row>
    <row r="226" ht="15" customHeight="1" s="31">
      <c r="A226" s="66" t="inlineStr">
        <is>
          <t>ART_050</t>
        </is>
      </c>
      <c r="B226" s="66" t="inlineStr">
        <is>
          <t>ART_050_S02</t>
        </is>
      </c>
      <c r="C226" s="66" t="inlineStr">
        <is>
          <t>El Tiempo</t>
        </is>
      </c>
      <c r="D226" s="66" t="inlineStr">
        <is>
          <t>Salud</t>
        </is>
      </c>
      <c r="E226" s="66" t="inlineStr">
        <is>
          <t>Noticia dura</t>
        </is>
      </c>
      <c r="F226" s="66" t="inlineStr">
        <is>
          <t>2026-01-22T16:35:02-05:00</t>
        </is>
      </c>
      <c r="G226" s="67" t="inlineStr">
        <is>
          <t>En un comunicado público divulgado este 22 de enero de 2026, un amplio bloque de asociaciones de usuarios, pacientes, prestadores, gremios, académicos y exfuncionarios del sector advirtió que una decisión de este tipo profundizaría la crisis actual y aumentaría de manera inmediata los riesgos para millones de pacientes y para la red hospitalaria del país.</t>
        </is>
      </c>
      <c r="H226" s="67" t="inlineStr">
        <is>
          <t>La posibilidad de una liquidación generalizada y acelerada de las Entidades Promotoras de Salud (EPS), planteada por el presidente Gustavo Petro, encendieron una nueva alarma en el ya tensionado sistema de salud colombiano.</t>
        </is>
      </c>
      <c r="I226" s="67" t="inlineStr">
        <is>
          <t>La discusión ocurre en un contexto crítico: hoy el Gobierno mantiene bajo intervención a siete EPS que concentran la mitad de la población afiliada al sistema de salud y que son las que podría ser liquidadas: Coosalud, con 3,3 millones de usuarios; Nueva EPS, con 11,5 millones; Famisanar, con 2,9 millones; Savia Salud y Asmet Salud, cada una con 1,6 millones; Emssanar, con 1,7 millones, y SOS EPS, con 747 mil afiliados.</t>
        </is>
      </c>
      <c r="J226" s="68" t="n"/>
      <c r="K226" s="69" t="n"/>
      <c r="L226" s="68" t="n"/>
      <c r="M226" s="69" t="n"/>
      <c r="N226" s="68" t="n"/>
      <c r="O226" s="69" t="n"/>
      <c r="P226" s="68" t="n"/>
      <c r="Q226" s="69" t="n"/>
      <c r="R226" s="68" t="n"/>
      <c r="S226" s="69" t="n"/>
      <c r="T226" s="68" t="n"/>
      <c r="U226" s="69" t="n"/>
      <c r="V226" s="68" t="n"/>
      <c r="W226" s="69" t="n"/>
      <c r="X226" s="68" t="n"/>
      <c r="Y226" s="69" t="n"/>
      <c r="Z226" s="68" t="n"/>
      <c r="AA226" s="69" t="n"/>
      <c r="AB226" s="68" t="n"/>
      <c r="AC226" s="69" t="n"/>
      <c r="AD226" s="70">
        <f>IF(AND(COUNTIF($B$5:B226,B226)=1,$B226&lt;&gt;"",$AB226&lt;&gt;""),1,0)</f>
        <v/>
      </c>
      <c r="AE226" s="67" t="inlineStr">
        <is>
          <t>https://www.eltiempo.com/salud/liquidar-eps-podria-provocar-una-crisis-sin-precedentes-y-pondria-en-riesgo-a-millones-de-pacientes-advierten-exministros-y-actores-del-sector-salud-3526372</t>
        </is>
      </c>
      <c r="AF226" s="64" t="n"/>
      <c r="AG226" s="65" t="n"/>
    </row>
    <row r="227" ht="15" customHeight="1" s="31">
      <c r="A227" s="66" t="inlineStr">
        <is>
          <t>ART_050</t>
        </is>
      </c>
      <c r="B227" s="66" t="inlineStr">
        <is>
          <t>ART_050_S03</t>
        </is>
      </c>
      <c r="C227" s="66" t="inlineStr">
        <is>
          <t>El Tiempo</t>
        </is>
      </c>
      <c r="D227" s="66" t="inlineStr">
        <is>
          <t>Salud</t>
        </is>
      </c>
      <c r="E227" s="66" t="inlineStr">
        <is>
          <t>Noticia dura</t>
        </is>
      </c>
      <c r="F227" s="66" t="inlineStr">
        <is>
          <t>2026-01-22T16:35:02-05:00</t>
        </is>
      </c>
      <c r="G227" s="67" t="inlineStr">
        <is>
          <t>La discusión ocurre en un contexto crítico: hoy el Gobierno mantiene bajo intervención a siete EPS que concentran la mitad de la población afiliada al sistema de salud y que son las que podría ser liquidadas: Coosalud, con 3,3 millones de usuarios; Nueva EPS, con 11,5 millones; Famisanar, con 2,9 millones; Savia Salud y Asmet Salud, cada una con 1,6 millones; Emssanar, con 1,7 millones, y SOS EPS, con 747 mil afiliados.</t>
        </is>
      </c>
      <c r="H227" s="67" t="inlineStr">
        <is>
          <t>En un comunicado público divulgado este 22 de enero de 2026, un amplio bloque de asociaciones de usuarios, pacientes, prestadores, gremios, académicos y exfuncionarios del sector advirtió que una decisión de este tipo profundizaría la crisis actual y aumentaría de manera inmediata los riesgos para millones de pacientes y para la red hospitalaria del país.</t>
        </is>
      </c>
      <c r="I227" s="67" t="inlineStr">
        <is>
          <t>En conjunto, estas entidades suman más de 23 millones de afiliados.</t>
        </is>
      </c>
      <c r="J227" s="68" t="n"/>
      <c r="K227" s="69" t="n"/>
      <c r="L227" s="68" t="n"/>
      <c r="M227" s="69" t="n"/>
      <c r="N227" s="68" t="n"/>
      <c r="O227" s="69" t="n"/>
      <c r="P227" s="68" t="n"/>
      <c r="Q227" s="69" t="n"/>
      <c r="R227" s="68" t="n"/>
      <c r="S227" s="69" t="n"/>
      <c r="T227" s="68" t="n"/>
      <c r="U227" s="69" t="n"/>
      <c r="V227" s="68" t="n"/>
      <c r="W227" s="69" t="n"/>
      <c r="X227" s="68" t="n"/>
      <c r="Y227" s="69" t="n"/>
      <c r="Z227" s="68" t="n"/>
      <c r="AA227" s="69" t="n"/>
      <c r="AB227" s="68" t="n"/>
      <c r="AC227" s="69" t="n"/>
      <c r="AD227" s="70">
        <f>IF(AND(COUNTIF($B$5:B227,B227)=1,$B227&lt;&gt;"",$AB227&lt;&gt;""),1,0)</f>
        <v/>
      </c>
      <c r="AE227" s="67" t="inlineStr">
        <is>
          <t>https://www.eltiempo.com/salud/liquidar-eps-podria-provocar-una-crisis-sin-precedentes-y-pondria-en-riesgo-a-millones-de-pacientes-advierten-exministros-y-actores-del-sector-salud-3526372</t>
        </is>
      </c>
      <c r="AF227" s="64" t="n"/>
      <c r="AG227" s="65" t="n"/>
    </row>
    <row r="228" ht="15" customHeight="1" s="31">
      <c r="A228" s="66" t="inlineStr">
        <is>
          <t>ART_050</t>
        </is>
      </c>
      <c r="B228" s="66" t="inlineStr">
        <is>
          <t>ART_050_S04</t>
        </is>
      </c>
      <c r="C228" s="66" t="inlineStr">
        <is>
          <t>El Tiempo</t>
        </is>
      </c>
      <c r="D228" s="66" t="inlineStr">
        <is>
          <t>Salud</t>
        </is>
      </c>
      <c r="E228" s="66" t="inlineStr">
        <is>
          <t>Noticia dura</t>
        </is>
      </c>
      <c r="F228" s="66" t="inlineStr">
        <is>
          <t>2026-01-22T16:35:02-05:00</t>
        </is>
      </c>
      <c r="G228" s="67" t="inlineStr">
        <is>
          <t>En conjunto, estas entidades suman más de 23 millones de afiliados.</t>
        </is>
      </c>
      <c r="H228" s="67" t="inlineStr">
        <is>
          <t>La discusión ocurre en un contexto crítico: hoy el Gobierno mantiene bajo intervención a siete EPS que concentran la mitad de la población afiliada al sistema de salud y que son las que podría ser liquidadas: Coosalud, con 3,3 millones de usuarios; Nueva EPS, con 11,5 millones; Famisanar, con 2,9 millones; Savia Salud y Asmet Salud, cada una con 1,6 millones; Emssanar, con 1,7 millones, y SOS EPS, con 747 mil afiliados.</t>
        </is>
      </c>
      <c r="I228" s="67" t="inlineStr">
        <is>
          <t>La liquidación simultánea o escalonada de estas aseguradoras, según expertos, no sería un simple trámite administrativo: implicaría redefinir el destino de casi la mitad de los usuarios del sistema.</t>
        </is>
      </c>
      <c r="J228" s="68" t="n"/>
      <c r="K228" s="69" t="n"/>
      <c r="L228" s="68" t="n"/>
      <c r="M228" s="69" t="n"/>
      <c r="N228" s="68" t="n"/>
      <c r="O228" s="69" t="n"/>
      <c r="P228" s="68" t="n"/>
      <c r="Q228" s="69" t="n"/>
      <c r="R228" s="68" t="n"/>
      <c r="S228" s="69" t="n"/>
      <c r="T228" s="68" t="n"/>
      <c r="U228" s="69" t="n"/>
      <c r="V228" s="68" t="n"/>
      <c r="W228" s="69" t="n"/>
      <c r="X228" s="68" t="n"/>
      <c r="Y228" s="69" t="n"/>
      <c r="Z228" s="68" t="n"/>
      <c r="AA228" s="69" t="n"/>
      <c r="AB228" s="68" t="n"/>
      <c r="AC228" s="69" t="n"/>
      <c r="AD228" s="70">
        <f>IF(AND(COUNTIF($B$5:B228,B228)=1,$B228&lt;&gt;"",$AB228&lt;&gt;""),1,0)</f>
        <v/>
      </c>
      <c r="AE228" s="67" t="inlineStr">
        <is>
          <t>https://www.eltiempo.com/salud/liquidar-eps-podria-provocar-una-crisis-sin-precedentes-y-pondria-en-riesgo-a-millones-de-pacientes-advierten-exministros-y-actores-del-sector-salud-3526372</t>
        </is>
      </c>
      <c r="AF228" s="64" t="n"/>
      <c r="AG228" s="65" t="n"/>
    </row>
    <row r="229" ht="15" customHeight="1" s="31">
      <c r="A229" s="66" t="inlineStr">
        <is>
          <t>ART_050</t>
        </is>
      </c>
      <c r="B229" s="66" t="inlineStr">
        <is>
          <t>ART_050_S05</t>
        </is>
      </c>
      <c r="C229" s="66" t="inlineStr">
        <is>
          <t>El Tiempo</t>
        </is>
      </c>
      <c r="D229" s="66" t="inlineStr">
        <is>
          <t>Salud</t>
        </is>
      </c>
      <c r="E229" s="66" t="inlineStr">
        <is>
          <t>Noticia dura</t>
        </is>
      </c>
      <c r="F229" s="66" t="inlineStr">
        <is>
          <t>2026-01-22T16:35:02-05:00</t>
        </is>
      </c>
      <c r="G229" s="67" t="inlineStr">
        <is>
          <t>La liquidación simultánea o escalonada de estas aseguradoras, según expertos, no sería un simple trámite administrativo: implicaría redefinir el destino de casi la mitad de los usuarios del sistema.</t>
        </is>
      </c>
      <c r="H229" s="67" t="inlineStr">
        <is>
          <t>En conjunto, estas entidades suman más de 23 millones de afiliados.</t>
        </is>
      </c>
      <c r="I229" s="67" t="inlineStr">
        <is>
          <t>En ese sentido, el pronunciamiento de los distintos actores del sector surge como respuesta directa a las advertencias presidenciales sobre una eventual liquidación de las EPS que actualmente se encuentran bajo medida de intervención.</t>
        </is>
      </c>
      <c r="J229" s="68" t="n"/>
      <c r="K229" s="69" t="n"/>
      <c r="L229" s="68" t="n"/>
      <c r="M229" s="69" t="n"/>
      <c r="N229" s="68" t="n"/>
      <c r="O229" s="69" t="n"/>
      <c r="P229" s="68" t="n"/>
      <c r="Q229" s="69" t="n"/>
      <c r="R229" s="68" t="n"/>
      <c r="S229" s="69" t="n"/>
      <c r="T229" s="68" t="n"/>
      <c r="U229" s="69" t="n"/>
      <c r="V229" s="68" t="n"/>
      <c r="W229" s="69" t="n"/>
      <c r="X229" s="68" t="n"/>
      <c r="Y229" s="69" t="n"/>
      <c r="Z229" s="68" t="n"/>
      <c r="AA229" s="69" t="n"/>
      <c r="AB229" s="68" t="n"/>
      <c r="AC229" s="69" t="n"/>
      <c r="AD229" s="70">
        <f>IF(AND(COUNTIF($B$5:B229,B229)=1,$B229&lt;&gt;"",$AB229&lt;&gt;""),1,0)</f>
        <v/>
      </c>
      <c r="AE229" s="67" t="inlineStr">
        <is>
          <t>https://www.eltiempo.com/salud/liquidar-eps-podria-provocar-una-crisis-sin-precedentes-y-pondria-en-riesgo-a-millones-de-pacientes-advierten-exministros-y-actores-del-sector-salud-3526372</t>
        </is>
      </c>
      <c r="AF229" s="64" t="n"/>
      <c r="AG229" s="65" t="n"/>
    </row>
    <row r="230" ht="15" customHeight="1" s="31">
      <c r="A230" s="66" t="inlineStr">
        <is>
          <t>ART_050</t>
        </is>
      </c>
      <c r="B230" s="66" t="inlineStr">
        <is>
          <t>ART_050_S06</t>
        </is>
      </c>
      <c r="C230" s="66" t="inlineStr">
        <is>
          <t>El Tiempo</t>
        </is>
      </c>
      <c r="D230" s="66" t="inlineStr">
        <is>
          <t>Salud</t>
        </is>
      </c>
      <c r="E230" s="66" t="inlineStr">
        <is>
          <t>Noticia dura</t>
        </is>
      </c>
      <c r="F230" s="66" t="inlineStr">
        <is>
          <t>2026-01-22T16:35:02-05:00</t>
        </is>
      </c>
      <c r="G230" s="67" t="inlineStr">
        <is>
          <t>En ese sentido, el pronunciamiento de los distintos actores del sector surge como respuesta directa a las advertencias presidenciales sobre una eventual liquidación de las EPS que actualmente se encuentran bajo medida de intervención.</t>
        </is>
      </c>
      <c r="H230" s="67" t="inlineStr">
        <is>
          <t>La liquidación simultánea o escalonada de estas aseguradoras, según expertos, no sería un simple trámite administrativo: implicaría redefinir el destino de casi la mitad de los usuarios del sistema.</t>
        </is>
      </c>
      <c r="I230" s="67" t="inlineStr">
        <is>
          <t>Según el documento, adoptar una medida “generalizada y apresurada” sin un plan probado y sin un sustituto operativo claro podría desencadenar una crisis asistencial, financiera y funcional “sin precedentes” en el sistema de salud.</t>
        </is>
      </c>
      <c r="J230" s="68" t="n"/>
      <c r="K230" s="69" t="n"/>
      <c r="L230" s="68" t="n"/>
      <c r="M230" s="69" t="n"/>
      <c r="N230" s="68" t="n"/>
      <c r="O230" s="69" t="n"/>
      <c r="P230" s="68" t="n"/>
      <c r="Q230" s="69" t="n"/>
      <c r="R230" s="68" t="n"/>
      <c r="S230" s="69" t="n"/>
      <c r="T230" s="68" t="n"/>
      <c r="U230" s="69" t="n"/>
      <c r="V230" s="68" t="n"/>
      <c r="W230" s="69" t="n"/>
      <c r="X230" s="68" t="n"/>
      <c r="Y230" s="69" t="n"/>
      <c r="Z230" s="68" t="n"/>
      <c r="AA230" s="69" t="n"/>
      <c r="AB230" s="68" t="n"/>
      <c r="AC230" s="69" t="n"/>
      <c r="AD230" s="70">
        <f>IF(AND(COUNTIF($B$5:B230,B230)=1,$B230&lt;&gt;"",$AB230&lt;&gt;""),1,0)</f>
        <v/>
      </c>
      <c r="AE230" s="67" t="inlineStr">
        <is>
          <t>https://www.eltiempo.com/salud/liquidar-eps-podria-provocar-una-crisis-sin-precedentes-y-pondria-en-riesgo-a-millones-de-pacientes-advierten-exministros-y-actores-del-sector-salud-3526372</t>
        </is>
      </c>
      <c r="AF230" s="64" t="n"/>
      <c r="AG230" s="65" t="n"/>
    </row>
    <row r="231" ht="15" customHeight="1" s="31">
      <c r="A231" s="66" t="inlineStr">
        <is>
          <t>ART_050</t>
        </is>
      </c>
      <c r="B231" s="66" t="inlineStr">
        <is>
          <t>ART_050_S07</t>
        </is>
      </c>
      <c r="C231" s="66" t="inlineStr">
        <is>
          <t>El Tiempo</t>
        </is>
      </c>
      <c r="D231" s="66" t="inlineStr">
        <is>
          <t>Salud</t>
        </is>
      </c>
      <c r="E231" s="66" t="inlineStr">
        <is>
          <t>Noticia dura</t>
        </is>
      </c>
      <c r="F231" s="66" t="inlineStr">
        <is>
          <t>2026-01-22T16:35:02-05:00</t>
        </is>
      </c>
      <c r="G231" s="67" t="inlineStr">
        <is>
          <t>Según el documento, adoptar una medida “generalizada y apresurada” sin un plan probado y sin un sustituto operativo claro podría desencadenar una crisis asistencial, financiera y funcional “sin precedentes” en el sistema de salud.</t>
        </is>
      </c>
      <c r="H231" s="67" t="inlineStr">
        <is>
          <t>En ese sentido, el pronunciamiento de los distintos actores del sector surge como respuesta directa a las advertencias presidenciales sobre una eventual liquidación de las EPS que actualmente se encuentran bajo medida de intervención.</t>
        </is>
      </c>
      <c r="I231" s="67" t="inlineStr">
        <is>
          <t>Las organizaciones firmantes señalaron que, pese a las heterogeneidades y dificultades que enfrentan, las EPS cumplen hoy funciones esenciales para el funcionamiento del sistema.</t>
        </is>
      </c>
      <c r="J231" s="68" t="n"/>
      <c r="K231" s="69" t="n"/>
      <c r="L231" s="68" t="n"/>
      <c r="M231" s="69" t="n"/>
      <c r="N231" s="68" t="n"/>
      <c r="O231" s="69" t="n"/>
      <c r="P231" s="68" t="n"/>
      <c r="Q231" s="69" t="n"/>
      <c r="R231" s="68" t="n"/>
      <c r="S231" s="69" t="n"/>
      <c r="T231" s="68" t="n"/>
      <c r="U231" s="69" t="n"/>
      <c r="V231" s="68" t="n"/>
      <c r="W231" s="69" t="n"/>
      <c r="X231" s="68" t="n"/>
      <c r="Y231" s="69" t="n"/>
      <c r="Z231" s="68" t="n"/>
      <c r="AA231" s="69" t="n"/>
      <c r="AB231" s="68" t="n"/>
      <c r="AC231" s="69" t="n"/>
      <c r="AD231" s="70">
        <f>IF(AND(COUNTIF($B$5:B231,B231)=1,$B231&lt;&gt;"",$AB231&lt;&gt;""),1,0)</f>
        <v/>
      </c>
      <c r="AE231" s="67" t="inlineStr">
        <is>
          <t>https://www.eltiempo.com/salud/liquidar-eps-podria-provocar-una-crisis-sin-precedentes-y-pondria-en-riesgo-a-millones-de-pacientes-advierten-exministros-y-actores-del-sector-salud-3526372</t>
        </is>
      </c>
      <c r="AF231" s="64" t="n"/>
      <c r="AG231" s="65" t="n"/>
    </row>
    <row r="232" ht="15" customHeight="1" s="31">
      <c r="A232" s="66" t="inlineStr">
        <is>
          <t>ART_050</t>
        </is>
      </c>
      <c r="B232" s="66" t="inlineStr">
        <is>
          <t>ART_050_S08</t>
        </is>
      </c>
      <c r="C232" s="66" t="inlineStr">
        <is>
          <t>El Tiempo</t>
        </is>
      </c>
      <c r="D232" s="66" t="inlineStr">
        <is>
          <t>Salud</t>
        </is>
      </c>
      <c r="E232" s="66" t="inlineStr">
        <is>
          <t>Noticia dura</t>
        </is>
      </c>
      <c r="F232" s="66" t="inlineStr">
        <is>
          <t>2026-01-22T16:35:02-05:00</t>
        </is>
      </c>
      <c r="G232" s="67" t="inlineStr">
        <is>
          <t>Las organizaciones firmantes señalaron que, pese a las heterogeneidades y dificultades que enfrentan, las EPS cumplen hoy funciones esenciales para el funcionamiento del sistema.</t>
        </is>
      </c>
      <c r="H232" s="67" t="inlineStr">
        <is>
          <t>Según el documento, adoptar una medida “generalizada y apresurada” sin un plan probado y sin un sustituto operativo claro podría desencadenar una crisis asistencial, financiera y funcional “sin precedentes” en el sistema de salud.</t>
        </is>
      </c>
      <c r="I232" s="67" t="inlineStr">
        <is>
          <t>Entre ellas, destacaron la gestión del riesgo en salud, la organización de las redes de prestación, la articulación entre los distintos niveles de atención, la garantía de continuidad de los tratamientos y el pago a miles de Instituciones Prestadoras de Servicios de Salud (IPS) en todo el territorio nacional.</t>
        </is>
      </c>
      <c r="J232" s="68" t="n"/>
      <c r="K232" s="69" t="n"/>
      <c r="L232" s="68" t="n"/>
      <c r="M232" s="69" t="n"/>
      <c r="N232" s="68" t="n"/>
      <c r="O232" s="69" t="n"/>
      <c r="P232" s="68" t="n"/>
      <c r="Q232" s="69" t="n"/>
      <c r="R232" s="68" t="n"/>
      <c r="S232" s="69" t="n"/>
      <c r="T232" s="68" t="n"/>
      <c r="U232" s="69" t="n"/>
      <c r="V232" s="68" t="n"/>
      <c r="W232" s="69" t="n"/>
      <c r="X232" s="68" t="n"/>
      <c r="Y232" s="69" t="n"/>
      <c r="Z232" s="68" t="n"/>
      <c r="AA232" s="69" t="n"/>
      <c r="AB232" s="68" t="n"/>
      <c r="AC232" s="69" t="n"/>
      <c r="AD232" s="70">
        <f>IF(AND(COUNTIF($B$5:B232,B232)=1,$B232&lt;&gt;"",$AB232&lt;&gt;""),1,0)</f>
        <v/>
      </c>
      <c r="AE232" s="67" t="inlineStr">
        <is>
          <t>https://www.eltiempo.com/salud/liquidar-eps-podria-provocar-una-crisis-sin-precedentes-y-pondria-en-riesgo-a-millones-de-pacientes-advierten-exministros-y-actores-del-sector-salud-3526372</t>
        </is>
      </c>
      <c r="AF232" s="64" t="n"/>
      <c r="AG232" s="65" t="n"/>
    </row>
    <row r="233" ht="15" customHeight="1" s="31">
      <c r="A233" s="66" t="inlineStr">
        <is>
          <t>ART_050</t>
        </is>
      </c>
      <c r="B233" s="66" t="inlineStr">
        <is>
          <t>ART_050_S09</t>
        </is>
      </c>
      <c r="C233" s="66" t="inlineStr">
        <is>
          <t>El Tiempo</t>
        </is>
      </c>
      <c r="D233" s="66" t="inlineStr">
        <is>
          <t>Salud</t>
        </is>
      </c>
      <c r="E233" s="66" t="inlineStr">
        <is>
          <t>Noticia dura</t>
        </is>
      </c>
      <c r="F233" s="66" t="inlineStr">
        <is>
          <t>2026-01-22T16:35:02-05:00</t>
        </is>
      </c>
      <c r="G233" s="67" t="inlineStr">
        <is>
          <t>Entre ellas, destacaron la gestión del riesgo en salud, la organización de las redes de prestación, la articulación entre los distintos niveles de atención, la garantía de continuidad de los tratamientos y el pago a miles de Instituciones Prestadoras de Servicios de Salud (IPS) en todo el territorio nacional.</t>
        </is>
      </c>
      <c r="H233" s="67" t="inlineStr">
        <is>
          <t>Las organizaciones firmantes señalaron que, pese a las heterogeneidades y dificultades que enfrentan, las EPS cumplen hoy funciones esenciales para el funcionamiento del sistema.</t>
        </is>
      </c>
      <c r="I233" s="67" t="inlineStr">
        <is>
          <t>Eliminar de forma abrupta estos agentes, sin que exista una entidad pública o privada con capacidad operativa probada para reemplazarlos, generaría un vacío inmediato que el Estado no está en condiciones de asumir.</t>
        </is>
      </c>
      <c r="J233" s="68" t="n"/>
      <c r="K233" s="69" t="n"/>
      <c r="L233" s="68" t="n"/>
      <c r="M233" s="69" t="n"/>
      <c r="N233" s="68" t="n"/>
      <c r="O233" s="69" t="n"/>
      <c r="P233" s="68" t="n"/>
      <c r="Q233" s="69" t="n"/>
      <c r="R233" s="68" t="n"/>
      <c r="S233" s="69" t="n"/>
      <c r="T233" s="68" t="n"/>
      <c r="U233" s="69" t="n"/>
      <c r="V233" s="68" t="n"/>
      <c r="W233" s="69" t="n"/>
      <c r="X233" s="68" t="n"/>
      <c r="Y233" s="69" t="n"/>
      <c r="Z233" s="68" t="n"/>
      <c r="AA233" s="69" t="n"/>
      <c r="AB233" s="68" t="n"/>
      <c r="AC233" s="69" t="n"/>
      <c r="AD233" s="70">
        <f>IF(AND(COUNTIF($B$5:B233,B233)=1,$B233&lt;&gt;"",$AB233&lt;&gt;""),1,0)</f>
        <v/>
      </c>
      <c r="AE233" s="67" t="inlineStr">
        <is>
          <t>https://www.eltiempo.com/salud/liquidar-eps-podria-provocar-una-crisis-sin-precedentes-y-pondria-en-riesgo-a-millones-de-pacientes-advierten-exministros-y-actores-del-sector-salud-3526372</t>
        </is>
      </c>
      <c r="AF233" s="64" t="n"/>
      <c r="AG233" s="65" t="n"/>
    </row>
    <row r="234" ht="15" customHeight="1" s="31">
      <c r="A234" s="66" t="inlineStr">
        <is>
          <t>ART_050</t>
        </is>
      </c>
      <c r="B234" s="66" t="inlineStr">
        <is>
          <t>ART_050_S10</t>
        </is>
      </c>
      <c r="C234" s="66" t="inlineStr">
        <is>
          <t>El Tiempo</t>
        </is>
      </c>
      <c r="D234" s="66" t="inlineStr">
        <is>
          <t>Salud</t>
        </is>
      </c>
      <c r="E234" s="66" t="inlineStr">
        <is>
          <t>Noticia dura</t>
        </is>
      </c>
      <c r="F234" s="66" t="inlineStr">
        <is>
          <t>2026-01-22T16:35:02-05:00</t>
        </is>
      </c>
      <c r="G234" s="67" t="inlineStr">
        <is>
          <t>Eliminar de forma abrupta estos agentes, sin que exista una entidad pública o privada con capacidad operativa probada para reemplazarlos, generaría un vacío inmediato que el Estado no está en condiciones de asumir.</t>
        </is>
      </c>
      <c r="H234" s="67" t="inlineStr">
        <is>
          <t>Entre ellas, destacaron la gestión del riesgo en salud, la organización de las redes de prestación, la articulación entre los distintos niveles de atención, la garantía de continuidad de los tratamientos y el pago a miles de Instituciones Prestadoras de Servicios de Salud (IPS) en todo el territorio nacional.</t>
        </is>
      </c>
      <c r="I234" s="67" t="inlineStr">
        <is>
          <t>El comunicado advierte que actualmente no existe ninguna institución del Gobierno nacional o regional capaz de administrar, autorizar, auditar y pagar de manera simultánea millones de servicios de salud en todo el país, en un escenario de liquidación masiva.</t>
        </is>
      </c>
      <c r="J234" s="68" t="n"/>
      <c r="K234" s="69" t="n"/>
      <c r="L234" s="68" t="n"/>
      <c r="M234" s="69" t="n"/>
      <c r="N234" s="68" t="n"/>
      <c r="O234" s="69" t="n"/>
      <c r="P234" s="68" t="n"/>
      <c r="Q234" s="69" t="n"/>
      <c r="R234" s="68" t="n"/>
      <c r="S234" s="69" t="n"/>
      <c r="T234" s="68" t="n"/>
      <c r="U234" s="69" t="n"/>
      <c r="V234" s="68" t="n"/>
      <c r="W234" s="69" t="n"/>
      <c r="X234" s="68" t="n"/>
      <c r="Y234" s="69" t="n"/>
      <c r="Z234" s="68" t="n"/>
      <c r="AA234" s="69" t="n"/>
      <c r="AB234" s="68" t="n"/>
      <c r="AC234" s="69" t="n"/>
      <c r="AD234" s="70">
        <f>IF(AND(COUNTIF($B$5:B234,B234)=1,$B234&lt;&gt;"",$AB234&lt;&gt;""),1,0)</f>
        <v/>
      </c>
      <c r="AE234" s="67" t="inlineStr">
        <is>
          <t>https://www.eltiempo.com/salud/liquidar-eps-podria-provocar-una-crisis-sin-precedentes-y-pondria-en-riesgo-a-millones-de-pacientes-advierten-exministros-y-actores-del-sector-salud-3526372</t>
        </is>
      </c>
      <c r="AF234" s="64" t="n"/>
      <c r="AG234" s="65" t="n"/>
    </row>
    <row r="235" ht="15" customHeight="1" s="31">
      <c r="A235" s="66" t="inlineStr">
        <is>
          <t>ART_050</t>
        </is>
      </c>
      <c r="B235" s="66" t="inlineStr">
        <is>
          <t>ART_050_S11</t>
        </is>
      </c>
      <c r="C235" s="66" t="inlineStr">
        <is>
          <t>El Tiempo</t>
        </is>
      </c>
      <c r="D235" s="66" t="inlineStr">
        <is>
          <t>Salud</t>
        </is>
      </c>
      <c r="E235" s="66" t="inlineStr">
        <is>
          <t>Noticia dura</t>
        </is>
      </c>
      <c r="F235" s="66" t="inlineStr">
        <is>
          <t>2026-01-22T16:35:02-05:00</t>
        </is>
      </c>
      <c r="G235" s="67" t="inlineStr">
        <is>
          <t>El comunicado advierte que actualmente no existe ninguna institución del Gobierno nacional o regional capaz de administrar, autorizar, auditar y pagar de manera simultánea millones de servicios de salud en todo el país, en un escenario de liquidación masiva.</t>
        </is>
      </c>
      <c r="H235" s="67" t="inlineStr">
        <is>
          <t>Eliminar de forma abrupta estos agentes, sin que exista una entidad pública o privada con capacidad operativa probada para reemplazarlos, generaría un vacío inmediato que el Estado no está en condiciones de asumir.</t>
        </is>
      </c>
      <c r="I235" s="67" t="inlineStr">
        <is>
          <t>Uno de los puntos más sensibles del pronunciamiento está relacionado con el impacto directo que tendría una eventual liquidación de las EPS intervenidas sobre los pacientes, especialmente aquellos que padecen enfermedades huérfanas, crónicas o de alto costo, así como quienes requieren tratamientos continuos.</t>
        </is>
      </c>
      <c r="J235" s="68" t="n"/>
      <c r="K235" s="69" t="n"/>
      <c r="L235" s="68" t="n"/>
      <c r="M235" s="69" t="n"/>
      <c r="N235" s="68" t="n"/>
      <c r="O235" s="69" t="n"/>
      <c r="P235" s="68" t="n"/>
      <c r="Q235" s="69" t="n"/>
      <c r="R235" s="68" t="n"/>
      <c r="S235" s="69" t="n"/>
      <c r="T235" s="68" t="n"/>
      <c r="U235" s="69" t="n"/>
      <c r="V235" s="68" t="n"/>
      <c r="W235" s="69" t="n"/>
      <c r="X235" s="68" t="n"/>
      <c r="Y235" s="69" t="n"/>
      <c r="Z235" s="68" t="n"/>
      <c r="AA235" s="69" t="n"/>
      <c r="AB235" s="68" t="n"/>
      <c r="AC235" s="69" t="n"/>
      <c r="AD235" s="70">
        <f>IF(AND(COUNTIF($B$5:B235,B235)=1,$B235&lt;&gt;"",$AB235&lt;&gt;""),1,0)</f>
        <v/>
      </c>
      <c r="AE235" s="67" t="inlineStr">
        <is>
          <t>https://www.eltiempo.com/salud/liquidar-eps-podria-provocar-una-crisis-sin-precedentes-y-pondria-en-riesgo-a-millones-de-pacientes-advierten-exministros-y-actores-del-sector-salud-3526372</t>
        </is>
      </c>
      <c r="AF235" s="64" t="n"/>
      <c r="AG235" s="65" t="n"/>
    </row>
    <row r="236" ht="15" customHeight="1" s="31">
      <c r="A236" s="66" t="inlineStr">
        <is>
          <t>ART_050</t>
        </is>
      </c>
      <c r="B236" s="66" t="inlineStr">
        <is>
          <t>ART_050_S12</t>
        </is>
      </c>
      <c r="C236" s="66" t="inlineStr">
        <is>
          <t>El Tiempo</t>
        </is>
      </c>
      <c r="D236" s="66" t="inlineStr">
        <is>
          <t>Salud</t>
        </is>
      </c>
      <c r="E236" s="66" t="inlineStr">
        <is>
          <t>Noticia dura</t>
        </is>
      </c>
      <c r="F236" s="66" t="inlineStr">
        <is>
          <t>2026-01-22T16:35:02-05:00</t>
        </is>
      </c>
      <c r="G236" s="67" t="inlineStr">
        <is>
          <t>Uno de los puntos más sensibles del pronunciamiento está relacionado con el impacto directo que tendría una eventual liquidación de las EPS intervenidas sobre los pacientes, especialmente aquellos que padecen enfermedades huérfanas, crónicas o de alto costo, así como quienes requieren tratamientos continuos.</t>
        </is>
      </c>
      <c r="H236" s="67" t="inlineStr">
        <is>
          <t>El comunicado advierte que actualmente no existe ninguna institución del Gobierno nacional o regional capaz de administrar, autorizar, auditar y pagar de manera simultánea millones de servicios de salud en todo el país, en un escenario de liquidación masiva.</t>
        </is>
      </c>
      <c r="I236" s="67" t="inlineStr"/>
      <c r="J236" s="68" t="n"/>
      <c r="K236" s="69" t="n"/>
      <c r="L236" s="68" t="n"/>
      <c r="M236" s="69" t="n"/>
      <c r="N236" s="68" t="n"/>
      <c r="O236" s="69" t="n"/>
      <c r="P236" s="68" t="n"/>
      <c r="Q236" s="69" t="n"/>
      <c r="R236" s="68" t="n"/>
      <c r="S236" s="69" t="n"/>
      <c r="T236" s="68" t="n"/>
      <c r="U236" s="69" t="n"/>
      <c r="V236" s="68" t="n"/>
      <c r="W236" s="69" t="n"/>
      <c r="X236" s="68" t="n"/>
      <c r="Y236" s="69" t="n"/>
      <c r="Z236" s="68" t="n"/>
      <c r="AA236" s="69" t="n"/>
      <c r="AB236" s="68" t="n"/>
      <c r="AC236" s="69" t="n"/>
      <c r="AD236" s="70">
        <f>IF(AND(COUNTIF($B$5:B236,B236)=1,$B236&lt;&gt;"",$AB236&lt;&gt;""),1,0)</f>
        <v/>
      </c>
      <c r="AE236" s="67" t="inlineStr">
        <is>
          <t>https://www.eltiempo.com/salud/liquidar-eps-podria-provocar-una-crisis-sin-precedentes-y-pondria-en-riesgo-a-millones-de-pacientes-advierten-exministros-y-actores-del-sector-salud-3526372</t>
        </is>
      </c>
      <c r="AF236" s="64" t="n"/>
      <c r="AG236" s="65" t="n"/>
    </row>
    <row r="237" ht="15" customHeight="1" s="31">
      <c r="A237" s="66" t="inlineStr">
        <is>
          <t>ART_051</t>
        </is>
      </c>
      <c r="B237" s="66" t="inlineStr">
        <is>
          <t>ART_051_S01</t>
        </is>
      </c>
      <c r="C237" s="66" t="inlineStr">
        <is>
          <t>El Tiempo</t>
        </is>
      </c>
      <c r="D237" s="66" t="inlineStr">
        <is>
          <t>Salud</t>
        </is>
      </c>
      <c r="E237" s="66" t="inlineStr">
        <is>
          <t>Noticia dura</t>
        </is>
      </c>
      <c r="F237" s="66" t="inlineStr">
        <is>
          <t>2026-06-02T12:37:17-05:00</t>
        </is>
      </c>
      <c r="G237" s="67" t="inlineStr">
        <is>
          <t>Varios usuarios de la Nueva EPS amanecieron hoy, 2 de mayo, encadenados en la sede de Bucaramanga como forma de protesta.</t>
        </is>
      </c>
      <c r="H237" s="67" t="inlineStr"/>
      <c r="I237" s="67" t="inlineStr">
        <is>
          <t>Denuncian que no han recibido atención adecuada, que no les han entregado medicamentos y que tampoco se han autorizado tratamientos para pacientes con enfermedades graves, como cáncer.</t>
        </is>
      </c>
      <c r="J237" s="68" t="n"/>
      <c r="K237" s="69" t="n"/>
      <c r="L237" s="68" t="n"/>
      <c r="M237" s="69" t="n"/>
      <c r="N237" s="68" t="n"/>
      <c r="O237" s="69" t="n"/>
      <c r="P237" s="68" t="n"/>
      <c r="Q237" s="69" t="n"/>
      <c r="R237" s="68" t="n"/>
      <c r="S237" s="69" t="n"/>
      <c r="T237" s="68" t="n"/>
      <c r="U237" s="69" t="n"/>
      <c r="V237" s="68" t="n"/>
      <c r="W237" s="69" t="n"/>
      <c r="X237" s="68" t="n"/>
      <c r="Y237" s="69" t="n"/>
      <c r="Z237" s="68" t="n"/>
      <c r="AA237" s="69" t="n"/>
      <c r="AB237" s="68" t="n"/>
      <c r="AC237" s="69" t="n"/>
      <c r="AD237" s="70">
        <f>IF(AND(COUNTIF($B$5:B237,B237)=1,$B237&lt;&gt;"",$AB237&lt;&gt;""),1,0)</f>
        <v/>
      </c>
      <c r="AE237" s="67" t="inlineStr">
        <is>
          <t>https://www.eltiempo.com/colombia/santander/protesta-masiva-de-varios-pacientes-de-la-nueva-eps-en-bucaramanga-denuncian-que-no-entregan-medicamentos-ni-aprueban-tratamientos-se-encadenaron-3561435</t>
        </is>
      </c>
      <c r="AF237" s="64" t="n"/>
      <c r="AG237" s="65" t="n"/>
    </row>
    <row r="238" ht="15" customHeight="1" s="31">
      <c r="A238" s="66" t="inlineStr">
        <is>
          <t>ART_051</t>
        </is>
      </c>
      <c r="B238" s="66" t="inlineStr">
        <is>
          <t>ART_051_S02</t>
        </is>
      </c>
      <c r="C238" s="66" t="inlineStr">
        <is>
          <t>El Tiempo</t>
        </is>
      </c>
      <c r="D238" s="66" t="inlineStr">
        <is>
          <t>Salud</t>
        </is>
      </c>
      <c r="E238" s="66" t="inlineStr">
        <is>
          <t>Noticia dura</t>
        </is>
      </c>
      <c r="F238" s="66" t="inlineStr">
        <is>
          <t>2026-06-02T12:37:17-05:00</t>
        </is>
      </c>
      <c r="G238" s="67" t="inlineStr">
        <is>
          <t>Denuncian que no han recibido atención adecuada, que no les han entregado medicamentos y que tampoco se han autorizado tratamientos para pacientes con enfermedades graves, como cáncer.</t>
        </is>
      </c>
      <c r="H238" s="67" t="inlineStr">
        <is>
          <t>Varios usuarios de la Nueva EPS amanecieron hoy, 2 de mayo, encadenados en la sede de Bucaramanga como forma de protesta.</t>
        </is>
      </c>
      <c r="I238" s="67" t="inlineStr"/>
      <c r="J238" s="68" t="n"/>
      <c r="K238" s="69" t="n"/>
      <c r="L238" s="68" t="n"/>
      <c r="M238" s="69" t="n"/>
      <c r="N238" s="68" t="n"/>
      <c r="O238" s="69" t="n"/>
      <c r="P238" s="68" t="n"/>
      <c r="Q238" s="69" t="n"/>
      <c r="R238" s="68" t="n"/>
      <c r="S238" s="69" t="n"/>
      <c r="T238" s="68" t="n"/>
      <c r="U238" s="69" t="n"/>
      <c r="V238" s="68" t="n"/>
      <c r="W238" s="69" t="n"/>
      <c r="X238" s="68" t="n"/>
      <c r="Y238" s="69" t="n"/>
      <c r="Z238" s="68" t="n"/>
      <c r="AA238" s="69" t="n"/>
      <c r="AB238" s="68" t="n"/>
      <c r="AC238" s="69" t="n"/>
      <c r="AD238" s="70">
        <f>IF(AND(COUNTIF($B$5:B238,B238)=1,$B238&lt;&gt;"",$AB238&lt;&gt;""),1,0)</f>
        <v/>
      </c>
      <c r="AE238" s="67" t="inlineStr">
        <is>
          <t>https://www.eltiempo.com/colombia/santander/protesta-masiva-de-varios-pacientes-de-la-nueva-eps-en-bucaramanga-denuncian-que-no-entregan-medicamentos-ni-aprueban-tratamientos-se-encadenaron-3561435</t>
        </is>
      </c>
      <c r="AF238" s="64" t="n"/>
      <c r="AG238" s="65" t="n"/>
    </row>
    <row r="239" ht="15" customHeight="1" s="31">
      <c r="A239" s="66" t="inlineStr">
        <is>
          <t>ART_052</t>
        </is>
      </c>
      <c r="B239" s="66" t="inlineStr">
        <is>
          <t>ART_052_S01</t>
        </is>
      </c>
      <c r="C239" s="66" t="inlineStr">
        <is>
          <t>El Tiempo</t>
        </is>
      </c>
      <c r="D239" s="66" t="inlineStr">
        <is>
          <t>Salud</t>
        </is>
      </c>
      <c r="E239" s="66" t="inlineStr">
        <is>
          <t>Opinión-análisis</t>
        </is>
      </c>
      <c r="F239" s="66" t="inlineStr">
        <is>
          <t>2024-09-17T20:00:00-05:00</t>
        </is>
      </c>
      <c r="G239" s="67" t="inlineStr">
        <is>
          <t>No necesitamos un proyecto de ley que represente un cambio estructural del sistema de salud.</t>
        </is>
      </c>
      <c r="H239" s="67" t="inlineStr"/>
      <c r="I239" s="67" t="inlineStr">
        <is>
          <t>La propuesta radicada en el Congreso y que tiene su origen en el grupo de acuerdos fundamentales, en donde se encuentra la Asociación Colombiana de Sociedades Científicas, es producto de un espíritu independiente, académico, técnico y científico.</t>
        </is>
      </c>
      <c r="J239" s="68" t="n"/>
      <c r="K239" s="69" t="n"/>
      <c r="L239" s="68" t="n"/>
      <c r="M239" s="69" t="n"/>
      <c r="N239" s="68" t="n"/>
      <c r="O239" s="69" t="n"/>
      <c r="P239" s="68" t="n"/>
      <c r="Q239" s="69" t="n"/>
      <c r="R239" s="68" t="n"/>
      <c r="S239" s="69" t="n"/>
      <c r="T239" s="68" t="n"/>
      <c r="U239" s="69" t="n"/>
      <c r="V239" s="68" t="n"/>
      <c r="W239" s="69" t="n"/>
      <c r="X239" s="68" t="n"/>
      <c r="Y239" s="69" t="n"/>
      <c r="Z239" s="68" t="n"/>
      <c r="AA239" s="69" t="n"/>
      <c r="AB239" s="68" t="n"/>
      <c r="AC239" s="69" t="n"/>
      <c r="AD239" s="70">
        <f>IF(AND(COUNTIF($B$5:B239,B239)=1,$B239&lt;&gt;"",$AB239&lt;&gt;""),1,0)</f>
        <v/>
      </c>
      <c r="AE239" s="67" t="inlineStr">
        <is>
          <t>https://www.eltiempo.com/opinion/columnistas/vuelve-y-juega-la-reforma-a-la-salud-3382022</t>
        </is>
      </c>
      <c r="AF239" s="64" t="n"/>
      <c r="AG239" s="65" t="n"/>
    </row>
    <row r="240" ht="15" customHeight="1" s="31">
      <c r="A240" s="66" t="inlineStr">
        <is>
          <t>ART_052</t>
        </is>
      </c>
      <c r="B240" s="66" t="inlineStr">
        <is>
          <t>ART_052_S02</t>
        </is>
      </c>
      <c r="C240" s="66" t="inlineStr">
        <is>
          <t>El Tiempo</t>
        </is>
      </c>
      <c r="D240" s="66" t="inlineStr">
        <is>
          <t>Salud</t>
        </is>
      </c>
      <c r="E240" s="66" t="inlineStr">
        <is>
          <t>Opinión-análisis</t>
        </is>
      </c>
      <c r="F240" s="66" t="inlineStr">
        <is>
          <t>2024-09-17T20:00:00-05:00</t>
        </is>
      </c>
      <c r="G240" s="67" t="inlineStr">
        <is>
          <t>La propuesta radicada en el Congreso y que tiene su origen en el grupo de acuerdos fundamentales, en donde se encuentra la Asociación Colombiana de Sociedades Científicas, es producto de un espíritu independiente, académico, técnico y científico.</t>
        </is>
      </c>
      <c r="H240" s="67" t="inlineStr">
        <is>
          <t>No necesitamos un proyecto de ley que represente un cambio estructural del sistema de salud.</t>
        </is>
      </c>
      <c r="I240" s="67" t="inlineStr">
        <is>
          <t>Nuestro proyecto de ley considera que la mejor alternativa para mejorar el Sistema de Salud de los colombianos es reconocer que la Ley 1751 de 2015 (Estatutaria del Derecho Fundamental de la Salud), tiene pendiente su desarrollo a través de una ley ordinaria.</t>
        </is>
      </c>
      <c r="J240" s="68" t="n"/>
      <c r="K240" s="69" t="n"/>
      <c r="L240" s="68" t="n"/>
      <c r="M240" s="69" t="n"/>
      <c r="N240" s="68" t="n"/>
      <c r="O240" s="69" t="n"/>
      <c r="P240" s="68" t="n"/>
      <c r="Q240" s="69" t="n"/>
      <c r="R240" s="68" t="n"/>
      <c r="S240" s="69" t="n"/>
      <c r="T240" s="68" t="n"/>
      <c r="U240" s="69" t="n"/>
      <c r="V240" s="68" t="n"/>
      <c r="W240" s="69" t="n"/>
      <c r="X240" s="68" t="n"/>
      <c r="Y240" s="69" t="n"/>
      <c r="Z240" s="68" t="n"/>
      <c r="AA240" s="69" t="n"/>
      <c r="AB240" s="68" t="n"/>
      <c r="AC240" s="69" t="n"/>
      <c r="AD240" s="70">
        <f>IF(AND(COUNTIF($B$5:B240,B240)=1,$B240&lt;&gt;"",$AB240&lt;&gt;""),1,0)</f>
        <v/>
      </c>
      <c r="AE240" s="67" t="inlineStr">
        <is>
          <t>https://www.eltiempo.com/opinion/columnistas/vuelve-y-juega-la-reforma-a-la-salud-3382022</t>
        </is>
      </c>
      <c r="AF240" s="64" t="n"/>
      <c r="AG240" s="65" t="n"/>
    </row>
    <row r="241" ht="15" customHeight="1" s="31">
      <c r="A241" s="66" t="inlineStr">
        <is>
          <t>ART_052</t>
        </is>
      </c>
      <c r="B241" s="66" t="inlineStr">
        <is>
          <t>ART_052_S03</t>
        </is>
      </c>
      <c r="C241" s="66" t="inlineStr">
        <is>
          <t>El Tiempo</t>
        </is>
      </c>
      <c r="D241" s="66" t="inlineStr">
        <is>
          <t>Salud</t>
        </is>
      </c>
      <c r="E241" s="66" t="inlineStr">
        <is>
          <t>Opinión-análisis</t>
        </is>
      </c>
      <c r="F241" s="66" t="inlineStr">
        <is>
          <t>2024-09-17T20:00:00-05:00</t>
        </is>
      </c>
      <c r="G241" s="67" t="inlineStr">
        <is>
          <t>Nuestro proyecto de ley considera que la mejor alternativa para mejorar el Sistema de Salud de los colombianos es reconocer que la Ley 1751 de 2015 (Estatutaria del Derecho Fundamental de la Salud), tiene pendiente su desarrollo a través de una ley ordinaria.</t>
        </is>
      </c>
      <c r="H241" s="67" t="inlineStr">
        <is>
          <t>La propuesta radicada en el Congreso y que tiene su origen en el grupo de acuerdos fundamentales, en donde se encuentra la Asociación Colombiana de Sociedades Científicas, es producto de un espíritu independiente, académico, técnico y científico.</t>
        </is>
      </c>
      <c r="I241" s="67" t="inlineStr">
        <is>
          <t>Adicionalmente, consideramos que se debe trabajar para eliminar y evitar la corrupción, fenómeno que siempre ha estado acompañando la historia de nuestro país.</t>
        </is>
      </c>
      <c r="J241" s="68" t="n"/>
      <c r="K241" s="69" t="n"/>
      <c r="L241" s="68" t="n"/>
      <c r="M241" s="69" t="n"/>
      <c r="N241" s="68" t="n"/>
      <c r="O241" s="69" t="n"/>
      <c r="P241" s="68" t="n"/>
      <c r="Q241" s="69" t="n"/>
      <c r="R241" s="68" t="n"/>
      <c r="S241" s="69" t="n"/>
      <c r="T241" s="68" t="n"/>
      <c r="U241" s="69" t="n"/>
      <c r="V241" s="68" t="n"/>
      <c r="W241" s="69" t="n"/>
      <c r="X241" s="68" t="n"/>
      <c r="Y241" s="69" t="n"/>
      <c r="Z241" s="68" t="n"/>
      <c r="AA241" s="69" t="n"/>
      <c r="AB241" s="68" t="n"/>
      <c r="AC241" s="69" t="n"/>
      <c r="AD241" s="70">
        <f>IF(AND(COUNTIF($B$5:B241,B241)=1,$B241&lt;&gt;"",$AB241&lt;&gt;""),1,0)</f>
        <v/>
      </c>
      <c r="AE241" s="67" t="inlineStr">
        <is>
          <t>https://www.eltiempo.com/opinion/columnistas/vuelve-y-juega-la-reforma-a-la-salud-3382022</t>
        </is>
      </c>
      <c r="AF241" s="64" t="n"/>
      <c r="AG241" s="65" t="n"/>
    </row>
    <row r="242" ht="15" customHeight="1" s="31">
      <c r="A242" s="66" t="inlineStr">
        <is>
          <t>ART_052</t>
        </is>
      </c>
      <c r="B242" s="66" t="inlineStr">
        <is>
          <t>ART_052_S04</t>
        </is>
      </c>
      <c r="C242" s="66" t="inlineStr">
        <is>
          <t>El Tiempo</t>
        </is>
      </c>
      <c r="D242" s="66" t="inlineStr">
        <is>
          <t>Salud</t>
        </is>
      </c>
      <c r="E242" s="66" t="inlineStr">
        <is>
          <t>Opinión-análisis</t>
        </is>
      </c>
      <c r="F242" s="66" t="inlineStr">
        <is>
          <t>2024-09-17T20:00:00-05:00</t>
        </is>
      </c>
      <c r="G242" s="67" t="inlineStr">
        <is>
          <t>Adicionalmente, consideramos que se debe trabajar para eliminar y evitar la corrupción, fenómeno que siempre ha estado acompañando la historia de nuestro país.</t>
        </is>
      </c>
      <c r="H242" s="67" t="inlineStr">
        <is>
          <t>Nuestro proyecto de ley considera que la mejor alternativa para mejorar el Sistema de Salud de los colombianos es reconocer que la Ley 1751 de 2015 (Estatutaria del Derecho Fundamental de la Salud), tiene pendiente su desarrollo a través de una ley ordinaria.</t>
        </is>
      </c>
      <c r="I242" s="67" t="inlineStr">
        <is>
          <t>Dentro del marco de nuestra realidad proponemos los siguientes puntos:</t>
        </is>
      </c>
      <c r="J242" s="68" t="n"/>
      <c r="K242" s="69" t="n"/>
      <c r="L242" s="68" t="n"/>
      <c r="M242" s="69" t="n"/>
      <c r="N242" s="68" t="n"/>
      <c r="O242" s="69" t="n"/>
      <c r="P242" s="68" t="n"/>
      <c r="Q242" s="69" t="n"/>
      <c r="R242" s="68" t="n"/>
      <c r="S242" s="69" t="n"/>
      <c r="T242" s="68" t="n"/>
      <c r="U242" s="69" t="n"/>
      <c r="V242" s="68" t="n"/>
      <c r="W242" s="69" t="n"/>
      <c r="X242" s="68" t="n"/>
      <c r="Y242" s="69" t="n"/>
      <c r="Z242" s="68" t="n"/>
      <c r="AA242" s="69" t="n"/>
      <c r="AB242" s="68" t="n"/>
      <c r="AC242" s="69" t="n"/>
      <c r="AD242" s="70">
        <f>IF(AND(COUNTIF($B$5:B242,B242)=1,$B242&lt;&gt;"",$AB242&lt;&gt;""),1,0)</f>
        <v/>
      </c>
      <c r="AE242" s="67" t="inlineStr">
        <is>
          <t>https://www.eltiempo.com/opinion/columnistas/vuelve-y-juega-la-reforma-a-la-salud-3382022</t>
        </is>
      </c>
      <c r="AF242" s="64" t="n"/>
      <c r="AG242" s="65" t="n"/>
    </row>
    <row r="243" ht="15" customHeight="1" s="31">
      <c r="A243" s="66" t="inlineStr">
        <is>
          <t>ART_052</t>
        </is>
      </c>
      <c r="B243" s="66" t="inlineStr">
        <is>
          <t>ART_052_S05</t>
        </is>
      </c>
      <c r="C243" s="66" t="inlineStr">
        <is>
          <t>El Tiempo</t>
        </is>
      </c>
      <c r="D243" s="66" t="inlineStr">
        <is>
          <t>Salud</t>
        </is>
      </c>
      <c r="E243" s="66" t="inlineStr">
        <is>
          <t>Opinión-análisis</t>
        </is>
      </c>
      <c r="F243" s="66" t="inlineStr">
        <is>
          <t>2024-09-17T20:00:00-05:00</t>
        </is>
      </c>
      <c r="G243" s="67" t="inlineStr">
        <is>
          <t>Dentro del marco de nuestra realidad proponemos los siguientes puntos:</t>
        </is>
      </c>
      <c r="H243" s="67" t="inlineStr">
        <is>
          <t>Adicionalmente, consideramos que se debe trabajar para eliminar y evitar la corrupción, fenómeno que siempre ha estado acompañando la historia de nuestro país.</t>
        </is>
      </c>
      <c r="I243" s="67" t="inlineStr">
        <is>
          <t>Un modelo de aseguramiento mixto, donde las EPS que pasarán a llamarse Empresas Gestoras de Salud, asumirán la gestión del riesgo en la prestación del servicio en salud y asumirán el riesgo operativo o administrativo, es decir, deberán contratar servicios con las redes integrales; de igual manera, tendrán la obligación y el deber de la afiliación, como un mecanismo para garantizar el derecho fundamental a la salud y representar al usuario.</t>
        </is>
      </c>
      <c r="J243" s="68" t="n"/>
      <c r="K243" s="69" t="n"/>
      <c r="L243" s="68" t="n"/>
      <c r="M243" s="69" t="n"/>
      <c r="N243" s="68" t="n"/>
      <c r="O243" s="69" t="n"/>
      <c r="P243" s="68" t="n"/>
      <c r="Q243" s="69" t="n"/>
      <c r="R243" s="68" t="n"/>
      <c r="S243" s="69" t="n"/>
      <c r="T243" s="68" t="n"/>
      <c r="U243" s="69" t="n"/>
      <c r="V243" s="68" t="n"/>
      <c r="W243" s="69" t="n"/>
      <c r="X243" s="68" t="n"/>
      <c r="Y243" s="69" t="n"/>
      <c r="Z243" s="68" t="n"/>
      <c r="AA243" s="69" t="n"/>
      <c r="AB243" s="68" t="n"/>
      <c r="AC243" s="69" t="n"/>
      <c r="AD243" s="70">
        <f>IF(AND(COUNTIF($B$5:B243,B243)=1,$B243&lt;&gt;"",$AB243&lt;&gt;""),1,0)</f>
        <v/>
      </c>
      <c r="AE243" s="67" t="inlineStr">
        <is>
          <t>https://www.eltiempo.com/opinion/columnistas/vuelve-y-juega-la-reforma-a-la-salud-3382022</t>
        </is>
      </c>
      <c r="AF243" s="64" t="n"/>
      <c r="AG243" s="65" t="n"/>
    </row>
    <row r="244" ht="15" customHeight="1" s="31">
      <c r="A244" s="66" t="inlineStr">
        <is>
          <t>ART_052</t>
        </is>
      </c>
      <c r="B244" s="66" t="inlineStr">
        <is>
          <t>ART_052_S06</t>
        </is>
      </c>
      <c r="C244" s="66" t="inlineStr">
        <is>
          <t>El Tiempo</t>
        </is>
      </c>
      <c r="D244" s="66" t="inlineStr">
        <is>
          <t>Salud</t>
        </is>
      </c>
      <c r="E244" s="66" t="inlineStr">
        <is>
          <t>Opinión-análisis</t>
        </is>
      </c>
      <c r="F244" s="66" t="inlineStr">
        <is>
          <t>2024-09-17T20:00:00-05:00</t>
        </is>
      </c>
      <c r="G244" s="67" t="inlineStr">
        <is>
          <t>Un modelo de aseguramiento mixto, donde las EPS que pasarán a llamarse Empresas Gestoras de Salud, asumirán la gestión del riesgo en la prestación del servicio en salud y asumirán el riesgo operativo o administrativo, es decir, deberán contratar servicios con las redes integrales; de igual manera, tendrán la obligación y el deber de la afiliación, como un mecanismo para garantizar el derecho fundamental a la salud y representar al usuario.</t>
        </is>
      </c>
      <c r="H244" s="67" t="inlineStr">
        <is>
          <t>Dentro del marco de nuestra realidad proponemos los siguientes puntos:</t>
        </is>
      </c>
      <c r="I244" s="67" t="inlineStr"/>
      <c r="J244" s="68" t="n"/>
      <c r="K244" s="69" t="n"/>
      <c r="L244" s="68" t="n"/>
      <c r="M244" s="69" t="n"/>
      <c r="N244" s="68" t="n"/>
      <c r="O244" s="69" t="n"/>
      <c r="P244" s="68" t="n"/>
      <c r="Q244" s="69" t="n"/>
      <c r="R244" s="68" t="n"/>
      <c r="S244" s="69" t="n"/>
      <c r="T244" s="68" t="n"/>
      <c r="U244" s="69" t="n"/>
      <c r="V244" s="68" t="n"/>
      <c r="W244" s="69" t="n"/>
      <c r="X244" s="68" t="n"/>
      <c r="Y244" s="69" t="n"/>
      <c r="Z244" s="68" t="n"/>
      <c r="AA244" s="69" t="n"/>
      <c r="AB244" s="68" t="n"/>
      <c r="AC244" s="69" t="n"/>
      <c r="AD244" s="70">
        <f>IF(AND(COUNTIF($B$5:B244,B244)=1,$B244&lt;&gt;"",$AB244&lt;&gt;""),1,0)</f>
        <v/>
      </c>
      <c r="AE244" s="67" t="inlineStr">
        <is>
          <t>https://www.eltiempo.com/opinion/columnistas/vuelve-y-juega-la-reforma-a-la-salud-3382022</t>
        </is>
      </c>
      <c r="AF244" s="64" t="n"/>
      <c r="AG244" s="65" t="n"/>
    </row>
    <row r="245" ht="15" customHeight="1" s="31">
      <c r="A245" s="66" t="inlineStr">
        <is>
          <t>ART_053</t>
        </is>
      </c>
      <c r="B245" s="66" t="inlineStr">
        <is>
          <t>ART_053_S01</t>
        </is>
      </c>
      <c r="C245" s="66" t="inlineStr">
        <is>
          <t>El Espectador</t>
        </is>
      </c>
      <c r="D245" s="66" t="inlineStr">
        <is>
          <t>Salud</t>
        </is>
      </c>
      <c r="E245" s="66" t="inlineStr">
        <is>
          <t>Noticia dura</t>
        </is>
      </c>
      <c r="F245" s="66" t="inlineStr">
        <is>
          <t>2026-05-25T11:53:20-05:00</t>
        </is>
      </c>
      <c r="G245" s="67" t="inlineStr">
        <is>
          <t>Acemi, el gremio que reúne a las EPS del régimen contributivo, dio a conocer una propuesta para transformar el sistema de salud colombiano en el próximo gobierno.</t>
        </is>
      </c>
      <c r="H245" s="67" t="inlineStr"/>
      <c r="I245" s="67" t="inlineStr">
        <is>
          <t>El gremio plantea una estabilización inmediata mediante un puesto de mando unificado para atender a pacientes en riesgo y garantizar el suministro de medicinas.</t>
        </is>
      </c>
      <c r="J245" s="68" t="n"/>
      <c r="K245" s="69" t="n"/>
      <c r="L245" s="68" t="n"/>
      <c r="M245" s="69" t="n"/>
      <c r="N245" s="68" t="n"/>
      <c r="O245" s="69" t="n"/>
      <c r="P245" s="68" t="n"/>
      <c r="Q245" s="69" t="n"/>
      <c r="R245" s="68" t="n"/>
      <c r="S245" s="69" t="n"/>
      <c r="T245" s="68" t="n"/>
      <c r="U245" s="69" t="n"/>
      <c r="V245" s="68" t="n"/>
      <c r="W245" s="69" t="n"/>
      <c r="X245" s="68" t="n"/>
      <c r="Y245" s="69" t="n"/>
      <c r="Z245" s="68" t="n"/>
      <c r="AA245" s="69" t="n"/>
      <c r="AB245" s="68" t="n"/>
      <c r="AC245" s="69" t="n"/>
      <c r="AD245" s="70">
        <f>IF(AND(COUNTIF($B$5:B245,B245)=1,$B245&lt;&gt;"",$AB245&lt;&gt;""),1,0)</f>
        <v/>
      </c>
      <c r="AE245" s="67" t="inlineStr">
        <is>
          <t>https://www.elespectador.com/salud/las-eps-plantean-estabilizar-primero-el-sistema-de-salud-antes-de-impulsar-nuevas-reformas/</t>
        </is>
      </c>
      <c r="AF245" s="64" t="n"/>
      <c r="AG245" s="65" t="n"/>
    </row>
    <row r="246" ht="15" customHeight="1" s="31">
      <c r="A246" s="66" t="inlineStr">
        <is>
          <t>ART_053</t>
        </is>
      </c>
      <c r="B246" s="66" t="inlineStr">
        <is>
          <t>ART_053_S02</t>
        </is>
      </c>
      <c r="C246" s="66" t="inlineStr">
        <is>
          <t>El Espectador</t>
        </is>
      </c>
      <c r="D246" s="66" t="inlineStr">
        <is>
          <t>Salud</t>
        </is>
      </c>
      <c r="E246" s="66" t="inlineStr">
        <is>
          <t>Noticia dura</t>
        </is>
      </c>
      <c r="F246" s="66" t="inlineStr">
        <is>
          <t>2026-05-25T11:53:20-05:00</t>
        </is>
      </c>
      <c r="G246" s="67" t="inlineStr">
        <is>
          <t>El gremio plantea una estabilización inmediata mediante un puesto de mando unificado para atender a pacientes en riesgo y garantizar el suministro de medicinas.</t>
        </is>
      </c>
      <c r="H246" s="67" t="inlineStr">
        <is>
          <t>Acemi, el gremio que reúne a las EPS del régimen contributivo, dio a conocer una propuesta para transformar el sistema de salud colombiano en el próximo gobierno.</t>
        </is>
      </c>
      <c r="I246" s="67" t="inlineStr">
        <is>
          <t>Se sugiere un saneamiento financiero gradual que incluye la búsqueda de nuevas fuentes de ingresos y una reingeniería de la Unidad de Pago por Capitación (UPC).</t>
        </is>
      </c>
      <c r="J246" s="68" t="n"/>
      <c r="K246" s="69" t="n"/>
      <c r="L246" s="68" t="n"/>
      <c r="M246" s="69" t="n"/>
      <c r="N246" s="68" t="n"/>
      <c r="O246" s="69" t="n"/>
      <c r="P246" s="68" t="n"/>
      <c r="Q246" s="69" t="n"/>
      <c r="R246" s="68" t="n"/>
      <c r="S246" s="69" t="n"/>
      <c r="T246" s="68" t="n"/>
      <c r="U246" s="69" t="n"/>
      <c r="V246" s="68" t="n"/>
      <c r="W246" s="69" t="n"/>
      <c r="X246" s="68" t="n"/>
      <c r="Y246" s="69" t="n"/>
      <c r="Z246" s="68" t="n"/>
      <c r="AA246" s="69" t="n"/>
      <c r="AB246" s="68" t="n"/>
      <c r="AC246" s="69" t="n"/>
      <c r="AD246" s="70">
        <f>IF(AND(COUNTIF($B$5:B246,B246)=1,$B246&lt;&gt;"",$AB246&lt;&gt;""),1,0)</f>
        <v/>
      </c>
      <c r="AE246" s="67" t="inlineStr">
        <is>
          <t>https://www.elespectador.com/salud/las-eps-plantean-estabilizar-primero-el-sistema-de-salud-antes-de-impulsar-nuevas-reformas/</t>
        </is>
      </c>
      <c r="AF246" s="64" t="n"/>
      <c r="AG246" s="65" t="n"/>
    </row>
    <row r="247" ht="15" customHeight="1" s="31">
      <c r="A247" s="66" t="inlineStr">
        <is>
          <t>ART_053</t>
        </is>
      </c>
      <c r="B247" s="66" t="inlineStr">
        <is>
          <t>ART_053_S03</t>
        </is>
      </c>
      <c r="C247" s="66" t="inlineStr">
        <is>
          <t>El Espectador</t>
        </is>
      </c>
      <c r="D247" s="66" t="inlineStr">
        <is>
          <t>Salud</t>
        </is>
      </c>
      <c r="E247" s="66" t="inlineStr">
        <is>
          <t>Noticia dura</t>
        </is>
      </c>
      <c r="F247" s="66" t="inlineStr">
        <is>
          <t>2026-05-25T11:53:20-05:00</t>
        </is>
      </c>
      <c r="G247" s="67" t="inlineStr">
        <is>
          <t>Se sugiere un saneamiento financiero gradual que incluye la búsqueda de nuevas fuentes de ingresos y una reingeniería de la Unidad de Pago por Capitación (UPC).</t>
        </is>
      </c>
      <c r="H247" s="67" t="inlineStr">
        <is>
          <t>El gremio plantea una estabilización inmediata mediante un puesto de mando unificado para atender a pacientes en riesgo y garantizar el suministro de medicinas.</t>
        </is>
      </c>
      <c r="I247" s="67" t="inlineStr">
        <is>
          <t>Además, el plan enfatiza la modernización del aseguramiento, la gestión de riesgos y el fortalecimiento de la salud pública mediante el uso de datos.</t>
        </is>
      </c>
      <c r="J247" s="68" t="n"/>
      <c r="K247" s="69" t="n"/>
      <c r="L247" s="68" t="n"/>
      <c r="M247" s="69" t="n"/>
      <c r="N247" s="68" t="n"/>
      <c r="O247" s="69" t="n"/>
      <c r="P247" s="68" t="n"/>
      <c r="Q247" s="69" t="n"/>
      <c r="R247" s="68" t="n"/>
      <c r="S247" s="69" t="n"/>
      <c r="T247" s="68" t="n"/>
      <c r="U247" s="69" t="n"/>
      <c r="V247" s="68" t="n"/>
      <c r="W247" s="69" t="n"/>
      <c r="X247" s="68" t="n"/>
      <c r="Y247" s="69" t="n"/>
      <c r="Z247" s="68" t="n"/>
      <c r="AA247" s="69" t="n"/>
      <c r="AB247" s="68" t="n"/>
      <c r="AC247" s="69" t="n"/>
      <c r="AD247" s="70">
        <f>IF(AND(COUNTIF($B$5:B247,B247)=1,$B247&lt;&gt;"",$AB247&lt;&gt;""),1,0)</f>
        <v/>
      </c>
      <c r="AE247" s="67" t="inlineStr">
        <is>
          <t>https://www.elespectador.com/salud/las-eps-plantean-estabilizar-primero-el-sistema-de-salud-antes-de-impulsar-nuevas-reformas/</t>
        </is>
      </c>
      <c r="AF247" s="64" t="n"/>
      <c r="AG247" s="65" t="n"/>
    </row>
    <row r="248" ht="15" customHeight="1" s="31">
      <c r="A248" s="66" t="inlineStr">
        <is>
          <t>ART_053</t>
        </is>
      </c>
      <c r="B248" s="66" t="inlineStr">
        <is>
          <t>ART_053_S04</t>
        </is>
      </c>
      <c r="C248" s="66" t="inlineStr">
        <is>
          <t>El Espectador</t>
        </is>
      </c>
      <c r="D248" s="66" t="inlineStr">
        <is>
          <t>Salud</t>
        </is>
      </c>
      <c r="E248" s="66" t="inlineStr">
        <is>
          <t>Noticia dura</t>
        </is>
      </c>
      <c r="F248" s="66" t="inlineStr">
        <is>
          <t>2026-05-25T11:53:20-05:00</t>
        </is>
      </c>
      <c r="G248" s="67" t="inlineStr">
        <is>
          <t>Además, el plan enfatiza la modernización del aseguramiento, la gestión de riesgos y el fortalecimiento de la salud pública mediante el uso de datos.</t>
        </is>
      </c>
      <c r="H248" s="67" t="inlineStr">
        <is>
          <t>Se sugiere un saneamiento financiero gradual que incluye la búsqueda de nuevas fuentes de ingresos y una reingeniería de la Unidad de Pago por Capitación (UPC).</t>
        </is>
      </c>
      <c r="I248" s="67" t="inlineStr">
        <is>
          <t>Finalmente, se aboga por una gobernanza técnica despojada de intereses políticos para asegurar la sostenibilidad del modelo a largo plazo.</t>
        </is>
      </c>
      <c r="J248" s="68" t="n"/>
      <c r="K248" s="69" t="n"/>
      <c r="L248" s="68" t="n"/>
      <c r="M248" s="69" t="n"/>
      <c r="N248" s="68" t="n"/>
      <c r="O248" s="69" t="n"/>
      <c r="P248" s="68" t="n"/>
      <c r="Q248" s="69" t="n"/>
      <c r="R248" s="68" t="n"/>
      <c r="S248" s="69" t="n"/>
      <c r="T248" s="68" t="n"/>
      <c r="U248" s="69" t="n"/>
      <c r="V248" s="68" t="n"/>
      <c r="W248" s="69" t="n"/>
      <c r="X248" s="68" t="n"/>
      <c r="Y248" s="69" t="n"/>
      <c r="Z248" s="68" t="n"/>
      <c r="AA248" s="69" t="n"/>
      <c r="AB248" s="68" t="n"/>
      <c r="AC248" s="69" t="n"/>
      <c r="AD248" s="70">
        <f>IF(AND(COUNTIF($B$5:B248,B248)=1,$B248&lt;&gt;"",$AB248&lt;&gt;""),1,0)</f>
        <v/>
      </c>
      <c r="AE248" s="67" t="inlineStr">
        <is>
          <t>https://www.elespectador.com/salud/las-eps-plantean-estabilizar-primero-el-sistema-de-salud-antes-de-impulsar-nuevas-reformas/</t>
        </is>
      </c>
      <c r="AF248" s="64" t="n"/>
      <c r="AG248" s="65" t="n"/>
    </row>
    <row r="249" ht="15" customHeight="1" s="31">
      <c r="A249" s="66" t="inlineStr">
        <is>
          <t>ART_053</t>
        </is>
      </c>
      <c r="B249" s="66" t="inlineStr">
        <is>
          <t>ART_053_S05</t>
        </is>
      </c>
      <c r="C249" s="66" t="inlineStr">
        <is>
          <t>El Espectador</t>
        </is>
      </c>
      <c r="D249" s="66" t="inlineStr">
        <is>
          <t>Salud</t>
        </is>
      </c>
      <c r="E249" s="66" t="inlineStr">
        <is>
          <t>Noticia dura</t>
        </is>
      </c>
      <c r="F249" s="66" t="inlineStr">
        <is>
          <t>2026-05-25T11:53:20-05:00</t>
        </is>
      </c>
      <c r="G249" s="67" t="inlineStr">
        <is>
          <t>Finalmente, se aboga por una gobernanza técnica despojada de intereses políticos para asegurar la sostenibilidad del modelo a largo plazo.</t>
        </is>
      </c>
      <c r="H249" s="67" t="inlineStr">
        <is>
          <t>Además, el plan enfatiza la modernización del aseguramiento, la gestión de riesgos y el fortalecimiento de la salud pública mediante el uso de datos.</t>
        </is>
      </c>
      <c r="I249" s="67" t="inlineStr">
        <is>
          <t>La propuesta parte de una idea central: el sistema de salud atraviesa una crisis tan profunda que primero hay que estabilizarlo antes de pensar en reformas estructurales.</t>
        </is>
      </c>
      <c r="J249" s="68" t="n"/>
      <c r="K249" s="69" t="n"/>
      <c r="L249" s="68" t="n"/>
      <c r="M249" s="69" t="n"/>
      <c r="N249" s="68" t="n"/>
      <c r="O249" s="69" t="n"/>
      <c r="P249" s="68" t="n"/>
      <c r="Q249" s="69" t="n"/>
      <c r="R249" s="68" t="n"/>
      <c r="S249" s="69" t="n"/>
      <c r="T249" s="68" t="n"/>
      <c r="U249" s="69" t="n"/>
      <c r="V249" s="68" t="n"/>
      <c r="W249" s="69" t="n"/>
      <c r="X249" s="68" t="n"/>
      <c r="Y249" s="69" t="n"/>
      <c r="Z249" s="68" t="n"/>
      <c r="AA249" s="69" t="n"/>
      <c r="AB249" s="68" t="n"/>
      <c r="AC249" s="69" t="n"/>
      <c r="AD249" s="70">
        <f>IF(AND(COUNTIF($B$5:B249,B249)=1,$B249&lt;&gt;"",$AB249&lt;&gt;""),1,0)</f>
        <v/>
      </c>
      <c r="AE249" s="67" t="inlineStr">
        <is>
          <t>https://www.elespectador.com/salud/las-eps-plantean-estabilizar-primero-el-sistema-de-salud-antes-de-impulsar-nuevas-reformas/</t>
        </is>
      </c>
      <c r="AF249" s="64" t="n"/>
      <c r="AG249" s="65" t="n"/>
    </row>
    <row r="250" ht="15" customHeight="1" s="31">
      <c r="A250" s="66" t="inlineStr">
        <is>
          <t>ART_053</t>
        </is>
      </c>
      <c r="B250" s="66" t="inlineStr">
        <is>
          <t>ART_053_S06</t>
        </is>
      </c>
      <c r="C250" s="66" t="inlineStr">
        <is>
          <t>El Espectador</t>
        </is>
      </c>
      <c r="D250" s="66" t="inlineStr">
        <is>
          <t>Salud</t>
        </is>
      </c>
      <c r="E250" s="66" t="inlineStr">
        <is>
          <t>Noticia dura</t>
        </is>
      </c>
      <c r="F250" s="66" t="inlineStr">
        <is>
          <t>2026-05-25T11:53:20-05:00</t>
        </is>
      </c>
      <c r="G250" s="67" t="inlineStr">
        <is>
          <t>La propuesta parte de una idea central: el sistema de salud atraviesa una crisis tan profunda que primero hay que estabilizarlo antes de pensar en reformas estructurales.</t>
        </is>
      </c>
      <c r="H250" s="67" t="inlineStr">
        <is>
          <t>Finalmente, se aboga por una gobernanza técnica despojada de intereses políticos para asegurar la sostenibilidad del modelo a largo plazo.</t>
        </is>
      </c>
      <c r="I250" s="67" t="inlineStr"/>
      <c r="J250" s="68" t="n"/>
      <c r="K250" s="69" t="n"/>
      <c r="L250" s="68" t="n"/>
      <c r="M250" s="69" t="n"/>
      <c r="N250" s="68" t="n"/>
      <c r="O250" s="69" t="n"/>
      <c r="P250" s="68" t="n"/>
      <c r="Q250" s="69" t="n"/>
      <c r="R250" s="68" t="n"/>
      <c r="S250" s="69" t="n"/>
      <c r="T250" s="68" t="n"/>
      <c r="U250" s="69" t="n"/>
      <c r="V250" s="68" t="n"/>
      <c r="W250" s="69" t="n"/>
      <c r="X250" s="68" t="n"/>
      <c r="Y250" s="69" t="n"/>
      <c r="Z250" s="68" t="n"/>
      <c r="AA250" s="69" t="n"/>
      <c r="AB250" s="68" t="n"/>
      <c r="AC250" s="69" t="n"/>
      <c r="AD250" s="70">
        <f>IF(AND(COUNTIF($B$5:B250,B250)=1,$B250&lt;&gt;"",$AB250&lt;&gt;""),1,0)</f>
        <v/>
      </c>
      <c r="AE250" s="67" t="inlineStr">
        <is>
          <t>https://www.elespectador.com/salud/las-eps-plantean-estabilizar-primero-el-sistema-de-salud-antes-de-impulsar-nuevas-reformas/</t>
        </is>
      </c>
      <c r="AF250" s="64" t="n"/>
      <c r="AG250" s="65" t="n"/>
    </row>
    <row r="251" ht="15" customHeight="1" s="31">
      <c r="A251" s="66" t="inlineStr">
        <is>
          <t>ART_054</t>
        </is>
      </c>
      <c r="B251" s="66" t="inlineStr">
        <is>
          <t>ART_054_S01</t>
        </is>
      </c>
      <c r="C251" s="66" t="inlineStr">
        <is>
          <t>El Espectador</t>
        </is>
      </c>
      <c r="D251" s="66" t="inlineStr">
        <is>
          <t>Salud</t>
        </is>
      </c>
      <c r="E251" s="66" t="inlineStr">
        <is>
          <t>Opinión-análisis</t>
        </is>
      </c>
      <c r="F251" s="66" t="inlineStr">
        <is>
          <t>2026-03-19T00:00:00-05:00</t>
        </is>
      </c>
      <c r="G251" s="67" t="inlineStr">
        <is>
          <t>La solicitud que hizo el presidente Gustavo Petro durante el último Consejo de Ministros al Minsalud, Guillermo Alfonso Jaramillo, de liquidar todas las EPS que estén en quiebra —sin especificar cuáles— prendió las alarmas entre los actores del sistema y sus usuarios.</t>
        </is>
      </c>
      <c r="H251" s="67" t="inlineStr"/>
      <c r="I251" s="67" t="inlineStr">
        <is>
          <t>De llevarse a cabo, sin ninguna claridad al respecto, representaría un riesgo mortal para pacientes que dependen de medicamentos vitales y que, como determinó la Procuraduría en el caso del menor Kevin Acosta, paciente de hemofilia, pueden perecer por negligencia de su institución de salud.</t>
        </is>
      </c>
      <c r="J251" s="68" t="n"/>
      <c r="K251" s="69" t="n"/>
      <c r="L251" s="68" t="n"/>
      <c r="M251" s="69" t="n"/>
      <c r="N251" s="68" t="n"/>
      <c r="O251" s="69" t="n"/>
      <c r="P251" s="68" t="n"/>
      <c r="Q251" s="69" t="n"/>
      <c r="R251" s="68" t="n"/>
      <c r="S251" s="69" t="n"/>
      <c r="T251" s="68" t="n"/>
      <c r="U251" s="69" t="n"/>
      <c r="V251" s="68" t="n"/>
      <c r="W251" s="69" t="n"/>
      <c r="X251" s="68" t="n"/>
      <c r="Y251" s="69" t="n"/>
      <c r="Z251" s="68" t="n"/>
      <c r="AA251" s="69" t="n"/>
      <c r="AB251" s="68" t="n"/>
      <c r="AC251" s="69" t="n"/>
      <c r="AD251" s="70">
        <f>IF(AND(COUNTIF($B$5:B251,B251)=1,$B251&lt;&gt;"",$AB251&lt;&gt;""),1,0)</f>
        <v/>
      </c>
      <c r="AE251" s="67" t="inlineStr">
        <is>
          <t>https://www.elespectador.com/opinion/editorial/el-sistema-de-salud-no-se-puede-reorganizar-a-las-carreras/</t>
        </is>
      </c>
      <c r="AF251" s="64" t="n"/>
      <c r="AG251" s="65" t="n"/>
    </row>
    <row r="252" ht="15" customHeight="1" s="31">
      <c r="A252" s="66" t="inlineStr">
        <is>
          <t>ART_054</t>
        </is>
      </c>
      <c r="B252" s="66" t="inlineStr">
        <is>
          <t>ART_054_S02</t>
        </is>
      </c>
      <c r="C252" s="66" t="inlineStr">
        <is>
          <t>El Espectador</t>
        </is>
      </c>
      <c r="D252" s="66" t="inlineStr">
        <is>
          <t>Salud</t>
        </is>
      </c>
      <c r="E252" s="66" t="inlineStr">
        <is>
          <t>Opinión-análisis</t>
        </is>
      </c>
      <c r="F252" s="66" t="inlineStr">
        <is>
          <t>2026-03-19T00:00:00-05:00</t>
        </is>
      </c>
      <c r="G252" s="67" t="inlineStr">
        <is>
          <t>De llevarse a cabo, sin ninguna claridad al respecto, representaría un riesgo mortal para pacientes que dependen de medicamentos vitales y que, como determinó la Procuraduría en el caso del menor Kevin Acosta, paciente de hemofilia, pueden perecer por negligencia de su institución de salud.</t>
        </is>
      </c>
      <c r="H252" s="67" t="inlineStr">
        <is>
          <t>La solicitud que hizo el presidente Gustavo Petro durante el último Consejo de Ministros al Minsalud, Guillermo Alfonso Jaramillo, de liquidar todas las EPS que estén en quiebra —sin especificar cuáles— prendió las alarmas entre los actores del sistema y sus usuarios.</t>
        </is>
      </c>
      <c r="I252" s="67" t="inlineStr">
        <is>
          <t>Tal como varios expertos le indicaron a El Espectador, una liquidación no es un proceso que se lleve a cabo de la noche a la mañana y al Gobierno le quedarían menos de cinco meses para cumplir ese cometido sin dejarle una crisis administrativa en el sistema a la próxima administración; sin duda, un objetivo difícil de alcanzar.</t>
        </is>
      </c>
      <c r="J252" s="68" t="n"/>
      <c r="K252" s="69" t="n"/>
      <c r="L252" s="68" t="n"/>
      <c r="M252" s="69" t="n"/>
      <c r="N252" s="68" t="n"/>
      <c r="O252" s="69" t="n"/>
      <c r="P252" s="68" t="n"/>
      <c r="Q252" s="69" t="n"/>
      <c r="R252" s="68" t="n"/>
      <c r="S252" s="69" t="n"/>
      <c r="T252" s="68" t="n"/>
      <c r="U252" s="69" t="n"/>
      <c r="V252" s="68" t="n"/>
      <c r="W252" s="69" t="n"/>
      <c r="X252" s="68" t="n"/>
      <c r="Y252" s="69" t="n"/>
      <c r="Z252" s="68" t="n"/>
      <c r="AA252" s="69" t="n"/>
      <c r="AB252" s="68" t="n"/>
      <c r="AC252" s="69" t="n"/>
      <c r="AD252" s="70">
        <f>IF(AND(COUNTIF($B$5:B252,B252)=1,$B252&lt;&gt;"",$AB252&lt;&gt;""),1,0)</f>
        <v/>
      </c>
      <c r="AE252" s="67" t="inlineStr">
        <is>
          <t>https://www.elespectador.com/opinion/editorial/el-sistema-de-salud-no-se-puede-reorganizar-a-las-carreras/</t>
        </is>
      </c>
      <c r="AF252" s="64" t="n"/>
      <c r="AG252" s="65" t="n"/>
    </row>
    <row r="253" ht="15" customHeight="1" s="31">
      <c r="A253" s="66" t="inlineStr">
        <is>
          <t>ART_054</t>
        </is>
      </c>
      <c r="B253" s="66" t="inlineStr">
        <is>
          <t>ART_054_S03</t>
        </is>
      </c>
      <c r="C253" s="66" t="inlineStr">
        <is>
          <t>El Espectador</t>
        </is>
      </c>
      <c r="D253" s="66" t="inlineStr">
        <is>
          <t>Salud</t>
        </is>
      </c>
      <c r="E253" s="66" t="inlineStr">
        <is>
          <t>Opinión-análisis</t>
        </is>
      </c>
      <c r="F253" s="66" t="inlineStr">
        <is>
          <t>2026-03-19T00:00:00-05:00</t>
        </is>
      </c>
      <c r="G253" s="67" t="inlineStr">
        <is>
          <t>Tal como varios expertos le indicaron a El Espectador, una liquidación no es un proceso que se lleve a cabo de la noche a la mañana y al Gobierno le quedarían menos de cinco meses para cumplir ese cometido sin dejarle una crisis administrativa en el sistema a la próxima administración; sin duda, un objetivo difícil de alcanzar.</t>
        </is>
      </c>
      <c r="H253" s="67" t="inlineStr">
        <is>
          <t>De llevarse a cabo, sin ninguna claridad al respecto, representaría un riesgo mortal para pacientes que dependen de medicamentos vitales y que, como determinó la Procuraduría en el caso del menor Kevin Acosta, paciente de hemofilia, pueden perecer por negligencia de su institución de salud.</t>
        </is>
      </c>
      <c r="I253" s="67" t="inlineStr">
        <is>
          <t>Hay que ser claros: la liquidación de las EPS no es un proceso nuevo ni mucho menos ilegal.</t>
        </is>
      </c>
      <c r="J253" s="68" t="n"/>
      <c r="K253" s="69" t="n"/>
      <c r="L253" s="68" t="n"/>
      <c r="M253" s="69" t="n"/>
      <c r="N253" s="68" t="n"/>
      <c r="O253" s="69" t="n"/>
      <c r="P253" s="68" t="n"/>
      <c r="Q253" s="69" t="n"/>
      <c r="R253" s="68" t="n"/>
      <c r="S253" s="69" t="n"/>
      <c r="T253" s="68" t="n"/>
      <c r="U253" s="69" t="n"/>
      <c r="V253" s="68" t="n"/>
      <c r="W253" s="69" t="n"/>
      <c r="X253" s="68" t="n"/>
      <c r="Y253" s="69" t="n"/>
      <c r="Z253" s="68" t="n"/>
      <c r="AA253" s="69" t="n"/>
      <c r="AB253" s="68" t="n"/>
      <c r="AC253" s="69" t="n"/>
      <c r="AD253" s="70">
        <f>IF(AND(COUNTIF($B$5:B253,B253)=1,$B253&lt;&gt;"",$AB253&lt;&gt;""),1,0)</f>
        <v/>
      </c>
      <c r="AE253" s="67" t="inlineStr">
        <is>
          <t>https://www.elespectador.com/opinion/editorial/el-sistema-de-salud-no-se-puede-reorganizar-a-las-carreras/</t>
        </is>
      </c>
      <c r="AF253" s="64" t="n"/>
      <c r="AG253" s="65" t="n"/>
    </row>
    <row r="254" ht="15" customHeight="1" s="31">
      <c r="A254" s="66" t="inlineStr">
        <is>
          <t>ART_054</t>
        </is>
      </c>
      <c r="B254" s="66" t="inlineStr">
        <is>
          <t>ART_054_S04</t>
        </is>
      </c>
      <c r="C254" s="66" t="inlineStr">
        <is>
          <t>El Espectador</t>
        </is>
      </c>
      <c r="D254" s="66" t="inlineStr">
        <is>
          <t>Salud</t>
        </is>
      </c>
      <c r="E254" s="66" t="inlineStr">
        <is>
          <t>Opinión-análisis</t>
        </is>
      </c>
      <c r="F254" s="66" t="inlineStr">
        <is>
          <t>2026-03-19T00:00:00-05:00</t>
        </is>
      </c>
      <c r="G254" s="67" t="inlineStr">
        <is>
          <t>Hay que ser claros: la liquidación de las EPS no es un proceso nuevo ni mucho menos ilegal.</t>
        </is>
      </c>
      <c r="H254" s="67" t="inlineStr">
        <is>
          <t>Tal como varios expertos le indicaron a El Espectador, una liquidación no es un proceso que se lleve a cabo de la noche a la mañana y al Gobierno le quedarían menos de cinco meses para cumplir ese cometido sin dejarle una crisis administrativa en el sistema a la próxima administración; sin duda, un objetivo difícil de alcanzar.</t>
        </is>
      </c>
      <c r="I254" s="67" t="inlineStr">
        <is>
          <t>Como reporta la Asociación Colombiana de Hospitales y Clínicas (ACHC), 44 EPS han pasado por este proceso durante los últimos gobiernos.</t>
        </is>
      </c>
      <c r="J254" s="68" t="n"/>
      <c r="K254" s="69" t="n"/>
      <c r="L254" s="68" t="n"/>
      <c r="M254" s="69" t="n"/>
      <c r="N254" s="68" t="n"/>
      <c r="O254" s="69" t="n"/>
      <c r="P254" s="68" t="n"/>
      <c r="Q254" s="69" t="n"/>
      <c r="R254" s="68" t="n"/>
      <c r="S254" s="69" t="n"/>
      <c r="T254" s="68" t="n"/>
      <c r="U254" s="69" t="n"/>
      <c r="V254" s="68" t="n"/>
      <c r="W254" s="69" t="n"/>
      <c r="X254" s="68" t="n"/>
      <c r="Y254" s="69" t="n"/>
      <c r="Z254" s="68" t="n"/>
      <c r="AA254" s="69" t="n"/>
      <c r="AB254" s="68" t="n"/>
      <c r="AC254" s="69" t="n"/>
      <c r="AD254" s="70">
        <f>IF(AND(COUNTIF($B$5:B254,B254)=1,$B254&lt;&gt;"",$AB254&lt;&gt;""),1,0)</f>
        <v/>
      </c>
      <c r="AE254" s="67" t="inlineStr">
        <is>
          <t>https://www.elespectador.com/opinion/editorial/el-sistema-de-salud-no-se-puede-reorganizar-a-las-carreras/</t>
        </is>
      </c>
      <c r="AF254" s="64" t="n"/>
      <c r="AG254" s="65" t="n"/>
    </row>
    <row r="255" ht="15" customHeight="1" s="31">
      <c r="A255" s="66" t="inlineStr">
        <is>
          <t>ART_054</t>
        </is>
      </c>
      <c r="B255" s="66" t="inlineStr">
        <is>
          <t>ART_054_S05</t>
        </is>
      </c>
      <c r="C255" s="66" t="inlineStr">
        <is>
          <t>El Espectador</t>
        </is>
      </c>
      <c r="D255" s="66" t="inlineStr">
        <is>
          <t>Salud</t>
        </is>
      </c>
      <c r="E255" s="66" t="inlineStr">
        <is>
          <t>Opinión-análisis</t>
        </is>
      </c>
      <c r="F255" s="66" t="inlineStr">
        <is>
          <t>2026-03-19T00:00:00-05:00</t>
        </is>
      </c>
      <c r="G255" s="67" t="inlineStr">
        <is>
          <t>Como reporta la Asociación Colombiana de Hospitales y Clínicas (ACHC), 44 EPS han pasado por este proceso durante los últimos gobiernos.</t>
        </is>
      </c>
      <c r="H255" s="67" t="inlineStr">
        <is>
          <t>Hay que ser claros: la liquidación de las EPS no es un proceso nuevo ni mucho menos ilegal.</t>
        </is>
      </c>
      <c r="I255" s="67" t="inlineStr">
        <is>
          <t>Según la Superintendencia Nacional de Salud, en el gobierno de Andrés Pastrana fueron liquidadas nueve EPS; en los de Álvaro Uribe, cinco; en los de Juan Manuel Santos, 18; y en el de Iván Duque, 10.</t>
        </is>
      </c>
      <c r="J255" s="68" t="n"/>
      <c r="K255" s="69" t="n"/>
      <c r="L255" s="68" t="n"/>
      <c r="M255" s="69" t="n"/>
      <c r="N255" s="68" t="n"/>
      <c r="O255" s="69" t="n"/>
      <c r="P255" s="68" t="n"/>
      <c r="Q255" s="69" t="n"/>
      <c r="R255" s="68" t="n"/>
      <c r="S255" s="69" t="n"/>
      <c r="T255" s="68" t="n"/>
      <c r="U255" s="69" t="n"/>
      <c r="V255" s="68" t="n"/>
      <c r="W255" s="69" t="n"/>
      <c r="X255" s="68" t="n"/>
      <c r="Y255" s="69" t="n"/>
      <c r="Z255" s="68" t="n"/>
      <c r="AA255" s="69" t="n"/>
      <c r="AB255" s="68" t="n"/>
      <c r="AC255" s="69" t="n"/>
      <c r="AD255" s="70">
        <f>IF(AND(COUNTIF($B$5:B255,B255)=1,$B255&lt;&gt;"",$AB255&lt;&gt;""),1,0)</f>
        <v/>
      </c>
      <c r="AE255" s="67" t="inlineStr">
        <is>
          <t>https://www.elespectador.com/opinion/editorial/el-sistema-de-salud-no-se-puede-reorganizar-a-las-carreras/</t>
        </is>
      </c>
      <c r="AF255" s="64" t="n"/>
      <c r="AG255" s="65" t="n"/>
    </row>
    <row r="256" ht="15" customHeight="1" s="31">
      <c r="A256" s="66" t="inlineStr">
        <is>
          <t>ART_054</t>
        </is>
      </c>
      <c r="B256" s="66" t="inlineStr">
        <is>
          <t>ART_054_S06</t>
        </is>
      </c>
      <c r="C256" s="66" t="inlineStr">
        <is>
          <t>El Espectador</t>
        </is>
      </c>
      <c r="D256" s="66" t="inlineStr">
        <is>
          <t>Salud</t>
        </is>
      </c>
      <c r="E256" s="66" t="inlineStr">
        <is>
          <t>Opinión-análisis</t>
        </is>
      </c>
      <c r="F256" s="66" t="inlineStr">
        <is>
          <t>2026-03-19T00:00:00-05:00</t>
        </is>
      </c>
      <c r="G256" s="67" t="inlineStr">
        <is>
          <t>Según la Superintendencia Nacional de Salud, en el gobierno de Andrés Pastrana fueron liquidadas nueve EPS; en los de Álvaro Uribe, cinco; en los de Juan Manuel Santos, 18; y en el de Iván Duque, 10.</t>
        </is>
      </c>
      <c r="H256" s="67" t="inlineStr">
        <is>
          <t>Como reporta la Asociación Colombiana de Hospitales y Clínicas (ACHC), 44 EPS han pasado por este proceso durante los últimos gobiernos.</t>
        </is>
      </c>
      <c r="I256" s="67" t="inlineStr">
        <is>
          <t>El gobierno Petro venía optando por las intervenciones administrativas más que por las liquidaciones; sin embargo, y ante la falta de claridad oficial, exfuncionarios del sector salud creen que seis de las siete EPS intervenidas por este Gobierno –omitiendo a Nueva EPS– se sumarán al histórico de las entidades promotoras de salud liquidadas.</t>
        </is>
      </c>
      <c r="J256" s="68" t="n"/>
      <c r="K256" s="69" t="n"/>
      <c r="L256" s="68" t="n"/>
      <c r="M256" s="69" t="n"/>
      <c r="N256" s="68" t="n"/>
      <c r="O256" s="69" t="n"/>
      <c r="P256" s="68" t="n"/>
      <c r="Q256" s="69" t="n"/>
      <c r="R256" s="68" t="n"/>
      <c r="S256" s="69" t="n"/>
      <c r="T256" s="68" t="n"/>
      <c r="U256" s="69" t="n"/>
      <c r="V256" s="68" t="n"/>
      <c r="W256" s="69" t="n"/>
      <c r="X256" s="68" t="n"/>
      <c r="Y256" s="69" t="n"/>
      <c r="Z256" s="68" t="n"/>
      <c r="AA256" s="69" t="n"/>
      <c r="AB256" s="68" t="n"/>
      <c r="AC256" s="69" t="n"/>
      <c r="AD256" s="70">
        <f>IF(AND(COUNTIF($B$5:B256,B256)=1,$B256&lt;&gt;"",$AB256&lt;&gt;""),1,0)</f>
        <v/>
      </c>
      <c r="AE256" s="67" t="inlineStr">
        <is>
          <t>https://www.elespectador.com/opinion/editorial/el-sistema-de-salud-no-se-puede-reorganizar-a-las-carreras/</t>
        </is>
      </c>
      <c r="AF256" s="64" t="n"/>
      <c r="AG256" s="65" t="n"/>
    </row>
    <row r="257" ht="15" customHeight="1" s="31">
      <c r="A257" s="66" t="inlineStr">
        <is>
          <t>ART_054</t>
        </is>
      </c>
      <c r="B257" s="66" t="inlineStr">
        <is>
          <t>ART_054_S07</t>
        </is>
      </c>
      <c r="C257" s="66" t="inlineStr">
        <is>
          <t>El Espectador</t>
        </is>
      </c>
      <c r="D257" s="66" t="inlineStr">
        <is>
          <t>Salud</t>
        </is>
      </c>
      <c r="E257" s="66" t="inlineStr">
        <is>
          <t>Opinión-análisis</t>
        </is>
      </c>
      <c r="F257" s="66" t="inlineStr">
        <is>
          <t>2026-03-19T00:00:00-05:00</t>
        </is>
      </c>
      <c r="G257" s="67" t="inlineStr">
        <is>
          <t>El gobierno Petro venía optando por las intervenciones administrativas más que por las liquidaciones; sin embargo, y ante la falta de claridad oficial, exfuncionarios del sector salud creen que seis de las siete EPS intervenidas por este Gobierno –omitiendo a Nueva EPS– se sumarán al histórico de las entidades promotoras de salud liquidadas.</t>
        </is>
      </c>
      <c r="H257" s="67" t="inlineStr">
        <is>
          <t>Según la Superintendencia Nacional de Salud, en el gobierno de Andrés Pastrana fueron liquidadas nueve EPS; en los de Álvaro Uribe, cinco; en los de Juan Manuel Santos, 18; y en el de Iván Duque, 10.</t>
        </is>
      </c>
      <c r="I257" s="67" t="inlineStr">
        <is>
          <t>El plan del actual mandatario para los usuarios de esas EPS sería que pasaran a Nueva EPS, la cual cuenta actualmente con 11,5 millones de usuarios.</t>
        </is>
      </c>
      <c r="J257" s="68" t="n"/>
      <c r="K257" s="69" t="n"/>
      <c r="L257" s="68" t="n"/>
      <c r="M257" s="69" t="n"/>
      <c r="N257" s="68" t="n"/>
      <c r="O257" s="69" t="n"/>
      <c r="P257" s="68" t="n"/>
      <c r="Q257" s="69" t="n"/>
      <c r="R257" s="68" t="n"/>
      <c r="S257" s="69" t="n"/>
      <c r="T257" s="68" t="n"/>
      <c r="U257" s="69" t="n"/>
      <c r="V257" s="68" t="n"/>
      <c r="W257" s="69" t="n"/>
      <c r="X257" s="68" t="n"/>
      <c r="Y257" s="69" t="n"/>
      <c r="Z257" s="68" t="n"/>
      <c r="AA257" s="69" t="n"/>
      <c r="AB257" s="68" t="n"/>
      <c r="AC257" s="69" t="n"/>
      <c r="AD257" s="70">
        <f>IF(AND(COUNTIF($B$5:B257,B257)=1,$B257&lt;&gt;"",$AB257&lt;&gt;""),1,0)</f>
        <v/>
      </c>
      <c r="AE257" s="67" t="inlineStr">
        <is>
          <t>https://www.elespectador.com/opinion/editorial/el-sistema-de-salud-no-se-puede-reorganizar-a-las-carreras/</t>
        </is>
      </c>
      <c r="AF257" s="64" t="n"/>
      <c r="AG257" s="65" t="n"/>
    </row>
    <row r="258" ht="15" customHeight="1" s="31">
      <c r="A258" s="66" t="inlineStr">
        <is>
          <t>ART_054</t>
        </is>
      </c>
      <c r="B258" s="66" t="inlineStr">
        <is>
          <t>ART_054_S08</t>
        </is>
      </c>
      <c r="C258" s="66" t="inlineStr">
        <is>
          <t>El Espectador</t>
        </is>
      </c>
      <c r="D258" s="66" t="inlineStr">
        <is>
          <t>Salud</t>
        </is>
      </c>
      <c r="E258" s="66" t="inlineStr">
        <is>
          <t>Opinión-análisis</t>
        </is>
      </c>
      <c r="F258" s="66" t="inlineStr">
        <is>
          <t>2026-03-19T00:00:00-05:00</t>
        </is>
      </c>
      <c r="G258" s="67" t="inlineStr">
        <is>
          <t>El plan del actual mandatario para los usuarios de esas EPS sería que pasaran a Nueva EPS, la cual cuenta actualmente con 11,5 millones de usuarios.</t>
        </is>
      </c>
      <c r="H258" s="67" t="inlineStr">
        <is>
          <t>El gobierno Petro venía optando por las intervenciones administrativas más que por las liquidaciones; sin embargo, y ante la falta de claridad oficial, exfuncionarios del sector salud creen que seis de las siete EPS intervenidas por este Gobierno –omitiendo a Nueva EPS– se sumarán al histórico de las entidades promotoras de salud liquidadas.</t>
        </is>
      </c>
      <c r="I258" s="67" t="inlineStr">
        <is>
          <t>Esta idea va en línea con el decreto 182 de 2026, expedido a finales de febrero por el Ministerio de Salud, el cual propone trasladar al menos otros 2,4 millones de usuarios a Nueva EPS para reorganizar el mapa del aseguramiento en Colombia —aunque esa medida quedó en pausa por decisión del Tribunal Administrativo de Antioquia.</t>
        </is>
      </c>
      <c r="J258" s="68" t="n"/>
      <c r="K258" s="69" t="n"/>
      <c r="L258" s="68" t="n"/>
      <c r="M258" s="69" t="n"/>
      <c r="N258" s="68" t="n"/>
      <c r="O258" s="69" t="n"/>
      <c r="P258" s="68" t="n"/>
      <c r="Q258" s="69" t="n"/>
      <c r="R258" s="68" t="n"/>
      <c r="S258" s="69" t="n"/>
      <c r="T258" s="68" t="n"/>
      <c r="U258" s="69" t="n"/>
      <c r="V258" s="68" t="n"/>
      <c r="W258" s="69" t="n"/>
      <c r="X258" s="68" t="n"/>
      <c r="Y258" s="69" t="n"/>
      <c r="Z258" s="68" t="n"/>
      <c r="AA258" s="69" t="n"/>
      <c r="AB258" s="68" t="n"/>
      <c r="AC258" s="69" t="n"/>
      <c r="AD258" s="70">
        <f>IF(AND(COUNTIF($B$5:B258,B258)=1,$B258&lt;&gt;"",$AB258&lt;&gt;""),1,0)</f>
        <v/>
      </c>
      <c r="AE258" s="67" t="inlineStr">
        <is>
          <t>https://www.elespectador.com/opinion/editorial/el-sistema-de-salud-no-se-puede-reorganizar-a-las-carreras/</t>
        </is>
      </c>
      <c r="AF258" s="64" t="n"/>
      <c r="AG258" s="65" t="n"/>
    </row>
    <row r="259" ht="15" customHeight="1" s="31">
      <c r="A259" s="66" t="inlineStr">
        <is>
          <t>ART_054</t>
        </is>
      </c>
      <c r="B259" s="66" t="inlineStr">
        <is>
          <t>ART_054_S09</t>
        </is>
      </c>
      <c r="C259" s="66" t="inlineStr">
        <is>
          <t>El Espectador</t>
        </is>
      </c>
      <c r="D259" s="66" t="inlineStr">
        <is>
          <t>Salud</t>
        </is>
      </c>
      <c r="E259" s="66" t="inlineStr">
        <is>
          <t>Opinión-análisis</t>
        </is>
      </c>
      <c r="F259" s="66" t="inlineStr">
        <is>
          <t>2026-03-19T00:00:00-05:00</t>
        </is>
      </c>
      <c r="G259" s="67" t="inlineStr">
        <is>
          <t>Esta idea va en línea con el decreto 182 de 2026, expedido a finales de febrero por el Ministerio de Salud, el cual propone trasladar al menos otros 2,4 millones de usuarios a Nueva EPS para reorganizar el mapa del aseguramiento en Colombia —aunque esa medida quedó en pausa por decisión del Tribunal Administrativo de Antioquia.</t>
        </is>
      </c>
      <c r="H259" s="67" t="inlineStr">
        <is>
          <t>El plan del actual mandatario para los usuarios de esas EPS sería que pasaran a Nueva EPS, la cual cuenta actualmente con 11,5 millones de usuarios.</t>
        </is>
      </c>
      <c r="I259" s="67" t="inlineStr">
        <is>
          <t>La idea fue rechazada por la misma ACHC en carta del 2 de marzo al ministro Jaramillo: “La Nueva EPS no tiene la capacidad para responder a sus usuarios actuales y menos aún para recibir a más población y garantizar el equilibrio y estabilidad de la red de las IPS”.</t>
        </is>
      </c>
      <c r="J259" s="68" t="n"/>
      <c r="K259" s="69" t="n"/>
      <c r="L259" s="68" t="n"/>
      <c r="M259" s="69" t="n"/>
      <c r="N259" s="68" t="n"/>
      <c r="O259" s="69" t="n"/>
      <c r="P259" s="68" t="n"/>
      <c r="Q259" s="69" t="n"/>
      <c r="R259" s="68" t="n"/>
      <c r="S259" s="69" t="n"/>
      <c r="T259" s="68" t="n"/>
      <c r="U259" s="69" t="n"/>
      <c r="V259" s="68" t="n"/>
      <c r="W259" s="69" t="n"/>
      <c r="X259" s="68" t="n"/>
      <c r="Y259" s="69" t="n"/>
      <c r="Z259" s="68" t="n"/>
      <c r="AA259" s="69" t="n"/>
      <c r="AB259" s="68" t="n"/>
      <c r="AC259" s="69" t="n"/>
      <c r="AD259" s="70">
        <f>IF(AND(COUNTIF($B$5:B259,B259)=1,$B259&lt;&gt;"",$AB259&lt;&gt;""),1,0)</f>
        <v/>
      </c>
      <c r="AE259" s="67" t="inlineStr">
        <is>
          <t>https://www.elespectador.com/opinion/editorial/el-sistema-de-salud-no-se-puede-reorganizar-a-las-carreras/</t>
        </is>
      </c>
      <c r="AF259" s="64" t="n"/>
      <c r="AG259" s="65" t="n"/>
    </row>
    <row r="260" ht="15" customHeight="1" s="31">
      <c r="A260" s="66" t="inlineStr">
        <is>
          <t>ART_054</t>
        </is>
      </c>
      <c r="B260" s="66" t="inlineStr">
        <is>
          <t>ART_054_S10</t>
        </is>
      </c>
      <c r="C260" s="66" t="inlineStr">
        <is>
          <t>El Espectador</t>
        </is>
      </c>
      <c r="D260" s="66" t="inlineStr">
        <is>
          <t>Salud</t>
        </is>
      </c>
      <c r="E260" s="66" t="inlineStr">
        <is>
          <t>Opinión-análisis</t>
        </is>
      </c>
      <c r="F260" s="66" t="inlineStr">
        <is>
          <t>2026-03-19T00:00:00-05:00</t>
        </is>
      </c>
      <c r="G260" s="67" t="inlineStr">
        <is>
          <t>La idea fue rechazada por la misma ACHC en carta del 2 de marzo al ministro Jaramillo: “La Nueva EPS no tiene la capacidad para responder a sus usuarios actuales y menos aún para recibir a más población y garantizar el equilibrio y estabilidad de la red de las IPS”.</t>
        </is>
      </c>
      <c r="H260" s="67" t="inlineStr">
        <is>
          <t>Esta idea va en línea con el decreto 182 de 2026, expedido a finales de febrero por el Ministerio de Salud, el cual propone trasladar al menos otros 2,4 millones de usuarios a Nueva EPS para reorganizar el mapa del aseguramiento en Colombia —aunque esa medida quedó en pausa por decisión del Tribunal Administrativo de Antioquia.</t>
        </is>
      </c>
      <c r="I260" s="67" t="inlineStr">
        <is>
          <t>Por su parte, los colegios médicos de Cauca, Antioquia, Cundinamarca-Bogotá, y Santander coinciden en que no es el momento de reorganizar las EPS del país.</t>
        </is>
      </c>
      <c r="J260" s="68" t="n"/>
      <c r="K260" s="69" t="n"/>
      <c r="L260" s="68" t="n"/>
      <c r="M260" s="69" t="n"/>
      <c r="N260" s="68" t="n"/>
      <c r="O260" s="69" t="n"/>
      <c r="P260" s="68" t="n"/>
      <c r="Q260" s="69" t="n"/>
      <c r="R260" s="68" t="n"/>
      <c r="S260" s="69" t="n"/>
      <c r="T260" s="68" t="n"/>
      <c r="U260" s="69" t="n"/>
      <c r="V260" s="68" t="n"/>
      <c r="W260" s="69" t="n"/>
      <c r="X260" s="68" t="n"/>
      <c r="Y260" s="69" t="n"/>
      <c r="Z260" s="68" t="n"/>
      <c r="AA260" s="69" t="n"/>
      <c r="AB260" s="68" t="n"/>
      <c r="AC260" s="69" t="n"/>
      <c r="AD260" s="70">
        <f>IF(AND(COUNTIF($B$5:B260,B260)=1,$B260&lt;&gt;"",$AB260&lt;&gt;""),1,0)</f>
        <v/>
      </c>
      <c r="AE260" s="67" t="inlineStr">
        <is>
          <t>https://www.elespectador.com/opinion/editorial/el-sistema-de-salud-no-se-puede-reorganizar-a-las-carreras/</t>
        </is>
      </c>
      <c r="AF260" s="64" t="n"/>
      <c r="AG260" s="65" t="n"/>
    </row>
    <row r="261" ht="15" customHeight="1" s="31">
      <c r="A261" s="66" t="inlineStr">
        <is>
          <t>ART_054</t>
        </is>
      </c>
      <c r="B261" s="66" t="inlineStr">
        <is>
          <t>ART_054_S11</t>
        </is>
      </c>
      <c r="C261" s="66" t="inlineStr">
        <is>
          <t>El Espectador</t>
        </is>
      </c>
      <c r="D261" s="66" t="inlineStr">
        <is>
          <t>Salud</t>
        </is>
      </c>
      <c r="E261" s="66" t="inlineStr">
        <is>
          <t>Opinión-análisis</t>
        </is>
      </c>
      <c r="F261" s="66" t="inlineStr">
        <is>
          <t>2026-03-19T00:00:00-05:00</t>
        </is>
      </c>
      <c r="G261" s="67" t="inlineStr">
        <is>
          <t>Por su parte, los colegios médicos de Cauca, Antioquia, Cundinamarca-Bogotá, y Santander coinciden en que no es el momento de reorganizar las EPS del país.</t>
        </is>
      </c>
      <c r="H261" s="67" t="inlineStr">
        <is>
          <t>La idea fue rechazada por la misma ACHC en carta del 2 de marzo al ministro Jaramillo: “La Nueva EPS no tiene la capacidad para responder a sus usuarios actuales y menos aún para recibir a más población y garantizar el equilibrio y estabilidad de la red de las IPS”.</t>
        </is>
      </c>
      <c r="I261" s="67" t="inlineStr">
        <is>
          <t>Se valora el parte de tranquilidad entregado por la Supersalud, que llamó a la red de prestadores para que continúen garantizando la atención a los usuarios.</t>
        </is>
      </c>
      <c r="J261" s="68" t="n"/>
      <c r="K261" s="69" t="n"/>
      <c r="L261" s="68" t="n"/>
      <c r="M261" s="69" t="n"/>
      <c r="N261" s="68" t="n"/>
      <c r="O261" s="69" t="n"/>
      <c r="P261" s="68" t="n"/>
      <c r="Q261" s="69" t="n"/>
      <c r="R261" s="68" t="n"/>
      <c r="S261" s="69" t="n"/>
      <c r="T261" s="68" t="n"/>
      <c r="U261" s="69" t="n"/>
      <c r="V261" s="68" t="n"/>
      <c r="W261" s="69" t="n"/>
      <c r="X261" s="68" t="n"/>
      <c r="Y261" s="69" t="n"/>
      <c r="Z261" s="68" t="n"/>
      <c r="AA261" s="69" t="n"/>
      <c r="AB261" s="68" t="n"/>
      <c r="AC261" s="69" t="n"/>
      <c r="AD261" s="70">
        <f>IF(AND(COUNTIF($B$5:B261,B261)=1,$B261&lt;&gt;"",$AB261&lt;&gt;""),1,0)</f>
        <v/>
      </c>
      <c r="AE261" s="67" t="inlineStr">
        <is>
          <t>https://www.elespectador.com/opinion/editorial/el-sistema-de-salud-no-se-puede-reorganizar-a-las-carreras/</t>
        </is>
      </c>
      <c r="AF261" s="64" t="n"/>
      <c r="AG261" s="65" t="n"/>
    </row>
    <row r="262" ht="15" customHeight="1" s="31">
      <c r="A262" s="66" t="inlineStr">
        <is>
          <t>ART_054</t>
        </is>
      </c>
      <c r="B262" s="66" t="inlineStr">
        <is>
          <t>ART_054_S12</t>
        </is>
      </c>
      <c r="C262" s="66" t="inlineStr">
        <is>
          <t>El Espectador</t>
        </is>
      </c>
      <c r="D262" s="66" t="inlineStr">
        <is>
          <t>Salud</t>
        </is>
      </c>
      <c r="E262" s="66" t="inlineStr">
        <is>
          <t>Opinión-análisis</t>
        </is>
      </c>
      <c r="F262" s="66" t="inlineStr">
        <is>
          <t>2026-03-19T00:00:00-05:00</t>
        </is>
      </c>
      <c r="G262" s="67" t="inlineStr">
        <is>
          <t>Se valora el parte de tranquilidad entregado por la Supersalud, que llamó a la red de prestadores para que continúen garantizando la atención a los usuarios.</t>
        </is>
      </c>
      <c r="H262" s="67" t="inlineStr">
        <is>
          <t>Por su parte, los colegios médicos de Cauca, Antioquia, Cundinamarca-Bogotá, y Santander coinciden en que no es el momento de reorganizar las EPS del país.</t>
        </is>
      </c>
      <c r="I262" s="67" t="inlineStr">
        <is>
          <t>Sin embargo, el presidente parece empecinado en utilizar sus últimos meses de mandato para implementar a las malas una reorganización del sistema cuyo precio lo pagarían los pacientes, que ya se han visto perjudicados por las falencias de Nueva EPS.</t>
        </is>
      </c>
      <c r="J262" s="68" t="n"/>
      <c r="K262" s="69" t="n"/>
      <c r="L262" s="68" t="n"/>
      <c r="M262" s="69" t="n"/>
      <c r="N262" s="68" t="n"/>
      <c r="O262" s="69" t="n"/>
      <c r="P262" s="68" t="n"/>
      <c r="Q262" s="69" t="n"/>
      <c r="R262" s="68" t="n"/>
      <c r="S262" s="69" t="n"/>
      <c r="T262" s="68" t="n"/>
      <c r="U262" s="69" t="n"/>
      <c r="V262" s="68" t="n"/>
      <c r="W262" s="69" t="n"/>
      <c r="X262" s="68" t="n"/>
      <c r="Y262" s="69" t="n"/>
      <c r="Z262" s="68" t="n"/>
      <c r="AA262" s="69" t="n"/>
      <c r="AB262" s="68" t="n"/>
      <c r="AC262" s="69" t="n"/>
      <c r="AD262" s="70">
        <f>IF(AND(COUNTIF($B$5:B262,B262)=1,$B262&lt;&gt;"",$AB262&lt;&gt;""),1,0)</f>
        <v/>
      </c>
      <c r="AE262" s="67" t="inlineStr">
        <is>
          <t>https://www.elespectador.com/opinion/editorial/el-sistema-de-salud-no-se-puede-reorganizar-a-las-carreras/</t>
        </is>
      </c>
      <c r="AF262" s="64" t="n"/>
      <c r="AG262" s="65" t="n"/>
    </row>
    <row r="263" ht="15" customHeight="1" s="31">
      <c r="A263" s="66" t="inlineStr">
        <is>
          <t>ART_054</t>
        </is>
      </c>
      <c r="B263" s="66" t="inlineStr">
        <is>
          <t>ART_054_S13</t>
        </is>
      </c>
      <c r="C263" s="66" t="inlineStr">
        <is>
          <t>El Espectador</t>
        </is>
      </c>
      <c r="D263" s="66" t="inlineStr">
        <is>
          <t>Salud</t>
        </is>
      </c>
      <c r="E263" s="66" t="inlineStr">
        <is>
          <t>Opinión-análisis</t>
        </is>
      </c>
      <c r="F263" s="66" t="inlineStr">
        <is>
          <t>2026-03-19T00:00:00-05:00</t>
        </is>
      </c>
      <c r="G263" s="67" t="inlineStr">
        <is>
          <t>Sin embargo, el presidente parece empecinado en utilizar sus últimos meses de mandato para implementar a las malas una reorganización del sistema cuyo precio lo pagarían los pacientes, que ya se han visto perjudicados por las falencias de Nueva EPS.</t>
        </is>
      </c>
      <c r="H263" s="67" t="inlineStr">
        <is>
          <t>Se valora el parte de tranquilidad entregado por la Supersalud, que llamó a la red de prestadores para que continúen garantizando la atención a los usuarios.</t>
        </is>
      </c>
      <c r="I263" s="67" t="inlineStr">
        <is>
          <t>De momento, hay más incertidumbres que certezas.</t>
        </is>
      </c>
      <c r="J263" s="68" t="n"/>
      <c r="K263" s="69" t="n"/>
      <c r="L263" s="68" t="n"/>
      <c r="M263" s="69" t="n"/>
      <c r="N263" s="68" t="n"/>
      <c r="O263" s="69" t="n"/>
      <c r="P263" s="68" t="n"/>
      <c r="Q263" s="69" t="n"/>
      <c r="R263" s="68" t="n"/>
      <c r="S263" s="69" t="n"/>
      <c r="T263" s="68" t="n"/>
      <c r="U263" s="69" t="n"/>
      <c r="V263" s="68" t="n"/>
      <c r="W263" s="69" t="n"/>
      <c r="X263" s="68" t="n"/>
      <c r="Y263" s="69" t="n"/>
      <c r="Z263" s="68" t="n"/>
      <c r="AA263" s="69" t="n"/>
      <c r="AB263" s="68" t="n"/>
      <c r="AC263" s="69" t="n"/>
      <c r="AD263" s="70">
        <f>IF(AND(COUNTIF($B$5:B263,B263)=1,$B263&lt;&gt;"",$AB263&lt;&gt;""),1,0)</f>
        <v/>
      </c>
      <c r="AE263" s="67" t="inlineStr">
        <is>
          <t>https://www.elespectador.com/opinion/editorial/el-sistema-de-salud-no-se-puede-reorganizar-a-las-carreras/</t>
        </is>
      </c>
      <c r="AF263" s="64" t="n"/>
      <c r="AG263" s="65" t="n"/>
    </row>
    <row r="264" ht="15" customHeight="1" s="31">
      <c r="A264" s="66" t="inlineStr">
        <is>
          <t>ART_054</t>
        </is>
      </c>
      <c r="B264" s="66" t="inlineStr">
        <is>
          <t>ART_054_S14</t>
        </is>
      </c>
      <c r="C264" s="66" t="inlineStr">
        <is>
          <t>El Espectador</t>
        </is>
      </c>
      <c r="D264" s="66" t="inlineStr">
        <is>
          <t>Salud</t>
        </is>
      </c>
      <c r="E264" s="66" t="inlineStr">
        <is>
          <t>Opinión-análisis</t>
        </is>
      </c>
      <c r="F264" s="66" t="inlineStr">
        <is>
          <t>2026-03-19T00:00:00-05:00</t>
        </is>
      </c>
      <c r="G264" s="67" t="inlineStr">
        <is>
          <t>De momento, hay más incertidumbres que certezas.</t>
        </is>
      </c>
      <c r="H264" s="67" t="inlineStr">
        <is>
          <t>Sin embargo, el presidente parece empecinado en utilizar sus últimos meses de mandato para implementar a las malas una reorganización del sistema cuyo precio lo pagarían los pacientes, que ya se han visto perjudicados por las falencias de Nueva EPS.</t>
        </is>
      </c>
      <c r="I264" s="67" t="inlineStr"/>
      <c r="J264" s="68" t="n"/>
      <c r="K264" s="69" t="n"/>
      <c r="L264" s="68" t="n"/>
      <c r="M264" s="69" t="n"/>
      <c r="N264" s="68" t="n"/>
      <c r="O264" s="69" t="n"/>
      <c r="P264" s="68" t="n"/>
      <c r="Q264" s="69" t="n"/>
      <c r="R264" s="68" t="n"/>
      <c r="S264" s="69" t="n"/>
      <c r="T264" s="68" t="n"/>
      <c r="U264" s="69" t="n"/>
      <c r="V264" s="68" t="n"/>
      <c r="W264" s="69" t="n"/>
      <c r="X264" s="68" t="n"/>
      <c r="Y264" s="69" t="n"/>
      <c r="Z264" s="68" t="n"/>
      <c r="AA264" s="69" t="n"/>
      <c r="AB264" s="68" t="n"/>
      <c r="AC264" s="69" t="n"/>
      <c r="AD264" s="70">
        <f>IF(AND(COUNTIF($B$5:B264,B264)=1,$B264&lt;&gt;"",$AB264&lt;&gt;""),1,0)</f>
        <v/>
      </c>
      <c r="AE264" s="67" t="inlineStr">
        <is>
          <t>https://www.elespectador.com/opinion/editorial/el-sistema-de-salud-no-se-puede-reorganizar-a-las-carreras/</t>
        </is>
      </c>
      <c r="AF264" s="64" t="n"/>
      <c r="AG264" s="65" t="n"/>
    </row>
    <row r="265" ht="15" customHeight="1" s="31">
      <c r="A265" s="66" t="inlineStr">
        <is>
          <t>ART_055</t>
        </is>
      </c>
      <c r="B265" s="66" t="inlineStr">
        <is>
          <t>ART_055_S01</t>
        </is>
      </c>
      <c r="C265" s="66" t="inlineStr">
        <is>
          <t>La Silla Vacía</t>
        </is>
      </c>
      <c r="D265" s="66" t="inlineStr">
        <is>
          <t>Salud</t>
        </is>
      </c>
      <c r="E265" s="66" t="inlineStr">
        <is>
          <t>Noticia dura</t>
        </is>
      </c>
      <c r="F265" s="66" t="inlineStr">
        <is>
          <t>2026-03-23T06:00:00+00:00</t>
        </is>
      </c>
      <c r="G265" s="67" t="inlineStr">
        <is>
          <t>La semana pasada, el presidente Gustavo Petro ordenó liquidar las EPS “quebradas”.</t>
        </is>
      </c>
      <c r="H265" s="67" t="inlineStr"/>
      <c r="I265" s="67" t="inlineStr">
        <is>
          <t>Con lo que se conoce, es poco viable que lo pueda lograr en lo que queda de gobierno: la normativa pone limitaciones, los tiempos son ajustados y hay precedentes judiciales que pueden tumbarla.</t>
        </is>
      </c>
      <c r="J265" s="68" t="n"/>
      <c r="K265" s="69" t="n"/>
      <c r="L265" s="68" t="n"/>
      <c r="M265" s="69" t="n"/>
      <c r="N265" s="68" t="n"/>
      <c r="O265" s="69" t="n"/>
      <c r="P265" s="68" t="n"/>
      <c r="Q265" s="69" t="n"/>
      <c r="R265" s="68" t="n"/>
      <c r="S265" s="69" t="n"/>
      <c r="T265" s="68" t="n"/>
      <c r="U265" s="69" t="n"/>
      <c r="V265" s="68" t="n"/>
      <c r="W265" s="69" t="n"/>
      <c r="X265" s="68" t="n"/>
      <c r="Y265" s="69" t="n"/>
      <c r="Z265" s="68" t="n"/>
      <c r="AA265" s="69" t="n"/>
      <c r="AB265" s="68" t="n"/>
      <c r="AC265" s="69" t="n"/>
      <c r="AD265" s="70">
        <f>IF(AND(COUNTIF($B$5:B265,B265)=1,$B265&lt;&gt;"",$AB265&lt;&gt;""),1,0)</f>
        <v/>
      </c>
      <c r="AE265" s="67" t="inlineStr">
        <is>
          <t>https://www.lasillavacia.com/silla-nacional/liquidar-las-eps-la-ultima-carta-inviable-de-petro-para-la-salud/</t>
        </is>
      </c>
      <c r="AF265" s="64" t="n"/>
      <c r="AG265" s="65" t="n"/>
    </row>
    <row r="266" ht="15" customHeight="1" s="31">
      <c r="A266" s="66" t="inlineStr">
        <is>
          <t>ART_055</t>
        </is>
      </c>
      <c r="B266" s="66" t="inlineStr">
        <is>
          <t>ART_055_S02</t>
        </is>
      </c>
      <c r="C266" s="66" t="inlineStr">
        <is>
          <t>La Silla Vacía</t>
        </is>
      </c>
      <c r="D266" s="66" t="inlineStr">
        <is>
          <t>Salud</t>
        </is>
      </c>
      <c r="E266" s="66" t="inlineStr">
        <is>
          <t>Noticia dura</t>
        </is>
      </c>
      <c r="F266" s="66" t="inlineStr">
        <is>
          <t>2026-03-23T06:00:00+00:00</t>
        </is>
      </c>
      <c r="G266" s="67" t="inlineStr">
        <is>
          <t>Con lo que se conoce, es poco viable que lo pueda lograr en lo que queda de gobierno: la normativa pone limitaciones, los tiempos son ajustados y hay precedentes judiciales que pueden tumbarla.</t>
        </is>
      </c>
      <c r="H266" s="67" t="inlineStr">
        <is>
          <t>La semana pasada, el presidente Gustavo Petro ordenó liquidar las EPS “quebradas”.</t>
        </is>
      </c>
      <c r="I266" s="67" t="inlineStr">
        <is>
          <t>Pero como el gobierno está decidido a sacar su fallida reforma a la salud a toda costa, eso no necesariamente lo disuadirá.</t>
        </is>
      </c>
      <c r="J266" s="68" t="n"/>
      <c r="K266" s="69" t="n"/>
      <c r="L266" s="68" t="n"/>
      <c r="M266" s="69" t="n"/>
      <c r="N266" s="68" t="n"/>
      <c r="O266" s="69" t="n"/>
      <c r="P266" s="68" t="n"/>
      <c r="Q266" s="69" t="n"/>
      <c r="R266" s="68" t="n"/>
      <c r="S266" s="69" t="n"/>
      <c r="T266" s="68" t="n"/>
      <c r="U266" s="69" t="n"/>
      <c r="V266" s="68" t="n"/>
      <c r="W266" s="69" t="n"/>
      <c r="X266" s="68" t="n"/>
      <c r="Y266" s="69" t="n"/>
      <c r="Z266" s="68" t="n"/>
      <c r="AA266" s="69" t="n"/>
      <c r="AB266" s="68" t="n"/>
      <c r="AC266" s="69" t="n"/>
      <c r="AD266" s="70">
        <f>IF(AND(COUNTIF($B$5:B266,B266)=1,$B266&lt;&gt;"",$AB266&lt;&gt;""),1,0)</f>
        <v/>
      </c>
      <c r="AE266" s="67" t="inlineStr">
        <is>
          <t>https://www.lasillavacia.com/silla-nacional/liquidar-las-eps-la-ultima-carta-inviable-de-petro-para-la-salud/</t>
        </is>
      </c>
      <c r="AF266" s="64" t="n"/>
      <c r="AG266" s="65" t="n"/>
    </row>
    <row r="267" ht="15" customHeight="1" s="31">
      <c r="A267" s="66" t="inlineStr">
        <is>
          <t>ART_055</t>
        </is>
      </c>
      <c r="B267" s="66" t="inlineStr">
        <is>
          <t>ART_055_S03</t>
        </is>
      </c>
      <c r="C267" s="66" t="inlineStr">
        <is>
          <t>La Silla Vacía</t>
        </is>
      </c>
      <c r="D267" s="66" t="inlineStr">
        <is>
          <t>Salud</t>
        </is>
      </c>
      <c r="E267" s="66" t="inlineStr">
        <is>
          <t>Noticia dura</t>
        </is>
      </c>
      <c r="F267" s="66" t="inlineStr">
        <is>
          <t>2026-03-23T06:00:00+00:00</t>
        </is>
      </c>
      <c r="G267" s="67" t="inlineStr">
        <is>
          <t>Pero como el gobierno está decidido a sacar su fallida reforma a la salud a toda costa, eso no necesariamente lo disuadirá.</t>
        </is>
      </c>
      <c r="H267" s="67" t="inlineStr">
        <is>
          <t>Con lo que se conoce, es poco viable que lo pueda lograr en lo que queda de gobierno: la normativa pone limitaciones, los tiempos son ajustados y hay precedentes judiciales que pueden tumbarla.</t>
        </is>
      </c>
      <c r="I267" s="67" t="inlineStr">
        <is>
          <t>Petro ordenó algo que él mismo había rechazado en el pasado.</t>
        </is>
      </c>
      <c r="J267" s="68" t="n"/>
      <c r="K267" s="69" t="n"/>
      <c r="L267" s="68" t="n"/>
      <c r="M267" s="69" t="n"/>
      <c r="N267" s="68" t="n"/>
      <c r="O267" s="69" t="n"/>
      <c r="P267" s="68" t="n"/>
      <c r="Q267" s="69" t="n"/>
      <c r="R267" s="68" t="n"/>
      <c r="S267" s="69" t="n"/>
      <c r="T267" s="68" t="n"/>
      <c r="U267" s="69" t="n"/>
      <c r="V267" s="68" t="n"/>
      <c r="W267" s="69" t="n"/>
      <c r="X267" s="68" t="n"/>
      <c r="Y267" s="69" t="n"/>
      <c r="Z267" s="68" t="n"/>
      <c r="AA267" s="69" t="n"/>
      <c r="AB267" s="68" t="n"/>
      <c r="AC267" s="69" t="n"/>
      <c r="AD267" s="70">
        <f>IF(AND(COUNTIF($B$5:B267,B267)=1,$B267&lt;&gt;"",$AB267&lt;&gt;""),1,0)</f>
        <v/>
      </c>
      <c r="AE267" s="67" t="inlineStr">
        <is>
          <t>https://www.lasillavacia.com/silla-nacional/liquidar-las-eps-la-ultima-carta-inviable-de-petro-para-la-salud/</t>
        </is>
      </c>
      <c r="AF267" s="64" t="n"/>
      <c r="AG267" s="65" t="n"/>
    </row>
    <row r="268" ht="15" customHeight="1" s="31">
      <c r="A268" s="66" t="inlineStr">
        <is>
          <t>ART_055</t>
        </is>
      </c>
      <c r="B268" s="66" t="inlineStr">
        <is>
          <t>ART_055_S04</t>
        </is>
      </c>
      <c r="C268" s="66" t="inlineStr">
        <is>
          <t>La Silla Vacía</t>
        </is>
      </c>
      <c r="D268" s="66" t="inlineStr">
        <is>
          <t>Salud</t>
        </is>
      </c>
      <c r="E268" s="66" t="inlineStr">
        <is>
          <t>Noticia dura</t>
        </is>
      </c>
      <c r="F268" s="66" t="inlineStr">
        <is>
          <t>2026-03-23T06:00:00+00:00</t>
        </is>
      </c>
      <c r="G268" s="67" t="inlineStr">
        <is>
          <t>Petro ordenó algo que él mismo había rechazado en el pasado.</t>
        </is>
      </c>
      <c r="H268" s="67" t="inlineStr">
        <is>
          <t>Pero como el gobierno está decidido a sacar su fallida reforma a la salud a toda costa, eso no necesariamente lo disuadirá.</t>
        </is>
      </c>
      <c r="I268" s="67" t="inlineStr">
        <is>
          <t>“Es una gran estafa a la red pública y privada hospitalaria”, escribió sobre los efectos de las liquidaciones en junio de 2025.</t>
        </is>
      </c>
      <c r="J268" s="68" t="n"/>
      <c r="K268" s="69" t="n"/>
      <c r="L268" s="68" t="n"/>
      <c r="M268" s="69" t="n"/>
      <c r="N268" s="68" t="n"/>
      <c r="O268" s="69" t="n"/>
      <c r="P268" s="68" t="n"/>
      <c r="Q268" s="69" t="n"/>
      <c r="R268" s="68" t="n"/>
      <c r="S268" s="69" t="n"/>
      <c r="T268" s="68" t="n"/>
      <c r="U268" s="69" t="n"/>
      <c r="V268" s="68" t="n"/>
      <c r="W268" s="69" t="n"/>
      <c r="X268" s="68" t="n"/>
      <c r="Y268" s="69" t="n"/>
      <c r="Z268" s="68" t="n"/>
      <c r="AA268" s="69" t="n"/>
      <c r="AB268" s="68" t="n"/>
      <c r="AC268" s="69" t="n"/>
      <c r="AD268" s="70">
        <f>IF(AND(COUNTIF($B$5:B268,B268)=1,$B268&lt;&gt;"",$AB268&lt;&gt;""),1,0)</f>
        <v/>
      </c>
      <c r="AE268" s="67" t="inlineStr">
        <is>
          <t>https://www.lasillavacia.com/silla-nacional/liquidar-las-eps-la-ultima-carta-inviable-de-petro-para-la-salud/</t>
        </is>
      </c>
      <c r="AF268" s="64" t="n"/>
      <c r="AG268" s="65" t="n"/>
    </row>
    <row r="269" ht="15" customHeight="1" s="31">
      <c r="A269" s="66" t="inlineStr">
        <is>
          <t>ART_055</t>
        </is>
      </c>
      <c r="B269" s="66" t="inlineStr">
        <is>
          <t>ART_055_S05</t>
        </is>
      </c>
      <c r="C269" s="66" t="inlineStr">
        <is>
          <t>La Silla Vacía</t>
        </is>
      </c>
      <c r="D269" s="66" t="inlineStr">
        <is>
          <t>Salud</t>
        </is>
      </c>
      <c r="E269" s="66" t="inlineStr">
        <is>
          <t>Noticia dura</t>
        </is>
      </c>
      <c r="F269" s="66" t="inlineStr">
        <is>
          <t>2026-03-23T06:00:00+00:00</t>
        </is>
      </c>
      <c r="G269" s="67" t="inlineStr">
        <is>
          <t>“Es una gran estafa a la red pública y privada hospitalaria”, escribió sobre los efectos de las liquidaciones en junio de 2025.</t>
        </is>
      </c>
      <c r="H269" s="67" t="inlineStr">
        <is>
          <t>Petro ordenó algo que él mismo había rechazado en el pasado.</t>
        </is>
      </c>
      <c r="I269" s="67" t="inlineStr">
        <is>
          <t>Ahora, resignado por el “ sabotaje ” del Congreso con su reforma, Petro se va por una “ salida [no] tranquila y negociada ”, que puede terminar siendo una liquidación para el sistema.</t>
        </is>
      </c>
      <c r="J269" s="68" t="n"/>
      <c r="K269" s="69" t="n"/>
      <c r="L269" s="68" t="n"/>
      <c r="M269" s="69" t="n"/>
      <c r="N269" s="68" t="n"/>
      <c r="O269" s="69" t="n"/>
      <c r="P269" s="68" t="n"/>
      <c r="Q269" s="69" t="n"/>
      <c r="R269" s="68" t="n"/>
      <c r="S269" s="69" t="n"/>
      <c r="T269" s="68" t="n"/>
      <c r="U269" s="69" t="n"/>
      <c r="V269" s="68" t="n"/>
      <c r="W269" s="69" t="n"/>
      <c r="X269" s="68" t="n"/>
      <c r="Y269" s="69" t="n"/>
      <c r="Z269" s="68" t="n"/>
      <c r="AA269" s="69" t="n"/>
      <c r="AB269" s="68" t="n"/>
      <c r="AC269" s="69" t="n"/>
      <c r="AD269" s="70">
        <f>IF(AND(COUNTIF($B$5:B269,B269)=1,$B269&lt;&gt;"",$AB269&lt;&gt;""),1,0)</f>
        <v/>
      </c>
      <c r="AE269" s="67" t="inlineStr">
        <is>
          <t>https://www.lasillavacia.com/silla-nacional/liquidar-las-eps-la-ultima-carta-inviable-de-petro-para-la-salud/</t>
        </is>
      </c>
      <c r="AF269" s="64" t="n"/>
      <c r="AG269" s="65" t="n"/>
    </row>
    <row r="270" ht="15" customHeight="1" s="31">
      <c r="A270" s="66" t="inlineStr">
        <is>
          <t>ART_055</t>
        </is>
      </c>
      <c r="B270" s="66" t="inlineStr">
        <is>
          <t>ART_055_S06</t>
        </is>
      </c>
      <c r="C270" s="66" t="inlineStr">
        <is>
          <t>La Silla Vacía</t>
        </is>
      </c>
      <c r="D270" s="66" t="inlineStr">
        <is>
          <t>Salud</t>
        </is>
      </c>
      <c r="E270" s="66" t="inlineStr">
        <is>
          <t>Noticia dura</t>
        </is>
      </c>
      <c r="F270" s="66" t="inlineStr">
        <is>
          <t>2026-03-23T06:00:00+00:00</t>
        </is>
      </c>
      <c r="G270" s="67" t="inlineStr">
        <is>
          <t>Ahora, resignado por el “ sabotaje ” del Congreso con su reforma, Petro se va por una “ salida [no] tranquila y negociada ”, que puede terminar siendo una liquidación para el sistema.</t>
        </is>
      </c>
      <c r="H270" s="67" t="inlineStr">
        <is>
          <t>“Es una gran estafa a la red pública y privada hospitalaria”, escribió sobre los efectos de las liquidaciones en junio de 2025.</t>
        </is>
      </c>
      <c r="I270" s="67" t="inlineStr">
        <is>
          <t>La salida que entre líneas ha sugerido —que Nueva EPS asuma los afiliados— también enfrenta retos: las normas solo lo permiten parcialmente y, dada su debilidad financiera y operativa, es improbable que esta EPS lo logre.</t>
        </is>
      </c>
      <c r="J270" s="68" t="n"/>
      <c r="K270" s="69" t="n"/>
      <c r="L270" s="68" t="n"/>
      <c r="M270" s="69" t="n"/>
      <c r="N270" s="68" t="n"/>
      <c r="O270" s="69" t="n"/>
      <c r="P270" s="68" t="n"/>
      <c r="Q270" s="69" t="n"/>
      <c r="R270" s="68" t="n"/>
      <c r="S270" s="69" t="n"/>
      <c r="T270" s="68" t="n"/>
      <c r="U270" s="69" t="n"/>
      <c r="V270" s="68" t="n"/>
      <c r="W270" s="69" t="n"/>
      <c r="X270" s="68" t="n"/>
      <c r="Y270" s="69" t="n"/>
      <c r="Z270" s="68" t="n"/>
      <c r="AA270" s="69" t="n"/>
      <c r="AB270" s="68" t="n"/>
      <c r="AC270" s="69" t="n"/>
      <c r="AD270" s="70">
        <f>IF(AND(COUNTIF($B$5:B270,B270)=1,$B270&lt;&gt;"",$AB270&lt;&gt;""),1,0)</f>
        <v/>
      </c>
      <c r="AE270" s="67" t="inlineStr">
        <is>
          <t>https://www.lasillavacia.com/silla-nacional/liquidar-las-eps-la-ultima-carta-inviable-de-petro-para-la-salud/</t>
        </is>
      </c>
      <c r="AF270" s="64" t="n"/>
      <c r="AG270" s="65" t="n"/>
    </row>
    <row r="271" ht="15" customHeight="1" s="31">
      <c r="A271" s="66" t="inlineStr">
        <is>
          <t>ART_055</t>
        </is>
      </c>
      <c r="B271" s="66" t="inlineStr">
        <is>
          <t>ART_055_S07</t>
        </is>
      </c>
      <c r="C271" s="66" t="inlineStr">
        <is>
          <t>La Silla Vacía</t>
        </is>
      </c>
      <c r="D271" s="66" t="inlineStr">
        <is>
          <t>Salud</t>
        </is>
      </c>
      <c r="E271" s="66" t="inlineStr">
        <is>
          <t>Noticia dura</t>
        </is>
      </c>
      <c r="F271" s="66" t="inlineStr">
        <is>
          <t>2026-03-23T06:00:00+00:00</t>
        </is>
      </c>
      <c r="G271" s="67" t="inlineStr">
        <is>
          <t>La salida que entre líneas ha sugerido —que Nueva EPS asuma los afiliados— también enfrenta retos: las normas solo lo permiten parcialmente y, dada su debilidad financiera y operativa, es improbable que esta EPS lo logre.</t>
        </is>
      </c>
      <c r="H271" s="67" t="inlineStr">
        <is>
          <t>Ahora, resignado por el “ sabotaje ” del Congreso con su reforma, Petro se va por una “ salida [no] tranquila y negociada ”, que puede terminar siendo una liquidación para el sistema.</t>
        </is>
      </c>
      <c r="I271" s="67" t="inlineStr">
        <is>
          <t>La liquidación de una EPS busca desmantelarla para convertir sus activos en dinero y pagar sus deudas, lo que implica el cierre de la entidad y el traslado de sus usuarios.</t>
        </is>
      </c>
      <c r="J271" s="68" t="n"/>
      <c r="K271" s="69" t="n"/>
      <c r="L271" s="68" t="n"/>
      <c r="M271" s="69" t="n"/>
      <c r="N271" s="68" t="n"/>
      <c r="O271" s="69" t="n"/>
      <c r="P271" s="68" t="n"/>
      <c r="Q271" s="69" t="n"/>
      <c r="R271" s="68" t="n"/>
      <c r="S271" s="69" t="n"/>
      <c r="T271" s="68" t="n"/>
      <c r="U271" s="69" t="n"/>
      <c r="V271" s="68" t="n"/>
      <c r="W271" s="69" t="n"/>
      <c r="X271" s="68" t="n"/>
      <c r="Y271" s="69" t="n"/>
      <c r="Z271" s="68" t="n"/>
      <c r="AA271" s="69" t="n"/>
      <c r="AB271" s="68" t="n"/>
      <c r="AC271" s="69" t="n"/>
      <c r="AD271" s="70">
        <f>IF(AND(COUNTIF($B$5:B271,B271)=1,$B271&lt;&gt;"",$AB271&lt;&gt;""),1,0)</f>
        <v/>
      </c>
      <c r="AE271" s="67" t="inlineStr">
        <is>
          <t>https://www.lasillavacia.com/silla-nacional/liquidar-las-eps-la-ultima-carta-inviable-de-petro-para-la-salud/</t>
        </is>
      </c>
      <c r="AF271" s="64" t="n"/>
      <c r="AG271" s="65" t="n"/>
    </row>
    <row r="272" ht="15" customHeight="1" s="31">
      <c r="A272" s="66" t="inlineStr">
        <is>
          <t>ART_055</t>
        </is>
      </c>
      <c r="B272" s="66" t="inlineStr">
        <is>
          <t>ART_055_S08</t>
        </is>
      </c>
      <c r="C272" s="66" t="inlineStr">
        <is>
          <t>La Silla Vacía</t>
        </is>
      </c>
      <c r="D272" s="66" t="inlineStr">
        <is>
          <t>Salud</t>
        </is>
      </c>
      <c r="E272" s="66" t="inlineStr">
        <is>
          <t>Noticia dura</t>
        </is>
      </c>
      <c r="F272" s="66" t="inlineStr">
        <is>
          <t>2026-03-23T06:00:00+00:00</t>
        </is>
      </c>
      <c r="G272" s="67" t="inlineStr">
        <is>
          <t>La liquidación de una EPS busca desmantelarla para convertir sus activos en dinero y pagar sus deudas, lo que implica el cierre de la entidad y el traslado de sus usuarios.</t>
        </is>
      </c>
      <c r="H272" s="67" t="inlineStr">
        <is>
          <t>La salida que entre líneas ha sugerido —que Nueva EPS asuma los afiliados— también enfrenta retos: las normas solo lo permiten parcialmente y, dada su debilidad financiera y operativa, es improbable que esta EPS lo logre.</t>
        </is>
      </c>
      <c r="I272" s="67" t="inlineStr"/>
      <c r="J272" s="68" t="n"/>
      <c r="K272" s="69" t="n"/>
      <c r="L272" s="68" t="n"/>
      <c r="M272" s="69" t="n"/>
      <c r="N272" s="68" t="n"/>
      <c r="O272" s="69" t="n"/>
      <c r="P272" s="68" t="n"/>
      <c r="Q272" s="69" t="n"/>
      <c r="R272" s="68" t="n"/>
      <c r="S272" s="69" t="n"/>
      <c r="T272" s="68" t="n"/>
      <c r="U272" s="69" t="n"/>
      <c r="V272" s="68" t="n"/>
      <c r="W272" s="69" t="n"/>
      <c r="X272" s="68" t="n"/>
      <c r="Y272" s="69" t="n"/>
      <c r="Z272" s="68" t="n"/>
      <c r="AA272" s="69" t="n"/>
      <c r="AB272" s="68" t="n"/>
      <c r="AC272" s="69" t="n"/>
      <c r="AD272" s="70">
        <f>IF(AND(COUNTIF($B$5:B272,B272)=1,$B272&lt;&gt;"",$AB272&lt;&gt;""),1,0)</f>
        <v/>
      </c>
      <c r="AE272" s="67" t="inlineStr">
        <is>
          <t>https://www.lasillavacia.com/silla-nacional/liquidar-las-eps-la-ultima-carta-inviable-de-petro-para-la-salud/</t>
        </is>
      </c>
      <c r="AF272" s="64" t="n"/>
      <c r="AG272" s="65" t="n"/>
    </row>
    <row r="273" ht="15" customHeight="1" s="31">
      <c r="A273" s="66" t="inlineStr">
        <is>
          <t>ART_056</t>
        </is>
      </c>
      <c r="B273" s="66" t="inlineStr">
        <is>
          <t>ART_056_S01</t>
        </is>
      </c>
      <c r="C273" s="66" t="inlineStr">
        <is>
          <t>La Silla Vacía</t>
        </is>
      </c>
      <c r="D273" s="66" t="inlineStr">
        <is>
          <t>Salud</t>
        </is>
      </c>
      <c r="E273" s="66" t="inlineStr">
        <is>
          <t>Opinión-análisis</t>
        </is>
      </c>
      <c r="F273" s="66" t="inlineStr">
        <is>
          <t>2026-03-19T13:00:00+00:00</t>
        </is>
      </c>
      <c r="G273" s="67" t="inlineStr">
        <is>
          <t>Esta semana, durante el Consejo de Ministros, el presidente Gustavo Petro habló sobre liquidar las EPS “quebradas” .</t>
        </is>
      </c>
      <c r="H273" s="67" t="inlineStr"/>
      <c r="I273" s="67" t="inlineStr">
        <is>
          <t>El anuncio ha incrementado las tensiones e incertidumbres que han caracterizado las relaciones del ejecutivo, no solo con las EPS, sino, en general, con todos los actores del sistema en sus cuatro años de mandato.</t>
        </is>
      </c>
      <c r="J273" s="68" t="n"/>
      <c r="K273" s="69" t="n"/>
      <c r="L273" s="68" t="n"/>
      <c r="M273" s="69" t="n"/>
      <c r="N273" s="68" t="n"/>
      <c r="O273" s="69" t="n"/>
      <c r="P273" s="68" t="n"/>
      <c r="Q273" s="69" t="n"/>
      <c r="R273" s="68" t="n"/>
      <c r="S273" s="69" t="n"/>
      <c r="T273" s="68" t="n"/>
      <c r="U273" s="69" t="n"/>
      <c r="V273" s="68" t="n"/>
      <c r="W273" s="69" t="n"/>
      <c r="X273" s="68" t="n"/>
      <c r="Y273" s="69" t="n"/>
      <c r="Z273" s="68" t="n"/>
      <c r="AA273" s="69" t="n"/>
      <c r="AB273" s="68" t="n"/>
      <c r="AC273" s="69" t="n"/>
      <c r="AD273" s="70">
        <f>IF(AND(COUNTIF($B$5:B273,B273)=1,$B273&lt;&gt;"",$AB273&lt;&gt;""),1,0)</f>
        <v/>
      </c>
      <c r="AE273" s="67" t="inlineStr">
        <is>
          <t>https://www.lasillavacia.com/red-de-expertos/red-social/liquidar-las-eps-la-cura-podria-ser-peor-que-la-enfermedad/</t>
        </is>
      </c>
      <c r="AF273" s="64" t="n"/>
      <c r="AG273" s="65" t="n"/>
    </row>
    <row r="274" ht="15" customHeight="1" s="31">
      <c r="A274" s="66" t="inlineStr">
        <is>
          <t>ART_056</t>
        </is>
      </c>
      <c r="B274" s="66" t="inlineStr">
        <is>
          <t>ART_056_S02</t>
        </is>
      </c>
      <c r="C274" s="66" t="inlineStr">
        <is>
          <t>La Silla Vacía</t>
        </is>
      </c>
      <c r="D274" s="66" t="inlineStr">
        <is>
          <t>Salud</t>
        </is>
      </c>
      <c r="E274" s="66" t="inlineStr">
        <is>
          <t>Opinión-análisis</t>
        </is>
      </c>
      <c r="F274" s="66" t="inlineStr">
        <is>
          <t>2026-03-19T13:00:00+00:00</t>
        </is>
      </c>
      <c r="G274" s="67" t="inlineStr">
        <is>
          <t>El anuncio ha incrementado las tensiones e incertidumbres que han caracterizado las relaciones del ejecutivo, no solo con las EPS, sino, en general, con todos los actores del sistema en sus cuatro años de mandato.</t>
        </is>
      </c>
      <c r="H274" s="67" t="inlineStr">
        <is>
          <t>Esta semana, durante el Consejo de Ministros, el presidente Gustavo Petro habló sobre liquidar las EPS “quebradas” .</t>
        </is>
      </c>
      <c r="I274" s="67" t="inlineStr">
        <is>
          <t>Además, ha generado diversas reacciones sobre en cuanto a lo legal, lo financiero, lo político y la misma gestión de la salud.</t>
        </is>
      </c>
      <c r="J274" s="68" t="n"/>
      <c r="K274" s="69" t="n"/>
      <c r="L274" s="68" t="n"/>
      <c r="M274" s="69" t="n"/>
      <c r="N274" s="68" t="n"/>
      <c r="O274" s="69" t="n"/>
      <c r="P274" s="68" t="n"/>
      <c r="Q274" s="69" t="n"/>
      <c r="R274" s="68" t="n"/>
      <c r="S274" s="69" t="n"/>
      <c r="T274" s="68" t="n"/>
      <c r="U274" s="69" t="n"/>
      <c r="V274" s="68" t="n"/>
      <c r="W274" s="69" t="n"/>
      <c r="X274" s="68" t="n"/>
      <c r="Y274" s="69" t="n"/>
      <c r="Z274" s="68" t="n"/>
      <c r="AA274" s="69" t="n"/>
      <c r="AB274" s="68" t="n"/>
      <c r="AC274" s="69" t="n"/>
      <c r="AD274" s="70">
        <f>IF(AND(COUNTIF($B$5:B274,B274)=1,$B274&lt;&gt;"",$AB274&lt;&gt;""),1,0)</f>
        <v/>
      </c>
      <c r="AE274" s="67" t="inlineStr">
        <is>
          <t>https://www.lasillavacia.com/red-de-expertos/red-social/liquidar-las-eps-la-cura-podria-ser-peor-que-la-enfermedad/</t>
        </is>
      </c>
      <c r="AF274" s="64" t="n"/>
      <c r="AG274" s="65" t="n"/>
    </row>
    <row r="275" ht="15" customHeight="1" s="31">
      <c r="A275" s="66" t="inlineStr">
        <is>
          <t>ART_056</t>
        </is>
      </c>
      <c r="B275" s="66" t="inlineStr">
        <is>
          <t>ART_056_S03</t>
        </is>
      </c>
      <c r="C275" s="66" t="inlineStr">
        <is>
          <t>La Silla Vacía</t>
        </is>
      </c>
      <c r="D275" s="66" t="inlineStr">
        <is>
          <t>Salud</t>
        </is>
      </c>
      <c r="E275" s="66" t="inlineStr">
        <is>
          <t>Opinión-análisis</t>
        </is>
      </c>
      <c r="F275" s="66" t="inlineStr">
        <is>
          <t>2026-03-19T13:00:00+00:00</t>
        </is>
      </c>
      <c r="G275" s="67" t="inlineStr">
        <is>
          <t>Además, ha generado diversas reacciones sobre en cuanto a lo legal, lo financiero, lo político y la misma gestión de la salud.</t>
        </is>
      </c>
      <c r="H275" s="67" t="inlineStr">
        <is>
          <t>El anuncio ha incrementado las tensiones e incertidumbres que han caracterizado las relaciones del ejecutivo, no solo con las EPS, sino, en general, con todos los actores del sistema en sus cuatro años de mandato.</t>
        </is>
      </c>
      <c r="I275" s="67" t="inlineStr">
        <is>
          <t>Si bien el anuncio no es novedoso —siempre lo ha esgrimido como escenario posible—, en esta oportunidad aparece con mucha más fuerza, afirmando que es casi el único camino que le queda luego de tres derrotas sufridas por su gobierno en el tema de salud.</t>
        </is>
      </c>
      <c r="J275" s="68" t="n"/>
      <c r="K275" s="69" t="n"/>
      <c r="L275" s="68" t="n"/>
      <c r="M275" s="69" t="n"/>
      <c r="N275" s="68" t="n"/>
      <c r="O275" s="69" t="n"/>
      <c r="P275" s="68" t="n"/>
      <c r="Q275" s="69" t="n"/>
      <c r="R275" s="68" t="n"/>
      <c r="S275" s="69" t="n"/>
      <c r="T275" s="68" t="n"/>
      <c r="U275" s="69" t="n"/>
      <c r="V275" s="68" t="n"/>
      <c r="W275" s="69" t="n"/>
      <c r="X275" s="68" t="n"/>
      <c r="Y275" s="69" t="n"/>
      <c r="Z275" s="68" t="n"/>
      <c r="AA275" s="69" t="n"/>
      <c r="AB275" s="68" t="n"/>
      <c r="AC275" s="69" t="n"/>
      <c r="AD275" s="70">
        <f>IF(AND(COUNTIF($B$5:B275,B275)=1,$B275&lt;&gt;"",$AB275&lt;&gt;""),1,0)</f>
        <v/>
      </c>
      <c r="AE275" s="67" t="inlineStr">
        <is>
          <t>https://www.lasillavacia.com/red-de-expertos/red-social/liquidar-las-eps-la-cura-podria-ser-peor-que-la-enfermedad/</t>
        </is>
      </c>
      <c r="AF275" s="64" t="n"/>
      <c r="AG275" s="65" t="n"/>
    </row>
    <row r="276" ht="15" customHeight="1" s="31">
      <c r="A276" s="66" t="inlineStr">
        <is>
          <t>ART_056</t>
        </is>
      </c>
      <c r="B276" s="66" t="inlineStr">
        <is>
          <t>ART_056_S04</t>
        </is>
      </c>
      <c r="C276" s="66" t="inlineStr">
        <is>
          <t>La Silla Vacía</t>
        </is>
      </c>
      <c r="D276" s="66" t="inlineStr">
        <is>
          <t>Salud</t>
        </is>
      </c>
      <c r="E276" s="66" t="inlineStr">
        <is>
          <t>Opinión-análisis</t>
        </is>
      </c>
      <c r="F276" s="66" t="inlineStr">
        <is>
          <t>2026-03-19T13:00:00+00:00</t>
        </is>
      </c>
      <c r="G276" s="67" t="inlineStr">
        <is>
          <t>Si bien el anuncio no es novedoso —siempre lo ha esgrimido como escenario posible—, en esta oportunidad aparece con mucha más fuerza, afirmando que es casi el único camino que le queda luego de tres derrotas sufridas por su gobierno en el tema de salud.</t>
        </is>
      </c>
      <c r="H276" s="67" t="inlineStr">
        <is>
          <t>Además, ha generado diversas reacciones sobre en cuanto a lo legal, lo financiero, lo político y la misma gestión de la salud.</t>
        </is>
      </c>
      <c r="I276" s="67" t="inlineStr">
        <is>
          <t>La primera fue cuando se hundió, por segunda vez, el proyecto gubernamental de reforma a la salud con el que buscaba transformar a las EPS en Gestoras de Salud, quitándoles el manejo de los recursos financieros del sistema y el poder de configurar la red de prestadores de servicios de salud.</t>
        </is>
      </c>
      <c r="J276" s="68" t="n"/>
      <c r="K276" s="69" t="n"/>
      <c r="L276" s="68" t="n"/>
      <c r="M276" s="69" t="n"/>
      <c r="N276" s="68" t="n"/>
      <c r="O276" s="69" t="n"/>
      <c r="P276" s="68" t="n"/>
      <c r="Q276" s="69" t="n"/>
      <c r="R276" s="68" t="n"/>
      <c r="S276" s="69" t="n"/>
      <c r="T276" s="68" t="n"/>
      <c r="U276" s="69" t="n"/>
      <c r="V276" s="68" t="n"/>
      <c r="W276" s="69" t="n"/>
      <c r="X276" s="68" t="n"/>
      <c r="Y276" s="69" t="n"/>
      <c r="Z276" s="68" t="n"/>
      <c r="AA276" s="69" t="n"/>
      <c r="AB276" s="68" t="n"/>
      <c r="AC276" s="69" t="n"/>
      <c r="AD276" s="70">
        <f>IF(AND(COUNTIF($B$5:B276,B276)=1,$B276&lt;&gt;"",$AB276&lt;&gt;""),1,0)</f>
        <v/>
      </c>
      <c r="AE276" s="67" t="inlineStr">
        <is>
          <t>https://www.lasillavacia.com/red-de-expertos/red-social/liquidar-las-eps-la-cura-podria-ser-peor-que-la-enfermedad/</t>
        </is>
      </c>
      <c r="AF276" s="64" t="n"/>
      <c r="AG276" s="65" t="n"/>
    </row>
    <row r="277" ht="15" customHeight="1" s="31">
      <c r="A277" s="66" t="inlineStr">
        <is>
          <t>ART_056</t>
        </is>
      </c>
      <c r="B277" s="66" t="inlineStr">
        <is>
          <t>ART_056_S05</t>
        </is>
      </c>
      <c r="C277" s="66" t="inlineStr">
        <is>
          <t>La Silla Vacía</t>
        </is>
      </c>
      <c r="D277" s="66" t="inlineStr">
        <is>
          <t>Salud</t>
        </is>
      </c>
      <c r="E277" s="66" t="inlineStr">
        <is>
          <t>Opinión-análisis</t>
        </is>
      </c>
      <c r="F277" s="66" t="inlineStr">
        <is>
          <t>2026-03-19T13:00:00+00:00</t>
        </is>
      </c>
      <c r="G277" s="67" t="inlineStr">
        <is>
          <t>La primera fue cuando se hundió, por segunda vez, el proyecto gubernamental de reforma a la salud con el que buscaba transformar a las EPS en Gestoras de Salud, quitándoles el manejo de los recursos financieros del sistema y el poder de configurar la red de prestadores de servicios de salud.</t>
        </is>
      </c>
      <c r="H277" s="67" t="inlineStr">
        <is>
          <t>Si bien el anuncio no es novedoso —siempre lo ha esgrimido como escenario posible—, en esta oportunidad aparece con mucha más fuerza, afirmando que es casi el único camino que le queda luego de tres derrotas sufridas por su gobierno en el tema de salud.</t>
        </is>
      </c>
      <c r="I277" s="67" t="inlineStr">
        <is>
          <t>La segunda fue con las medidas cautelares impuestas por el Consejo de Estado sobre la implementación del decreto 858 de 2025 , con el cual se definía el modelo de Salud Preventivo, Predictivo y Resolutivo, que ha sido bandera del gobierno.</t>
        </is>
      </c>
      <c r="J277" s="68" t="n"/>
      <c r="K277" s="69" t="n"/>
      <c r="L277" s="68" t="n"/>
      <c r="M277" s="69" t="n"/>
      <c r="N277" s="68" t="n"/>
      <c r="O277" s="69" t="n"/>
      <c r="P277" s="68" t="n"/>
      <c r="Q277" s="69" t="n"/>
      <c r="R277" s="68" t="n"/>
      <c r="S277" s="69" t="n"/>
      <c r="T277" s="68" t="n"/>
      <c r="U277" s="69" t="n"/>
      <c r="V277" s="68" t="n"/>
      <c r="W277" s="69" t="n"/>
      <c r="X277" s="68" t="n"/>
      <c r="Y277" s="69" t="n"/>
      <c r="Z277" s="68" t="n"/>
      <c r="AA277" s="69" t="n"/>
      <c r="AB277" s="68" t="n"/>
      <c r="AC277" s="69" t="n"/>
      <c r="AD277" s="70">
        <f>IF(AND(COUNTIF($B$5:B277,B277)=1,$B277&lt;&gt;"",$AB277&lt;&gt;""),1,0)</f>
        <v/>
      </c>
      <c r="AE277" s="67" t="inlineStr">
        <is>
          <t>https://www.lasillavacia.com/red-de-expertos/red-social/liquidar-las-eps-la-cura-podria-ser-peor-que-la-enfermedad/</t>
        </is>
      </c>
      <c r="AF277" s="64" t="n"/>
      <c r="AG277" s="65" t="n"/>
    </row>
    <row r="278" ht="15" customHeight="1" s="31">
      <c r="A278" s="66" t="inlineStr">
        <is>
          <t>ART_056</t>
        </is>
      </c>
      <c r="B278" s="66" t="inlineStr">
        <is>
          <t>ART_056_S06</t>
        </is>
      </c>
      <c r="C278" s="66" t="inlineStr">
        <is>
          <t>La Silla Vacía</t>
        </is>
      </c>
      <c r="D278" s="66" t="inlineStr">
        <is>
          <t>Salud</t>
        </is>
      </c>
      <c r="E278" s="66" t="inlineStr">
        <is>
          <t>Opinión-análisis</t>
        </is>
      </c>
      <c r="F278" s="66" t="inlineStr">
        <is>
          <t>2026-03-19T13:00:00+00:00</t>
        </is>
      </c>
      <c r="G278" s="67" t="inlineStr">
        <is>
          <t>La segunda fue con las medidas cautelares impuestas por el Consejo de Estado sobre la implementación del decreto 858 de 2025 , con el cual se definía el modelo de Salud Preventivo, Predictivo y Resolutivo, que ha sido bandera del gobierno.</t>
        </is>
      </c>
      <c r="H278" s="67" t="inlineStr">
        <is>
          <t>La primera fue cuando se hundió, por segunda vez, el proyecto gubernamental de reforma a la salud con el que buscaba transformar a las EPS en Gestoras de Salud, quitándoles el manejo de los recursos financieros del sistema y el poder de configurar la red de prestadores de servicios de salud.</t>
        </is>
      </c>
      <c r="I278" s="67" t="inlineStr">
        <is>
          <t>La tercera y más reciente fue cuando, igualmente, el Tribunal Administrativo de Antioquia tomó medida cautelar sobre el decreto 182 de 2026 , con el que el gobierno pretendía llevar a cabo el reordenamiento territorial del sistema de salud.</t>
        </is>
      </c>
      <c r="J278" s="68" t="n"/>
      <c r="K278" s="69" t="n"/>
      <c r="L278" s="68" t="n"/>
      <c r="M278" s="69" t="n"/>
      <c r="N278" s="68" t="n"/>
      <c r="O278" s="69" t="n"/>
      <c r="P278" s="68" t="n"/>
      <c r="Q278" s="69" t="n"/>
      <c r="R278" s="68" t="n"/>
      <c r="S278" s="69" t="n"/>
      <c r="T278" s="68" t="n"/>
      <c r="U278" s="69" t="n"/>
      <c r="V278" s="68" t="n"/>
      <c r="W278" s="69" t="n"/>
      <c r="X278" s="68" t="n"/>
      <c r="Y278" s="69" t="n"/>
      <c r="Z278" s="68" t="n"/>
      <c r="AA278" s="69" t="n"/>
      <c r="AB278" s="68" t="n"/>
      <c r="AC278" s="69" t="n"/>
      <c r="AD278" s="70">
        <f>IF(AND(COUNTIF($B$5:B278,B278)=1,$B278&lt;&gt;"",$AB278&lt;&gt;""),1,0)</f>
        <v/>
      </c>
      <c r="AE278" s="67" t="inlineStr">
        <is>
          <t>https://www.lasillavacia.com/red-de-expertos/red-social/liquidar-las-eps-la-cura-podria-ser-peor-que-la-enfermedad/</t>
        </is>
      </c>
      <c r="AF278" s="64" t="n"/>
      <c r="AG278" s="65" t="n"/>
    </row>
    <row r="279" ht="15" customHeight="1" s="31">
      <c r="A279" s="66" t="inlineStr">
        <is>
          <t>ART_056</t>
        </is>
      </c>
      <c r="B279" s="66" t="inlineStr">
        <is>
          <t>ART_056_S07</t>
        </is>
      </c>
      <c r="C279" s="66" t="inlineStr">
        <is>
          <t>La Silla Vacía</t>
        </is>
      </c>
      <c r="D279" s="66" t="inlineStr">
        <is>
          <t>Salud</t>
        </is>
      </c>
      <c r="E279" s="66" t="inlineStr">
        <is>
          <t>Opinión-análisis</t>
        </is>
      </c>
      <c r="F279" s="66" t="inlineStr">
        <is>
          <t>2026-03-19T13:00:00+00:00</t>
        </is>
      </c>
      <c r="G279" s="67" t="inlineStr">
        <is>
          <t>La tercera y más reciente fue cuando, igualmente, el Tribunal Administrativo de Antioquia tomó medida cautelar sobre el decreto 182 de 2026 , con el que el gobierno pretendía llevar a cabo el reordenamiento territorial del sistema de salud.</t>
        </is>
      </c>
      <c r="H279" s="67" t="inlineStr">
        <is>
          <t>La segunda fue con las medidas cautelares impuestas por el Consejo de Estado sobre la implementación del decreto 858 de 2025 , con el cual se definía el modelo de Salud Preventivo, Predictivo y Resolutivo, que ha sido bandera del gobierno.</t>
        </is>
      </c>
      <c r="I279" s="67" t="inlineStr">
        <is>
          <t>En cuanto a los aspectos legales, lo primero que genera discusión es que no hay claridad sobre qué se entiende por EPS “quebradas”, ya que, bajo el modelo de Inspección Vigilancia y Control de la Superintendencia de Salud, dicha figura no existe.</t>
        </is>
      </c>
      <c r="J279" s="68" t="n"/>
      <c r="K279" s="69" t="n"/>
      <c r="L279" s="68" t="n"/>
      <c r="M279" s="69" t="n"/>
      <c r="N279" s="68" t="n"/>
      <c r="O279" s="69" t="n"/>
      <c r="P279" s="68" t="n"/>
      <c r="Q279" s="69" t="n"/>
      <c r="R279" s="68" t="n"/>
      <c r="S279" s="69" t="n"/>
      <c r="T279" s="68" t="n"/>
      <c r="U279" s="69" t="n"/>
      <c r="V279" s="68" t="n"/>
      <c r="W279" s="69" t="n"/>
      <c r="X279" s="68" t="n"/>
      <c r="Y279" s="69" t="n"/>
      <c r="Z279" s="68" t="n"/>
      <c r="AA279" s="69" t="n"/>
      <c r="AB279" s="68" t="n"/>
      <c r="AC279" s="69" t="n"/>
      <c r="AD279" s="70">
        <f>IF(AND(COUNTIF($B$5:B279,B279)=1,$B279&lt;&gt;"",$AB279&lt;&gt;""),1,0)</f>
        <v/>
      </c>
      <c r="AE279" s="67" t="inlineStr">
        <is>
          <t>https://www.lasillavacia.com/red-de-expertos/red-social/liquidar-las-eps-la-cura-podria-ser-peor-que-la-enfermedad/</t>
        </is>
      </c>
      <c r="AF279" s="64" t="n"/>
      <c r="AG279" s="65" t="n"/>
    </row>
    <row r="280" ht="15" customHeight="1" s="31">
      <c r="A280" s="66" t="inlineStr">
        <is>
          <t>ART_056</t>
        </is>
      </c>
      <c r="B280" s="66" t="inlineStr">
        <is>
          <t>ART_056_S08</t>
        </is>
      </c>
      <c r="C280" s="66" t="inlineStr">
        <is>
          <t>La Silla Vacía</t>
        </is>
      </c>
      <c r="D280" s="66" t="inlineStr">
        <is>
          <t>Salud</t>
        </is>
      </c>
      <c r="E280" s="66" t="inlineStr">
        <is>
          <t>Opinión-análisis</t>
        </is>
      </c>
      <c r="F280" s="66" t="inlineStr">
        <is>
          <t>2026-03-19T13:00:00+00:00</t>
        </is>
      </c>
      <c r="G280" s="67" t="inlineStr">
        <is>
          <t>En cuanto a los aspectos legales, lo primero que genera discusión es que no hay claridad sobre qué se entiende por EPS “quebradas”, ya que, bajo el modelo de Inspección Vigilancia y Control de la Superintendencia de Salud, dicha figura no existe.</t>
        </is>
      </c>
      <c r="H280" s="67" t="inlineStr">
        <is>
          <t>La tercera y más reciente fue cuando, igualmente, el Tribunal Administrativo de Antioquia tomó medida cautelar sobre el decreto 182 de 2026 , con el que el gobierno pretendía llevar a cabo el reordenamiento territorial del sistema de salud.</t>
        </is>
      </c>
      <c r="I280" s="67" t="inlineStr">
        <is>
          <t>Lo que evalúa la Superintendencia es el cumplimiento de indicadores financieros (patrimonio adecuado, reservas técnicas y liquidez) y de garantía de la atención de los afiliados (indicadores de calidad y oportunidad, gestión del riesgo en salud); con base en esos resultados es que puede tomar decisiones de vigilancia especial, intervención forzosa administrativa y de liquidación de la EPS cuando persisten incumplimientos graves sobre estos indicadores.</t>
        </is>
      </c>
      <c r="J280" s="68" t="n"/>
      <c r="K280" s="69" t="n"/>
      <c r="L280" s="68" t="n"/>
      <c r="M280" s="69" t="n"/>
      <c r="N280" s="68" t="n"/>
      <c r="O280" s="69" t="n"/>
      <c r="P280" s="68" t="n"/>
      <c r="Q280" s="69" t="n"/>
      <c r="R280" s="68" t="n"/>
      <c r="S280" s="69" t="n"/>
      <c r="T280" s="68" t="n"/>
      <c r="U280" s="69" t="n"/>
      <c r="V280" s="68" t="n"/>
      <c r="W280" s="69" t="n"/>
      <c r="X280" s="68" t="n"/>
      <c r="Y280" s="69" t="n"/>
      <c r="Z280" s="68" t="n"/>
      <c r="AA280" s="69" t="n"/>
      <c r="AB280" s="68" t="n"/>
      <c r="AC280" s="69" t="n"/>
      <c r="AD280" s="70">
        <f>IF(AND(COUNTIF($B$5:B280,B280)=1,$B280&lt;&gt;"",$AB280&lt;&gt;""),1,0)</f>
        <v/>
      </c>
      <c r="AE280" s="67" t="inlineStr">
        <is>
          <t>https://www.lasillavacia.com/red-de-expertos/red-social/liquidar-las-eps-la-cura-podria-ser-peor-que-la-enfermedad/</t>
        </is>
      </c>
      <c r="AF280" s="64" t="n"/>
      <c r="AG280" s="65" t="n"/>
    </row>
    <row r="281" ht="15" customHeight="1" s="31">
      <c r="A281" s="66" t="inlineStr">
        <is>
          <t>ART_056</t>
        </is>
      </c>
      <c r="B281" s="66" t="inlineStr">
        <is>
          <t>ART_056_S09</t>
        </is>
      </c>
      <c r="C281" s="66" t="inlineStr">
        <is>
          <t>La Silla Vacía</t>
        </is>
      </c>
      <c r="D281" s="66" t="inlineStr">
        <is>
          <t>Salud</t>
        </is>
      </c>
      <c r="E281" s="66" t="inlineStr">
        <is>
          <t>Opinión-análisis</t>
        </is>
      </c>
      <c r="F281" s="66" t="inlineStr">
        <is>
          <t>2026-03-19T13:00:00+00:00</t>
        </is>
      </c>
      <c r="G281" s="67" t="inlineStr">
        <is>
          <t>Lo que evalúa la Superintendencia es el cumplimiento de indicadores financieros (patrimonio adecuado, reservas técnicas y liquidez) y de garantía de la atención de los afiliados (indicadores de calidad y oportunidad, gestión del riesgo en salud); con base en esos resultados es que puede tomar decisiones de vigilancia especial, intervención forzosa administrativa y de liquidación de la EPS cuando persisten incumplimientos graves sobre estos indicadores.</t>
        </is>
      </c>
      <c r="H281" s="67" t="inlineStr">
        <is>
          <t>En cuanto a los aspectos legales, lo primero que genera discusión es que no hay claridad sobre qué se entiende por EPS “quebradas”, ya que, bajo el modelo de Inspección Vigilancia y Control de la Superintendencia de Salud, dicha figura no existe.</t>
        </is>
      </c>
      <c r="I281" s="67" t="inlineStr">
        <is>
          <t>Por lo tanto, hablar de EPS “quebradas” resulta difuso y podría derivar en decisiones subjetivas sobre cuáles EPS liquidar y cuáles no si no se respetan los criterios explícitamente definidos en el marco regulatorio de la Supersalud.</t>
        </is>
      </c>
      <c r="J281" s="68" t="n"/>
      <c r="K281" s="69" t="n"/>
      <c r="L281" s="68" t="n"/>
      <c r="M281" s="69" t="n"/>
      <c r="N281" s="68" t="n"/>
      <c r="O281" s="69" t="n"/>
      <c r="P281" s="68" t="n"/>
      <c r="Q281" s="69" t="n"/>
      <c r="R281" s="68" t="n"/>
      <c r="S281" s="69" t="n"/>
      <c r="T281" s="68" t="n"/>
      <c r="U281" s="69" t="n"/>
      <c r="V281" s="68" t="n"/>
      <c r="W281" s="69" t="n"/>
      <c r="X281" s="68" t="n"/>
      <c r="Y281" s="69" t="n"/>
      <c r="Z281" s="68" t="n"/>
      <c r="AA281" s="69" t="n"/>
      <c r="AB281" s="68" t="n"/>
      <c r="AC281" s="69" t="n"/>
      <c r="AD281" s="70">
        <f>IF(AND(COUNTIF($B$5:B281,B281)=1,$B281&lt;&gt;"",$AB281&lt;&gt;""),1,0)</f>
        <v/>
      </c>
      <c r="AE281" s="67" t="inlineStr">
        <is>
          <t>https://www.lasillavacia.com/red-de-expertos/red-social/liquidar-las-eps-la-cura-podria-ser-peor-que-la-enfermedad/</t>
        </is>
      </c>
      <c r="AF281" s="64" t="n"/>
      <c r="AG281" s="65" t="n"/>
    </row>
    <row r="282" ht="15" customHeight="1" s="31">
      <c r="A282" s="66" t="inlineStr">
        <is>
          <t>ART_056</t>
        </is>
      </c>
      <c r="B282" s="66" t="inlineStr">
        <is>
          <t>ART_056_S10</t>
        </is>
      </c>
      <c r="C282" s="66" t="inlineStr">
        <is>
          <t>La Silla Vacía</t>
        </is>
      </c>
      <c r="D282" s="66" t="inlineStr">
        <is>
          <t>Salud</t>
        </is>
      </c>
      <c r="E282" s="66" t="inlineStr">
        <is>
          <t>Opinión-análisis</t>
        </is>
      </c>
      <c r="F282" s="66" t="inlineStr">
        <is>
          <t>2026-03-19T13:00:00+00:00</t>
        </is>
      </c>
      <c r="G282" s="67" t="inlineStr">
        <is>
          <t>Por lo tanto, hablar de EPS “quebradas” resulta difuso y podría derivar en decisiones subjetivas sobre cuáles EPS liquidar y cuáles no si no se respetan los criterios explícitamente definidos en el marco regulatorio de la Supersalud.</t>
        </is>
      </c>
      <c r="H282" s="67" t="inlineStr">
        <is>
          <t>Lo que evalúa la Superintendencia es el cumplimiento de indicadores financieros (patrimonio adecuado, reservas técnicas y liquidez) y de garantía de la atención de los afiliados (indicadores de calidad y oportunidad, gestión del riesgo en salud); con base en esos resultados es que puede tomar decisiones de vigilancia especial, intervención forzosa administrativa y de liquidación de la EPS cuando persisten incumplimientos graves sobre estos indicadores.</t>
        </is>
      </c>
      <c r="I282" s="67" t="inlineStr">
        <is>
          <t>La posible liquidación de EPS terminará afectando el acceso y la continuidad de la atención de los afiliados al sistema, con particular gravedad en el caso de los pacientes con patologías crónicas, pues verían aún más afectada la provisión de consultas, cirugías, exámenes de laboratorio y medicamentos.</t>
        </is>
      </c>
      <c r="J282" s="68" t="n"/>
      <c r="K282" s="69" t="n"/>
      <c r="L282" s="68" t="n"/>
      <c r="M282" s="69" t="n"/>
      <c r="N282" s="68" t="n"/>
      <c r="O282" s="69" t="n"/>
      <c r="P282" s="68" t="n"/>
      <c r="Q282" s="69" t="n"/>
      <c r="R282" s="68" t="n"/>
      <c r="S282" s="69" t="n"/>
      <c r="T282" s="68" t="n"/>
      <c r="U282" s="69" t="n"/>
      <c r="V282" s="68" t="n"/>
      <c r="W282" s="69" t="n"/>
      <c r="X282" s="68" t="n"/>
      <c r="Y282" s="69" t="n"/>
      <c r="Z282" s="68" t="n"/>
      <c r="AA282" s="69" t="n"/>
      <c r="AB282" s="68" t="n"/>
      <c r="AC282" s="69" t="n"/>
      <c r="AD282" s="70">
        <f>IF(AND(COUNTIF($B$5:B282,B282)=1,$B282&lt;&gt;"",$AB282&lt;&gt;""),1,0)</f>
        <v/>
      </c>
      <c r="AE282" s="67" t="inlineStr">
        <is>
          <t>https://www.lasillavacia.com/red-de-expertos/red-social/liquidar-las-eps-la-cura-podria-ser-peor-que-la-enfermedad/</t>
        </is>
      </c>
      <c r="AF282" s="64" t="n"/>
      <c r="AG282" s="65" t="n"/>
    </row>
    <row r="283" ht="15" customHeight="1" s="31">
      <c r="A283" s="66" t="inlineStr">
        <is>
          <t>ART_056</t>
        </is>
      </c>
      <c r="B283" s="66" t="inlineStr">
        <is>
          <t>ART_056_S11</t>
        </is>
      </c>
      <c r="C283" s="66" t="inlineStr">
        <is>
          <t>La Silla Vacía</t>
        </is>
      </c>
      <c r="D283" s="66" t="inlineStr">
        <is>
          <t>Salud</t>
        </is>
      </c>
      <c r="E283" s="66" t="inlineStr">
        <is>
          <t>Opinión-análisis</t>
        </is>
      </c>
      <c r="F283" s="66" t="inlineStr">
        <is>
          <t>2026-03-19T13:00:00+00:00</t>
        </is>
      </c>
      <c r="G283" s="67" t="inlineStr">
        <is>
          <t>La posible liquidación de EPS terminará afectando el acceso y la continuidad de la atención de los afiliados al sistema, con particular gravedad en el caso de los pacientes con patologías crónicas, pues verían aún más afectada la provisión de consultas, cirugías, exámenes de laboratorio y medicamentos.</t>
        </is>
      </c>
      <c r="H283" s="67" t="inlineStr">
        <is>
          <t>Por lo tanto, hablar de EPS “quebradas” resulta difuso y podría derivar en decisiones subjetivas sobre cuáles EPS liquidar y cuáles no si no se respetan los criterios explícitamente definidos en el marco regulatorio de la Supersalud.</t>
        </is>
      </c>
      <c r="I283" s="67" t="inlineStr">
        <is>
          <t>Lo anterior resulta de la incertidumbre que genera en las IPS y en los Gestores Farmacéuticos no saber qué sucederá con las deudas que tengan con las EPS liquidadas.</t>
        </is>
      </c>
      <c r="J283" s="68" t="n"/>
      <c r="K283" s="69" t="n"/>
      <c r="L283" s="68" t="n"/>
      <c r="M283" s="69" t="n"/>
      <c r="N283" s="68" t="n"/>
      <c r="O283" s="69" t="n"/>
      <c r="P283" s="68" t="n"/>
      <c r="Q283" s="69" t="n"/>
      <c r="R283" s="68" t="n"/>
      <c r="S283" s="69" t="n"/>
      <c r="T283" s="68" t="n"/>
      <c r="U283" s="69" t="n"/>
      <c r="V283" s="68" t="n"/>
      <c r="W283" s="69" t="n"/>
      <c r="X283" s="68" t="n"/>
      <c r="Y283" s="69" t="n"/>
      <c r="Z283" s="68" t="n"/>
      <c r="AA283" s="69" t="n"/>
      <c r="AB283" s="68" t="n"/>
      <c r="AC283" s="69" t="n"/>
      <c r="AD283" s="70">
        <f>IF(AND(COUNTIF($B$5:B283,B283)=1,$B283&lt;&gt;"",$AB283&lt;&gt;""),1,0)</f>
        <v/>
      </c>
      <c r="AE283" s="67" t="inlineStr">
        <is>
          <t>https://www.lasillavacia.com/red-de-expertos/red-social/liquidar-las-eps-la-cura-podria-ser-peor-que-la-enfermedad/</t>
        </is>
      </c>
      <c r="AF283" s="64" t="n"/>
      <c r="AG283" s="65" t="n"/>
    </row>
    <row r="284" ht="15" customHeight="1" s="31">
      <c r="A284" s="66" t="inlineStr">
        <is>
          <t>ART_056</t>
        </is>
      </c>
      <c r="B284" s="66" t="inlineStr">
        <is>
          <t>ART_056_S12</t>
        </is>
      </c>
      <c r="C284" s="66" t="inlineStr">
        <is>
          <t>La Silla Vacía</t>
        </is>
      </c>
      <c r="D284" s="66" t="inlineStr">
        <is>
          <t>Salud</t>
        </is>
      </c>
      <c r="E284" s="66" t="inlineStr">
        <is>
          <t>Opinión-análisis</t>
        </is>
      </c>
      <c r="F284" s="66" t="inlineStr">
        <is>
          <t>2026-03-19T13:00:00+00:00</t>
        </is>
      </c>
      <c r="G284" s="67" t="inlineStr">
        <is>
          <t>Lo anterior resulta de la incertidumbre que genera en las IPS y en los Gestores Farmacéuticos no saber qué sucederá con las deudas que tengan con las EPS liquidadas.</t>
        </is>
      </c>
      <c r="H284" s="67" t="inlineStr">
        <is>
          <t>La posible liquidación de EPS terminará afectando el acceso y la continuidad de la atención de los afiliados al sistema, con particular gravedad en el caso de los pacientes con patologías crónicas, pues verían aún más afectada la provisión de consultas, cirugías, exámenes de laboratorio y medicamentos.</t>
        </is>
      </c>
      <c r="I284" s="67" t="inlineStr"/>
      <c r="J284" s="68" t="n"/>
      <c r="K284" s="69" t="n"/>
      <c r="L284" s="68" t="n"/>
      <c r="M284" s="69" t="n"/>
      <c r="N284" s="68" t="n"/>
      <c r="O284" s="69" t="n"/>
      <c r="P284" s="68" t="n"/>
      <c r="Q284" s="69" t="n"/>
      <c r="R284" s="68" t="n"/>
      <c r="S284" s="69" t="n"/>
      <c r="T284" s="68" t="n"/>
      <c r="U284" s="69" t="n"/>
      <c r="V284" s="68" t="n"/>
      <c r="W284" s="69" t="n"/>
      <c r="X284" s="68" t="n"/>
      <c r="Y284" s="69" t="n"/>
      <c r="Z284" s="68" t="n"/>
      <c r="AA284" s="69" t="n"/>
      <c r="AB284" s="68" t="n"/>
      <c r="AC284" s="69" t="n"/>
      <c r="AD284" s="70">
        <f>IF(AND(COUNTIF($B$5:B284,B284)=1,$B284&lt;&gt;"",$AB284&lt;&gt;""),1,0)</f>
        <v/>
      </c>
      <c r="AE284" s="67" t="inlineStr">
        <is>
          <t>https://www.lasillavacia.com/red-de-expertos/red-social/liquidar-las-eps-la-cura-podria-ser-peor-que-la-enfermedad/</t>
        </is>
      </c>
      <c r="AF284" s="64" t="n"/>
      <c r="AG284" s="65" t="n"/>
    </row>
    <row r="285" ht="15" customHeight="1" s="31">
      <c r="A285" s="66" t="inlineStr">
        <is>
          <t>ART_057</t>
        </is>
      </c>
      <c r="B285" s="66" t="inlineStr">
        <is>
          <t>ART_057_S01</t>
        </is>
      </c>
      <c r="C285" s="66" t="inlineStr">
        <is>
          <t>Semana</t>
        </is>
      </c>
      <c r="D285" s="66" t="inlineStr">
        <is>
          <t>Salud</t>
        </is>
      </c>
      <c r="E285" s="66" t="inlineStr">
        <is>
          <t>Noticia dura</t>
        </is>
      </c>
      <c r="F285" s="66" t="inlineStr">
        <is>
          <t>2025-05-14T10:54:11-05:00</t>
        </is>
      </c>
      <c r="G285" s="67" t="inlineStr">
        <is>
          <t>Avanza el tercer día de la agenda de trabajo del presidente de la República, Gustavo Petro, en China, en donde firmó el plan de cooperación del ingreso de Colombia a la Ruta de la Seda del gigante asiático.</t>
        </is>
      </c>
      <c r="H285" s="67" t="inlineStr"/>
      <c r="I285" s="67" t="inlineStr">
        <is>
          <t>En medio de esa visita oficial, el jefe de Estado lanzó una fuerte advertencia sobre la crisis en el sistema de salud por la que atraviesa el país.</t>
        </is>
      </c>
      <c r="J285" s="68" t="n"/>
      <c r="K285" s="69" t="n"/>
      <c r="L285" s="68" t="n"/>
      <c r="M285" s="69" t="n"/>
      <c r="N285" s="68" t="n"/>
      <c r="O285" s="69" t="n"/>
      <c r="P285" s="68" t="n"/>
      <c r="Q285" s="69" t="n"/>
      <c r="R285" s="68" t="n"/>
      <c r="S285" s="69" t="n"/>
      <c r="T285" s="68" t="n"/>
      <c r="U285" s="69" t="n"/>
      <c r="V285" s="68" t="n"/>
      <c r="W285" s="69" t="n"/>
      <c r="X285" s="68" t="n"/>
      <c r="Y285" s="69" t="n"/>
      <c r="Z285" s="68" t="n"/>
      <c r="AA285" s="69" t="n"/>
      <c r="AB285" s="68" t="n"/>
      <c r="AC285" s="69" t="n"/>
      <c r="AD285" s="70">
        <f>IF(AND(COUNTIF($B$5:B285,B285)=1,$B285&lt;&gt;"",$AB285&lt;&gt;""),1,0)</f>
        <v/>
      </c>
      <c r="AE285" s="67" t="inlineStr">
        <is>
          <t>https://www.semana.com/politica/articulo/gustavo-petro-lanzo-fuerte-advertencia-si-no-se-aprueba-su-polemica-reforma-a-la-salud-se-quiebran-la-mayoria-de-las-eps/202546/</t>
        </is>
      </c>
      <c r="AF285" s="64" t="n"/>
      <c r="AG285" s="65" t="n"/>
    </row>
    <row r="286" ht="15" customHeight="1" s="31">
      <c r="A286" s="66" t="inlineStr">
        <is>
          <t>ART_057</t>
        </is>
      </c>
      <c r="B286" s="66" t="inlineStr">
        <is>
          <t>ART_057_S02</t>
        </is>
      </c>
      <c r="C286" s="66" t="inlineStr">
        <is>
          <t>Semana</t>
        </is>
      </c>
      <c r="D286" s="66" t="inlineStr">
        <is>
          <t>Salud</t>
        </is>
      </c>
      <c r="E286" s="66" t="inlineStr">
        <is>
          <t>Noticia dura</t>
        </is>
      </c>
      <c r="F286" s="66" t="inlineStr">
        <is>
          <t>2025-05-14T10:54:11-05:00</t>
        </is>
      </c>
      <c r="G286" s="67" t="inlineStr">
        <is>
          <t>En medio de esa visita oficial, el jefe de Estado lanzó una fuerte advertencia sobre la crisis en el sistema de salud por la que atraviesa el país.</t>
        </is>
      </c>
      <c r="H286" s="67" t="inlineStr">
        <is>
          <t>Avanza el tercer día de la agenda de trabajo del presidente de la República, Gustavo Petro, en China, en donde firmó el plan de cooperación del ingreso de Colombia a la Ruta de la Seda del gigante asiático.</t>
        </is>
      </c>
      <c r="I286" s="67" t="inlineStr">
        <is>
          <t>Emergencia que se viene agudizando conforme van pasando los meses con la escasez de medicamentos y dificultades para acceder a citas con especialistas.</t>
        </is>
      </c>
      <c r="J286" s="68" t="n"/>
      <c r="K286" s="69" t="n"/>
      <c r="L286" s="68" t="n"/>
      <c r="M286" s="69" t="n"/>
      <c r="N286" s="68" t="n"/>
      <c r="O286" s="69" t="n"/>
      <c r="P286" s="68" t="n"/>
      <c r="Q286" s="69" t="n"/>
      <c r="R286" s="68" t="n"/>
      <c r="S286" s="69" t="n"/>
      <c r="T286" s="68" t="n"/>
      <c r="U286" s="69" t="n"/>
      <c r="V286" s="68" t="n"/>
      <c r="W286" s="69" t="n"/>
      <c r="X286" s="68" t="n"/>
      <c r="Y286" s="69" t="n"/>
      <c r="Z286" s="68" t="n"/>
      <c r="AA286" s="69" t="n"/>
      <c r="AB286" s="68" t="n"/>
      <c r="AC286" s="69" t="n"/>
      <c r="AD286" s="70">
        <f>IF(AND(COUNTIF($B$5:B286,B286)=1,$B286&lt;&gt;"",$AB286&lt;&gt;""),1,0)</f>
        <v/>
      </c>
      <c r="AE286" s="67" t="inlineStr">
        <is>
          <t>https://www.semana.com/politica/articulo/gustavo-petro-lanzo-fuerte-advertencia-si-no-se-aprueba-su-polemica-reforma-a-la-salud-se-quiebran-la-mayoria-de-las-eps/202546/</t>
        </is>
      </c>
      <c r="AF286" s="64" t="n"/>
      <c r="AG286" s="65" t="n"/>
    </row>
    <row r="287" ht="15" customHeight="1" s="31">
      <c r="A287" s="66" t="inlineStr">
        <is>
          <t>ART_057</t>
        </is>
      </c>
      <c r="B287" s="66" t="inlineStr">
        <is>
          <t>ART_057_S03</t>
        </is>
      </c>
      <c r="C287" s="66" t="inlineStr">
        <is>
          <t>Semana</t>
        </is>
      </c>
      <c r="D287" s="66" t="inlineStr">
        <is>
          <t>Salud</t>
        </is>
      </c>
      <c r="E287" s="66" t="inlineStr">
        <is>
          <t>Noticia dura</t>
        </is>
      </c>
      <c r="F287" s="66" t="inlineStr">
        <is>
          <t>2025-05-14T10:54:11-05:00</t>
        </is>
      </c>
      <c r="G287" s="67" t="inlineStr">
        <is>
          <t>Emergencia que se viene agudizando conforme van pasando los meses con la escasez de medicamentos y dificultades para acceder a citas con especialistas.</t>
        </is>
      </c>
      <c r="H287" s="67" t="inlineStr">
        <is>
          <t>En medio de esa visita oficial, el jefe de Estado lanzó una fuerte advertencia sobre la crisis en el sistema de salud por la que atraviesa el país.</t>
        </is>
      </c>
      <c r="I287" s="67" t="inlineStr">
        <is>
          <t>A través de su cuenta personal de X, el mandatario colombiano afirmo de manera directa que no aprobar su polémica reforma a la salud, traerá consigo la quiebra de la mayoría de las empresas prestadoras de salud (EPS).</t>
        </is>
      </c>
      <c r="J287" s="68" t="n"/>
      <c r="K287" s="69" t="n"/>
      <c r="L287" s="68" t="n"/>
      <c r="M287" s="69" t="n"/>
      <c r="N287" s="68" t="n"/>
      <c r="O287" s="69" t="n"/>
      <c r="P287" s="68" t="n"/>
      <c r="Q287" s="69" t="n"/>
      <c r="R287" s="68" t="n"/>
      <c r="S287" s="69" t="n"/>
      <c r="T287" s="68" t="n"/>
      <c r="U287" s="69" t="n"/>
      <c r="V287" s="68" t="n"/>
      <c r="W287" s="69" t="n"/>
      <c r="X287" s="68" t="n"/>
      <c r="Y287" s="69" t="n"/>
      <c r="Z287" s="68" t="n"/>
      <c r="AA287" s="69" t="n"/>
      <c r="AB287" s="68" t="n"/>
      <c r="AC287" s="69" t="n"/>
      <c r="AD287" s="70">
        <f>IF(AND(COUNTIF($B$5:B287,B287)=1,$B287&lt;&gt;"",$AB287&lt;&gt;""),1,0)</f>
        <v/>
      </c>
      <c r="AE287" s="67" t="inlineStr">
        <is>
          <t>https://www.semana.com/politica/articulo/gustavo-petro-lanzo-fuerte-advertencia-si-no-se-aprueba-su-polemica-reforma-a-la-salud-se-quiebran-la-mayoria-de-las-eps/202546/</t>
        </is>
      </c>
      <c r="AF287" s="64" t="n"/>
      <c r="AG287" s="65" t="n"/>
    </row>
    <row r="288" ht="15" customHeight="1" s="31">
      <c r="A288" s="66" t="inlineStr">
        <is>
          <t>ART_057</t>
        </is>
      </c>
      <c r="B288" s="66" t="inlineStr">
        <is>
          <t>ART_057_S04</t>
        </is>
      </c>
      <c r="C288" s="66" t="inlineStr">
        <is>
          <t>Semana</t>
        </is>
      </c>
      <c r="D288" s="66" t="inlineStr">
        <is>
          <t>Salud</t>
        </is>
      </c>
      <c r="E288" s="66" t="inlineStr">
        <is>
          <t>Noticia dura</t>
        </is>
      </c>
      <c r="F288" s="66" t="inlineStr">
        <is>
          <t>2025-05-14T10:54:11-05:00</t>
        </is>
      </c>
      <c r="G288" s="67" t="inlineStr">
        <is>
          <t>A través de su cuenta personal de X, el mandatario colombiano afirmo de manera directa que no aprobar su polémica reforma a la salud, traerá consigo la quiebra de la mayoría de las empresas prestadoras de salud (EPS).</t>
        </is>
      </c>
      <c r="H288" s="67" t="inlineStr">
        <is>
          <t>Emergencia que se viene agudizando conforme van pasando los meses con la escasez de medicamentos y dificultades para acceder a citas con especialistas.</t>
        </is>
      </c>
      <c r="I288" s="67" t="inlineStr">
        <is>
          <t>“La consecuencia directa de no aprobar la reforma a la salud es que se quiebran la mayoría de las EPS.</t>
        </is>
      </c>
      <c r="J288" s="68" t="n"/>
      <c r="K288" s="69" t="n"/>
      <c r="L288" s="68" t="n"/>
      <c r="M288" s="69" t="n"/>
      <c r="N288" s="68" t="n"/>
      <c r="O288" s="69" t="n"/>
      <c r="P288" s="68" t="n"/>
      <c r="Q288" s="69" t="n"/>
      <c r="R288" s="68" t="n"/>
      <c r="S288" s="69" t="n"/>
      <c r="T288" s="68" t="n"/>
      <c r="U288" s="69" t="n"/>
      <c r="V288" s="68" t="n"/>
      <c r="W288" s="69" t="n"/>
      <c r="X288" s="68" t="n"/>
      <c r="Y288" s="69" t="n"/>
      <c r="Z288" s="68" t="n"/>
      <c r="AA288" s="69" t="n"/>
      <c r="AB288" s="68" t="n"/>
      <c r="AC288" s="69" t="n"/>
      <c r="AD288" s="70">
        <f>IF(AND(COUNTIF($B$5:B288,B288)=1,$B288&lt;&gt;"",$AB288&lt;&gt;""),1,0)</f>
        <v/>
      </c>
      <c r="AE288" s="67" t="inlineStr">
        <is>
          <t>https://www.semana.com/politica/articulo/gustavo-petro-lanzo-fuerte-advertencia-si-no-se-aprueba-su-polemica-reforma-a-la-salud-se-quiebran-la-mayoria-de-las-eps/202546/</t>
        </is>
      </c>
      <c r="AF288" s="64" t="n"/>
      <c r="AG288" s="65" t="n"/>
    </row>
    <row r="289" ht="15" customHeight="1" s="31">
      <c r="A289" s="66" t="inlineStr">
        <is>
          <t>ART_057</t>
        </is>
      </c>
      <c r="B289" s="66" t="inlineStr">
        <is>
          <t>ART_057_S05</t>
        </is>
      </c>
      <c r="C289" s="66" t="inlineStr">
        <is>
          <t>Semana</t>
        </is>
      </c>
      <c r="D289" s="66" t="inlineStr">
        <is>
          <t>Salud</t>
        </is>
      </c>
      <c r="E289" s="66" t="inlineStr">
        <is>
          <t>Noticia dura</t>
        </is>
      </c>
      <c r="F289" s="66" t="inlineStr">
        <is>
          <t>2025-05-14T10:54:11-05:00</t>
        </is>
      </c>
      <c r="G289" s="67" t="inlineStr">
        <is>
          <t>“La consecuencia directa de no aprobar la reforma a la salud es que se quiebran la mayoría de las EPS.</t>
        </is>
      </c>
      <c r="H289" s="67" t="inlineStr">
        <is>
          <t>A través de su cuenta personal de X, el mandatario colombiano afirmo de manera directa que no aprobar su polémica reforma a la salud, traerá consigo la quiebra de la mayoría de las empresas prestadoras de salud (EPS).</t>
        </is>
      </c>
      <c r="I289" s="67" t="inlineStr">
        <is>
          <t>Esto no es una amenaza.</t>
        </is>
      </c>
      <c r="J289" s="68" t="n"/>
      <c r="K289" s="69" t="n"/>
      <c r="L289" s="68" t="n"/>
      <c r="M289" s="69" t="n"/>
      <c r="N289" s="68" t="n"/>
      <c r="O289" s="69" t="n"/>
      <c r="P289" s="68" t="n"/>
      <c r="Q289" s="69" t="n"/>
      <c r="R289" s="68" t="n"/>
      <c r="S289" s="69" t="n"/>
      <c r="T289" s="68" t="n"/>
      <c r="U289" s="69" t="n"/>
      <c r="V289" s="68" t="n"/>
      <c r="W289" s="69" t="n"/>
      <c r="X289" s="68" t="n"/>
      <c r="Y289" s="69" t="n"/>
      <c r="Z289" s="68" t="n"/>
      <c r="AA289" s="69" t="n"/>
      <c r="AB289" s="68" t="n"/>
      <c r="AC289" s="69" t="n"/>
      <c r="AD289" s="70">
        <f>IF(AND(COUNTIF($B$5:B289,B289)=1,$B289&lt;&gt;"",$AB289&lt;&gt;""),1,0)</f>
        <v/>
      </c>
      <c r="AE289" s="67" t="inlineStr">
        <is>
          <t>https://www.semana.com/politica/articulo/gustavo-petro-lanzo-fuerte-advertencia-si-no-se-aprueba-su-polemica-reforma-a-la-salud-se-quiebran-la-mayoria-de-las-eps/202546/</t>
        </is>
      </c>
      <c r="AF289" s="64" t="n"/>
      <c r="AG289" s="65" t="n"/>
    </row>
    <row r="290" ht="15" customHeight="1" s="31">
      <c r="A290" s="66" t="inlineStr">
        <is>
          <t>ART_057</t>
        </is>
      </c>
      <c r="B290" s="66" t="inlineStr">
        <is>
          <t>ART_057_S06</t>
        </is>
      </c>
      <c r="C290" s="66" t="inlineStr">
        <is>
          <t>Semana</t>
        </is>
      </c>
      <c r="D290" s="66" t="inlineStr">
        <is>
          <t>Salud</t>
        </is>
      </c>
      <c r="E290" s="66" t="inlineStr">
        <is>
          <t>Noticia dura</t>
        </is>
      </c>
      <c r="F290" s="66" t="inlineStr">
        <is>
          <t>2025-05-14T10:54:11-05:00</t>
        </is>
      </c>
      <c r="G290" s="67" t="inlineStr">
        <is>
          <t>Esto no es una amenaza.</t>
        </is>
      </c>
      <c r="H290" s="67" t="inlineStr">
        <is>
          <t>“La consecuencia directa de no aprobar la reforma a la salud es que se quiebran la mayoría de las EPS.</t>
        </is>
      </c>
      <c r="I290" s="67" t="inlineStr">
        <is>
          <t>Como aseguradoras financieras la inmensa mayoría de las EPS, ya no cumplen los requisitos de ley”, posteó Gustavo Petro.</t>
        </is>
      </c>
      <c r="J290" s="68" t="n"/>
      <c r="K290" s="69" t="n"/>
      <c r="L290" s="68" t="n"/>
      <c r="M290" s="69" t="n"/>
      <c r="N290" s="68" t="n"/>
      <c r="O290" s="69" t="n"/>
      <c r="P290" s="68" t="n"/>
      <c r="Q290" s="69" t="n"/>
      <c r="R290" s="68" t="n"/>
      <c r="S290" s="69" t="n"/>
      <c r="T290" s="68" t="n"/>
      <c r="U290" s="69" t="n"/>
      <c r="V290" s="68" t="n"/>
      <c r="W290" s="69" t="n"/>
      <c r="X290" s="68" t="n"/>
      <c r="Y290" s="69" t="n"/>
      <c r="Z290" s="68" t="n"/>
      <c r="AA290" s="69" t="n"/>
      <c r="AB290" s="68" t="n"/>
      <c r="AC290" s="69" t="n"/>
      <c r="AD290" s="70">
        <f>IF(AND(COUNTIF($B$5:B290,B290)=1,$B290&lt;&gt;"",$AB290&lt;&gt;""),1,0)</f>
        <v/>
      </c>
      <c r="AE290" s="67" t="inlineStr">
        <is>
          <t>https://www.semana.com/politica/articulo/gustavo-petro-lanzo-fuerte-advertencia-si-no-se-aprueba-su-polemica-reforma-a-la-salud-se-quiebran-la-mayoria-de-las-eps/202546/</t>
        </is>
      </c>
      <c r="AF290" s="64" t="n"/>
      <c r="AG290" s="65" t="n"/>
    </row>
    <row r="291" ht="15" customHeight="1" s="31">
      <c r="A291" s="66" t="inlineStr">
        <is>
          <t>ART_057</t>
        </is>
      </c>
      <c r="B291" s="66" t="inlineStr">
        <is>
          <t>ART_057_S07</t>
        </is>
      </c>
      <c r="C291" s="66" t="inlineStr">
        <is>
          <t>Semana</t>
        </is>
      </c>
      <c r="D291" s="66" t="inlineStr">
        <is>
          <t>Salud</t>
        </is>
      </c>
      <c r="E291" s="66" t="inlineStr">
        <is>
          <t>Noticia dura</t>
        </is>
      </c>
      <c r="F291" s="66" t="inlineStr">
        <is>
          <t>2025-05-14T10:54:11-05:00</t>
        </is>
      </c>
      <c r="G291" s="67" t="inlineStr">
        <is>
          <t>Como aseguradoras financieras la inmensa mayoría de las EPS, ya no cumplen los requisitos de ley”, posteó Gustavo Petro.</t>
        </is>
      </c>
      <c r="H291" s="67" t="inlineStr">
        <is>
          <t>Esto no es una amenaza.</t>
        </is>
      </c>
      <c r="I291" s="67" t="inlineStr">
        <is>
          <t>Además indicó en el trino que publicó: “Pero no es cierto que se quiebran los hospitales y clínicas, solo se debilitan los que son propiedad de los dueños de las EPS”.</t>
        </is>
      </c>
      <c r="J291" s="68" t="n"/>
      <c r="K291" s="69" t="n"/>
      <c r="L291" s="68" t="n"/>
      <c r="M291" s="69" t="n"/>
      <c r="N291" s="68" t="n"/>
      <c r="O291" s="69" t="n"/>
      <c r="P291" s="68" t="n"/>
      <c r="Q291" s="69" t="n"/>
      <c r="R291" s="68" t="n"/>
      <c r="S291" s="69" t="n"/>
      <c r="T291" s="68" t="n"/>
      <c r="U291" s="69" t="n"/>
      <c r="V291" s="68" t="n"/>
      <c r="W291" s="69" t="n"/>
      <c r="X291" s="68" t="n"/>
      <c r="Y291" s="69" t="n"/>
      <c r="Z291" s="68" t="n"/>
      <c r="AA291" s="69" t="n"/>
      <c r="AB291" s="68" t="n"/>
      <c r="AC291" s="69" t="n"/>
      <c r="AD291" s="70">
        <f>IF(AND(COUNTIF($B$5:B291,B291)=1,$B291&lt;&gt;"",$AB291&lt;&gt;""),1,0)</f>
        <v/>
      </c>
      <c r="AE291" s="67" t="inlineStr">
        <is>
          <t>https://www.semana.com/politica/articulo/gustavo-petro-lanzo-fuerte-advertencia-si-no-se-aprueba-su-polemica-reforma-a-la-salud-se-quiebran-la-mayoria-de-las-eps/202546/</t>
        </is>
      </c>
      <c r="AF291" s="64" t="n"/>
      <c r="AG291" s="65" t="n"/>
    </row>
    <row r="292" ht="15" customHeight="1" s="31">
      <c r="A292" s="66" t="inlineStr">
        <is>
          <t>ART_057</t>
        </is>
      </c>
      <c r="B292" s="66" t="inlineStr">
        <is>
          <t>ART_057_S08</t>
        </is>
      </c>
      <c r="C292" s="66" t="inlineStr">
        <is>
          <t>Semana</t>
        </is>
      </c>
      <c r="D292" s="66" t="inlineStr">
        <is>
          <t>Salud</t>
        </is>
      </c>
      <c r="E292" s="66" t="inlineStr">
        <is>
          <t>Noticia dura</t>
        </is>
      </c>
      <c r="F292" s="66" t="inlineStr">
        <is>
          <t>2025-05-14T10:54:11-05:00</t>
        </is>
      </c>
      <c r="G292" s="67" t="inlineStr">
        <is>
          <t>Además indicó en el trino que publicó: “Pero no es cierto que se quiebran los hospitales y clínicas, solo se debilitan los que son propiedad de los dueños de las EPS”.</t>
        </is>
      </c>
      <c r="H292" s="67" t="inlineStr">
        <is>
          <t>Como aseguradoras financieras la inmensa mayoría de las EPS, ya no cumplen los requisitos de ley”, posteó Gustavo Petro.</t>
        </is>
      </c>
      <c r="I292" s="67" t="inlineStr">
        <is>
          <t>“Al contrario, la mayoría de hospitales y clínicas se fortalecen porque dejan de existir los intermediarios.</t>
        </is>
      </c>
      <c r="J292" s="68" t="n"/>
      <c r="K292" s="69" t="n"/>
      <c r="L292" s="68" t="n"/>
      <c r="M292" s="69" t="n"/>
      <c r="N292" s="68" t="n"/>
      <c r="O292" s="69" t="n"/>
      <c r="P292" s="68" t="n"/>
      <c r="Q292" s="69" t="n"/>
      <c r="R292" s="68" t="n"/>
      <c r="S292" s="69" t="n"/>
      <c r="T292" s="68" t="n"/>
      <c r="U292" s="69" t="n"/>
      <c r="V292" s="68" t="n"/>
      <c r="W292" s="69" t="n"/>
      <c r="X292" s="68" t="n"/>
      <c r="Y292" s="69" t="n"/>
      <c r="Z292" s="68" t="n"/>
      <c r="AA292" s="69" t="n"/>
      <c r="AB292" s="68" t="n"/>
      <c r="AC292" s="69" t="n"/>
      <c r="AD292" s="70">
        <f>IF(AND(COUNTIF($B$5:B292,B292)=1,$B292&lt;&gt;"",$AB292&lt;&gt;""),1,0)</f>
        <v/>
      </c>
      <c r="AE292" s="67" t="inlineStr">
        <is>
          <t>https://www.semana.com/politica/articulo/gustavo-petro-lanzo-fuerte-advertencia-si-no-se-aprueba-su-polemica-reforma-a-la-salud-se-quiebran-la-mayoria-de-las-eps/202546/</t>
        </is>
      </c>
      <c r="AF292" s="64" t="n"/>
      <c r="AG292" s="65" t="n"/>
    </row>
    <row r="293" ht="15" customHeight="1" s="31">
      <c r="A293" s="66" t="inlineStr">
        <is>
          <t>ART_057</t>
        </is>
      </c>
      <c r="B293" s="66" t="inlineStr">
        <is>
          <t>ART_057_S09</t>
        </is>
      </c>
      <c r="C293" s="66" t="inlineStr">
        <is>
          <t>Semana</t>
        </is>
      </c>
      <c r="D293" s="66" t="inlineStr">
        <is>
          <t>Salud</t>
        </is>
      </c>
      <c r="E293" s="66" t="inlineStr">
        <is>
          <t>Noticia dura</t>
        </is>
      </c>
      <c r="F293" s="66" t="inlineStr">
        <is>
          <t>2025-05-14T10:54:11-05:00</t>
        </is>
      </c>
      <c r="G293" s="67" t="inlineStr">
        <is>
          <t>“Al contrario, la mayoría de hospitales y clínicas se fortalecen porque dejan de existir los intermediarios.</t>
        </is>
      </c>
      <c r="H293" s="67" t="inlineStr">
        <is>
          <t>Además indicó en el trino que publicó: “Pero no es cierto que se quiebran los hospitales y clínicas, solo se debilitan los que son propiedad de los dueños de las EPS”.</t>
        </is>
      </c>
      <c r="I293" s="67" t="inlineStr">
        <is>
          <t>Los recursos se les giran directamente, de acuerdo a sus servicios auditados”, insistió el presidente Gustavo Petro.</t>
        </is>
      </c>
      <c r="J293" s="68" t="n"/>
      <c r="K293" s="69" t="n"/>
      <c r="L293" s="68" t="n"/>
      <c r="M293" s="69" t="n"/>
      <c r="N293" s="68" t="n"/>
      <c r="O293" s="69" t="n"/>
      <c r="P293" s="68" t="n"/>
      <c r="Q293" s="69" t="n"/>
      <c r="R293" s="68" t="n"/>
      <c r="S293" s="69" t="n"/>
      <c r="T293" s="68" t="n"/>
      <c r="U293" s="69" t="n"/>
      <c r="V293" s="68" t="n"/>
      <c r="W293" s="69" t="n"/>
      <c r="X293" s="68" t="n"/>
      <c r="Y293" s="69" t="n"/>
      <c r="Z293" s="68" t="n"/>
      <c r="AA293" s="69" t="n"/>
      <c r="AB293" s="68" t="n"/>
      <c r="AC293" s="69" t="n"/>
      <c r="AD293" s="70">
        <f>IF(AND(COUNTIF($B$5:B293,B293)=1,$B293&lt;&gt;"",$AB293&lt;&gt;""),1,0)</f>
        <v/>
      </c>
      <c r="AE293" s="67" t="inlineStr">
        <is>
          <t>https://www.semana.com/politica/articulo/gustavo-petro-lanzo-fuerte-advertencia-si-no-se-aprueba-su-polemica-reforma-a-la-salud-se-quiebran-la-mayoria-de-las-eps/202546/</t>
        </is>
      </c>
      <c r="AF293" s="64" t="n"/>
      <c r="AG293" s="65" t="n"/>
    </row>
    <row r="294" ht="15" customHeight="1" s="31">
      <c r="A294" s="66" t="inlineStr">
        <is>
          <t>ART_057</t>
        </is>
      </c>
      <c r="B294" s="66" t="inlineStr">
        <is>
          <t>ART_057_S10</t>
        </is>
      </c>
      <c r="C294" s="66" t="inlineStr">
        <is>
          <t>Semana</t>
        </is>
      </c>
      <c r="D294" s="66" t="inlineStr">
        <is>
          <t>Salud</t>
        </is>
      </c>
      <c r="E294" s="66" t="inlineStr">
        <is>
          <t>Noticia dura</t>
        </is>
      </c>
      <c r="F294" s="66" t="inlineStr">
        <is>
          <t>2025-05-14T10:54:11-05:00</t>
        </is>
      </c>
      <c r="G294" s="67" t="inlineStr">
        <is>
          <t>Los recursos se les giran directamente, de acuerdo a sus servicios auditados”, insistió el presidente Gustavo Petro.</t>
        </is>
      </c>
      <c r="H294" s="67" t="inlineStr">
        <is>
          <t>“Al contrario, la mayoría de hospitales y clínicas se fortalecen porque dejan de existir los intermediarios.</t>
        </is>
      </c>
      <c r="I294" s="67" t="inlineStr"/>
      <c r="J294" s="68" t="n"/>
      <c r="K294" s="69" t="n"/>
      <c r="L294" s="68" t="n"/>
      <c r="M294" s="69" t="n"/>
      <c r="N294" s="68" t="n"/>
      <c r="O294" s="69" t="n"/>
      <c r="P294" s="68" t="n"/>
      <c r="Q294" s="69" t="n"/>
      <c r="R294" s="68" t="n"/>
      <c r="S294" s="69" t="n"/>
      <c r="T294" s="68" t="n"/>
      <c r="U294" s="69" t="n"/>
      <c r="V294" s="68" t="n"/>
      <c r="W294" s="69" t="n"/>
      <c r="X294" s="68" t="n"/>
      <c r="Y294" s="69" t="n"/>
      <c r="Z294" s="68" t="n"/>
      <c r="AA294" s="69" t="n"/>
      <c r="AB294" s="68" t="n"/>
      <c r="AC294" s="69" t="n"/>
      <c r="AD294" s="70">
        <f>IF(AND(COUNTIF($B$5:B294,B294)=1,$B294&lt;&gt;"",$AB294&lt;&gt;""),1,0)</f>
        <v/>
      </c>
      <c r="AE294" s="67" t="inlineStr">
        <is>
          <t>https://www.semana.com/politica/articulo/gustavo-petro-lanzo-fuerte-advertencia-si-no-se-aprueba-su-polemica-reforma-a-la-salud-se-quiebran-la-mayoria-de-las-eps/202546/</t>
        </is>
      </c>
      <c r="AF294" s="64" t="n"/>
      <c r="AG294" s="65" t="n"/>
    </row>
    <row r="295" ht="15" customHeight="1" s="31">
      <c r="A295" s="66" t="inlineStr">
        <is>
          <t>ART_058</t>
        </is>
      </c>
      <c r="B295" s="66" t="inlineStr">
        <is>
          <t>ART_058_S01</t>
        </is>
      </c>
      <c r="C295" s="66" t="inlineStr">
        <is>
          <t>Semana</t>
        </is>
      </c>
      <c r="D295" s="66" t="inlineStr">
        <is>
          <t>Salud</t>
        </is>
      </c>
      <c r="E295" s="66" t="inlineStr">
        <is>
          <t>Opinión-análisis</t>
        </is>
      </c>
      <c r="F295" s="66" t="inlineStr">
        <is>
          <t>2023-05-26T23:39:42-05:00</t>
        </is>
      </c>
      <c r="G295" s="67" t="inlineStr">
        <is>
          <t>En la discusión del artículo 76 de la reforma a la salud, en la Comisión Séptima de la Cámara, el ministro Guillermo Jaramillo hizo la defensa sobre la base de que es “volver a algo que ya habían aceptado sus gobiernos, importante para sus propias clínicas privadas, que son 75 % del sistema que hoy se sienten agobiadas” (SEMANA, “Minuto a minuto”, 19/5/23).</t>
        </is>
      </c>
      <c r="H295" s="67" t="inlineStr"/>
      <c r="I295" s="67" t="inlineStr">
        <is>
          <t>Así sustentó las bondades de entregar a la Administradora del Sistema General de Seguridad Social en Salud (Adres) el giro directo de los pagos a las clínicas, hospitales y centros de atención (IPS).</t>
        </is>
      </c>
      <c r="J295" s="68" t="n"/>
      <c r="K295" s="69" t="n"/>
      <c r="L295" s="68" t="n"/>
      <c r="M295" s="69" t="n"/>
      <c r="N295" s="68" t="n"/>
      <c r="O295" s="69" t="n"/>
      <c r="P295" s="68" t="n"/>
      <c r="Q295" s="69" t="n"/>
      <c r="R295" s="68" t="n"/>
      <c r="S295" s="69" t="n"/>
      <c r="T295" s="68" t="n"/>
      <c r="U295" s="69" t="n"/>
      <c r="V295" s="68" t="n"/>
      <c r="W295" s="69" t="n"/>
      <c r="X295" s="68" t="n"/>
      <c r="Y295" s="69" t="n"/>
      <c r="Z295" s="68" t="n"/>
      <c r="AA295" s="69" t="n"/>
      <c r="AB295" s="68" t="n"/>
      <c r="AC295" s="69" t="n"/>
      <c r="AD295" s="70">
        <f>IF(AND(COUNTIF($B$5:B295,B295)=1,$B295&lt;&gt;"",$AB295&lt;&gt;""),1,0)</f>
        <v/>
      </c>
      <c r="AE295" s="67" t="inlineStr">
        <is>
          <t>https://www.semana.com/opinion/articulo/eps-o-ips-todas-ganan-solo-pierde-la-salud/202342/</t>
        </is>
      </c>
      <c r="AF295" s="64" t="n"/>
      <c r="AG295" s="65" t="n"/>
    </row>
    <row r="296" ht="15" customHeight="1" s="31">
      <c r="A296" s="66" t="inlineStr">
        <is>
          <t>ART_058</t>
        </is>
      </c>
      <c r="B296" s="66" t="inlineStr">
        <is>
          <t>ART_058_S02</t>
        </is>
      </c>
      <c r="C296" s="66" t="inlineStr">
        <is>
          <t>Semana</t>
        </is>
      </c>
      <c r="D296" s="66" t="inlineStr">
        <is>
          <t>Salud</t>
        </is>
      </c>
      <c r="E296" s="66" t="inlineStr">
        <is>
          <t>Opinión-análisis</t>
        </is>
      </c>
      <c r="F296" s="66" t="inlineStr">
        <is>
          <t>2023-05-26T23:39:42-05:00</t>
        </is>
      </c>
      <c r="G296" s="67" t="inlineStr">
        <is>
          <t>Así sustentó las bondades de entregar a la Administradora del Sistema General de Seguridad Social en Salud (Adres) el giro directo de los pagos a las clínicas, hospitales y centros de atención (IPS).</t>
        </is>
      </c>
      <c r="H296" s="67" t="inlineStr">
        <is>
          <t>En la discusión del artículo 76 de la reforma a la salud, en la Comisión Séptima de la Cámara, el ministro Guillermo Jaramillo hizo la defensa sobre la base de que es “volver a algo que ya habían aceptado sus gobiernos, importante para sus propias clínicas privadas, que son 75 % del sistema que hoy se sienten agobiadas” (SEMANA, “Minuto a minuto”, 19/5/23).</t>
        </is>
      </c>
      <c r="I296" s="67" t="inlineStr">
        <is>
          <t>El ponente, Alfredo Mondragón, reafirmó: “Para proteger a los empresarios de las clínicas del sector privado y para atender hospitales públicos… quien vea en esto una especie de tragedia … deberíamos… es estar saltando, porque les van a llegar los recursos a las IPS” (SEMANA, ídem).</t>
        </is>
      </c>
      <c r="J296" s="68" t="n"/>
      <c r="K296" s="69" t="n"/>
      <c r="L296" s="68" t="n"/>
      <c r="M296" s="69" t="n"/>
      <c r="N296" s="68" t="n"/>
      <c r="O296" s="69" t="n"/>
      <c r="P296" s="68" t="n"/>
      <c r="Q296" s="69" t="n"/>
      <c r="R296" s="68" t="n"/>
      <c r="S296" s="69" t="n"/>
      <c r="T296" s="68" t="n"/>
      <c r="U296" s="69" t="n"/>
      <c r="V296" s="68" t="n"/>
      <c r="W296" s="69" t="n"/>
      <c r="X296" s="68" t="n"/>
      <c r="Y296" s="69" t="n"/>
      <c r="Z296" s="68" t="n"/>
      <c r="AA296" s="69" t="n"/>
      <c r="AB296" s="68" t="n"/>
      <c r="AC296" s="69" t="n"/>
      <c r="AD296" s="70">
        <f>IF(AND(COUNTIF($B$5:B296,B296)=1,$B296&lt;&gt;"",$AB296&lt;&gt;""),1,0)</f>
        <v/>
      </c>
      <c r="AE296" s="67" t="inlineStr">
        <is>
          <t>https://www.semana.com/opinion/articulo/eps-o-ips-todas-ganan-solo-pierde-la-salud/202342/</t>
        </is>
      </c>
      <c r="AF296" s="64" t="n"/>
      <c r="AG296" s="65" t="n"/>
    </row>
    <row r="297" ht="15" customHeight="1" s="31">
      <c r="A297" s="66" t="inlineStr">
        <is>
          <t>ART_058</t>
        </is>
      </c>
      <c r="B297" s="66" t="inlineStr">
        <is>
          <t>ART_058_S03</t>
        </is>
      </c>
      <c r="C297" s="66" t="inlineStr">
        <is>
          <t>Semana</t>
        </is>
      </c>
      <c r="D297" s="66" t="inlineStr">
        <is>
          <t>Salud</t>
        </is>
      </c>
      <c r="E297" s="66" t="inlineStr">
        <is>
          <t>Opinión-análisis</t>
        </is>
      </c>
      <c r="F297" s="66" t="inlineStr">
        <is>
          <t>2023-05-26T23:39:42-05:00</t>
        </is>
      </c>
      <c r="G297" s="67" t="inlineStr">
        <is>
          <t>El ponente, Alfredo Mondragón, reafirmó: “Para proteger a los empresarios de las clínicas del sector privado y para atender hospitales públicos… quien vea en esto una especie de tragedia … deberíamos… es estar saltando, porque les van a llegar los recursos a las IPS” (SEMANA, ídem).</t>
        </is>
      </c>
      <c r="H297" s="67" t="inlineStr">
        <is>
          <t>Así sustentó las bondades de entregar a la Administradora del Sistema General de Seguridad Social en Salud (Adres) el giro directo de los pagos a las clínicas, hospitales y centros de atención (IPS).</t>
        </is>
      </c>
      <c r="I297" s="67" t="inlineStr">
        <is>
          <t>El director de la Adres, Félix Martínez, se apresuró a contestar que cumpliría el plazo de 30 días para girar que “establece el proyecto”, “la entidad entraría en reestructuración” (SEMANA, ídem).</t>
        </is>
      </c>
      <c r="J297" s="68" t="n"/>
      <c r="K297" s="69" t="n"/>
      <c r="L297" s="68" t="n"/>
      <c r="M297" s="69" t="n"/>
      <c r="N297" s="68" t="n"/>
      <c r="O297" s="69" t="n"/>
      <c r="P297" s="68" t="n"/>
      <c r="Q297" s="69" t="n"/>
      <c r="R297" s="68" t="n"/>
      <c r="S297" s="69" t="n"/>
      <c r="T297" s="68" t="n"/>
      <c r="U297" s="69" t="n"/>
      <c r="V297" s="68" t="n"/>
      <c r="W297" s="69" t="n"/>
      <c r="X297" s="68" t="n"/>
      <c r="Y297" s="69" t="n"/>
      <c r="Z297" s="68" t="n"/>
      <c r="AA297" s="69" t="n"/>
      <c r="AB297" s="68" t="n"/>
      <c r="AC297" s="69" t="n"/>
      <c r="AD297" s="70">
        <f>IF(AND(COUNTIF($B$5:B297,B297)=1,$B297&lt;&gt;"",$AB297&lt;&gt;""),1,0)</f>
        <v/>
      </c>
      <c r="AE297" s="67" t="inlineStr">
        <is>
          <t>https://www.semana.com/opinion/articulo/eps-o-ips-todas-ganan-solo-pierde-la-salud/202342/</t>
        </is>
      </c>
      <c r="AF297" s="64" t="n"/>
      <c r="AG297" s="65" t="n"/>
    </row>
    <row r="298" ht="15" customHeight="1" s="31">
      <c r="A298" s="66" t="inlineStr">
        <is>
          <t>ART_058</t>
        </is>
      </c>
      <c r="B298" s="66" t="inlineStr">
        <is>
          <t>ART_058_S04</t>
        </is>
      </c>
      <c r="C298" s="66" t="inlineStr">
        <is>
          <t>Semana</t>
        </is>
      </c>
      <c r="D298" s="66" t="inlineStr">
        <is>
          <t>Salud</t>
        </is>
      </c>
      <c r="E298" s="66" t="inlineStr">
        <is>
          <t>Opinión-análisis</t>
        </is>
      </c>
      <c r="F298" s="66" t="inlineStr">
        <is>
          <t>2023-05-26T23:39:42-05:00</t>
        </is>
      </c>
      <c r="G298" s="67" t="inlineStr">
        <is>
          <t>El director de la Adres, Félix Martínez, se apresuró a contestar que cumpliría el plazo de 30 días para girar que “establece el proyecto”, “la entidad entraría en reestructuración” (SEMANA, ídem).</t>
        </is>
      </c>
      <c r="H298" s="67" t="inlineStr">
        <is>
          <t>El ponente, Alfredo Mondragón, reafirmó: “Para proteger a los empresarios de las clínicas del sector privado y para atender hospitales públicos… quien vea en esto una especie de tragedia … deberíamos… es estar saltando, porque les van a llegar los recursos a las IPS” (SEMANA, ídem).</t>
        </is>
      </c>
      <c r="I298" s="67" t="inlineStr">
        <is>
          <t>Es fácil entender que el artículo 60, que definió a la Adres como “pagador único del sistema”, aprobado por 12 votos a 8, redondea la estructura.</t>
        </is>
      </c>
      <c r="J298" s="68" t="n"/>
      <c r="K298" s="69" t="n"/>
      <c r="L298" s="68" t="n"/>
      <c r="M298" s="69" t="n"/>
      <c r="N298" s="68" t="n"/>
      <c r="O298" s="69" t="n"/>
      <c r="P298" s="68" t="n"/>
      <c r="Q298" s="69" t="n"/>
      <c r="R298" s="68" t="n"/>
      <c r="S298" s="69" t="n"/>
      <c r="T298" s="68" t="n"/>
      <c r="U298" s="69" t="n"/>
      <c r="V298" s="68" t="n"/>
      <c r="W298" s="69" t="n"/>
      <c r="X298" s="68" t="n"/>
      <c r="Y298" s="69" t="n"/>
      <c r="Z298" s="68" t="n"/>
      <c r="AA298" s="69" t="n"/>
      <c r="AB298" s="68" t="n"/>
      <c r="AC298" s="69" t="n"/>
      <c r="AD298" s="70">
        <f>IF(AND(COUNTIF($B$5:B298,B298)=1,$B298&lt;&gt;"",$AB298&lt;&gt;""),1,0)</f>
        <v/>
      </c>
      <c r="AE298" s="67" t="inlineStr">
        <is>
          <t>https://www.semana.com/opinion/articulo/eps-o-ips-todas-ganan-solo-pierde-la-salud/202342/</t>
        </is>
      </c>
      <c r="AF298" s="64" t="n"/>
      <c r="AG298" s="65" t="n"/>
    </row>
    <row r="299" ht="15" customHeight="1" s="31">
      <c r="A299" s="66" t="inlineStr">
        <is>
          <t>ART_058</t>
        </is>
      </c>
      <c r="B299" s="66" t="inlineStr">
        <is>
          <t>ART_058_S05</t>
        </is>
      </c>
      <c r="C299" s="66" t="inlineStr">
        <is>
          <t>Semana</t>
        </is>
      </c>
      <c r="D299" s="66" t="inlineStr">
        <is>
          <t>Salud</t>
        </is>
      </c>
      <c r="E299" s="66" t="inlineStr">
        <is>
          <t>Opinión-análisis</t>
        </is>
      </c>
      <c r="F299" s="66" t="inlineStr">
        <is>
          <t>2023-05-26T23:39:42-05:00</t>
        </is>
      </c>
      <c r="G299" s="67" t="inlineStr">
        <is>
          <t>Es fácil entender que el artículo 60, que definió a la Adres como “pagador único del sistema”, aprobado por 12 votos a 8, redondea la estructura.</t>
        </is>
      </c>
      <c r="H299" s="67" t="inlineStr">
        <is>
          <t>El director de la Adres, Félix Martínez, se apresuró a contestar que cumpliría el plazo de 30 días para girar que “establece el proyecto”, “la entidad entraría en reestructuración” (SEMANA, ídem).</t>
        </is>
      </c>
      <c r="I299" s="67" t="inlineStr">
        <is>
          <t>Castillo es gerente actual de esa misma IPS y empresario: “Estos descalabros (de las EPS) dejaron una deuda impagable a la red de prestadores, que han asumido esas pérdidas en sus contabilidades y se han convertido en el reasegurador obligado del sistema” (15/4/23).</t>
        </is>
      </c>
      <c r="J299" s="68" t="n"/>
      <c r="K299" s="69" t="n"/>
      <c r="L299" s="68" t="n"/>
      <c r="M299" s="69" t="n"/>
      <c r="N299" s="68" t="n"/>
      <c r="O299" s="69" t="n"/>
      <c r="P299" s="68" t="n"/>
      <c r="Q299" s="69" t="n"/>
      <c r="R299" s="68" t="n"/>
      <c r="S299" s="69" t="n"/>
      <c r="T299" s="68" t="n"/>
      <c r="U299" s="69" t="n"/>
      <c r="V299" s="68" t="n"/>
      <c r="W299" s="69" t="n"/>
      <c r="X299" s="68" t="n"/>
      <c r="Y299" s="69" t="n"/>
      <c r="Z299" s="68" t="n"/>
      <c r="AA299" s="69" t="n"/>
      <c r="AB299" s="68" t="n"/>
      <c r="AC299" s="69" t="n"/>
      <c r="AD299" s="70">
        <f>IF(AND(COUNTIF($B$5:B299,B299)=1,$B299&lt;&gt;"",$AB299&lt;&gt;""),1,0)</f>
        <v/>
      </c>
      <c r="AE299" s="67" t="inlineStr">
        <is>
          <t>https://www.semana.com/opinion/articulo/eps-o-ips-todas-ganan-solo-pierde-la-salud/202342/</t>
        </is>
      </c>
      <c r="AF299" s="64" t="n"/>
      <c r="AG299" s="65" t="n"/>
    </row>
    <row r="300" ht="15" customHeight="1" s="31">
      <c r="A300" s="66" t="inlineStr">
        <is>
          <t>ART_058</t>
        </is>
      </c>
      <c r="B300" s="66" t="inlineStr">
        <is>
          <t>ART_058_S06</t>
        </is>
      </c>
      <c r="C300" s="66" t="inlineStr">
        <is>
          <t>Semana</t>
        </is>
      </c>
      <c r="D300" s="66" t="inlineStr">
        <is>
          <t>Salud</t>
        </is>
      </c>
      <c r="E300" s="66" t="inlineStr">
        <is>
          <t>Opinión-análisis</t>
        </is>
      </c>
      <c r="F300" s="66" t="inlineStr">
        <is>
          <t>2023-05-26T23:39:42-05:00</t>
        </is>
      </c>
      <c r="G300" s="67" t="inlineStr">
        <is>
          <t>Castillo es gerente actual de esa misma IPS y empresario: “Estos descalabros (de las EPS) dejaron una deuda impagable a la red de prestadores, que han asumido esas pérdidas en sus contabilidades y se han convertido en el reasegurador obligado del sistema” (15/4/23).</t>
        </is>
      </c>
      <c r="H300" s="67" t="inlineStr">
        <is>
          <t>Es fácil entender que el artículo 60, que definió a la Adres como “pagador único del sistema”, aprobado por 12 votos a 8, redondea la estructura.</t>
        </is>
      </c>
      <c r="I300" s="67" t="inlineStr">
        <is>
          <t>Luego de aprobados los artículos 60 y 78, facturó: “Tienen una deuda de 23,3 billones de pesos” (20/5/23).</t>
        </is>
      </c>
      <c r="J300" s="68" t="n"/>
      <c r="K300" s="69" t="n"/>
      <c r="L300" s="68" t="n"/>
      <c r="M300" s="69" t="n"/>
      <c r="N300" s="68" t="n"/>
      <c r="O300" s="69" t="n"/>
      <c r="P300" s="68" t="n"/>
      <c r="Q300" s="69" t="n"/>
      <c r="R300" s="68" t="n"/>
      <c r="S300" s="69" t="n"/>
      <c r="T300" s="68" t="n"/>
      <c r="U300" s="69" t="n"/>
      <c r="V300" s="68" t="n"/>
      <c r="W300" s="69" t="n"/>
      <c r="X300" s="68" t="n"/>
      <c r="Y300" s="69" t="n"/>
      <c r="Z300" s="68" t="n"/>
      <c r="AA300" s="69" t="n"/>
      <c r="AB300" s="68" t="n"/>
      <c r="AC300" s="69" t="n"/>
      <c r="AD300" s="70">
        <f>IF(AND(COUNTIF($B$5:B300,B300)=1,$B300&lt;&gt;"",$AB300&lt;&gt;""),1,0)</f>
        <v/>
      </c>
      <c r="AE300" s="67" t="inlineStr">
        <is>
          <t>https://www.semana.com/opinion/articulo/eps-o-ips-todas-ganan-solo-pierde-la-salud/202342/</t>
        </is>
      </c>
      <c r="AF300" s="64" t="n"/>
      <c r="AG300" s="65" t="n"/>
    </row>
    <row r="301" ht="15" customHeight="1" s="31">
      <c r="A301" s="66" t="inlineStr">
        <is>
          <t>ART_058</t>
        </is>
      </c>
      <c r="B301" s="66" t="inlineStr">
        <is>
          <t>ART_058_S07</t>
        </is>
      </c>
      <c r="C301" s="66" t="inlineStr">
        <is>
          <t>Semana</t>
        </is>
      </c>
      <c r="D301" s="66" t="inlineStr">
        <is>
          <t>Salud</t>
        </is>
      </c>
      <c r="E301" s="66" t="inlineStr">
        <is>
          <t>Opinión-análisis</t>
        </is>
      </c>
      <c r="F301" s="66" t="inlineStr">
        <is>
          <t>2023-05-26T23:39:42-05:00</t>
        </is>
      </c>
      <c r="G301" s="67" t="inlineStr">
        <is>
          <t>Luego de aprobados los artículos 60 y 78, facturó: “Tienen una deuda de 23,3 billones de pesos” (20/5/23).</t>
        </is>
      </c>
      <c r="H301" s="67" t="inlineStr">
        <is>
          <t>Castillo es gerente actual de esa misma IPS y empresario: “Estos descalabros (de las EPS) dejaron una deuda impagable a la red de prestadores, que han asumido esas pérdidas en sus contabilidades y se han convertido en el reasegurador obligado del sistema” (15/4/23).</t>
        </is>
      </c>
      <c r="I301" s="67" t="inlineStr">
        <is>
          <t>Es claro que en el fondo de la reforma subyace la contradicción financiera entre las EPS y las IPS.</t>
        </is>
      </c>
      <c r="J301" s="68" t="n"/>
      <c r="K301" s="69" t="n"/>
      <c r="L301" s="68" t="n"/>
      <c r="M301" s="69" t="n"/>
      <c r="N301" s="68" t="n"/>
      <c r="O301" s="69" t="n"/>
      <c r="P301" s="68" t="n"/>
      <c r="Q301" s="69" t="n"/>
      <c r="R301" s="68" t="n"/>
      <c r="S301" s="69" t="n"/>
      <c r="T301" s="68" t="n"/>
      <c r="U301" s="69" t="n"/>
      <c r="V301" s="68" t="n"/>
      <c r="W301" s="69" t="n"/>
      <c r="X301" s="68" t="n"/>
      <c r="Y301" s="69" t="n"/>
      <c r="Z301" s="68" t="n"/>
      <c r="AA301" s="69" t="n"/>
      <c r="AB301" s="68" t="n"/>
      <c r="AC301" s="69" t="n"/>
      <c r="AD301" s="70">
        <f>IF(AND(COUNTIF($B$5:B301,B301)=1,$B301&lt;&gt;"",$AB301&lt;&gt;""),1,0)</f>
        <v/>
      </c>
      <c r="AE301" s="67" t="inlineStr">
        <is>
          <t>https://www.semana.com/opinion/articulo/eps-o-ips-todas-ganan-solo-pierde-la-salud/202342/</t>
        </is>
      </c>
      <c r="AF301" s="64" t="n"/>
      <c r="AG301" s="65" t="n"/>
    </row>
    <row r="302" ht="15" customHeight="1" s="31">
      <c r="A302" s="66" t="inlineStr">
        <is>
          <t>ART_058</t>
        </is>
      </c>
      <c r="B302" s="66" t="inlineStr">
        <is>
          <t>ART_058_S08</t>
        </is>
      </c>
      <c r="C302" s="66" t="inlineStr">
        <is>
          <t>Semana</t>
        </is>
      </c>
      <c r="D302" s="66" t="inlineStr">
        <is>
          <t>Salud</t>
        </is>
      </c>
      <c r="E302" s="66" t="inlineStr">
        <is>
          <t>Opinión-análisis</t>
        </is>
      </c>
      <c r="F302" s="66" t="inlineStr">
        <is>
          <t>2023-05-26T23:39:42-05:00</t>
        </is>
      </c>
      <c r="G302" s="67" t="inlineStr">
        <is>
          <t>Es claro que en el fondo de la reforma subyace la contradicción financiera entre las EPS y las IPS.</t>
        </is>
      </c>
      <c r="H302" s="67" t="inlineStr">
        <is>
          <t>Luego de aprobados los artículos 60 y 78, facturó: “Tienen una deuda de 23,3 billones de pesos” (20/5/23).</t>
        </is>
      </c>
      <c r="I302" s="67" t="inlineStr">
        <is>
          <t>Verbigracia, hombres que tienen la salud de filón, como José Luis Mayorca, representante legal de Prestasalud, tío y patrocinador de campañas de David Racero, estuvo “invitado” como “experto” a la concertación del articulado entre el Gobierno y los partidos.</t>
        </is>
      </c>
      <c r="J302" s="68" t="n"/>
      <c r="K302" s="69" t="n"/>
      <c r="L302" s="68" t="n"/>
      <c r="M302" s="69" t="n"/>
      <c r="N302" s="68" t="n"/>
      <c r="O302" s="69" t="n"/>
      <c r="P302" s="68" t="n"/>
      <c r="Q302" s="69" t="n"/>
      <c r="R302" s="68" t="n"/>
      <c r="S302" s="69" t="n"/>
      <c r="T302" s="68" t="n"/>
      <c r="U302" s="69" t="n"/>
      <c r="V302" s="68" t="n"/>
      <c r="W302" s="69" t="n"/>
      <c r="X302" s="68" t="n"/>
      <c r="Y302" s="69" t="n"/>
      <c r="Z302" s="68" t="n"/>
      <c r="AA302" s="69" t="n"/>
      <c r="AB302" s="68" t="n"/>
      <c r="AC302" s="69" t="n"/>
      <c r="AD302" s="70">
        <f>IF(AND(COUNTIF($B$5:B302,B302)=1,$B302&lt;&gt;"",$AB302&lt;&gt;""),1,0)</f>
        <v/>
      </c>
      <c r="AE302" s="67" t="inlineStr">
        <is>
          <t>https://www.semana.com/opinion/articulo/eps-o-ips-todas-ganan-solo-pierde-la-salud/202342/</t>
        </is>
      </c>
      <c r="AF302" s="64" t="n"/>
      <c r="AG302" s="65" t="n"/>
    </row>
    <row r="303" ht="15" customHeight="1" s="31">
      <c r="A303" s="66" t="inlineStr">
        <is>
          <t>ART_058</t>
        </is>
      </c>
      <c r="B303" s="66" t="inlineStr">
        <is>
          <t>ART_058_S09</t>
        </is>
      </c>
      <c r="C303" s="66" t="inlineStr">
        <is>
          <t>Semana</t>
        </is>
      </c>
      <c r="D303" s="66" t="inlineStr">
        <is>
          <t>Salud</t>
        </is>
      </c>
      <c r="E303" s="66" t="inlineStr">
        <is>
          <t>Opinión-análisis</t>
        </is>
      </c>
      <c r="F303" s="66" t="inlineStr">
        <is>
          <t>2023-05-26T23:39:42-05:00</t>
        </is>
      </c>
      <c r="G303" s="67" t="inlineStr">
        <is>
          <t>Verbigracia, hombres que tienen la salud de filón, como José Luis Mayorca, representante legal de Prestasalud, tío y patrocinador de campañas de David Racero, estuvo “invitado” como “experto” a la concertación del articulado entre el Gobierno y los partidos.</t>
        </is>
      </c>
      <c r="H303" s="67" t="inlineStr">
        <is>
          <t>Es claro que en el fondo de la reforma subyace la contradicción financiera entre las EPS y las IPS.</t>
        </is>
      </c>
      <c r="I303" s="67" t="inlineStr">
        <is>
          <t>No puede dudarse que las IPS tienen ánimo de lucro, no son intermediarias, pero son negocio.</t>
        </is>
      </c>
      <c r="J303" s="68" t="n"/>
      <c r="K303" s="69" t="n"/>
      <c r="L303" s="68" t="n"/>
      <c r="M303" s="69" t="n"/>
      <c r="N303" s="68" t="n"/>
      <c r="O303" s="69" t="n"/>
      <c r="P303" s="68" t="n"/>
      <c r="Q303" s="69" t="n"/>
      <c r="R303" s="68" t="n"/>
      <c r="S303" s="69" t="n"/>
      <c r="T303" s="68" t="n"/>
      <c r="U303" s="69" t="n"/>
      <c r="V303" s="68" t="n"/>
      <c r="W303" s="69" t="n"/>
      <c r="X303" s="68" t="n"/>
      <c r="Y303" s="69" t="n"/>
      <c r="Z303" s="68" t="n"/>
      <c r="AA303" s="69" t="n"/>
      <c r="AB303" s="68" t="n"/>
      <c r="AC303" s="69" t="n"/>
      <c r="AD303" s="70">
        <f>IF(AND(COUNTIF($B$5:B303,B303)=1,$B303&lt;&gt;"",$AB303&lt;&gt;""),1,0)</f>
        <v/>
      </c>
      <c r="AE303" s="67" t="inlineStr">
        <is>
          <t>https://www.semana.com/opinion/articulo/eps-o-ips-todas-ganan-solo-pierde-la-salud/202342/</t>
        </is>
      </c>
      <c r="AF303" s="64" t="n"/>
      <c r="AG303" s="65" t="n"/>
    </row>
    <row r="304" ht="15" customHeight="1" s="31">
      <c r="A304" s="66" t="inlineStr">
        <is>
          <t>ART_058</t>
        </is>
      </c>
      <c r="B304" s="66" t="inlineStr">
        <is>
          <t>ART_058_S10</t>
        </is>
      </c>
      <c r="C304" s="66" t="inlineStr">
        <is>
          <t>Semana</t>
        </is>
      </c>
      <c r="D304" s="66" t="inlineStr">
        <is>
          <t>Salud</t>
        </is>
      </c>
      <c r="E304" s="66" t="inlineStr">
        <is>
          <t>Opinión-análisis</t>
        </is>
      </c>
      <c r="F304" s="66" t="inlineStr">
        <is>
          <t>2023-05-26T23:39:42-05:00</t>
        </is>
      </c>
      <c r="G304" s="67" t="inlineStr">
        <is>
          <t>No puede dudarse que las IPS tienen ánimo de lucro, no son intermediarias, pero son negocio.</t>
        </is>
      </c>
      <c r="H304" s="67" t="inlineStr">
        <is>
          <t>Verbigracia, hombres que tienen la salud de filón, como José Luis Mayorca, representante legal de Prestasalud, tío y patrocinador de campañas de David Racero, estuvo “invitado” como “experto” a la concertación del articulado entre el Gobierno y los partidos.</t>
        </is>
      </c>
      <c r="I304" s="67" t="inlineStr"/>
      <c r="J304" s="68" t="n"/>
      <c r="K304" s="69" t="n"/>
      <c r="L304" s="68" t="n"/>
      <c r="M304" s="69" t="n"/>
      <c r="N304" s="68" t="n"/>
      <c r="O304" s="69" t="n"/>
      <c r="P304" s="68" t="n"/>
      <c r="Q304" s="69" t="n"/>
      <c r="R304" s="68" t="n"/>
      <c r="S304" s="69" t="n"/>
      <c r="T304" s="68" t="n"/>
      <c r="U304" s="69" t="n"/>
      <c r="V304" s="68" t="n"/>
      <c r="W304" s="69" t="n"/>
      <c r="X304" s="68" t="n"/>
      <c r="Y304" s="69" t="n"/>
      <c r="Z304" s="68" t="n"/>
      <c r="AA304" s="69" t="n"/>
      <c r="AB304" s="68" t="n"/>
      <c r="AC304" s="69" t="n"/>
      <c r="AD304" s="70">
        <f>IF(AND(COUNTIF($B$5:B304,B304)=1,$B304&lt;&gt;"",$AB304&lt;&gt;""),1,0)</f>
        <v/>
      </c>
      <c r="AE304" s="67" t="inlineStr">
        <is>
          <t>https://www.semana.com/opinion/articulo/eps-o-ips-todas-ganan-solo-pierde-la-salud/202342/</t>
        </is>
      </c>
      <c r="AF304" s="64" t="n"/>
      <c r="AG304" s="65" t="n"/>
    </row>
    <row r="305" ht="15" customHeight="1" s="31">
      <c r="A305" s="66" t="inlineStr">
        <is>
          <t>ART_059</t>
        </is>
      </c>
      <c r="B305" s="66" t="inlineStr">
        <is>
          <t>ART_059_S01</t>
        </is>
      </c>
      <c r="C305" s="66" t="inlineStr">
        <is>
          <t>Infobae Colombia</t>
        </is>
      </c>
      <c r="D305" s="66" t="inlineStr">
        <is>
          <t>Medio ambiente</t>
        </is>
      </c>
      <c r="E305" s="66" t="inlineStr">
        <is>
          <t>Noticia dura</t>
        </is>
      </c>
      <c r="F305" s="66" t="inlineStr">
        <is>
          <t>2026-07-04T02:52:40Z</t>
        </is>
      </c>
      <c r="G305" s="67" t="inlineStr">
        <is>
          <t>El biólogo marino e investigador Fabio Arjona Hincapié, ministro de Ambiente designado por el presidente electo, Abelardo de la Espriella, dio a conocer los retos que tiene que asumir con el liderazgo de la cartera.</t>
        </is>
      </c>
      <c r="H305" s="67" t="inlineStr"/>
      <c r="I305" s="67" t="inlineStr">
        <is>
          <t>En conversación con Noticias Caracol, se refirió, entre otras cosas, al cuidado del páramo de Santurbán, un ecosistema estratégico que se encuentra ubicado entre los departamentos de Santander y Norte de Santander.</t>
        </is>
      </c>
      <c r="J305" s="68" t="n"/>
      <c r="K305" s="69" t="n"/>
      <c r="L305" s="68" t="n"/>
      <c r="M305" s="69" t="n"/>
      <c r="N305" s="68" t="n"/>
      <c r="O305" s="69" t="n"/>
      <c r="P305" s="68" t="n"/>
      <c r="Q305" s="69" t="n"/>
      <c r="R305" s="68" t="n"/>
      <c r="S305" s="69" t="n"/>
      <c r="T305" s="68" t="n"/>
      <c r="U305" s="69" t="n"/>
      <c r="V305" s="68" t="n"/>
      <c r="W305" s="69" t="n"/>
      <c r="X305" s="68" t="n"/>
      <c r="Y305" s="69" t="n"/>
      <c r="Z305" s="68" t="n"/>
      <c r="AA305" s="69" t="n"/>
      <c r="AB305" s="68" t="n"/>
      <c r="AC305" s="69" t="n"/>
      <c r="AD305" s="70">
        <f>IF(AND(COUNTIF($B$5:B305,B305)=1,$B305&lt;&gt;"",$AB305&lt;&gt;""),1,0)</f>
        <v/>
      </c>
      <c r="AE305" s="67" t="inlineStr">
        <is>
          <t>https://www.infobae.com/colombia/2026/07/04/petro-estallo-por-declaraciones-del-ministro-de-ambiente-de-de-la-espriella-sobre-el-paramo-de-santurban-era-para-decidirlo-en-las-urnas/</t>
        </is>
      </c>
      <c r="AF305" s="64" t="n"/>
      <c r="AG305" s="65" t="n"/>
    </row>
    <row r="306" ht="15" customHeight="1" s="31">
      <c r="A306" s="66" t="inlineStr">
        <is>
          <t>ART_059</t>
        </is>
      </c>
      <c r="B306" s="66" t="inlineStr">
        <is>
          <t>ART_059_S02</t>
        </is>
      </c>
      <c r="C306" s="66" t="inlineStr">
        <is>
          <t>Infobae Colombia</t>
        </is>
      </c>
      <c r="D306" s="66" t="inlineStr">
        <is>
          <t>Medio ambiente</t>
        </is>
      </c>
      <c r="E306" s="66" t="inlineStr">
        <is>
          <t>Noticia dura</t>
        </is>
      </c>
      <c r="F306" s="66" t="inlineStr">
        <is>
          <t>2026-07-04T02:52:40Z</t>
        </is>
      </c>
      <c r="G306" s="67" t="inlineStr">
        <is>
          <t>En conversación con Noticias Caracol, se refirió, entre otras cosas, al cuidado del páramo de Santurbán, un ecosistema estratégico que se encuentra ubicado entre los departamentos de Santander y Norte de Santander.</t>
        </is>
      </c>
      <c r="H306" s="67" t="inlineStr">
        <is>
          <t>El biólogo marino e investigador Fabio Arjona Hincapié, ministro de Ambiente designado por el presidente electo, Abelardo de la Espriella, dio a conocer los retos que tiene que asumir con el liderazgo de la cartera.</t>
        </is>
      </c>
      <c r="I306" s="67" t="inlineStr">
        <is>
          <t>De acuerdo con el ministro entrante, además de la delimitación, se debe verificar cómo está funcionando el negocio de la minería alrededor del mismo.</t>
        </is>
      </c>
      <c r="J306" s="68" t="n"/>
      <c r="K306" s="69" t="n"/>
      <c r="L306" s="68" t="n"/>
      <c r="M306" s="69" t="n"/>
      <c r="N306" s="68" t="n"/>
      <c r="O306" s="69" t="n"/>
      <c r="P306" s="68" t="n"/>
      <c r="Q306" s="69" t="n"/>
      <c r="R306" s="68" t="n"/>
      <c r="S306" s="69" t="n"/>
      <c r="T306" s="68" t="n"/>
      <c r="U306" s="69" t="n"/>
      <c r="V306" s="68" t="n"/>
      <c r="W306" s="69" t="n"/>
      <c r="X306" s="68" t="n"/>
      <c r="Y306" s="69" t="n"/>
      <c r="Z306" s="68" t="n"/>
      <c r="AA306" s="69" t="n"/>
      <c r="AB306" s="68" t="n"/>
      <c r="AC306" s="69" t="n"/>
      <c r="AD306" s="70">
        <f>IF(AND(COUNTIF($B$5:B306,B306)=1,$B306&lt;&gt;"",$AB306&lt;&gt;""),1,0)</f>
        <v/>
      </c>
      <c r="AE306" s="67" t="inlineStr">
        <is>
          <t>https://www.infobae.com/colombia/2026/07/04/petro-estallo-por-declaraciones-del-ministro-de-ambiente-de-de-la-espriella-sobre-el-paramo-de-santurban-era-para-decidirlo-en-las-urnas/</t>
        </is>
      </c>
      <c r="AF306" s="64" t="n"/>
      <c r="AG306" s="65" t="n"/>
    </row>
    <row r="307" ht="15" customHeight="1" s="31">
      <c r="A307" s="66" t="inlineStr">
        <is>
          <t>ART_059</t>
        </is>
      </c>
      <c r="B307" s="66" t="inlineStr">
        <is>
          <t>ART_059_S03</t>
        </is>
      </c>
      <c r="C307" s="66" t="inlineStr">
        <is>
          <t>Infobae Colombia</t>
        </is>
      </c>
      <c r="D307" s="66" t="inlineStr">
        <is>
          <t>Medio ambiente</t>
        </is>
      </c>
      <c r="E307" s="66" t="inlineStr">
        <is>
          <t>Noticia dura</t>
        </is>
      </c>
      <c r="F307" s="66" t="inlineStr">
        <is>
          <t>2026-07-04T02:52:40Z</t>
        </is>
      </c>
      <c r="G307" s="67" t="inlineStr">
        <is>
          <t>De acuerdo con el ministro entrante, además de la delimitación, se debe verificar cómo está funcionando el negocio de la minería alrededor del mismo.</t>
        </is>
      </c>
      <c r="H307" s="67" t="inlineStr">
        <is>
          <t>En conversación con Noticias Caracol, se refirió, entre otras cosas, al cuidado del páramo de Santurbán, un ecosistema estratégico que se encuentra ubicado entre los departamentos de Santander y Norte de Santander.</t>
        </is>
      </c>
      <c r="I307" s="67" t="inlineStr">
        <is>
          <t>“Hay que avanzar, delimitar el páramo, mirar cuáles son las zonas de aprovechamiento, formalizar la minería que ahí existe.</t>
        </is>
      </c>
      <c r="J307" s="68" t="n"/>
      <c r="K307" s="69" t="n"/>
      <c r="L307" s="68" t="n"/>
      <c r="M307" s="69" t="n"/>
      <c r="N307" s="68" t="n"/>
      <c r="O307" s="69" t="n"/>
      <c r="P307" s="68" t="n"/>
      <c r="Q307" s="69" t="n"/>
      <c r="R307" s="68" t="n"/>
      <c r="S307" s="69" t="n"/>
      <c r="T307" s="68" t="n"/>
      <c r="U307" s="69" t="n"/>
      <c r="V307" s="68" t="n"/>
      <c r="W307" s="69" t="n"/>
      <c r="X307" s="68" t="n"/>
      <c r="Y307" s="69" t="n"/>
      <c r="Z307" s="68" t="n"/>
      <c r="AA307" s="69" t="n"/>
      <c r="AB307" s="68" t="n"/>
      <c r="AC307" s="69" t="n"/>
      <c r="AD307" s="70">
        <f>IF(AND(COUNTIF($B$5:B307,B307)=1,$B307&lt;&gt;"",$AB307&lt;&gt;""),1,0)</f>
        <v/>
      </c>
      <c r="AE307" s="67" t="inlineStr">
        <is>
          <t>https://www.infobae.com/colombia/2026/07/04/petro-estallo-por-declaraciones-del-ministro-de-ambiente-de-de-la-espriella-sobre-el-paramo-de-santurban-era-para-decidirlo-en-las-urnas/</t>
        </is>
      </c>
      <c r="AF307" s="64" t="n"/>
      <c r="AG307" s="65" t="n"/>
    </row>
    <row r="308" ht="15" customHeight="1" s="31">
      <c r="A308" s="66" t="inlineStr">
        <is>
          <t>ART_059</t>
        </is>
      </c>
      <c r="B308" s="66" t="inlineStr">
        <is>
          <t>ART_059_S04</t>
        </is>
      </c>
      <c r="C308" s="66" t="inlineStr">
        <is>
          <t>Infobae Colombia</t>
        </is>
      </c>
      <c r="D308" s="66" t="inlineStr">
        <is>
          <t>Medio ambiente</t>
        </is>
      </c>
      <c r="E308" s="66" t="inlineStr">
        <is>
          <t>Noticia dura</t>
        </is>
      </c>
      <c r="F308" s="66" t="inlineStr">
        <is>
          <t>2026-07-04T02:52:40Z</t>
        </is>
      </c>
      <c r="G308" s="67" t="inlineStr">
        <is>
          <t>“Hay que avanzar, delimitar el páramo, mirar cuáles son las zonas de aprovechamiento, formalizar la minería que ahí existe.</t>
        </is>
      </c>
      <c r="H308" s="67" t="inlineStr">
        <is>
          <t>De acuerdo con el ministro entrante, además de la delimitación, se debe verificar cómo está funcionando el negocio de la minería alrededor del mismo.</t>
        </is>
      </c>
      <c r="I308" s="67" t="inlineStr">
        <is>
          <t>Si hay una minería industrial alrededor, podría ayudar a la formalización”, dijo.</t>
        </is>
      </c>
      <c r="J308" s="68" t="n"/>
      <c r="K308" s="69" t="n"/>
      <c r="L308" s="68" t="n"/>
      <c r="M308" s="69" t="n"/>
      <c r="N308" s="68" t="n"/>
      <c r="O308" s="69" t="n"/>
      <c r="P308" s="68" t="n"/>
      <c r="Q308" s="69" t="n"/>
      <c r="R308" s="68" t="n"/>
      <c r="S308" s="69" t="n"/>
      <c r="T308" s="68" t="n"/>
      <c r="U308" s="69" t="n"/>
      <c r="V308" s="68" t="n"/>
      <c r="W308" s="69" t="n"/>
      <c r="X308" s="68" t="n"/>
      <c r="Y308" s="69" t="n"/>
      <c r="Z308" s="68" t="n"/>
      <c r="AA308" s="69" t="n"/>
      <c r="AB308" s="68" t="n"/>
      <c r="AC308" s="69" t="n"/>
      <c r="AD308" s="70">
        <f>IF(AND(COUNTIF($B$5:B308,B308)=1,$B308&lt;&gt;"",$AB308&lt;&gt;""),1,0)</f>
        <v/>
      </c>
      <c r="AE308" s="67" t="inlineStr">
        <is>
          <t>https://www.infobae.com/colombia/2026/07/04/petro-estallo-por-declaraciones-del-ministro-de-ambiente-de-de-la-espriella-sobre-el-paramo-de-santurban-era-para-decidirlo-en-las-urnas/</t>
        </is>
      </c>
      <c r="AF308" s="64" t="n"/>
      <c r="AG308" s="65" t="n"/>
    </row>
    <row r="309" ht="15" customHeight="1" s="31">
      <c r="A309" s="66" t="inlineStr">
        <is>
          <t>ART_059</t>
        </is>
      </c>
      <c r="B309" s="66" t="inlineStr">
        <is>
          <t>ART_059_S05</t>
        </is>
      </c>
      <c r="C309" s="66" t="inlineStr">
        <is>
          <t>Infobae Colombia</t>
        </is>
      </c>
      <c r="D309" s="66" t="inlineStr">
        <is>
          <t>Medio ambiente</t>
        </is>
      </c>
      <c r="E309" s="66" t="inlineStr">
        <is>
          <t>Noticia dura</t>
        </is>
      </c>
      <c r="F309" s="66" t="inlineStr">
        <is>
          <t>2026-07-04T02:52:40Z</t>
        </is>
      </c>
      <c r="G309" s="67" t="inlineStr">
        <is>
          <t>Si hay una minería industrial alrededor, podría ayudar a la formalización”, dijo.</t>
        </is>
      </c>
      <c r="H309" s="67" t="inlineStr">
        <is>
          <t>“Hay que avanzar, delimitar el páramo, mirar cuáles son las zonas de aprovechamiento, formalizar la minería que ahí existe.</t>
        </is>
      </c>
      <c r="I309" s="67" t="inlineStr">
        <is>
          <t>El experto afirmó que se podría evaluar el impacto de la participación de la empresa canadiense Aris Mining.</t>
        </is>
      </c>
      <c r="J309" s="68" t="n"/>
      <c r="K309" s="69" t="n"/>
      <c r="L309" s="68" t="n"/>
      <c r="M309" s="69" t="n"/>
      <c r="N309" s="68" t="n"/>
      <c r="O309" s="69" t="n"/>
      <c r="P309" s="68" t="n"/>
      <c r="Q309" s="69" t="n"/>
      <c r="R309" s="68" t="n"/>
      <c r="S309" s="69" t="n"/>
      <c r="T309" s="68" t="n"/>
      <c r="U309" s="69" t="n"/>
      <c r="V309" s="68" t="n"/>
      <c r="W309" s="69" t="n"/>
      <c r="X309" s="68" t="n"/>
      <c r="Y309" s="69" t="n"/>
      <c r="Z309" s="68" t="n"/>
      <c r="AA309" s="69" t="n"/>
      <c r="AB309" s="68" t="n"/>
      <c r="AC309" s="69" t="n"/>
      <c r="AD309" s="70">
        <f>IF(AND(COUNTIF($B$5:B309,B309)=1,$B309&lt;&gt;"",$AB309&lt;&gt;""),1,0)</f>
        <v/>
      </c>
      <c r="AE309" s="67" t="inlineStr">
        <is>
          <t>https://www.infobae.com/colombia/2026/07/04/petro-estallo-por-declaraciones-del-ministro-de-ambiente-de-de-la-espriella-sobre-el-paramo-de-santurban-era-para-decidirlo-en-las-urnas/</t>
        </is>
      </c>
      <c r="AF309" s="64" t="n"/>
      <c r="AG309" s="65" t="n"/>
    </row>
    <row r="310" ht="15" customHeight="1" s="31">
      <c r="A310" s="66" t="inlineStr">
        <is>
          <t>ART_059</t>
        </is>
      </c>
      <c r="B310" s="66" t="inlineStr">
        <is>
          <t>ART_059_S06</t>
        </is>
      </c>
      <c r="C310" s="66" t="inlineStr">
        <is>
          <t>Infobae Colombia</t>
        </is>
      </c>
      <c r="D310" s="66" t="inlineStr">
        <is>
          <t>Medio ambiente</t>
        </is>
      </c>
      <c r="E310" s="66" t="inlineStr">
        <is>
          <t>Noticia dura</t>
        </is>
      </c>
      <c r="F310" s="66" t="inlineStr">
        <is>
          <t>2026-07-04T02:52:40Z</t>
        </is>
      </c>
      <c r="G310" s="67" t="inlineStr">
        <is>
          <t>El experto afirmó que se podría evaluar el impacto de la participación de la empresa canadiense Aris Mining.</t>
        </is>
      </c>
      <c r="H310" s="67" t="inlineStr">
        <is>
          <t>Si hay una minería industrial alrededor, podría ayudar a la formalización”, dijo.</t>
        </is>
      </c>
      <c r="I310" s="67" t="inlineStr">
        <is>
          <t>Según detalló, la multinacional tiene 38.000 mineros formalizados en una mina ubicada en el departamento de Antioquia.</t>
        </is>
      </c>
      <c r="J310" s="68" t="n"/>
      <c r="K310" s="69" t="n"/>
      <c r="L310" s="68" t="n"/>
      <c r="M310" s="69" t="n"/>
      <c r="N310" s="68" t="n"/>
      <c r="O310" s="69" t="n"/>
      <c r="P310" s="68" t="n"/>
      <c r="Q310" s="69" t="n"/>
      <c r="R310" s="68" t="n"/>
      <c r="S310" s="69" t="n"/>
      <c r="T310" s="68" t="n"/>
      <c r="U310" s="69" t="n"/>
      <c r="V310" s="68" t="n"/>
      <c r="W310" s="69" t="n"/>
      <c r="X310" s="68" t="n"/>
      <c r="Y310" s="69" t="n"/>
      <c r="Z310" s="68" t="n"/>
      <c r="AA310" s="69" t="n"/>
      <c r="AB310" s="68" t="n"/>
      <c r="AC310" s="69" t="n"/>
      <c r="AD310" s="70">
        <f>IF(AND(COUNTIF($B$5:B310,B310)=1,$B310&lt;&gt;"",$AB310&lt;&gt;""),1,0)</f>
        <v/>
      </c>
      <c r="AE310" s="67" t="inlineStr">
        <is>
          <t>https://www.infobae.com/colombia/2026/07/04/petro-estallo-por-declaraciones-del-ministro-de-ambiente-de-de-la-espriella-sobre-el-paramo-de-santurban-era-para-decidirlo-en-las-urnas/</t>
        </is>
      </c>
      <c r="AF310" s="64" t="n"/>
      <c r="AG310" s="65" t="n"/>
    </row>
    <row r="311" ht="15" customHeight="1" s="31">
      <c r="A311" s="66" t="inlineStr">
        <is>
          <t>ART_059</t>
        </is>
      </c>
      <c r="B311" s="66" t="inlineStr">
        <is>
          <t>ART_059_S07</t>
        </is>
      </c>
      <c r="C311" s="66" t="inlineStr">
        <is>
          <t>Infobae Colombia</t>
        </is>
      </c>
      <c r="D311" s="66" t="inlineStr">
        <is>
          <t>Medio ambiente</t>
        </is>
      </c>
      <c r="E311" s="66" t="inlineStr">
        <is>
          <t>Noticia dura</t>
        </is>
      </c>
      <c r="F311" s="66" t="inlineStr">
        <is>
          <t>2026-07-04T02:52:40Z</t>
        </is>
      </c>
      <c r="G311" s="67" t="inlineStr">
        <is>
          <t>Según detalló, la multinacional tiene 38.000 mineros formalizados en una mina ubicada en el departamento de Antioquia.</t>
        </is>
      </c>
      <c r="H311" s="67" t="inlineStr">
        <is>
          <t>El experto afirmó que se podría evaluar el impacto de la participación de la empresa canadiense Aris Mining.</t>
        </is>
      </c>
      <c r="I311" s="67" t="inlineStr">
        <is>
          <t>“Es un ejemplo de lo que podría hacerse en Santurbán”, indicó Arjona Hincapié.</t>
        </is>
      </c>
      <c r="J311" s="68" t="n"/>
      <c r="K311" s="69" t="n"/>
      <c r="L311" s="68" t="n"/>
      <c r="M311" s="69" t="n"/>
      <c r="N311" s="68" t="n"/>
      <c r="O311" s="69" t="n"/>
      <c r="P311" s="68" t="n"/>
      <c r="Q311" s="69" t="n"/>
      <c r="R311" s="68" t="n"/>
      <c r="S311" s="69" t="n"/>
      <c r="T311" s="68" t="n"/>
      <c r="U311" s="69" t="n"/>
      <c r="V311" s="68" t="n"/>
      <c r="W311" s="69" t="n"/>
      <c r="X311" s="68" t="n"/>
      <c r="Y311" s="69" t="n"/>
      <c r="Z311" s="68" t="n"/>
      <c r="AA311" s="69" t="n"/>
      <c r="AB311" s="68" t="n"/>
      <c r="AC311" s="69" t="n"/>
      <c r="AD311" s="70">
        <f>IF(AND(COUNTIF($B$5:B311,B311)=1,$B311&lt;&gt;"",$AB311&lt;&gt;""),1,0)</f>
        <v/>
      </c>
      <c r="AE311" s="67" t="inlineStr">
        <is>
          <t>https://www.infobae.com/colombia/2026/07/04/petro-estallo-por-declaraciones-del-ministro-de-ambiente-de-de-la-espriella-sobre-el-paramo-de-santurban-era-para-decidirlo-en-las-urnas/</t>
        </is>
      </c>
      <c r="AF311" s="64" t="n"/>
      <c r="AG311" s="65" t="n"/>
    </row>
    <row r="312" ht="15" customHeight="1" s="31">
      <c r="A312" s="66" t="inlineStr">
        <is>
          <t>ART_059</t>
        </is>
      </c>
      <c r="B312" s="66" t="inlineStr">
        <is>
          <t>ART_059_S08</t>
        </is>
      </c>
      <c r="C312" s="66" t="inlineStr">
        <is>
          <t>Infobae Colombia</t>
        </is>
      </c>
      <c r="D312" s="66" t="inlineStr">
        <is>
          <t>Medio ambiente</t>
        </is>
      </c>
      <c r="E312" s="66" t="inlineStr">
        <is>
          <t>Noticia dura</t>
        </is>
      </c>
      <c r="F312" s="66" t="inlineStr">
        <is>
          <t>2026-07-04T02:52:40Z</t>
        </is>
      </c>
      <c r="G312" s="67" t="inlineStr">
        <is>
          <t>“Es un ejemplo de lo que podría hacerse en Santurbán”, indicó Arjona Hincapié.</t>
        </is>
      </c>
      <c r="H312" s="67" t="inlineStr">
        <is>
          <t>Según detalló, la multinacional tiene 38.000 mineros formalizados en una mina ubicada en el departamento de Antioquia.</t>
        </is>
      </c>
      <c r="I312" s="67" t="inlineStr">
        <is>
          <t>El Comité Santurbán, una plataforma cívica que ha defendido el páramo de la minería contaminante durante 17 años, rechazó las declaraciones del ministro de Ambiente designado.</t>
        </is>
      </c>
      <c r="J312" s="68" t="n"/>
      <c r="K312" s="69" t="n"/>
      <c r="L312" s="68" t="n"/>
      <c r="M312" s="69" t="n"/>
      <c r="N312" s="68" t="n"/>
      <c r="O312" s="69" t="n"/>
      <c r="P312" s="68" t="n"/>
      <c r="Q312" s="69" t="n"/>
      <c r="R312" s="68" t="n"/>
      <c r="S312" s="69" t="n"/>
      <c r="T312" s="68" t="n"/>
      <c r="U312" s="69" t="n"/>
      <c r="V312" s="68" t="n"/>
      <c r="W312" s="69" t="n"/>
      <c r="X312" s="68" t="n"/>
      <c r="Y312" s="69" t="n"/>
      <c r="Z312" s="68" t="n"/>
      <c r="AA312" s="69" t="n"/>
      <c r="AB312" s="68" t="n"/>
      <c r="AC312" s="69" t="n"/>
      <c r="AD312" s="70">
        <f>IF(AND(COUNTIF($B$5:B312,B312)=1,$B312&lt;&gt;"",$AB312&lt;&gt;""),1,0)</f>
        <v/>
      </c>
      <c r="AE312" s="67" t="inlineStr">
        <is>
          <t>https://www.infobae.com/colombia/2026/07/04/petro-estallo-por-declaraciones-del-ministro-de-ambiente-de-de-la-espriella-sobre-el-paramo-de-santurban-era-para-decidirlo-en-las-urnas/</t>
        </is>
      </c>
      <c r="AF312" s="64" t="n"/>
      <c r="AG312" s="65" t="n"/>
    </row>
    <row r="313" ht="15" customHeight="1" s="31">
      <c r="A313" s="66" t="inlineStr">
        <is>
          <t>ART_059</t>
        </is>
      </c>
      <c r="B313" s="66" t="inlineStr">
        <is>
          <t>ART_059_S09</t>
        </is>
      </c>
      <c r="C313" s="66" t="inlineStr">
        <is>
          <t>Infobae Colombia</t>
        </is>
      </c>
      <c r="D313" s="66" t="inlineStr">
        <is>
          <t>Medio ambiente</t>
        </is>
      </c>
      <c r="E313" s="66" t="inlineStr">
        <is>
          <t>Noticia dura</t>
        </is>
      </c>
      <c r="F313" s="66" t="inlineStr">
        <is>
          <t>2026-07-04T02:52:40Z</t>
        </is>
      </c>
      <c r="G313" s="67" t="inlineStr">
        <is>
          <t>El Comité Santurbán, una plataforma cívica que ha defendido el páramo de la minería contaminante durante 17 años, rechazó las declaraciones del ministro de Ambiente designado.</t>
        </is>
      </c>
      <c r="H313" s="67" t="inlineStr">
        <is>
          <t>“Es un ejemplo de lo que podría hacerse en Santurbán”, indicó Arjona Hincapié.</t>
        </is>
      </c>
      <c r="I313" s="67" t="inlineStr">
        <is>
          <t>En una publicación en X, aseguró que el Gobierno de Abelardo de la Espriella podría terminar entregando el páramo de Santurbán a la multinacional canadiense.</t>
        </is>
      </c>
      <c r="J313" s="68" t="n"/>
      <c r="K313" s="69" t="n"/>
      <c r="L313" s="68" t="n"/>
      <c r="M313" s="69" t="n"/>
      <c r="N313" s="68" t="n"/>
      <c r="O313" s="69" t="n"/>
      <c r="P313" s="68" t="n"/>
      <c r="Q313" s="69" t="n"/>
      <c r="R313" s="68" t="n"/>
      <c r="S313" s="69" t="n"/>
      <c r="T313" s="68" t="n"/>
      <c r="U313" s="69" t="n"/>
      <c r="V313" s="68" t="n"/>
      <c r="W313" s="69" t="n"/>
      <c r="X313" s="68" t="n"/>
      <c r="Y313" s="69" t="n"/>
      <c r="Z313" s="68" t="n"/>
      <c r="AA313" s="69" t="n"/>
      <c r="AB313" s="68" t="n"/>
      <c r="AC313" s="69" t="n"/>
      <c r="AD313" s="70">
        <f>IF(AND(COUNTIF($B$5:B313,B313)=1,$B313&lt;&gt;"",$AB313&lt;&gt;""),1,0)</f>
        <v/>
      </c>
      <c r="AE313" s="67" t="inlineStr">
        <is>
          <t>https://www.infobae.com/colombia/2026/07/04/petro-estallo-por-declaraciones-del-ministro-de-ambiente-de-de-la-espriella-sobre-el-paramo-de-santurban-era-para-decidirlo-en-las-urnas/</t>
        </is>
      </c>
      <c r="AF313" s="64" t="n"/>
      <c r="AG313" s="65" t="n"/>
    </row>
    <row r="314" ht="15" customHeight="1" s="31">
      <c r="A314" s="66" t="inlineStr">
        <is>
          <t>ART_059</t>
        </is>
      </c>
      <c r="B314" s="66" t="inlineStr">
        <is>
          <t>ART_059_S10</t>
        </is>
      </c>
      <c r="C314" s="66" t="inlineStr">
        <is>
          <t>Infobae Colombia</t>
        </is>
      </c>
      <c r="D314" s="66" t="inlineStr">
        <is>
          <t>Medio ambiente</t>
        </is>
      </c>
      <c r="E314" s="66" t="inlineStr">
        <is>
          <t>Noticia dura</t>
        </is>
      </c>
      <c r="F314" s="66" t="inlineStr">
        <is>
          <t>2026-07-04T02:52:40Z</t>
        </is>
      </c>
      <c r="G314" s="67" t="inlineStr">
        <is>
          <t>En una publicación en X, aseguró que el Gobierno de Abelardo de la Espriella podría terminar entregando el páramo de Santurbán a la multinacional canadiense.</t>
        </is>
      </c>
      <c r="H314" s="67" t="inlineStr">
        <is>
          <t>El Comité Santurbán, una plataforma cívica que ha defendido el páramo de la minería contaminante durante 17 años, rechazó las declaraciones del ministro de Ambiente designado.</t>
        </is>
      </c>
      <c r="I314" s="67" t="inlineStr">
        <is>
          <t>De acuerdo con la plataforma, esto pondría en riesgo el recurso hídrico de la región.</t>
        </is>
      </c>
      <c r="J314" s="68" t="n"/>
      <c r="K314" s="69" t="n"/>
      <c r="L314" s="68" t="n"/>
      <c r="M314" s="69" t="n"/>
      <c r="N314" s="68" t="n"/>
      <c r="O314" s="69" t="n"/>
      <c r="P314" s="68" t="n"/>
      <c r="Q314" s="69" t="n"/>
      <c r="R314" s="68" t="n"/>
      <c r="S314" s="69" t="n"/>
      <c r="T314" s="68" t="n"/>
      <c r="U314" s="69" t="n"/>
      <c r="V314" s="68" t="n"/>
      <c r="W314" s="69" t="n"/>
      <c r="X314" s="68" t="n"/>
      <c r="Y314" s="69" t="n"/>
      <c r="Z314" s="68" t="n"/>
      <c r="AA314" s="69" t="n"/>
      <c r="AB314" s="68" t="n"/>
      <c r="AC314" s="69" t="n"/>
      <c r="AD314" s="70">
        <f>IF(AND(COUNTIF($B$5:B314,B314)=1,$B314&lt;&gt;"",$AB314&lt;&gt;""),1,0)</f>
        <v/>
      </c>
      <c r="AE314" s="67" t="inlineStr">
        <is>
          <t>https://www.infobae.com/colombia/2026/07/04/petro-estallo-por-declaraciones-del-ministro-de-ambiente-de-de-la-espriella-sobre-el-paramo-de-santurban-era-para-decidirlo-en-las-urnas/</t>
        </is>
      </c>
      <c r="AF314" s="64" t="n"/>
      <c r="AG314" s="65" t="n"/>
    </row>
    <row r="315" ht="15" customHeight="1" s="31">
      <c r="A315" s="66" t="inlineStr">
        <is>
          <t>ART_059</t>
        </is>
      </c>
      <c r="B315" s="66" t="inlineStr">
        <is>
          <t>ART_059_S11</t>
        </is>
      </c>
      <c r="C315" s="66" t="inlineStr">
        <is>
          <t>Infobae Colombia</t>
        </is>
      </c>
      <c r="D315" s="66" t="inlineStr">
        <is>
          <t>Medio ambiente</t>
        </is>
      </c>
      <c r="E315" s="66" t="inlineStr">
        <is>
          <t>Noticia dura</t>
        </is>
      </c>
      <c r="F315" s="66" t="inlineStr">
        <is>
          <t>2026-07-04T02:52:40Z</t>
        </is>
      </c>
      <c r="G315" s="67" t="inlineStr">
        <is>
          <t>De acuerdo con la plataforma, esto pondría en riesgo el recurso hídrico de la región.</t>
        </is>
      </c>
      <c r="H315" s="67" t="inlineStr">
        <is>
          <t>En una publicación en X, aseguró que el Gobierno de Abelardo de la Espriella podría terminar entregando el páramo de Santurbán a la multinacional canadiense.</t>
        </is>
      </c>
      <c r="I315" s="67" t="inlineStr">
        <is>
          <t>“Hoy el futuro Min de ambiente de @ABDELAESPRIELLA lo confirma descaradamente en medios nacionales.</t>
        </is>
      </c>
      <c r="J315" s="68" t="n"/>
      <c r="K315" s="69" t="n"/>
      <c r="L315" s="68" t="n"/>
      <c r="M315" s="69" t="n"/>
      <c r="N315" s="68" t="n"/>
      <c r="O315" s="69" t="n"/>
      <c r="P315" s="68" t="n"/>
      <c r="Q315" s="69" t="n"/>
      <c r="R315" s="68" t="n"/>
      <c r="S315" s="69" t="n"/>
      <c r="T315" s="68" t="n"/>
      <c r="U315" s="69" t="n"/>
      <c r="V315" s="68" t="n"/>
      <c r="W315" s="69" t="n"/>
      <c r="X315" s="68" t="n"/>
      <c r="Y315" s="69" t="n"/>
      <c r="Z315" s="68" t="n"/>
      <c r="AA315" s="69" t="n"/>
      <c r="AB315" s="68" t="n"/>
      <c r="AC315" s="69" t="n"/>
      <c r="AD315" s="70">
        <f>IF(AND(COUNTIF($B$5:B315,B315)=1,$B315&lt;&gt;"",$AB315&lt;&gt;""),1,0)</f>
        <v/>
      </c>
      <c r="AE315" s="67" t="inlineStr">
        <is>
          <t>https://www.infobae.com/colombia/2026/07/04/petro-estallo-por-declaraciones-del-ministro-de-ambiente-de-de-la-espriella-sobre-el-paramo-de-santurban-era-para-decidirlo-en-las-urnas/</t>
        </is>
      </c>
      <c r="AF315" s="64" t="n"/>
      <c r="AG315" s="65" t="n"/>
    </row>
    <row r="316" ht="15" customHeight="1" s="31">
      <c r="A316" s="66" t="inlineStr">
        <is>
          <t>ART_059</t>
        </is>
      </c>
      <c r="B316" s="66" t="inlineStr">
        <is>
          <t>ART_059_S12</t>
        </is>
      </c>
      <c r="C316" s="66" t="inlineStr">
        <is>
          <t>Infobae Colombia</t>
        </is>
      </c>
      <c r="D316" s="66" t="inlineStr">
        <is>
          <t>Medio ambiente</t>
        </is>
      </c>
      <c r="E316" s="66" t="inlineStr">
        <is>
          <t>Noticia dura</t>
        </is>
      </c>
      <c r="F316" s="66" t="inlineStr">
        <is>
          <t>2026-07-04T02:52:40Z</t>
        </is>
      </c>
      <c r="G316" s="67" t="inlineStr">
        <is>
          <t>“Hoy el futuro Min de ambiente de @ABDELAESPRIELLA lo confirma descaradamente en medios nacionales.</t>
        </is>
      </c>
      <c r="H316" s="67" t="inlineStr">
        <is>
          <t>De acuerdo con la plataforma, esto pondría en riesgo el recurso hídrico de la región.</t>
        </is>
      </c>
      <c r="I316" s="67" t="inlineStr"/>
      <c r="J316" s="68" t="n"/>
      <c r="K316" s="69" t="n"/>
      <c r="L316" s="68" t="n"/>
      <c r="M316" s="69" t="n"/>
      <c r="N316" s="68" t="n"/>
      <c r="O316" s="69" t="n"/>
      <c r="P316" s="68" t="n"/>
      <c r="Q316" s="69" t="n"/>
      <c r="R316" s="68" t="n"/>
      <c r="S316" s="69" t="n"/>
      <c r="T316" s="68" t="n"/>
      <c r="U316" s="69" t="n"/>
      <c r="V316" s="68" t="n"/>
      <c r="W316" s="69" t="n"/>
      <c r="X316" s="68" t="n"/>
      <c r="Y316" s="69" t="n"/>
      <c r="Z316" s="68" t="n"/>
      <c r="AA316" s="69" t="n"/>
      <c r="AB316" s="68" t="n"/>
      <c r="AC316" s="69" t="n"/>
      <c r="AD316" s="70">
        <f>IF(AND(COUNTIF($B$5:B316,B316)=1,$B316&lt;&gt;"",$AB316&lt;&gt;""),1,0)</f>
        <v/>
      </c>
      <c r="AE316" s="67" t="inlineStr">
        <is>
          <t>https://www.infobae.com/colombia/2026/07/04/petro-estallo-por-declaraciones-del-ministro-de-ambiente-de-de-la-espriella-sobre-el-paramo-de-santurban-era-para-decidirlo-en-las-urnas/</t>
        </is>
      </c>
      <c r="AF316" s="64" t="n"/>
      <c r="AG316" s="65" t="n"/>
    </row>
    <row r="317" ht="15" customHeight="1" s="31">
      <c r="A317" s="66" t="inlineStr">
        <is>
          <t>ART_060</t>
        </is>
      </c>
      <c r="B317" s="66" t="inlineStr">
        <is>
          <t>ART_060_S01</t>
        </is>
      </c>
      <c r="C317" s="66" t="inlineStr">
        <is>
          <t>Infobae Colombia</t>
        </is>
      </c>
      <c r="D317" s="66" t="inlineStr">
        <is>
          <t>Medio ambiente</t>
        </is>
      </c>
      <c r="E317" s="66" t="inlineStr">
        <is>
          <t>Noticia dura</t>
        </is>
      </c>
      <c r="F317" s="66" t="inlineStr">
        <is>
          <t>2026-07-05T01:07:26Z</t>
        </is>
      </c>
      <c r="G317" s="67" t="inlineStr">
        <is>
          <t>El ministro de Ambiente y Desarrollo Sostenible que designó el presidente electo Abelardo de la Espriella no se ha posesionado todavía en el cargo y su postura ambientalista ya fue cuestionada.</t>
        </is>
      </c>
      <c r="H317" s="67" t="inlineStr"/>
      <c r="I317" s="67" t="inlineStr">
        <is>
          <t>Se trata del biólogo marino e investigador Fabio Arjona Hincapié, que cuenta con más de 20 años de experiencia ejerciendo liderazgo desde la sociedad civil.</t>
        </is>
      </c>
      <c r="J317" s="68" t="n"/>
      <c r="K317" s="69" t="n"/>
      <c r="L317" s="68" t="n"/>
      <c r="M317" s="69" t="n"/>
      <c r="N317" s="68" t="n"/>
      <c r="O317" s="69" t="n"/>
      <c r="P317" s="68" t="n"/>
      <c r="Q317" s="69" t="n"/>
      <c r="R317" s="68" t="n"/>
      <c r="S317" s="69" t="n"/>
      <c r="T317" s="68" t="n"/>
      <c r="U317" s="69" t="n"/>
      <c r="V317" s="68" t="n"/>
      <c r="W317" s="69" t="n"/>
      <c r="X317" s="68" t="n"/>
      <c r="Y317" s="69" t="n"/>
      <c r="Z317" s="68" t="n"/>
      <c r="AA317" s="69" t="n"/>
      <c r="AB317" s="68" t="n"/>
      <c r="AC317" s="69" t="n"/>
      <c r="AD317" s="70">
        <f>IF(AND(COUNTIF($B$5:B317,B317)=1,$B317&lt;&gt;"",$AB317&lt;&gt;""),1,0)</f>
        <v/>
      </c>
      <c r="AE317" s="67" t="inlineStr">
        <is>
          <t>https://www.infobae.com/colombia/2026/07/05/gustavo-petro-rechazo-la-apuesta-por-el-fracking-del-ministro-de-ambiente-de-abelardo-de-la-espriella-siempre-sale-mal/</t>
        </is>
      </c>
      <c r="AF317" s="64" t="n"/>
      <c r="AG317" s="65" t="n"/>
    </row>
    <row r="318" ht="15" customHeight="1" s="31">
      <c r="A318" s="66" t="inlineStr">
        <is>
          <t>ART_060</t>
        </is>
      </c>
      <c r="B318" s="66" t="inlineStr">
        <is>
          <t>ART_060_S02</t>
        </is>
      </c>
      <c r="C318" s="66" t="inlineStr">
        <is>
          <t>Infobae Colombia</t>
        </is>
      </c>
      <c r="D318" s="66" t="inlineStr">
        <is>
          <t>Medio ambiente</t>
        </is>
      </c>
      <c r="E318" s="66" t="inlineStr">
        <is>
          <t>Noticia dura</t>
        </is>
      </c>
      <c r="F318" s="66" t="inlineStr">
        <is>
          <t>2026-07-05T01:07:26Z</t>
        </is>
      </c>
      <c r="G318" s="67" t="inlineStr">
        <is>
          <t>Se trata del biólogo marino e investigador Fabio Arjona Hincapié, que cuenta con más de 20 años de experiencia ejerciendo liderazgo desde la sociedad civil.</t>
        </is>
      </c>
      <c r="H318" s="67" t="inlineStr">
        <is>
          <t>El ministro de Ambiente y Desarrollo Sostenible que designó el presidente electo Abelardo de la Espriella no se ha posesionado todavía en el cargo y su postura ambientalista ya fue cuestionada.</t>
        </is>
      </c>
      <c r="I318" s="67" t="inlineStr">
        <is>
          <t>En diálogo con 6AMW de Caracol Radio, el jefe de cartera entrante afirmó que es posible hacer fracking en Colombia de manera segura, sin que derive en un desastre medioambiental.</t>
        </is>
      </c>
      <c r="J318" s="68" t="n"/>
      <c r="K318" s="69" t="n"/>
      <c r="L318" s="68" t="n"/>
      <c r="M318" s="69" t="n"/>
      <c r="N318" s="68" t="n"/>
      <c r="O318" s="69" t="n"/>
      <c r="P318" s="68" t="n"/>
      <c r="Q318" s="69" t="n"/>
      <c r="R318" s="68" t="n"/>
      <c r="S318" s="69" t="n"/>
      <c r="T318" s="68" t="n"/>
      <c r="U318" s="69" t="n"/>
      <c r="V318" s="68" t="n"/>
      <c r="W318" s="69" t="n"/>
      <c r="X318" s="68" t="n"/>
      <c r="Y318" s="69" t="n"/>
      <c r="Z318" s="68" t="n"/>
      <c r="AA318" s="69" t="n"/>
      <c r="AB318" s="68" t="n"/>
      <c r="AC318" s="69" t="n"/>
      <c r="AD318" s="70">
        <f>IF(AND(COUNTIF($B$5:B318,B318)=1,$B318&lt;&gt;"",$AB318&lt;&gt;""),1,0)</f>
        <v/>
      </c>
      <c r="AE318" s="67" t="inlineStr">
        <is>
          <t>https://www.infobae.com/colombia/2026/07/05/gustavo-petro-rechazo-la-apuesta-por-el-fracking-del-ministro-de-ambiente-de-abelardo-de-la-espriella-siempre-sale-mal/</t>
        </is>
      </c>
      <c r="AF318" s="64" t="n"/>
      <c r="AG318" s="65" t="n"/>
    </row>
    <row r="319" ht="15" customHeight="1" s="31">
      <c r="A319" s="66" t="inlineStr">
        <is>
          <t>ART_060</t>
        </is>
      </c>
      <c r="B319" s="66" t="inlineStr">
        <is>
          <t>ART_060_S03</t>
        </is>
      </c>
      <c r="C319" s="66" t="inlineStr">
        <is>
          <t>Infobae Colombia</t>
        </is>
      </c>
      <c r="D319" s="66" t="inlineStr">
        <is>
          <t>Medio ambiente</t>
        </is>
      </c>
      <c r="E319" s="66" t="inlineStr">
        <is>
          <t>Noticia dura</t>
        </is>
      </c>
      <c r="F319" s="66" t="inlineStr">
        <is>
          <t>2026-07-05T01:07:26Z</t>
        </is>
      </c>
      <c r="G319" s="67" t="inlineStr">
        <is>
          <t>En diálogo con 6AMW de Caracol Radio, el jefe de cartera entrante afirmó que es posible hacer fracking en Colombia de manera segura, sin que derive en un desastre medioambiental.</t>
        </is>
      </c>
      <c r="H319" s="67" t="inlineStr">
        <is>
          <t>Se trata del biólogo marino e investigador Fabio Arjona Hincapié, que cuenta con más de 20 años de experiencia ejerciendo liderazgo desde la sociedad civil.</t>
        </is>
      </c>
      <c r="I319" s="67" t="inlineStr">
        <is>
          <t>“El Ministerio de Ambiente no es el encargado del fracking, pero sí de supervisar que los criterios con que se haga este ejercicio sean de la mejor tecnología para evitar daños ambientales que no puedan ser reparados”, detalló.</t>
        </is>
      </c>
      <c r="J319" s="68" t="n"/>
      <c r="K319" s="69" t="n"/>
      <c r="L319" s="68" t="n"/>
      <c r="M319" s="69" t="n"/>
      <c r="N319" s="68" t="n"/>
      <c r="O319" s="69" t="n"/>
      <c r="P319" s="68" t="n"/>
      <c r="Q319" s="69" t="n"/>
      <c r="R319" s="68" t="n"/>
      <c r="S319" s="69" t="n"/>
      <c r="T319" s="68" t="n"/>
      <c r="U319" s="69" t="n"/>
      <c r="V319" s="68" t="n"/>
      <c r="W319" s="69" t="n"/>
      <c r="X319" s="68" t="n"/>
      <c r="Y319" s="69" t="n"/>
      <c r="Z319" s="68" t="n"/>
      <c r="AA319" s="69" t="n"/>
      <c r="AB319" s="68" t="n"/>
      <c r="AC319" s="69" t="n"/>
      <c r="AD319" s="70">
        <f>IF(AND(COUNTIF($B$5:B319,B319)=1,$B319&lt;&gt;"",$AB319&lt;&gt;""),1,0)</f>
        <v/>
      </c>
      <c r="AE319" s="67" t="inlineStr">
        <is>
          <t>https://www.infobae.com/colombia/2026/07/05/gustavo-petro-rechazo-la-apuesta-por-el-fracking-del-ministro-de-ambiente-de-abelardo-de-la-espriella-siempre-sale-mal/</t>
        </is>
      </c>
      <c r="AF319" s="64" t="n"/>
      <c r="AG319" s="65" t="n"/>
    </row>
    <row r="320" ht="15" customHeight="1" s="31">
      <c r="A320" s="66" t="inlineStr">
        <is>
          <t>ART_060</t>
        </is>
      </c>
      <c r="B320" s="66" t="inlineStr">
        <is>
          <t>ART_060_S04</t>
        </is>
      </c>
      <c r="C320" s="66" t="inlineStr">
        <is>
          <t>Infobae Colombia</t>
        </is>
      </c>
      <c r="D320" s="66" t="inlineStr">
        <is>
          <t>Medio ambiente</t>
        </is>
      </c>
      <c r="E320" s="66" t="inlineStr">
        <is>
          <t>Noticia dura</t>
        </is>
      </c>
      <c r="F320" s="66" t="inlineStr">
        <is>
          <t>2026-07-05T01:07:26Z</t>
        </is>
      </c>
      <c r="G320" s="67" t="inlineStr">
        <is>
          <t>“El Ministerio de Ambiente no es el encargado del fracking, pero sí de supervisar que los criterios con que se haga este ejercicio sean de la mejor tecnología para evitar daños ambientales que no puedan ser reparados”, detalló.</t>
        </is>
      </c>
      <c r="H320" s="67" t="inlineStr">
        <is>
          <t>En diálogo con 6AMW de Caracol Radio, el jefe de cartera entrante afirmó que es posible hacer fracking en Colombia de manera segura, sin que derive en un desastre medioambiental.</t>
        </is>
      </c>
      <c r="I320" s="67" t="inlineStr">
        <is>
          <t>Aclaró que esa técnica de extracción de hidrocarburos no se ejecutará en parques nacionales, páramos o cualquier otra área protegida del país.</t>
        </is>
      </c>
      <c r="J320" s="68" t="n"/>
      <c r="K320" s="69" t="n"/>
      <c r="L320" s="68" t="n"/>
      <c r="M320" s="69" t="n"/>
      <c r="N320" s="68" t="n"/>
      <c r="O320" s="69" t="n"/>
      <c r="P320" s="68" t="n"/>
      <c r="Q320" s="69" t="n"/>
      <c r="R320" s="68" t="n"/>
      <c r="S320" s="69" t="n"/>
      <c r="T320" s="68" t="n"/>
      <c r="U320" s="69" t="n"/>
      <c r="V320" s="68" t="n"/>
      <c r="W320" s="69" t="n"/>
      <c r="X320" s="68" t="n"/>
      <c r="Y320" s="69" t="n"/>
      <c r="Z320" s="68" t="n"/>
      <c r="AA320" s="69" t="n"/>
      <c r="AB320" s="68" t="n"/>
      <c r="AC320" s="69" t="n"/>
      <c r="AD320" s="70">
        <f>IF(AND(COUNTIF($B$5:B320,B320)=1,$B320&lt;&gt;"",$AB320&lt;&gt;""),1,0)</f>
        <v/>
      </c>
      <c r="AE320" s="67" t="inlineStr">
        <is>
          <t>https://www.infobae.com/colombia/2026/07/05/gustavo-petro-rechazo-la-apuesta-por-el-fracking-del-ministro-de-ambiente-de-abelardo-de-la-espriella-siempre-sale-mal/</t>
        </is>
      </c>
      <c r="AF320" s="64" t="n"/>
      <c r="AG320" s="65" t="n"/>
    </row>
    <row r="321" ht="15" customHeight="1" s="31">
      <c r="A321" s="66" t="inlineStr">
        <is>
          <t>ART_060</t>
        </is>
      </c>
      <c r="B321" s="66" t="inlineStr">
        <is>
          <t>ART_060_S05</t>
        </is>
      </c>
      <c r="C321" s="66" t="inlineStr">
        <is>
          <t>Infobae Colombia</t>
        </is>
      </c>
      <c r="D321" s="66" t="inlineStr">
        <is>
          <t>Medio ambiente</t>
        </is>
      </c>
      <c r="E321" s="66" t="inlineStr">
        <is>
          <t>Noticia dura</t>
        </is>
      </c>
      <c r="F321" s="66" t="inlineStr">
        <is>
          <t>2026-07-05T01:07:26Z</t>
        </is>
      </c>
      <c r="G321" s="67" t="inlineStr">
        <is>
          <t>Aclaró que esa técnica de extracción de hidrocarburos no se ejecutará en parques nacionales, páramos o cualquier otra área protegida del país.</t>
        </is>
      </c>
      <c r="H321" s="67" t="inlineStr">
        <is>
          <t>“El Ministerio de Ambiente no es el encargado del fracking, pero sí de supervisar que los criterios con que se haga este ejercicio sean de la mejor tecnología para evitar daños ambientales que no puedan ser reparados”, detalló.</t>
        </is>
      </c>
      <c r="I321" s="67" t="inlineStr">
        <is>
          <t>Y, según informó El País de América, el ministro propone que se utilice una póliza para enfrentar los costos que surjan en caso de que algo “salga mal”.</t>
        </is>
      </c>
      <c r="J321" s="68" t="n"/>
      <c r="K321" s="69" t="n"/>
      <c r="L321" s="68" t="n"/>
      <c r="M321" s="69" t="n"/>
      <c r="N321" s="68" t="n"/>
      <c r="O321" s="69" t="n"/>
      <c r="P321" s="68" t="n"/>
      <c r="Q321" s="69" t="n"/>
      <c r="R321" s="68" t="n"/>
      <c r="S321" s="69" t="n"/>
      <c r="T321" s="68" t="n"/>
      <c r="U321" s="69" t="n"/>
      <c r="V321" s="68" t="n"/>
      <c r="W321" s="69" t="n"/>
      <c r="X321" s="68" t="n"/>
      <c r="Y321" s="69" t="n"/>
      <c r="Z321" s="68" t="n"/>
      <c r="AA321" s="69" t="n"/>
      <c r="AB321" s="68" t="n"/>
      <c r="AC321" s="69" t="n"/>
      <c r="AD321" s="70">
        <f>IF(AND(COUNTIF($B$5:B321,B321)=1,$B321&lt;&gt;"",$AB321&lt;&gt;""),1,0)</f>
        <v/>
      </c>
      <c r="AE321" s="67" t="inlineStr">
        <is>
          <t>https://www.infobae.com/colombia/2026/07/05/gustavo-petro-rechazo-la-apuesta-por-el-fracking-del-ministro-de-ambiente-de-abelardo-de-la-espriella-siempre-sale-mal/</t>
        </is>
      </c>
      <c r="AF321" s="64" t="n"/>
      <c r="AG321" s="65" t="n"/>
    </row>
    <row r="322" ht="15" customHeight="1" s="31">
      <c r="A322" s="66" t="inlineStr">
        <is>
          <t>ART_060</t>
        </is>
      </c>
      <c r="B322" s="66" t="inlineStr">
        <is>
          <t>ART_060_S06</t>
        </is>
      </c>
      <c r="C322" s="66" t="inlineStr">
        <is>
          <t>Infobae Colombia</t>
        </is>
      </c>
      <c r="D322" s="66" t="inlineStr">
        <is>
          <t>Medio ambiente</t>
        </is>
      </c>
      <c r="E322" s="66" t="inlineStr">
        <is>
          <t>Noticia dura</t>
        </is>
      </c>
      <c r="F322" s="66" t="inlineStr">
        <is>
          <t>2026-07-05T01:07:26Z</t>
        </is>
      </c>
      <c r="G322" s="67" t="inlineStr">
        <is>
          <t>Y, según informó El País de América, el ministro propone que se utilice una póliza para enfrentar los costos que surjan en caso de que algo “salga mal”.</t>
        </is>
      </c>
      <c r="H322" s="67" t="inlineStr">
        <is>
          <t>Aclaró que esa técnica de extracción de hidrocarburos no se ejecutará en parques nacionales, páramos o cualquier otra área protegida del país.</t>
        </is>
      </c>
      <c r="I322" s="67" t="inlineStr">
        <is>
          <t>El presidente Gustavo Petro rechazó las declaraciones del ministro de Ambiente designado.</t>
        </is>
      </c>
      <c r="J322" s="68" t="n"/>
      <c r="K322" s="69" t="n"/>
      <c r="L322" s="68" t="n"/>
      <c r="M322" s="69" t="n"/>
      <c r="N322" s="68" t="n"/>
      <c r="O322" s="69" t="n"/>
      <c r="P322" s="68" t="n"/>
      <c r="Q322" s="69" t="n"/>
      <c r="R322" s="68" t="n"/>
      <c r="S322" s="69" t="n"/>
      <c r="T322" s="68" t="n"/>
      <c r="U322" s="69" t="n"/>
      <c r="V322" s="68" t="n"/>
      <c r="W322" s="69" t="n"/>
      <c r="X322" s="68" t="n"/>
      <c r="Y322" s="69" t="n"/>
      <c r="Z322" s="68" t="n"/>
      <c r="AA322" s="69" t="n"/>
      <c r="AB322" s="68" t="n"/>
      <c r="AC322" s="69" t="n"/>
      <c r="AD322" s="70">
        <f>IF(AND(COUNTIF($B$5:B322,B322)=1,$B322&lt;&gt;"",$AB322&lt;&gt;""),1,0)</f>
        <v/>
      </c>
      <c r="AE322" s="67" t="inlineStr">
        <is>
          <t>https://www.infobae.com/colombia/2026/07/05/gustavo-petro-rechazo-la-apuesta-por-el-fracking-del-ministro-de-ambiente-de-abelardo-de-la-espriella-siempre-sale-mal/</t>
        </is>
      </c>
      <c r="AF322" s="64" t="n"/>
      <c r="AG322" s="65" t="n"/>
    </row>
    <row r="323" ht="15" customHeight="1" s="31">
      <c r="A323" s="66" t="inlineStr">
        <is>
          <t>ART_060</t>
        </is>
      </c>
      <c r="B323" s="66" t="inlineStr">
        <is>
          <t>ART_060_S07</t>
        </is>
      </c>
      <c r="C323" s="66" t="inlineStr">
        <is>
          <t>Infobae Colombia</t>
        </is>
      </c>
      <c r="D323" s="66" t="inlineStr">
        <is>
          <t>Medio ambiente</t>
        </is>
      </c>
      <c r="E323" s="66" t="inlineStr">
        <is>
          <t>Noticia dura</t>
        </is>
      </c>
      <c r="F323" s="66" t="inlineStr">
        <is>
          <t>2026-07-05T01:07:26Z</t>
        </is>
      </c>
      <c r="G323" s="67" t="inlineStr">
        <is>
          <t>El presidente Gustavo Petro rechazó las declaraciones del ministro de Ambiente designado.</t>
        </is>
      </c>
      <c r="H323" s="67" t="inlineStr">
        <is>
          <t>Y, según informó El País de América, el ministro propone que se utilice una póliza para enfrentar los costos que surjan en caso de que algo “salga mal”.</t>
        </is>
      </c>
      <c r="I323" s="67" t="inlineStr">
        <is>
          <t>En una publicación en X, advirtió que el fracking tiene efectos devastadores en el recurso hídrico, algo que, según precisó, no puede ser resuelto mediante una póliza.</t>
        </is>
      </c>
      <c r="J323" s="68" t="n"/>
      <c r="K323" s="69" t="n"/>
      <c r="L323" s="68" t="n"/>
      <c r="M323" s="69" t="n"/>
      <c r="N323" s="68" t="n"/>
      <c r="O323" s="69" t="n"/>
      <c r="P323" s="68" t="n"/>
      <c r="Q323" s="69" t="n"/>
      <c r="R323" s="68" t="n"/>
      <c r="S323" s="69" t="n"/>
      <c r="T323" s="68" t="n"/>
      <c r="U323" s="69" t="n"/>
      <c r="V323" s="68" t="n"/>
      <c r="W323" s="69" t="n"/>
      <c r="X323" s="68" t="n"/>
      <c r="Y323" s="69" t="n"/>
      <c r="Z323" s="68" t="n"/>
      <c r="AA323" s="69" t="n"/>
      <c r="AB323" s="68" t="n"/>
      <c r="AC323" s="69" t="n"/>
      <c r="AD323" s="70">
        <f>IF(AND(COUNTIF($B$5:B323,B323)=1,$B323&lt;&gt;"",$AB323&lt;&gt;""),1,0)</f>
        <v/>
      </c>
      <c r="AE323" s="67" t="inlineStr">
        <is>
          <t>https://www.infobae.com/colombia/2026/07/05/gustavo-petro-rechazo-la-apuesta-por-el-fracking-del-ministro-de-ambiente-de-abelardo-de-la-espriella-siempre-sale-mal/</t>
        </is>
      </c>
      <c r="AF323" s="64" t="n"/>
      <c r="AG323" s="65" t="n"/>
    </row>
    <row r="324" ht="15" customHeight="1" s="31">
      <c r="A324" s="66" t="inlineStr">
        <is>
          <t>ART_060</t>
        </is>
      </c>
      <c r="B324" s="66" t="inlineStr">
        <is>
          <t>ART_060_S08</t>
        </is>
      </c>
      <c r="C324" s="66" t="inlineStr">
        <is>
          <t>Infobae Colombia</t>
        </is>
      </c>
      <c r="D324" s="66" t="inlineStr">
        <is>
          <t>Medio ambiente</t>
        </is>
      </c>
      <c r="E324" s="66" t="inlineStr">
        <is>
          <t>Noticia dura</t>
        </is>
      </c>
      <c r="F324" s="66" t="inlineStr">
        <is>
          <t>2026-07-05T01:07:26Z</t>
        </is>
      </c>
      <c r="G324" s="67" t="inlineStr">
        <is>
          <t>En una publicación en X, advirtió que el fracking tiene efectos devastadores en el recurso hídrico, algo que, según precisó, no puede ser resuelto mediante una póliza.</t>
        </is>
      </c>
      <c r="H324" s="67" t="inlineStr">
        <is>
          <t>El presidente Gustavo Petro rechazó las declaraciones del ministro de Ambiente designado.</t>
        </is>
      </c>
      <c r="I324" s="67" t="inlineStr"/>
      <c r="J324" s="68" t="n"/>
      <c r="K324" s="69" t="n"/>
      <c r="L324" s="68" t="n"/>
      <c r="M324" s="69" t="n"/>
      <c r="N324" s="68" t="n"/>
      <c r="O324" s="69" t="n"/>
      <c r="P324" s="68" t="n"/>
      <c r="Q324" s="69" t="n"/>
      <c r="R324" s="68" t="n"/>
      <c r="S324" s="69" t="n"/>
      <c r="T324" s="68" t="n"/>
      <c r="U324" s="69" t="n"/>
      <c r="V324" s="68" t="n"/>
      <c r="W324" s="69" t="n"/>
      <c r="X324" s="68" t="n"/>
      <c r="Y324" s="69" t="n"/>
      <c r="Z324" s="68" t="n"/>
      <c r="AA324" s="69" t="n"/>
      <c r="AB324" s="68" t="n"/>
      <c r="AC324" s="69" t="n"/>
      <c r="AD324" s="70">
        <f>IF(AND(COUNTIF($B$5:B324,B324)=1,$B324&lt;&gt;"",$AB324&lt;&gt;""),1,0)</f>
        <v/>
      </c>
      <c r="AE324" s="67" t="inlineStr">
        <is>
          <t>https://www.infobae.com/colombia/2026/07/05/gustavo-petro-rechazo-la-apuesta-por-el-fracking-del-ministro-de-ambiente-de-abelardo-de-la-espriella-siempre-sale-mal/</t>
        </is>
      </c>
      <c r="AF324" s="64" t="n"/>
      <c r="AG324" s="65" t="n"/>
    </row>
    <row r="325" ht="15" customHeight="1" s="31">
      <c r="A325" s="66" t="inlineStr">
        <is>
          <t>ART_061</t>
        </is>
      </c>
      <c r="B325" s="66" t="inlineStr">
        <is>
          <t>ART_061_S01</t>
        </is>
      </c>
      <c r="C325" s="66" t="inlineStr">
        <is>
          <t>El Tiempo</t>
        </is>
      </c>
      <c r="D325" s="66" t="inlineStr">
        <is>
          <t>Medio ambiente</t>
        </is>
      </c>
      <c r="E325" s="66" t="inlineStr">
        <is>
          <t>Noticia dura</t>
        </is>
      </c>
      <c r="F325" s="66" t="inlineStr">
        <is>
          <t>2026-08-06T18:04:09-05:00</t>
        </is>
      </c>
      <c r="G325" s="67" t="inlineStr">
        <is>
          <t>Un día después de delimitar el páramo Cruz Verde–Sumapaz, y a escasas horas de la llegada al poder del Gobierno de Abelardo de La Espriella, el Ministerio de Ambiente y Desarrollo Sostenible firmó una segunda decisión de gran calado: la Resolución 0961 de 2026, “por medio de la cual se delimita y declara el bioma amazónico colombiano como una reserva de los recursos naturales renovables y del ambiente con carácter definitivo”.</t>
        </is>
      </c>
      <c r="H325" s="67" t="inlineStr"/>
      <c r="I325" s="67" t="inlineStr">
        <is>
          <t>El acto administrativo, también suscrito por la ministra encargada Irene Vélez Torres, cubre 483.283,55 kilómetros cuadrados —cerca del 42% del territorio continental del país—, repartidos en 61 municipios de diez departamentos: la totalidad de Caquetá, Putumayo, Amazonas, Guainía, Guaviare y Vaupés, y una porción de Meta, Vichada, Cauca y Nariño.</t>
        </is>
      </c>
      <c r="J325" s="68" t="n"/>
      <c r="K325" s="69" t="n"/>
      <c r="L325" s="68" t="n"/>
      <c r="M325" s="69" t="n"/>
      <c r="N325" s="68" t="n"/>
      <c r="O325" s="69" t="n"/>
      <c r="P325" s="68" t="n"/>
      <c r="Q325" s="69" t="n"/>
      <c r="R325" s="68" t="n"/>
      <c r="S325" s="69" t="n"/>
      <c r="T325" s="68" t="n"/>
      <c r="U325" s="69" t="n"/>
      <c r="V325" s="68" t="n"/>
      <c r="W325" s="69" t="n"/>
      <c r="X325" s="68" t="n"/>
      <c r="Y325" s="69" t="n"/>
      <c r="Z325" s="68" t="n"/>
      <c r="AA325" s="69" t="n"/>
      <c r="AB325" s="68" t="n"/>
      <c r="AC325" s="69" t="n"/>
      <c r="AD325" s="70">
        <f>IF(AND(COUNTIF($B$5:B325,B325)=1,$B325&lt;&gt;"",$AB325&lt;&gt;""),1,0)</f>
        <v/>
      </c>
      <c r="AE325" s="67" t="inlineStr">
        <is>
          <t>https://www.eltiempo.com/vida/medio-ambiente/a-horas-de-dejar-el-poder-gobierno-petro-declara-el-42-del-territorio-nacional-como-reserva-intocable-para-mineria-y-petroleo-3576760</t>
        </is>
      </c>
      <c r="AF325" s="64" t="n"/>
      <c r="AG325" s="65" t="n"/>
    </row>
    <row r="326" ht="15" customHeight="1" s="31">
      <c r="A326" s="66" t="inlineStr">
        <is>
          <t>ART_061</t>
        </is>
      </c>
      <c r="B326" s="66" t="inlineStr">
        <is>
          <t>ART_061_S02</t>
        </is>
      </c>
      <c r="C326" s="66" t="inlineStr">
        <is>
          <t>El Tiempo</t>
        </is>
      </c>
      <c r="D326" s="66" t="inlineStr">
        <is>
          <t>Medio ambiente</t>
        </is>
      </c>
      <c r="E326" s="66" t="inlineStr">
        <is>
          <t>Noticia dura</t>
        </is>
      </c>
      <c r="F326" s="66" t="inlineStr">
        <is>
          <t>2026-08-06T18:04:09-05:00</t>
        </is>
      </c>
      <c r="G326" s="67" t="inlineStr">
        <is>
          <t>El acto administrativo, también suscrito por la ministra encargada Irene Vélez Torres, cubre 483.283,55 kilómetros cuadrados —cerca del 42% del territorio continental del país—, repartidos en 61 municipios de diez departamentos: la totalidad de Caquetá, Putumayo, Amazonas, Guainía, Guaviare y Vaupés, y una porción de Meta, Vichada, Cauca y Nariño.</t>
        </is>
      </c>
      <c r="H326" s="67" t="inlineStr">
        <is>
          <t>Un día después de delimitar el páramo Cruz Verde–Sumapaz, y a escasas horas de la llegada al poder del Gobierno de Abelardo de La Espriella, el Ministerio de Ambiente y Desarrollo Sostenible firmó una segunda decisión de gran calado: la Resolución 0961 de 2026, “por medio de la cual se delimita y declara el bioma amazónico colombiano como una reserva de los recursos naturales renovables y del ambiente con carácter definitivo”.</t>
        </is>
      </c>
      <c r="I326" s="67" t="inlineStr">
        <is>
          <t>A diferencia de la delimitación del páramo, que traza un límite ecosistémico, esta resolución activa una figura distinta: la reserva de recursos naturales renovables del artículo 47 del Código de Recursos Naturales (Decreto Ley 2811 de 1974), una herramienta legal de más de medio siglo que permite al Estado sustraer una región completa de la posibilidad de conceder su explotación a particulares.</t>
        </is>
      </c>
      <c r="J326" s="68" t="n"/>
      <c r="K326" s="69" t="n"/>
      <c r="L326" s="68" t="n"/>
      <c r="M326" s="69" t="n"/>
      <c r="N326" s="68" t="n"/>
      <c r="O326" s="69" t="n"/>
      <c r="P326" s="68" t="n"/>
      <c r="Q326" s="69" t="n"/>
      <c r="R326" s="68" t="n"/>
      <c r="S326" s="69" t="n"/>
      <c r="T326" s="68" t="n"/>
      <c r="U326" s="69" t="n"/>
      <c r="V326" s="68" t="n"/>
      <c r="W326" s="69" t="n"/>
      <c r="X326" s="68" t="n"/>
      <c r="Y326" s="69" t="n"/>
      <c r="Z326" s="68" t="n"/>
      <c r="AA326" s="69" t="n"/>
      <c r="AB326" s="68" t="n"/>
      <c r="AC326" s="69" t="n"/>
      <c r="AD326" s="70">
        <f>IF(AND(COUNTIF($B$5:B326,B326)=1,$B326&lt;&gt;"",$AB326&lt;&gt;""),1,0)</f>
        <v/>
      </c>
      <c r="AE326" s="67" t="inlineStr">
        <is>
          <t>https://www.eltiempo.com/vida/medio-ambiente/a-horas-de-dejar-el-poder-gobierno-petro-declara-el-42-del-territorio-nacional-como-reserva-intocable-para-mineria-y-petroleo-3576760</t>
        </is>
      </c>
      <c r="AF326" s="64" t="n"/>
      <c r="AG326" s="65" t="n"/>
    </row>
    <row r="327" ht="15" customHeight="1" s="31">
      <c r="A327" s="66" t="inlineStr">
        <is>
          <t>ART_061</t>
        </is>
      </c>
      <c r="B327" s="66" t="inlineStr">
        <is>
          <t>ART_061_S03</t>
        </is>
      </c>
      <c r="C327" s="66" t="inlineStr">
        <is>
          <t>El Tiempo</t>
        </is>
      </c>
      <c r="D327" s="66" t="inlineStr">
        <is>
          <t>Medio ambiente</t>
        </is>
      </c>
      <c r="E327" s="66" t="inlineStr">
        <is>
          <t>Noticia dura</t>
        </is>
      </c>
      <c r="F327" s="66" t="inlineStr">
        <is>
          <t>2026-08-06T18:04:09-05:00</t>
        </is>
      </c>
      <c r="G327" s="67" t="inlineStr">
        <is>
          <t>A diferencia de la delimitación del páramo, que traza un límite ecosistémico, esta resolución activa una figura distinta: la reserva de recursos naturales renovables del artículo 47 del Código de Recursos Naturales (Decreto Ley 2811 de 1974), una herramienta legal de más de medio siglo que permite al Estado sustraer una región completa de la posibilidad de conceder su explotación a particulares.</t>
        </is>
      </c>
      <c r="H327" s="67" t="inlineStr">
        <is>
          <t>El acto administrativo, también suscrito por la ministra encargada Irene Vélez Torres, cubre 483.283,55 kilómetros cuadrados —cerca del 42% del territorio continental del país—, repartidos en 61 municipios de diez departamentos: la totalidad de Caquetá, Putumayo, Amazonas, Guainía, Guaviare y Vaupés, y una porción de Meta, Vichada, Cauca y Nariño.</t>
        </is>
      </c>
      <c r="I327" s="67" t="inlineStr">
        <is>
          <t>El Ministerio la había usado antes de forma parcial; nunca sobre la totalidad de la Amazonía colombiana.</t>
        </is>
      </c>
      <c r="J327" s="68" t="n"/>
      <c r="K327" s="69" t="n"/>
      <c r="L327" s="68" t="n"/>
      <c r="M327" s="69" t="n"/>
      <c r="N327" s="68" t="n"/>
      <c r="O327" s="69" t="n"/>
      <c r="P327" s="68" t="n"/>
      <c r="Q327" s="69" t="n"/>
      <c r="R327" s="68" t="n"/>
      <c r="S327" s="69" t="n"/>
      <c r="T327" s="68" t="n"/>
      <c r="U327" s="69" t="n"/>
      <c r="V327" s="68" t="n"/>
      <c r="W327" s="69" t="n"/>
      <c r="X327" s="68" t="n"/>
      <c r="Y327" s="69" t="n"/>
      <c r="Z327" s="68" t="n"/>
      <c r="AA327" s="69" t="n"/>
      <c r="AB327" s="68" t="n"/>
      <c r="AC327" s="69" t="n"/>
      <c r="AD327" s="70">
        <f>IF(AND(COUNTIF($B$5:B327,B327)=1,$B327&lt;&gt;"",$AB327&lt;&gt;""),1,0)</f>
        <v/>
      </c>
      <c r="AE327" s="67" t="inlineStr">
        <is>
          <t>https://www.eltiempo.com/vida/medio-ambiente/a-horas-de-dejar-el-poder-gobierno-petro-declara-el-42-del-territorio-nacional-como-reserva-intocable-para-mineria-y-petroleo-3576760</t>
        </is>
      </c>
      <c r="AF327" s="64" t="n"/>
      <c r="AG327" s="65" t="n"/>
    </row>
    <row r="328" ht="15" customHeight="1" s="31">
      <c r="A328" s="66" t="inlineStr">
        <is>
          <t>ART_061</t>
        </is>
      </c>
      <c r="B328" s="66" t="inlineStr">
        <is>
          <t>ART_061_S04</t>
        </is>
      </c>
      <c r="C328" s="66" t="inlineStr">
        <is>
          <t>El Tiempo</t>
        </is>
      </c>
      <c r="D328" s="66" t="inlineStr">
        <is>
          <t>Medio ambiente</t>
        </is>
      </c>
      <c r="E328" s="66" t="inlineStr">
        <is>
          <t>Noticia dura</t>
        </is>
      </c>
      <c r="F328" s="66" t="inlineStr">
        <is>
          <t>2026-08-06T18:04:09-05:00</t>
        </is>
      </c>
      <c r="G328" s="67" t="inlineStr">
        <is>
          <t>El Ministerio la había usado antes de forma parcial; nunca sobre la totalidad de la Amazonía colombiana.</t>
        </is>
      </c>
      <c r="H328" s="67" t="inlineStr">
        <is>
          <t>A diferencia de la delimitación del páramo, que traza un límite ecosistémico, esta resolución activa una figura distinta: la reserva de recursos naturales renovables del artículo 47 del Código de Recursos Naturales (Decreto Ley 2811 de 1974), una herramienta legal de más de medio siglo que permite al Estado sustraer una región completa de la posibilidad de conceder su explotación a particulares.</t>
        </is>
      </c>
      <c r="I328" s="67" t="inlineStr">
        <is>
          <t>En la práctica, la reserva funciona como un candado administrativo: mientras esté vigente, ningún funcionario ni entidad del Estado puede legalmente otorgar nuevos títulos mineros ni contratos de hidrocarburos sobre esa superficie, sin importar que exista una solicitud en trámite.</t>
        </is>
      </c>
      <c r="J328" s="68" t="n"/>
      <c r="K328" s="69" t="n"/>
      <c r="L328" s="68" t="n"/>
      <c r="M328" s="69" t="n"/>
      <c r="N328" s="68" t="n"/>
      <c r="O328" s="69" t="n"/>
      <c r="P328" s="68" t="n"/>
      <c r="Q328" s="69" t="n"/>
      <c r="R328" s="68" t="n"/>
      <c r="S328" s="69" t="n"/>
      <c r="T328" s="68" t="n"/>
      <c r="U328" s="69" t="n"/>
      <c r="V328" s="68" t="n"/>
      <c r="W328" s="69" t="n"/>
      <c r="X328" s="68" t="n"/>
      <c r="Y328" s="69" t="n"/>
      <c r="Z328" s="68" t="n"/>
      <c r="AA328" s="69" t="n"/>
      <c r="AB328" s="68" t="n"/>
      <c r="AC328" s="69" t="n"/>
      <c r="AD328" s="70">
        <f>IF(AND(COUNTIF($B$5:B328,B328)=1,$B328&lt;&gt;"",$AB328&lt;&gt;""),1,0)</f>
        <v/>
      </c>
      <c r="AE328" s="67" t="inlineStr">
        <is>
          <t>https://www.eltiempo.com/vida/medio-ambiente/a-horas-de-dejar-el-poder-gobierno-petro-declara-el-42-del-territorio-nacional-como-reserva-intocable-para-mineria-y-petroleo-3576760</t>
        </is>
      </c>
      <c r="AF328" s="64" t="n"/>
      <c r="AG328" s="65" t="n"/>
    </row>
    <row r="329" ht="15" customHeight="1" s="31">
      <c r="A329" s="66" t="inlineStr">
        <is>
          <t>ART_061</t>
        </is>
      </c>
      <c r="B329" s="66" t="inlineStr">
        <is>
          <t>ART_061_S05</t>
        </is>
      </c>
      <c r="C329" s="66" t="inlineStr">
        <is>
          <t>El Tiempo</t>
        </is>
      </c>
      <c r="D329" s="66" t="inlineStr">
        <is>
          <t>Medio ambiente</t>
        </is>
      </c>
      <c r="E329" s="66" t="inlineStr">
        <is>
          <t>Noticia dura</t>
        </is>
      </c>
      <c r="F329" s="66" t="inlineStr">
        <is>
          <t>2026-08-06T18:04:09-05:00</t>
        </is>
      </c>
      <c r="G329" s="67" t="inlineStr">
        <is>
          <t>En la práctica, la reserva funciona como un candado administrativo: mientras esté vigente, ningún funcionario ni entidad del Estado puede legalmente otorgar nuevos títulos mineros ni contratos de hidrocarburos sobre esa superficie, sin importar que exista una solicitud en trámite.</t>
        </is>
      </c>
      <c r="H329" s="67" t="inlineStr">
        <is>
          <t>El Ministerio la había usado antes de forma parcial; nunca sobre la totalidad de la Amazonía colombiana.</t>
        </is>
      </c>
      <c r="I329" s="67" t="inlineStr">
        <is>
          <t>La resolución no crea un área protegida en el sentido tradicional —no es un parque nacional ni cambia el régimen de las figuras de conservación ya existentes— sino que excluye un uso específico del suelo: la extracción de minerales e hidrocarburos a futuro.</t>
        </is>
      </c>
      <c r="J329" s="68" t="n"/>
      <c r="K329" s="69" t="n"/>
      <c r="L329" s="68" t="n"/>
      <c r="M329" s="69" t="n"/>
      <c r="N329" s="68" t="n"/>
      <c r="O329" s="69" t="n"/>
      <c r="P329" s="68" t="n"/>
      <c r="Q329" s="69" t="n"/>
      <c r="R329" s="68" t="n"/>
      <c r="S329" s="69" t="n"/>
      <c r="T329" s="68" t="n"/>
      <c r="U329" s="69" t="n"/>
      <c r="V329" s="68" t="n"/>
      <c r="W329" s="69" t="n"/>
      <c r="X329" s="68" t="n"/>
      <c r="Y329" s="69" t="n"/>
      <c r="Z329" s="68" t="n"/>
      <c r="AA329" s="69" t="n"/>
      <c r="AB329" s="68" t="n"/>
      <c r="AC329" s="69" t="n"/>
      <c r="AD329" s="70">
        <f>IF(AND(COUNTIF($B$5:B329,B329)=1,$B329&lt;&gt;"",$AB329&lt;&gt;""),1,0)</f>
        <v/>
      </c>
      <c r="AE329" s="67" t="inlineStr">
        <is>
          <t>https://www.eltiempo.com/vida/medio-ambiente/a-horas-de-dejar-el-poder-gobierno-petro-declara-el-42-del-territorio-nacional-como-reserva-intocable-para-mineria-y-petroleo-3576760</t>
        </is>
      </c>
      <c r="AF329" s="64" t="n"/>
      <c r="AG329" s="65" t="n"/>
    </row>
    <row r="330" ht="15" customHeight="1" s="31">
      <c r="A330" s="66" t="inlineStr">
        <is>
          <t>ART_061</t>
        </is>
      </c>
      <c r="B330" s="66" t="inlineStr">
        <is>
          <t>ART_061_S06</t>
        </is>
      </c>
      <c r="C330" s="66" t="inlineStr">
        <is>
          <t>El Tiempo</t>
        </is>
      </c>
      <c r="D330" s="66" t="inlineStr">
        <is>
          <t>Medio ambiente</t>
        </is>
      </c>
      <c r="E330" s="66" t="inlineStr">
        <is>
          <t>Noticia dura</t>
        </is>
      </c>
      <c r="F330" s="66" t="inlineStr">
        <is>
          <t>2026-08-06T18:04:09-05:00</t>
        </is>
      </c>
      <c r="G330" s="67" t="inlineStr">
        <is>
          <t>La resolución no crea un área protegida en el sentido tradicional —no es un parque nacional ni cambia el régimen de las figuras de conservación ya existentes— sino que excluye un uso específico del suelo: la extracción de minerales e hidrocarburos a futuro.</t>
        </is>
      </c>
      <c r="H330" s="67" t="inlineStr">
        <is>
          <t>En la práctica, la reserva funciona como un candado administrativo: mientras esté vigente, ningún funcionario ni entidad del Estado puede legalmente otorgar nuevos títulos mineros ni contratos de hidrocarburos sobre esa superficie, sin importar que exista una solicitud en trámite.</t>
        </is>
      </c>
      <c r="I330" s="67" t="inlineStr">
        <is>
          <t>En ese sentido, el saliente Ministerio de Ambiente liderado por Irene Vélez sustenta la medida en dos principios del derecho ambiental —prevención y precaución— y en un diagnóstico que, según el Documento Técnico de Soporte (DTS) elaborado por la cartera, identifica un “riesgo crítico” sobre el bioma: entre 2016 y 2023 la Amazonía colombiana perdió 788.000 hectáreas de bosque —el 60% de toda la deforestación del país en ese periodo— y solo entre 2022 y 2024 se perdieron 261.000 hectáreas adicionales.</t>
        </is>
      </c>
      <c r="J330" s="68" t="n"/>
      <c r="K330" s="69" t="n"/>
      <c r="L330" s="68" t="n"/>
      <c r="M330" s="69" t="n"/>
      <c r="N330" s="68" t="n"/>
      <c r="O330" s="69" t="n"/>
      <c r="P330" s="68" t="n"/>
      <c r="Q330" s="69" t="n"/>
      <c r="R330" s="68" t="n"/>
      <c r="S330" s="69" t="n"/>
      <c r="T330" s="68" t="n"/>
      <c r="U330" s="69" t="n"/>
      <c r="V330" s="68" t="n"/>
      <c r="W330" s="69" t="n"/>
      <c r="X330" s="68" t="n"/>
      <c r="Y330" s="69" t="n"/>
      <c r="Z330" s="68" t="n"/>
      <c r="AA330" s="69" t="n"/>
      <c r="AB330" s="68" t="n"/>
      <c r="AC330" s="69" t="n"/>
      <c r="AD330" s="70">
        <f>IF(AND(COUNTIF($B$5:B330,B330)=1,$B330&lt;&gt;"",$AB330&lt;&gt;""),1,0)</f>
        <v/>
      </c>
      <c r="AE330" s="67" t="inlineStr">
        <is>
          <t>https://www.eltiempo.com/vida/medio-ambiente/a-horas-de-dejar-el-poder-gobierno-petro-declara-el-42-del-territorio-nacional-como-reserva-intocable-para-mineria-y-petroleo-3576760</t>
        </is>
      </c>
      <c r="AF330" s="64" t="n"/>
      <c r="AG330" s="65" t="n"/>
    </row>
    <row r="331" ht="15" customHeight="1" s="31">
      <c r="A331" s="66" t="inlineStr">
        <is>
          <t>ART_061</t>
        </is>
      </c>
      <c r="B331" s="66" t="inlineStr">
        <is>
          <t>ART_061_S07</t>
        </is>
      </c>
      <c r="C331" s="66" t="inlineStr">
        <is>
          <t>El Tiempo</t>
        </is>
      </c>
      <c r="D331" s="66" t="inlineStr">
        <is>
          <t>Medio ambiente</t>
        </is>
      </c>
      <c r="E331" s="66" t="inlineStr">
        <is>
          <t>Noticia dura</t>
        </is>
      </c>
      <c r="F331" s="66" t="inlineStr">
        <is>
          <t>2026-08-06T18:04:09-05:00</t>
        </is>
      </c>
      <c r="G331" s="67" t="inlineStr">
        <is>
          <t>En ese sentido, el saliente Ministerio de Ambiente liderado por Irene Vélez sustenta la medida en dos principios del derecho ambiental —prevención y precaución— y en un diagnóstico que, según el Documento Técnico de Soporte (DTS) elaborado por la cartera, identifica un “riesgo crítico” sobre el bioma: entre 2016 y 2023 la Amazonía colombiana perdió 788.000 hectáreas de bosque —el 60% de toda la deforestación del país en ese periodo— y solo entre 2022 y 2024 se perdieron 261.000 hectáreas adicionales.</t>
        </is>
      </c>
      <c r="H331" s="67" t="inlineStr">
        <is>
          <t>La resolución no crea un área protegida en el sentido tradicional —no es un parque nacional ni cambia el régimen de las figuras de conservación ya existentes— sino que excluye un uso específico del suelo: la extracción de minerales e hidrocarburos a futuro.</t>
        </is>
      </c>
      <c r="I331" s="67" t="inlineStr">
        <is>
          <t>El documento describe un “efecto espina de pescado”: la apertura de vías asociadas a proyectos extractivos habilita, según el análisis, la proliferación de carreteras secundarias que facilitan colonización, tala ilegal y cultivos de uso ilícito más allá de las áreas autorizadas.</t>
        </is>
      </c>
      <c r="J331" s="68" t="n"/>
      <c r="K331" s="69" t="n"/>
      <c r="L331" s="68" t="n"/>
      <c r="M331" s="69" t="n"/>
      <c r="N331" s="68" t="n"/>
      <c r="O331" s="69" t="n"/>
      <c r="P331" s="68" t="n"/>
      <c r="Q331" s="69" t="n"/>
      <c r="R331" s="68" t="n"/>
      <c r="S331" s="69" t="n"/>
      <c r="T331" s="68" t="n"/>
      <c r="U331" s="69" t="n"/>
      <c r="V331" s="68" t="n"/>
      <c r="W331" s="69" t="n"/>
      <c r="X331" s="68" t="n"/>
      <c r="Y331" s="69" t="n"/>
      <c r="Z331" s="68" t="n"/>
      <c r="AA331" s="69" t="n"/>
      <c r="AB331" s="68" t="n"/>
      <c r="AC331" s="69" t="n"/>
      <c r="AD331" s="70">
        <f>IF(AND(COUNTIF($B$5:B331,B331)=1,$B331&lt;&gt;"",$AB331&lt;&gt;""),1,0)</f>
        <v/>
      </c>
      <c r="AE331" s="67" t="inlineStr">
        <is>
          <t>https://www.eltiempo.com/vida/medio-ambiente/a-horas-de-dejar-el-poder-gobierno-petro-declara-el-42-del-territorio-nacional-como-reserva-intocable-para-mineria-y-petroleo-3576760</t>
        </is>
      </c>
      <c r="AF331" s="64" t="n"/>
      <c r="AG331" s="65" t="n"/>
    </row>
    <row r="332" ht="15" customHeight="1" s="31">
      <c r="A332" s="66" t="inlineStr">
        <is>
          <t>ART_061</t>
        </is>
      </c>
      <c r="B332" s="66" t="inlineStr">
        <is>
          <t>ART_061_S08</t>
        </is>
      </c>
      <c r="C332" s="66" t="inlineStr">
        <is>
          <t>El Tiempo</t>
        </is>
      </c>
      <c r="D332" s="66" t="inlineStr">
        <is>
          <t>Medio ambiente</t>
        </is>
      </c>
      <c r="E332" s="66" t="inlineStr">
        <is>
          <t>Noticia dura</t>
        </is>
      </c>
      <c r="F332" s="66" t="inlineStr">
        <is>
          <t>2026-08-06T18:04:09-05:00</t>
        </is>
      </c>
      <c r="G332" s="67" t="inlineStr">
        <is>
          <t>El documento describe un “efecto espina de pescado”: la apertura de vías asociadas a proyectos extractivos habilita, según el análisis, la proliferación de carreteras secundarias que facilitan colonización, tala ilegal y cultivos de uso ilícito más allá de las áreas autorizadas.</t>
        </is>
      </c>
      <c r="H332" s="67" t="inlineStr">
        <is>
          <t>En ese sentido, el saliente Ministerio de Ambiente liderado por Irene Vélez sustenta la medida en dos principios del derecho ambiental —prevención y precaución— y en un diagnóstico que, según el Documento Técnico de Soporte (DTS) elaborado por la cartera, identifica un “riesgo crítico” sobre el bioma: entre 2016 y 2023 la Amazonía colombiana perdió 788.000 hectáreas de bosque —el 60% de toda la deforestación del país en ese periodo— y solo entre 2022 y 2024 se perdieron 261.000 hectáreas adicionales.</t>
        </is>
      </c>
      <c r="I332" s="67" t="inlineStr">
        <is>
          <t>La resolución también responde a un contexto de expansión de solicitudes: de acuerdo con cifras de la Agencia Nacional de Minería citadas en el propio acto, sobre el área hoy declarada como reserva pesaban 164 títulos mineros vigentes (104.910 hectáreas) y 284 solicitudes adicionales en trámite (390.230 hectáreas), además de 183 Áreas Estratégicas Mineras —una figura que cubre cerca de 38 millones de hectáreas y que, aunque fue suprimida del ordenamiento por la Corte Constitucional en 2015, seguía habilitando la posibilidad de conceder títulos individuales—.</t>
        </is>
      </c>
      <c r="J332" s="68" t="n"/>
      <c r="K332" s="69" t="n"/>
      <c r="L332" s="68" t="n"/>
      <c r="M332" s="69" t="n"/>
      <c r="N332" s="68" t="n"/>
      <c r="O332" s="69" t="n"/>
      <c r="P332" s="68" t="n"/>
      <c r="Q332" s="69" t="n"/>
      <c r="R332" s="68" t="n"/>
      <c r="S332" s="69" t="n"/>
      <c r="T332" s="68" t="n"/>
      <c r="U332" s="69" t="n"/>
      <c r="V332" s="68" t="n"/>
      <c r="W332" s="69" t="n"/>
      <c r="X332" s="68" t="n"/>
      <c r="Y332" s="69" t="n"/>
      <c r="Z332" s="68" t="n"/>
      <c r="AA332" s="69" t="n"/>
      <c r="AB332" s="68" t="n"/>
      <c r="AC332" s="69" t="n"/>
      <c r="AD332" s="70">
        <f>IF(AND(COUNTIF($B$5:B332,B332)=1,$B332&lt;&gt;"",$AB332&lt;&gt;""),1,0)</f>
        <v/>
      </c>
      <c r="AE332" s="67" t="inlineStr">
        <is>
          <t>https://www.eltiempo.com/vida/medio-ambiente/a-horas-de-dejar-el-poder-gobierno-petro-declara-el-42-del-territorio-nacional-como-reserva-intocable-para-mineria-y-petroleo-3576760</t>
        </is>
      </c>
      <c r="AF332" s="64" t="n"/>
      <c r="AG332" s="65" t="n"/>
    </row>
    <row r="333" ht="15" customHeight="1" s="31">
      <c r="A333" s="66" t="inlineStr">
        <is>
          <t>ART_061</t>
        </is>
      </c>
      <c r="B333" s="66" t="inlineStr">
        <is>
          <t>ART_061_S09</t>
        </is>
      </c>
      <c r="C333" s="66" t="inlineStr">
        <is>
          <t>El Tiempo</t>
        </is>
      </c>
      <c r="D333" s="66" t="inlineStr">
        <is>
          <t>Medio ambiente</t>
        </is>
      </c>
      <c r="E333" s="66" t="inlineStr">
        <is>
          <t>Noticia dura</t>
        </is>
      </c>
      <c r="F333" s="66" t="inlineStr">
        <is>
          <t>2026-08-06T18:04:09-05:00</t>
        </is>
      </c>
      <c r="G333" s="67" t="inlineStr">
        <is>
          <t>La resolución también responde a un contexto de expansión de solicitudes: de acuerdo con cifras de la Agencia Nacional de Minería citadas en el propio acto, sobre el área hoy declarada como reserva pesaban 164 títulos mineros vigentes (104.910 hectáreas) y 284 solicitudes adicionales en trámite (390.230 hectáreas), además de 183 Áreas Estratégicas Mineras —una figura que cubre cerca de 38 millones de hectáreas y que, aunque fue suprimida del ordenamiento por la Corte Constitucional en 2015, seguía habilitando la posibilidad de conceder títulos individuales—.</t>
        </is>
      </c>
      <c r="H333" s="67" t="inlineStr">
        <is>
          <t>El documento describe un “efecto espina de pescado”: la apertura de vías asociadas a proyectos extractivos habilita, según el análisis, la proliferación de carreteras secundarias que facilitan colonización, tala ilegal y cultivos de uso ilícito más allá de las áreas autorizadas.</t>
        </is>
      </c>
      <c r="I333" s="67" t="inlineStr">
        <is>
          <t>En hidrocarburos, la Agencia Nacional de Hidrocarburos reportó 39 contratos vigentes: 22 en fase exploratoria (casi 1,5 millones de hectáreas), 13 en producción y 4 en evaluación.</t>
        </is>
      </c>
      <c r="J333" s="68" t="n"/>
      <c r="K333" s="69" t="n"/>
      <c r="L333" s="68" t="n"/>
      <c r="M333" s="69" t="n"/>
      <c r="N333" s="68" t="n"/>
      <c r="O333" s="69" t="n"/>
      <c r="P333" s="68" t="n"/>
      <c r="Q333" s="69" t="n"/>
      <c r="R333" s="68" t="n"/>
      <c r="S333" s="69" t="n"/>
      <c r="T333" s="68" t="n"/>
      <c r="U333" s="69" t="n"/>
      <c r="V333" s="68" t="n"/>
      <c r="W333" s="69" t="n"/>
      <c r="X333" s="68" t="n"/>
      <c r="Y333" s="69" t="n"/>
      <c r="Z333" s="68" t="n"/>
      <c r="AA333" s="69" t="n"/>
      <c r="AB333" s="68" t="n"/>
      <c r="AC333" s="69" t="n"/>
      <c r="AD333" s="70">
        <f>IF(AND(COUNTIF($B$5:B333,B333)=1,$B333&lt;&gt;"",$AB333&lt;&gt;""),1,0)</f>
        <v/>
      </c>
      <c r="AE333" s="67" t="inlineStr">
        <is>
          <t>https://www.eltiempo.com/vida/medio-ambiente/a-horas-de-dejar-el-poder-gobierno-petro-declara-el-42-del-territorio-nacional-como-reserva-intocable-para-mineria-y-petroleo-3576760</t>
        </is>
      </c>
      <c r="AF333" s="64" t="n"/>
      <c r="AG333" s="65" t="n"/>
    </row>
    <row r="334" ht="15" customHeight="1" s="31">
      <c r="A334" s="66" t="inlineStr">
        <is>
          <t>ART_061</t>
        </is>
      </c>
      <c r="B334" s="66" t="inlineStr">
        <is>
          <t>ART_061_S10</t>
        </is>
      </c>
      <c r="C334" s="66" t="inlineStr">
        <is>
          <t>El Tiempo</t>
        </is>
      </c>
      <c r="D334" s="66" t="inlineStr">
        <is>
          <t>Medio ambiente</t>
        </is>
      </c>
      <c r="E334" s="66" t="inlineStr">
        <is>
          <t>Noticia dura</t>
        </is>
      </c>
      <c r="F334" s="66" t="inlineStr">
        <is>
          <t>2026-08-06T18:04:09-05:00</t>
        </is>
      </c>
      <c r="G334" s="67" t="inlineStr">
        <is>
          <t>En hidrocarburos, la Agencia Nacional de Hidrocarburos reportó 39 contratos vigentes: 22 en fase exploratoria (casi 1,5 millones de hectáreas), 13 en producción y 4 en evaluación.</t>
        </is>
      </c>
      <c r="H334" s="67" t="inlineStr">
        <is>
          <t>La resolución también responde a un contexto de expansión de solicitudes: de acuerdo con cifras de la Agencia Nacional de Minería citadas en el propio acto, sobre el área hoy declarada como reserva pesaban 164 títulos mineros vigentes (104.910 hectáreas) y 284 solicitudes adicionales en trámite (390.230 hectáreas), además de 183 Áreas Estratégicas Mineras —una figura que cubre cerca de 38 millones de hectáreas y que, aunque fue suprimida del ordenamiento por la Corte Constitucional en 2015, seguía habilitando la posibilidad de conceder títulos individuales—.</t>
        </is>
      </c>
      <c r="I334" s="67" t="inlineStr">
        <is>
          <t>La decisión se apoya, además, en un antecedente judicial: en 2018 la Corte Suprema de Justicia reconoció a la Amazonía colombiana como "sujeto de derechos", titular de protección, conservación y restauración a cargo del Estado (sentencia STC4360-2018), y en 2025 la Corte Constitucional la calificó como "conjunto ecosistémico de especial protección constitucional" (Sentencia T-106 de 2025).</t>
        </is>
      </c>
      <c r="J334" s="68" t="n"/>
      <c r="K334" s="69" t="n"/>
      <c r="L334" s="68" t="n"/>
      <c r="M334" s="69" t="n"/>
      <c r="N334" s="68" t="n"/>
      <c r="O334" s="69" t="n"/>
      <c r="P334" s="68" t="n"/>
      <c r="Q334" s="69" t="n"/>
      <c r="R334" s="68" t="n"/>
      <c r="S334" s="69" t="n"/>
      <c r="T334" s="68" t="n"/>
      <c r="U334" s="69" t="n"/>
      <c r="V334" s="68" t="n"/>
      <c r="W334" s="69" t="n"/>
      <c r="X334" s="68" t="n"/>
      <c r="Y334" s="69" t="n"/>
      <c r="Z334" s="68" t="n"/>
      <c r="AA334" s="69" t="n"/>
      <c r="AB334" s="68" t="n"/>
      <c r="AC334" s="69" t="n"/>
      <c r="AD334" s="70">
        <f>IF(AND(COUNTIF($B$5:B334,B334)=1,$B334&lt;&gt;"",$AB334&lt;&gt;""),1,0)</f>
        <v/>
      </c>
      <c r="AE334" s="67" t="inlineStr">
        <is>
          <t>https://www.eltiempo.com/vida/medio-ambiente/a-horas-de-dejar-el-poder-gobierno-petro-declara-el-42-del-territorio-nacional-como-reserva-intocable-para-mineria-y-petroleo-3576760</t>
        </is>
      </c>
      <c r="AF334" s="64" t="n"/>
      <c r="AG334" s="65" t="n"/>
    </row>
    <row r="335" ht="15" customHeight="1" s="31">
      <c r="A335" s="66" t="inlineStr">
        <is>
          <t>ART_061</t>
        </is>
      </c>
      <c r="B335" s="66" t="inlineStr">
        <is>
          <t>ART_061_S11</t>
        </is>
      </c>
      <c r="C335" s="66" t="inlineStr">
        <is>
          <t>El Tiempo</t>
        </is>
      </c>
      <c r="D335" s="66" t="inlineStr">
        <is>
          <t>Medio ambiente</t>
        </is>
      </c>
      <c r="E335" s="66" t="inlineStr">
        <is>
          <t>Noticia dura</t>
        </is>
      </c>
      <c r="F335" s="66" t="inlineStr">
        <is>
          <t>2026-08-06T18:04:09-05:00</t>
        </is>
      </c>
      <c r="G335" s="67" t="inlineStr">
        <is>
          <t>La decisión se apoya, además, en un antecedente judicial: en 2018 la Corte Suprema de Justicia reconoció a la Amazonía colombiana como "sujeto de derechos", titular de protección, conservación y restauración a cargo del Estado (sentencia STC4360-2018), y en 2025 la Corte Constitucional la calificó como "conjunto ecosistémico de especial protección constitucional" (Sentencia T-106 de 2025).</t>
        </is>
      </c>
      <c r="H335" s="67" t="inlineStr">
        <is>
          <t>En hidrocarburos, la Agencia Nacional de Hidrocarburos reportó 39 contratos vigentes: 22 en fase exploratoria (casi 1,5 millones de hectáreas), 13 en producción y 4 en evaluación.</t>
        </is>
      </c>
      <c r="I335" s="67" t="inlineStr"/>
      <c r="J335" s="68" t="n"/>
      <c r="K335" s="69" t="n"/>
      <c r="L335" s="68" t="n"/>
      <c r="M335" s="69" t="n"/>
      <c r="N335" s="68" t="n"/>
      <c r="O335" s="69" t="n"/>
      <c r="P335" s="68" t="n"/>
      <c r="Q335" s="69" t="n"/>
      <c r="R335" s="68" t="n"/>
      <c r="S335" s="69" t="n"/>
      <c r="T335" s="68" t="n"/>
      <c r="U335" s="69" t="n"/>
      <c r="V335" s="68" t="n"/>
      <c r="W335" s="69" t="n"/>
      <c r="X335" s="68" t="n"/>
      <c r="Y335" s="69" t="n"/>
      <c r="Z335" s="68" t="n"/>
      <c r="AA335" s="69" t="n"/>
      <c r="AB335" s="68" t="n"/>
      <c r="AC335" s="69" t="n"/>
      <c r="AD335" s="70">
        <f>IF(AND(COUNTIF($B$5:B335,B335)=1,$B335&lt;&gt;"",$AB335&lt;&gt;""),1,0)</f>
        <v/>
      </c>
      <c r="AE335" s="67" t="inlineStr">
        <is>
          <t>https://www.eltiempo.com/vida/medio-ambiente/a-horas-de-dejar-el-poder-gobierno-petro-declara-el-42-del-territorio-nacional-como-reserva-intocable-para-mineria-y-petroleo-3576760</t>
        </is>
      </c>
      <c r="AF335" s="64" t="n"/>
      <c r="AG335" s="65" t="n"/>
    </row>
    <row r="336" ht="15" customHeight="1" s="31">
      <c r="A336" s="66" t="inlineStr">
        <is>
          <t>ART_062</t>
        </is>
      </c>
      <c r="B336" s="66" t="inlineStr">
        <is>
          <t>ART_062_S01</t>
        </is>
      </c>
      <c r="C336" s="66" t="inlineStr">
        <is>
          <t>El Tiempo</t>
        </is>
      </c>
      <c r="D336" s="66" t="inlineStr">
        <is>
          <t>Medio ambiente</t>
        </is>
      </c>
      <c r="E336" s="66" t="inlineStr">
        <is>
          <t>Noticia dura</t>
        </is>
      </c>
      <c r="F336" s="66" t="inlineStr">
        <is>
          <t>2026-07-11T15:16:57-05:00</t>
        </is>
      </c>
      <c r="G336" s="67" t="inlineStr">
        <is>
          <t>Los ministerios de Minas y Energía y de Ambiente anunciaron que el próximo 20 de julio, durante la instalación del Congreso para el periodo constitucional 2026-2030, radicarán formalmente un proyecto de ley para prohibir el fracking en Colombia.</t>
        </is>
      </c>
      <c r="H336" s="67" t="inlineStr"/>
      <c r="I336" s="67" t="inlineStr">
        <is>
          <t>Esta iniciativa legislativa del Gobierno de Gustavo Petro busca prohibir de manera definitiva dicha práctica en el territorio nacional, fundamentándose en la existencia de "evidencia científica que advierte sobre los graves riesgos ambientales, sociales y de salud pública que conlleva".</t>
        </is>
      </c>
      <c r="J336" s="68" t="n"/>
      <c r="K336" s="69" t="n"/>
      <c r="L336" s="68" t="n"/>
      <c r="M336" s="69" t="n"/>
      <c r="N336" s="68" t="n"/>
      <c r="O336" s="69" t="n"/>
      <c r="P336" s="68" t="n"/>
      <c r="Q336" s="69" t="n"/>
      <c r="R336" s="68" t="n"/>
      <c r="S336" s="69" t="n"/>
      <c r="T336" s="68" t="n"/>
      <c r="U336" s="69" t="n"/>
      <c r="V336" s="68" t="n"/>
      <c r="W336" s="69" t="n"/>
      <c r="X336" s="68" t="n"/>
      <c r="Y336" s="69" t="n"/>
      <c r="Z336" s="68" t="n"/>
      <c r="AA336" s="69" t="n"/>
      <c r="AB336" s="68" t="n"/>
      <c r="AC336" s="69" t="n"/>
      <c r="AD336" s="70">
        <f>IF(AND(COUNTIF($B$5:B336,B336)=1,$B336&lt;&gt;"",$AB336&lt;&gt;""),1,0)</f>
        <v/>
      </c>
      <c r="AE336" s="67" t="inlineStr">
        <is>
          <t>https://www.eltiempo.com/economia/sectores/gobierno-petro-radicara-un-proyecto-de-ley-el-proximo-20-de-julio-para-prohibir-el-fracking-en-colombia-3570706</t>
        </is>
      </c>
      <c r="AF336" s="64" t="n"/>
      <c r="AG336" s="65" t="n"/>
    </row>
    <row r="337" ht="15" customHeight="1" s="31">
      <c r="A337" s="66" t="inlineStr">
        <is>
          <t>ART_062</t>
        </is>
      </c>
      <c r="B337" s="66" t="inlineStr">
        <is>
          <t>ART_062_S02</t>
        </is>
      </c>
      <c r="C337" s="66" t="inlineStr">
        <is>
          <t>El Tiempo</t>
        </is>
      </c>
      <c r="D337" s="66" t="inlineStr">
        <is>
          <t>Medio ambiente</t>
        </is>
      </c>
      <c r="E337" s="66" t="inlineStr">
        <is>
          <t>Noticia dura</t>
        </is>
      </c>
      <c r="F337" s="66" t="inlineStr">
        <is>
          <t>2026-07-11T15:16:57-05:00</t>
        </is>
      </c>
      <c r="G337" s="67" t="inlineStr">
        <is>
          <t>Esta iniciativa legislativa del Gobierno de Gustavo Petro busca prohibir de manera definitiva dicha práctica en el territorio nacional, fundamentándose en la existencia de "evidencia científica que advierte sobre los graves riesgos ambientales, sociales y de salud pública que conlleva".</t>
        </is>
      </c>
      <c r="H337" s="67" t="inlineStr">
        <is>
          <t>Los ministerios de Minas y Energía y de Ambiente anunciaron que el próximo 20 de julio, durante la instalación del Congreso para el periodo constitucional 2026-2030, radicarán formalmente un proyecto de ley para prohibir el fracking en Colombia.</t>
        </is>
      </c>
      <c r="I337" s="67" t="inlineStr"/>
      <c r="J337" s="68" t="n"/>
      <c r="K337" s="69" t="n"/>
      <c r="L337" s="68" t="n"/>
      <c r="M337" s="69" t="n"/>
      <c r="N337" s="68" t="n"/>
      <c r="O337" s="69" t="n"/>
      <c r="P337" s="68" t="n"/>
      <c r="Q337" s="69" t="n"/>
      <c r="R337" s="68" t="n"/>
      <c r="S337" s="69" t="n"/>
      <c r="T337" s="68" t="n"/>
      <c r="U337" s="69" t="n"/>
      <c r="V337" s="68" t="n"/>
      <c r="W337" s="69" t="n"/>
      <c r="X337" s="68" t="n"/>
      <c r="Y337" s="69" t="n"/>
      <c r="Z337" s="68" t="n"/>
      <c r="AA337" s="69" t="n"/>
      <c r="AB337" s="68" t="n"/>
      <c r="AC337" s="69" t="n"/>
      <c r="AD337" s="70">
        <f>IF(AND(COUNTIF($B$5:B337,B337)=1,$B337&lt;&gt;"",$AB337&lt;&gt;""),1,0)</f>
        <v/>
      </c>
      <c r="AE337" s="67" t="inlineStr">
        <is>
          <t>https://www.eltiempo.com/economia/sectores/gobierno-petro-radicara-un-proyecto-de-ley-el-proximo-20-de-julio-para-prohibir-el-fracking-en-colombia-3570706</t>
        </is>
      </c>
      <c r="AF337" s="64" t="n"/>
      <c r="AG337" s="65" t="n"/>
    </row>
    <row r="338" ht="15" customHeight="1" s="31">
      <c r="A338" s="66" t="inlineStr">
        <is>
          <t>ART_063</t>
        </is>
      </c>
      <c r="B338" s="66" t="inlineStr">
        <is>
          <t>ART_063_S01</t>
        </is>
      </c>
      <c r="C338" s="66" t="inlineStr">
        <is>
          <t>El Tiempo</t>
        </is>
      </c>
      <c r="D338" s="66" t="inlineStr">
        <is>
          <t>Medio ambiente</t>
        </is>
      </c>
      <c r="E338" s="66" t="inlineStr">
        <is>
          <t>Noticia dura</t>
        </is>
      </c>
      <c r="F338" s="66" t="inlineStr">
        <is>
          <t>2026-08-20T07:55:04-05:00</t>
        </is>
      </c>
      <c r="G338" s="67" t="inlineStr">
        <is>
          <t>Colombia podría volver a poner sobre la mesa el desarrollo de proyectos de exploración mediante fracturamiento hidráulico, conocido como fracking, como una de las alternativas para aumentar la oferta de gas natural en los próximos años.</t>
        </is>
      </c>
      <c r="H338" s="67" t="inlineStr"/>
      <c r="I338" s="67" t="inlineStr"/>
      <c r="J338" s="68" t="n"/>
      <c r="K338" s="69" t="n"/>
      <c r="L338" s="68" t="n"/>
      <c r="M338" s="69" t="n"/>
      <c r="N338" s="68" t="n"/>
      <c r="O338" s="69" t="n"/>
      <c r="P338" s="68" t="n"/>
      <c r="Q338" s="69" t="n"/>
      <c r="R338" s="68" t="n"/>
      <c r="S338" s="69" t="n"/>
      <c r="T338" s="68" t="n"/>
      <c r="U338" s="69" t="n"/>
      <c r="V338" s="68" t="n"/>
      <c r="W338" s="69" t="n"/>
      <c r="X338" s="68" t="n"/>
      <c r="Y338" s="69" t="n"/>
      <c r="Z338" s="68" t="n"/>
      <c r="AA338" s="69" t="n"/>
      <c r="AB338" s="68" t="n"/>
      <c r="AC338" s="69" t="n"/>
      <c r="AD338" s="70">
        <f>IF(AND(COUNTIF($B$5:B338,B338)=1,$B338&lt;&gt;"",$AB338&lt;&gt;""),1,0)</f>
        <v/>
      </c>
      <c r="AE338" s="67" t="inlineStr">
        <is>
          <t>https://www.eltiempo.com/colombia/barranquilla/naturgas-pide-al-gobierno-nacional-reactivar-proyectos-de-fracking-en-cesar-y-norte-de-santander-para-aumentar-oferta-de-gas-en-colombia-3579617</t>
        </is>
      </c>
      <c r="AF338" s="64" t="n"/>
      <c r="AG338" s="65" t="n"/>
    </row>
    <row r="339" ht="15" customHeight="1" s="31">
      <c r="A339" s="66" t="inlineStr">
        <is>
          <t>ART_064</t>
        </is>
      </c>
      <c r="B339" s="66" t="inlineStr">
        <is>
          <t>ART_064_S01</t>
        </is>
      </c>
      <c r="C339" s="66" t="inlineStr">
        <is>
          <t>El Tiempo</t>
        </is>
      </c>
      <c r="D339" s="66" t="inlineStr">
        <is>
          <t>Medio ambiente</t>
        </is>
      </c>
      <c r="E339" s="66" t="inlineStr">
        <is>
          <t>Opinión-análisis</t>
        </is>
      </c>
      <c r="F339" s="66" t="inlineStr">
        <is>
          <t>2026-08-02T23:01:00-05:00</t>
        </is>
      </c>
      <c r="G339" s="67" t="inlineStr">
        <is>
          <t>Colombia inicia un nuevo ciclo político y hay decisiones que trascienden ideologías.</t>
        </is>
      </c>
      <c r="H339" s="67" t="inlineStr"/>
      <c r="I339" s="67" t="inlineStr">
        <is>
          <t>Una de ellas es la seguridad energética, frente en el que el país llega herido.</t>
        </is>
      </c>
      <c r="J339" s="68" t="n"/>
      <c r="K339" s="69" t="n"/>
      <c r="L339" s="68" t="n"/>
      <c r="M339" s="69" t="n"/>
      <c r="N339" s="68" t="n"/>
      <c r="O339" s="69" t="n"/>
      <c r="P339" s="68" t="n"/>
      <c r="Q339" s="69" t="n"/>
      <c r="R339" s="68" t="n"/>
      <c r="S339" s="69" t="n"/>
      <c r="T339" s="68" t="n"/>
      <c r="U339" s="69" t="n"/>
      <c r="V339" s="68" t="n"/>
      <c r="W339" s="69" t="n"/>
      <c r="X339" s="68" t="n"/>
      <c r="Y339" s="69" t="n"/>
      <c r="Z339" s="68" t="n"/>
      <c r="AA339" s="69" t="n"/>
      <c r="AB339" s="68" t="n"/>
      <c r="AC339" s="69" t="n"/>
      <c r="AD339" s="70">
        <f>IF(AND(COUNTIF($B$5:B339,B339)=1,$B339&lt;&gt;"",$AB339&lt;&gt;""),1,0)</f>
        <v/>
      </c>
      <c r="AE339" s="67" t="inlineStr">
        <is>
          <t>https://www.eltiempo.com/opinion/columnistas/fracking-ya-3575669</t>
        </is>
      </c>
      <c r="AF339" s="64" t="n"/>
      <c r="AG339" s="65" t="n"/>
    </row>
    <row r="340" ht="15" customHeight="1" s="31">
      <c r="A340" s="66" t="inlineStr">
        <is>
          <t>ART_064</t>
        </is>
      </c>
      <c r="B340" s="66" t="inlineStr">
        <is>
          <t>ART_064_S02</t>
        </is>
      </c>
      <c r="C340" s="66" t="inlineStr">
        <is>
          <t>El Tiempo</t>
        </is>
      </c>
      <c r="D340" s="66" t="inlineStr">
        <is>
          <t>Medio ambiente</t>
        </is>
      </c>
      <c r="E340" s="66" t="inlineStr">
        <is>
          <t>Opinión-análisis</t>
        </is>
      </c>
      <c r="F340" s="66" t="inlineStr">
        <is>
          <t>2026-08-02T23:01:00-05:00</t>
        </is>
      </c>
      <c r="G340" s="67" t="inlineStr">
        <is>
          <t>Una de ellas es la seguridad energética, frente en el que el país llega herido.</t>
        </is>
      </c>
      <c r="H340" s="67" t="inlineStr">
        <is>
          <t>Colombia inicia un nuevo ciclo político y hay decisiones que trascienden ideologías.</t>
        </is>
      </c>
      <c r="I340" s="67" t="inlineStr">
        <is>
          <t>Los números son inequívocos.</t>
        </is>
      </c>
      <c r="J340" s="68" t="n"/>
      <c r="K340" s="69" t="n"/>
      <c r="L340" s="68" t="n"/>
      <c r="M340" s="69" t="n"/>
      <c r="N340" s="68" t="n"/>
      <c r="O340" s="69" t="n"/>
      <c r="P340" s="68" t="n"/>
      <c r="Q340" s="69" t="n"/>
      <c r="R340" s="68" t="n"/>
      <c r="S340" s="69" t="n"/>
      <c r="T340" s="68" t="n"/>
      <c r="U340" s="69" t="n"/>
      <c r="V340" s="68" t="n"/>
      <c r="W340" s="69" t="n"/>
      <c r="X340" s="68" t="n"/>
      <c r="Y340" s="69" t="n"/>
      <c r="Z340" s="68" t="n"/>
      <c r="AA340" s="69" t="n"/>
      <c r="AB340" s="68" t="n"/>
      <c r="AC340" s="69" t="n"/>
      <c r="AD340" s="70">
        <f>IF(AND(COUNTIF($B$5:B340,B340)=1,$B340&lt;&gt;"",$AB340&lt;&gt;""),1,0)</f>
        <v/>
      </c>
      <c r="AE340" s="67" t="inlineStr">
        <is>
          <t>https://www.eltiempo.com/opinion/columnistas/fracking-ya-3575669</t>
        </is>
      </c>
      <c r="AF340" s="64" t="n"/>
      <c r="AG340" s="65" t="n"/>
    </row>
    <row r="341" ht="15" customHeight="1" s="31">
      <c r="A341" s="66" t="inlineStr">
        <is>
          <t>ART_064</t>
        </is>
      </c>
      <c r="B341" s="66" t="inlineStr">
        <is>
          <t>ART_064_S03</t>
        </is>
      </c>
      <c r="C341" s="66" t="inlineStr">
        <is>
          <t>El Tiempo</t>
        </is>
      </c>
      <c r="D341" s="66" t="inlineStr">
        <is>
          <t>Medio ambiente</t>
        </is>
      </c>
      <c r="E341" s="66" t="inlineStr">
        <is>
          <t>Opinión-análisis</t>
        </is>
      </c>
      <c r="F341" s="66" t="inlineStr">
        <is>
          <t>2026-08-02T23:01:00-05:00</t>
        </is>
      </c>
      <c r="G341" s="67" t="inlineStr">
        <is>
          <t>Los números son inequívocos.</t>
        </is>
      </c>
      <c r="H341" s="67" t="inlineStr">
        <is>
          <t>Una de ellas es la seguridad energética, frente en el que el país llega herido.</t>
        </is>
      </c>
      <c r="I341" s="67" t="inlineStr">
        <is>
          <t>En los últimos cuatro años las reservas probadas de gas natural cayeron cerca del 46 %, y la producción, más del 30 %, ya insuficientes para atender la demanda.</t>
        </is>
      </c>
      <c r="J341" s="68" t="n"/>
      <c r="K341" s="69" t="n"/>
      <c r="L341" s="68" t="n"/>
      <c r="M341" s="69" t="n"/>
      <c r="N341" s="68" t="n"/>
      <c r="O341" s="69" t="n"/>
      <c r="P341" s="68" t="n"/>
      <c r="Q341" s="69" t="n"/>
      <c r="R341" s="68" t="n"/>
      <c r="S341" s="69" t="n"/>
      <c r="T341" s="68" t="n"/>
      <c r="U341" s="69" t="n"/>
      <c r="V341" s="68" t="n"/>
      <c r="W341" s="69" t="n"/>
      <c r="X341" s="68" t="n"/>
      <c r="Y341" s="69" t="n"/>
      <c r="Z341" s="68" t="n"/>
      <c r="AA341" s="69" t="n"/>
      <c r="AB341" s="68" t="n"/>
      <c r="AC341" s="69" t="n"/>
      <c r="AD341" s="70">
        <f>IF(AND(COUNTIF($B$5:B341,B341)=1,$B341&lt;&gt;"",$AB341&lt;&gt;""),1,0)</f>
        <v/>
      </c>
      <c r="AE341" s="67" t="inlineStr">
        <is>
          <t>https://www.eltiempo.com/opinion/columnistas/fracking-ya-3575669</t>
        </is>
      </c>
      <c r="AF341" s="64" t="n"/>
      <c r="AG341" s="65" t="n"/>
    </row>
    <row r="342" ht="15" customHeight="1" s="31">
      <c r="A342" s="66" t="inlineStr">
        <is>
          <t>ART_064</t>
        </is>
      </c>
      <c r="B342" s="66" t="inlineStr">
        <is>
          <t>ART_064_S04</t>
        </is>
      </c>
      <c r="C342" s="66" t="inlineStr">
        <is>
          <t>El Tiempo</t>
        </is>
      </c>
      <c r="D342" s="66" t="inlineStr">
        <is>
          <t>Medio ambiente</t>
        </is>
      </c>
      <c r="E342" s="66" t="inlineStr">
        <is>
          <t>Opinión-análisis</t>
        </is>
      </c>
      <c r="F342" s="66" t="inlineStr">
        <is>
          <t>2026-08-02T23:01:00-05:00</t>
        </is>
      </c>
      <c r="G342" s="67" t="inlineStr">
        <is>
          <t>En los últimos cuatro años las reservas probadas de gas natural cayeron cerca del 46 %, y la producción, más del 30 %, ya insuficientes para atender la demanda.</t>
        </is>
      </c>
      <c r="H342" s="67" t="inlineStr">
        <is>
          <t>Los números son inequívocos.</t>
        </is>
      </c>
      <c r="I342" s="67" t="inlineStr">
        <is>
          <t>En petróleo, las reservas se mantienen alrededor de 2.000 millones de barriles, pero la producción bajó de 850.000 a menos de 750.000 barriles diarios.</t>
        </is>
      </c>
      <c r="J342" s="68" t="n"/>
      <c r="K342" s="69" t="n"/>
      <c r="L342" s="68" t="n"/>
      <c r="M342" s="69" t="n"/>
      <c r="N342" s="68" t="n"/>
      <c r="O342" s="69" t="n"/>
      <c r="P342" s="68" t="n"/>
      <c r="Q342" s="69" t="n"/>
      <c r="R342" s="68" t="n"/>
      <c r="S342" s="69" t="n"/>
      <c r="T342" s="68" t="n"/>
      <c r="U342" s="69" t="n"/>
      <c r="V342" s="68" t="n"/>
      <c r="W342" s="69" t="n"/>
      <c r="X342" s="68" t="n"/>
      <c r="Y342" s="69" t="n"/>
      <c r="Z342" s="68" t="n"/>
      <c r="AA342" s="69" t="n"/>
      <c r="AB342" s="68" t="n"/>
      <c r="AC342" s="69" t="n"/>
      <c r="AD342" s="70">
        <f>IF(AND(COUNTIF($B$5:B342,B342)=1,$B342&lt;&gt;"",$AB342&lt;&gt;""),1,0)</f>
        <v/>
      </c>
      <c r="AE342" s="67" t="inlineStr">
        <is>
          <t>https://www.eltiempo.com/opinion/columnistas/fracking-ya-3575669</t>
        </is>
      </c>
      <c r="AF342" s="64" t="n"/>
      <c r="AG342" s="65" t="n"/>
    </row>
    <row r="343" ht="15" customHeight="1" s="31">
      <c r="A343" s="66" t="inlineStr">
        <is>
          <t>ART_064</t>
        </is>
      </c>
      <c r="B343" s="66" t="inlineStr">
        <is>
          <t>ART_064_S05</t>
        </is>
      </c>
      <c r="C343" s="66" t="inlineStr">
        <is>
          <t>El Tiempo</t>
        </is>
      </c>
      <c r="D343" s="66" t="inlineStr">
        <is>
          <t>Medio ambiente</t>
        </is>
      </c>
      <c r="E343" s="66" t="inlineStr">
        <is>
          <t>Opinión-análisis</t>
        </is>
      </c>
      <c r="F343" s="66" t="inlineStr">
        <is>
          <t>2026-08-02T23:01:00-05:00</t>
        </is>
      </c>
      <c r="G343" s="67" t="inlineStr">
        <is>
          <t>En petróleo, las reservas se mantienen alrededor de 2.000 millones de barriles, pero la producción bajó de 850.000 a menos de 750.000 barriles diarios.</t>
        </is>
      </c>
      <c r="H343" s="67" t="inlineStr">
        <is>
          <t>En los últimos cuatro años las reservas probadas de gas natural cayeron cerca del 46 %, y la producción, más del 30 %, ya insuficientes para atender la demanda.</t>
        </is>
      </c>
      <c r="I343" s="67" t="inlineStr">
        <is>
          <t>Los nuevos descubrimientos aportan menos del 2 % de la incorporación anual de reservas por el colapso de la exploración.</t>
        </is>
      </c>
      <c r="J343" s="68" t="n"/>
      <c r="K343" s="69" t="n"/>
      <c r="L343" s="68" t="n"/>
      <c r="M343" s="69" t="n"/>
      <c r="N343" s="68" t="n"/>
      <c r="O343" s="69" t="n"/>
      <c r="P343" s="68" t="n"/>
      <c r="Q343" s="69" t="n"/>
      <c r="R343" s="68" t="n"/>
      <c r="S343" s="69" t="n"/>
      <c r="T343" s="68" t="n"/>
      <c r="U343" s="69" t="n"/>
      <c r="V343" s="68" t="n"/>
      <c r="W343" s="69" t="n"/>
      <c r="X343" s="68" t="n"/>
      <c r="Y343" s="69" t="n"/>
      <c r="Z343" s="68" t="n"/>
      <c r="AA343" s="69" t="n"/>
      <c r="AB343" s="68" t="n"/>
      <c r="AC343" s="69" t="n"/>
      <c r="AD343" s="70">
        <f>IF(AND(COUNTIF($B$5:B343,B343)=1,$B343&lt;&gt;"",$AB343&lt;&gt;""),1,0)</f>
        <v/>
      </c>
      <c r="AE343" s="67" t="inlineStr">
        <is>
          <t>https://www.eltiempo.com/opinion/columnistas/fracking-ya-3575669</t>
        </is>
      </c>
      <c r="AF343" s="64" t="n"/>
      <c r="AG343" s="65" t="n"/>
    </row>
    <row r="344" ht="15" customHeight="1" s="31">
      <c r="A344" s="66" t="inlineStr">
        <is>
          <t>ART_064</t>
        </is>
      </c>
      <c r="B344" s="66" t="inlineStr">
        <is>
          <t>ART_064_S06</t>
        </is>
      </c>
      <c r="C344" s="66" t="inlineStr">
        <is>
          <t>El Tiempo</t>
        </is>
      </c>
      <c r="D344" s="66" t="inlineStr">
        <is>
          <t>Medio ambiente</t>
        </is>
      </c>
      <c r="E344" s="66" t="inlineStr">
        <is>
          <t>Opinión-análisis</t>
        </is>
      </c>
      <c r="F344" s="66" t="inlineStr">
        <is>
          <t>2026-08-02T23:01:00-05:00</t>
        </is>
      </c>
      <c r="G344" s="67" t="inlineStr">
        <is>
          <t>Los nuevos descubrimientos aportan menos del 2 % de la incorporación anual de reservas por el colapso de la exploración.</t>
        </is>
      </c>
      <c r="H344" s="67" t="inlineStr">
        <is>
          <t>En petróleo, las reservas se mantienen alrededor de 2.000 millones de barriles, pero la producción bajó de 850.000 a menos de 750.000 barriles diarios.</t>
        </is>
      </c>
      <c r="I344" s="67" t="inlineStr"/>
      <c r="J344" s="68" t="n"/>
      <c r="K344" s="69" t="n"/>
      <c r="L344" s="68" t="n"/>
      <c r="M344" s="69" t="n"/>
      <c r="N344" s="68" t="n"/>
      <c r="O344" s="69" t="n"/>
      <c r="P344" s="68" t="n"/>
      <c r="Q344" s="69" t="n"/>
      <c r="R344" s="68" t="n"/>
      <c r="S344" s="69" t="n"/>
      <c r="T344" s="68" t="n"/>
      <c r="U344" s="69" t="n"/>
      <c r="V344" s="68" t="n"/>
      <c r="W344" s="69" t="n"/>
      <c r="X344" s="68" t="n"/>
      <c r="Y344" s="69" t="n"/>
      <c r="Z344" s="68" t="n"/>
      <c r="AA344" s="69" t="n"/>
      <c r="AB344" s="68" t="n"/>
      <c r="AC344" s="69" t="n"/>
      <c r="AD344" s="70">
        <f>IF(AND(COUNTIF($B$5:B344,B344)=1,$B344&lt;&gt;"",$AB344&lt;&gt;""),1,0)</f>
        <v/>
      </c>
      <c r="AE344" s="67" t="inlineStr">
        <is>
          <t>https://www.eltiempo.com/opinion/columnistas/fracking-ya-3575669</t>
        </is>
      </c>
      <c r="AF344" s="64" t="n"/>
      <c r="AG344" s="65" t="n"/>
    </row>
    <row r="345" ht="15" customHeight="1" s="31">
      <c r="A345" s="66" t="inlineStr">
        <is>
          <t>ART_065</t>
        </is>
      </c>
      <c r="B345" s="66" t="inlineStr">
        <is>
          <t>ART_065_S01</t>
        </is>
      </c>
      <c r="C345" s="66" t="inlineStr">
        <is>
          <t>El Espectador</t>
        </is>
      </c>
      <c r="D345" s="66" t="inlineStr">
        <is>
          <t>Medio ambiente</t>
        </is>
      </c>
      <c r="E345" s="66" t="inlineStr">
        <is>
          <t>Noticia dura</t>
        </is>
      </c>
      <c r="F345" s="66" t="inlineStr">
        <is>
          <t>2026-01-05T17:23:21-05:00</t>
        </is>
      </c>
      <c r="G345" s="67" t="inlineStr">
        <is>
          <t>El proyecto minero que Best Coal Company planeaba en San Juan del Cesar ya tenía dos solicitudes archivadas por la ANLA.</t>
        </is>
      </c>
      <c r="H345" s="67" t="inlineStr"/>
      <c r="I345" s="67" t="inlineStr">
        <is>
          <t>Ahora, la autoridad ambiental regional también la rechazó.</t>
        </is>
      </c>
      <c r="J345" s="68" t="n"/>
      <c r="K345" s="69" t="n"/>
      <c r="L345" s="68" t="n"/>
      <c r="M345" s="69" t="n"/>
      <c r="N345" s="68" t="n"/>
      <c r="O345" s="69" t="n"/>
      <c r="P345" s="68" t="n"/>
      <c r="Q345" s="69" t="n"/>
      <c r="R345" s="68" t="n"/>
      <c r="S345" s="69" t="n"/>
      <c r="T345" s="68" t="n"/>
      <c r="U345" s="69" t="n"/>
      <c r="V345" s="68" t="n"/>
      <c r="W345" s="69" t="n"/>
      <c r="X345" s="68" t="n"/>
      <c r="Y345" s="69" t="n"/>
      <c r="Z345" s="68" t="n"/>
      <c r="AA345" s="69" t="n"/>
      <c r="AB345" s="68" t="n"/>
      <c r="AC345" s="69" t="n"/>
      <c r="AD345" s="70">
        <f>IF(AND(COUNTIF($B$5:B345,B345)=1,$B345&lt;&gt;"",$AB345&lt;&gt;""),1,0)</f>
        <v/>
      </c>
      <c r="AE345" s="67" t="inlineStr">
        <is>
          <t>https://www.elespectador.com/ambiente/niegan-licencia-ambiental-a-la-mina-de-carbon-que-querian-abrir-en-la-guajira/</t>
        </is>
      </c>
      <c r="AF345" s="64" t="n"/>
      <c r="AG345" s="65" t="n"/>
    </row>
    <row r="346" ht="15" customHeight="1" s="31">
      <c r="A346" s="66" t="inlineStr">
        <is>
          <t>ART_065</t>
        </is>
      </c>
      <c r="B346" s="66" t="inlineStr">
        <is>
          <t>ART_065_S02</t>
        </is>
      </c>
      <c r="C346" s="66" t="inlineStr">
        <is>
          <t>El Espectador</t>
        </is>
      </c>
      <c r="D346" s="66" t="inlineStr">
        <is>
          <t>Medio ambiente</t>
        </is>
      </c>
      <c r="E346" s="66" t="inlineStr">
        <is>
          <t>Noticia dura</t>
        </is>
      </c>
      <c r="F346" s="66" t="inlineStr">
        <is>
          <t>2026-01-05T17:23:21-05:00</t>
        </is>
      </c>
      <c r="G346" s="67" t="inlineStr">
        <is>
          <t>Ahora, la autoridad ambiental regional también la rechazó.</t>
        </is>
      </c>
      <c r="H346" s="67" t="inlineStr">
        <is>
          <t>El proyecto minero que Best Coal Company planeaba en San Juan del Cesar ya tenía dos solicitudes archivadas por la ANLA.</t>
        </is>
      </c>
      <c r="I346" s="67" t="inlineStr">
        <is>
          <t>El Manantial de Cañaverales se encuentra a menos de dos kilómetros del lugar en donde se construiría la mina.</t>
        </is>
      </c>
      <c r="J346" s="68" t="n"/>
      <c r="K346" s="69" t="n"/>
      <c r="L346" s="68" t="n"/>
      <c r="M346" s="69" t="n"/>
      <c r="N346" s="68" t="n"/>
      <c r="O346" s="69" t="n"/>
      <c r="P346" s="68" t="n"/>
      <c r="Q346" s="69" t="n"/>
      <c r="R346" s="68" t="n"/>
      <c r="S346" s="69" t="n"/>
      <c r="T346" s="68" t="n"/>
      <c r="U346" s="69" t="n"/>
      <c r="V346" s="68" t="n"/>
      <c r="W346" s="69" t="n"/>
      <c r="X346" s="68" t="n"/>
      <c r="Y346" s="69" t="n"/>
      <c r="Z346" s="68" t="n"/>
      <c r="AA346" s="69" t="n"/>
      <c r="AB346" s="68" t="n"/>
      <c r="AC346" s="69" t="n"/>
      <c r="AD346" s="70">
        <f>IF(AND(COUNTIF($B$5:B346,B346)=1,$B346&lt;&gt;"",$AB346&lt;&gt;""),1,0)</f>
        <v/>
      </c>
      <c r="AE346" s="67" t="inlineStr">
        <is>
          <t>https://www.elespectador.com/ambiente/niegan-licencia-ambiental-a-la-mina-de-carbon-que-querian-abrir-en-la-guajira/</t>
        </is>
      </c>
      <c r="AF346" s="64" t="n"/>
      <c r="AG346" s="65" t="n"/>
    </row>
    <row r="347" ht="15" customHeight="1" s="31">
      <c r="A347" s="66" t="inlineStr">
        <is>
          <t>ART_065</t>
        </is>
      </c>
      <c r="B347" s="66" t="inlineStr">
        <is>
          <t>ART_065_S03</t>
        </is>
      </c>
      <c r="C347" s="66" t="inlineStr">
        <is>
          <t>El Espectador</t>
        </is>
      </c>
      <c r="D347" s="66" t="inlineStr">
        <is>
          <t>Medio ambiente</t>
        </is>
      </c>
      <c r="E347" s="66" t="inlineStr">
        <is>
          <t>Noticia dura</t>
        </is>
      </c>
      <c r="F347" s="66" t="inlineStr">
        <is>
          <t>2026-01-05T17:23:21-05:00</t>
        </is>
      </c>
      <c r="G347" s="67" t="inlineStr">
        <is>
          <t>El Manantial de Cañaverales se encuentra a menos de dos kilómetros del lugar en donde se construiría la mina.</t>
        </is>
      </c>
      <c r="H347" s="67" t="inlineStr">
        <is>
          <t>Ahora, la autoridad ambiental regional también la rechazó.</t>
        </is>
      </c>
      <c r="I347" s="67" t="inlineStr">
        <is>
          <t>Corpoguajira acaba de hacer pública su decisión de negar la solicitud de licencia ambiental al proyecto minero de Cañaverales, una mina de carbón a cielo abierto que Best Coal Company buscaba abrir en San Juan del Cesar, La Guajira.</t>
        </is>
      </c>
      <c r="J347" s="68" t="n"/>
      <c r="K347" s="69" t="n"/>
      <c r="L347" s="68" t="n"/>
      <c r="M347" s="69" t="n"/>
      <c r="N347" s="68" t="n"/>
      <c r="O347" s="69" t="n"/>
      <c r="P347" s="68" t="n"/>
      <c r="Q347" s="69" t="n"/>
      <c r="R347" s="68" t="n"/>
      <c r="S347" s="69" t="n"/>
      <c r="T347" s="68" t="n"/>
      <c r="U347" s="69" t="n"/>
      <c r="V347" s="68" t="n"/>
      <c r="W347" s="69" t="n"/>
      <c r="X347" s="68" t="n"/>
      <c r="Y347" s="69" t="n"/>
      <c r="Z347" s="68" t="n"/>
      <c r="AA347" s="69" t="n"/>
      <c r="AB347" s="68" t="n"/>
      <c r="AC347" s="69" t="n"/>
      <c r="AD347" s="70">
        <f>IF(AND(COUNTIF($B$5:B347,B347)=1,$B347&lt;&gt;"",$AB347&lt;&gt;""),1,0)</f>
        <v/>
      </c>
      <c r="AE347" s="67" t="inlineStr">
        <is>
          <t>https://www.elespectador.com/ambiente/niegan-licencia-ambiental-a-la-mina-de-carbon-que-querian-abrir-en-la-guajira/</t>
        </is>
      </c>
      <c r="AF347" s="64" t="n"/>
      <c r="AG347" s="65" t="n"/>
    </row>
    <row r="348" ht="15" customHeight="1" s="31">
      <c r="A348" s="66" t="inlineStr">
        <is>
          <t>ART_065</t>
        </is>
      </c>
      <c r="B348" s="66" t="inlineStr">
        <is>
          <t>ART_065_S04</t>
        </is>
      </c>
      <c r="C348" s="66" t="inlineStr">
        <is>
          <t>El Espectador</t>
        </is>
      </c>
      <c r="D348" s="66" t="inlineStr">
        <is>
          <t>Medio ambiente</t>
        </is>
      </c>
      <c r="E348" s="66" t="inlineStr">
        <is>
          <t>Noticia dura</t>
        </is>
      </c>
      <c r="F348" s="66" t="inlineStr">
        <is>
          <t>2026-01-05T17:23:21-05:00</t>
        </is>
      </c>
      <c r="G348" s="67" t="inlineStr">
        <is>
          <t>Corpoguajira acaba de hacer pública su decisión de negar la solicitud de licencia ambiental al proyecto minero de Cañaverales, una mina de carbón a cielo abierto que Best Coal Company buscaba abrir en San Juan del Cesar, La Guajira.</t>
        </is>
      </c>
      <c r="H348" s="67" t="inlineStr">
        <is>
          <t>El Manantial de Cañaverales se encuentra a menos de dos kilómetros del lugar en donde se construiría la mina.</t>
        </is>
      </c>
      <c r="I348" s="67" t="inlineStr">
        <is>
          <t>La decisión, sostuvo la autoridad ambiental por medio de un comunicado, se tomó “luego de un extenso trámite administrativo que incluyó la evaluación del Estudio de Impacto Ambiental (EIA), visitas técnicas de verificación en campo, conceptos de entidades especializadas como el IDEAM, el Servicio Geológico Colombiano y el Instituto Alexander von Humboldt, así como la realización de una Audiencia Pública Ambiental con amplia participación ciudadana”.</t>
        </is>
      </c>
      <c r="J348" s="68" t="n"/>
      <c r="K348" s="69" t="n"/>
      <c r="L348" s="68" t="n"/>
      <c r="M348" s="69" t="n"/>
      <c r="N348" s="68" t="n"/>
      <c r="O348" s="69" t="n"/>
      <c r="P348" s="68" t="n"/>
      <c r="Q348" s="69" t="n"/>
      <c r="R348" s="68" t="n"/>
      <c r="S348" s="69" t="n"/>
      <c r="T348" s="68" t="n"/>
      <c r="U348" s="69" t="n"/>
      <c r="V348" s="68" t="n"/>
      <c r="W348" s="69" t="n"/>
      <c r="X348" s="68" t="n"/>
      <c r="Y348" s="69" t="n"/>
      <c r="Z348" s="68" t="n"/>
      <c r="AA348" s="69" t="n"/>
      <c r="AB348" s="68" t="n"/>
      <c r="AC348" s="69" t="n"/>
      <c r="AD348" s="70">
        <f>IF(AND(COUNTIF($B$5:B348,B348)=1,$B348&lt;&gt;"",$AB348&lt;&gt;""),1,0)</f>
        <v/>
      </c>
      <c r="AE348" s="67" t="inlineStr">
        <is>
          <t>https://www.elespectador.com/ambiente/niegan-licencia-ambiental-a-la-mina-de-carbon-que-querian-abrir-en-la-guajira/</t>
        </is>
      </c>
      <c r="AF348" s="64" t="n"/>
      <c r="AG348" s="65" t="n"/>
    </row>
    <row r="349" ht="15" customHeight="1" s="31">
      <c r="A349" s="66" t="inlineStr">
        <is>
          <t>ART_065</t>
        </is>
      </c>
      <c r="B349" s="66" t="inlineStr">
        <is>
          <t>ART_065_S05</t>
        </is>
      </c>
      <c r="C349" s="66" t="inlineStr">
        <is>
          <t>El Espectador</t>
        </is>
      </c>
      <c r="D349" s="66" t="inlineStr">
        <is>
          <t>Medio ambiente</t>
        </is>
      </c>
      <c r="E349" s="66" t="inlineStr">
        <is>
          <t>Noticia dura</t>
        </is>
      </c>
      <c r="F349" s="66" t="inlineStr">
        <is>
          <t>2026-01-05T17:23:21-05:00</t>
        </is>
      </c>
      <c r="G349" s="67" t="inlineStr">
        <is>
          <t>La decisión, sostuvo la autoridad ambiental por medio de un comunicado, se tomó “luego de un extenso trámite administrativo que incluyó la evaluación del Estudio de Impacto Ambiental (EIA), visitas técnicas de verificación en campo, conceptos de entidades especializadas como el IDEAM, el Servicio Geológico Colombiano y el Instituto Alexander von Humboldt, así como la realización de una Audiencia Pública Ambiental con amplia participación ciudadana”.</t>
        </is>
      </c>
      <c r="H349" s="67" t="inlineStr">
        <is>
          <t>Corpoguajira acaba de hacer pública su decisión de negar la solicitud de licencia ambiental al proyecto minero de Cañaverales, una mina de carbón a cielo abierto que Best Coal Company buscaba abrir en San Juan del Cesar, La Guajira.</t>
        </is>
      </c>
      <c r="I349" s="67" t="inlineStr">
        <is>
          <t>La resolución con la que se formalizó la decisión fue emitida el pasado 26 de diciembre y Best Coal Company ya fue notificada, según confirmó la Corporación a este medio.</t>
        </is>
      </c>
      <c r="J349" s="68" t="n"/>
      <c r="K349" s="69" t="n"/>
      <c r="L349" s="68" t="n"/>
      <c r="M349" s="69" t="n"/>
      <c r="N349" s="68" t="n"/>
      <c r="O349" s="69" t="n"/>
      <c r="P349" s="68" t="n"/>
      <c r="Q349" s="69" t="n"/>
      <c r="R349" s="68" t="n"/>
      <c r="S349" s="69" t="n"/>
      <c r="T349" s="68" t="n"/>
      <c r="U349" s="69" t="n"/>
      <c r="V349" s="68" t="n"/>
      <c r="W349" s="69" t="n"/>
      <c r="X349" s="68" t="n"/>
      <c r="Y349" s="69" t="n"/>
      <c r="Z349" s="68" t="n"/>
      <c r="AA349" s="69" t="n"/>
      <c r="AB349" s="68" t="n"/>
      <c r="AC349" s="69" t="n"/>
      <c r="AD349" s="70">
        <f>IF(AND(COUNTIF($B$5:B349,B349)=1,$B349&lt;&gt;"",$AB349&lt;&gt;""),1,0)</f>
        <v/>
      </c>
      <c r="AE349" s="67" t="inlineStr">
        <is>
          <t>https://www.elespectador.com/ambiente/niegan-licencia-ambiental-a-la-mina-de-carbon-que-querian-abrir-en-la-guajira/</t>
        </is>
      </c>
      <c r="AF349" s="64" t="n"/>
      <c r="AG349" s="65" t="n"/>
    </row>
    <row r="350" ht="15" customHeight="1" s="31">
      <c r="A350" s="66" t="inlineStr">
        <is>
          <t>ART_065</t>
        </is>
      </c>
      <c r="B350" s="66" t="inlineStr">
        <is>
          <t>ART_065_S06</t>
        </is>
      </c>
      <c r="C350" s="66" t="inlineStr">
        <is>
          <t>El Espectador</t>
        </is>
      </c>
      <c r="D350" s="66" t="inlineStr">
        <is>
          <t>Medio ambiente</t>
        </is>
      </c>
      <c r="E350" s="66" t="inlineStr">
        <is>
          <t>Noticia dura</t>
        </is>
      </c>
      <c r="F350" s="66" t="inlineStr">
        <is>
          <t>2026-01-05T17:23:21-05:00</t>
        </is>
      </c>
      <c r="G350" s="67" t="inlineStr">
        <is>
          <t>La resolución con la que se formalizó la decisión fue emitida el pasado 26 de diciembre y Best Coal Company ya fue notificada, según confirmó la Corporación a este medio.</t>
        </is>
      </c>
      <c r="H350" s="67" t="inlineStr">
        <is>
          <t>La decisión, sostuvo la autoridad ambiental por medio de un comunicado, se tomó “luego de un extenso trámite administrativo que incluyó la evaluación del Estudio de Impacto Ambiental (EIA), visitas técnicas de verificación en campo, conceptos de entidades especializadas como el IDEAM, el Servicio Geológico Colombiano y el Instituto Alexander von Humboldt, así como la realización de una Audiencia Pública Ambiental con amplia participación ciudadana”.</t>
        </is>
      </c>
      <c r="I350" s="67" t="inlineStr"/>
      <c r="J350" s="68" t="n"/>
      <c r="K350" s="69" t="n"/>
      <c r="L350" s="68" t="n"/>
      <c r="M350" s="69" t="n"/>
      <c r="N350" s="68" t="n"/>
      <c r="O350" s="69" t="n"/>
      <c r="P350" s="68" t="n"/>
      <c r="Q350" s="69" t="n"/>
      <c r="R350" s="68" t="n"/>
      <c r="S350" s="69" t="n"/>
      <c r="T350" s="68" t="n"/>
      <c r="U350" s="69" t="n"/>
      <c r="V350" s="68" t="n"/>
      <c r="W350" s="69" t="n"/>
      <c r="X350" s="68" t="n"/>
      <c r="Y350" s="69" t="n"/>
      <c r="Z350" s="68" t="n"/>
      <c r="AA350" s="69" t="n"/>
      <c r="AB350" s="68" t="n"/>
      <c r="AC350" s="69" t="n"/>
      <c r="AD350" s="70">
        <f>IF(AND(COUNTIF($B$5:B350,B350)=1,$B350&lt;&gt;"",$AB350&lt;&gt;""),1,0)</f>
        <v/>
      </c>
      <c r="AE350" s="67" t="inlineStr">
        <is>
          <t>https://www.elespectador.com/ambiente/niegan-licencia-ambiental-a-la-mina-de-carbon-que-querian-abrir-en-la-guajira/</t>
        </is>
      </c>
      <c r="AF350" s="64" t="n"/>
      <c r="AG350" s="65" t="n"/>
    </row>
    <row r="351" ht="15" customHeight="1" s="31">
      <c r="A351" s="66" t="inlineStr">
        <is>
          <t>ART_066</t>
        </is>
      </c>
      <c r="B351" s="66" t="inlineStr">
        <is>
          <t>ART_066_S01</t>
        </is>
      </c>
      <c r="C351" s="66" t="inlineStr">
        <is>
          <t>El Espectador</t>
        </is>
      </c>
      <c r="D351" s="66" t="inlineStr">
        <is>
          <t>Medio ambiente</t>
        </is>
      </c>
      <c r="E351" s="66" t="inlineStr">
        <is>
          <t>Noticia dura</t>
        </is>
      </c>
      <c r="F351" s="66" t="inlineStr">
        <is>
          <t>2026-06-14T10:00:00-05:00</t>
        </is>
      </c>
      <c r="G351" s="67" t="inlineStr">
        <is>
          <t>La idea de hacer fracturación hidráulica para explotar gas y petróleo en Colombia volvió al debate público en estas elecciones.</t>
        </is>
      </c>
      <c r="H351" s="67" t="inlineStr"/>
      <c r="I351" s="67" t="inlineStr">
        <is>
          <t>¿Qué es mentira y qué es verdad sobre esta práctica?</t>
        </is>
      </c>
      <c r="J351" s="68" t="n"/>
      <c r="K351" s="69" t="n"/>
      <c r="L351" s="68" t="n"/>
      <c r="M351" s="69" t="n"/>
      <c r="N351" s="68" t="n"/>
      <c r="O351" s="69" t="n"/>
      <c r="P351" s="68" t="n"/>
      <c r="Q351" s="69" t="n"/>
      <c r="R351" s="68" t="n"/>
      <c r="S351" s="69" t="n"/>
      <c r="T351" s="68" t="n"/>
      <c r="U351" s="69" t="n"/>
      <c r="V351" s="68" t="n"/>
      <c r="W351" s="69" t="n"/>
      <c r="X351" s="68" t="n"/>
      <c r="Y351" s="69" t="n"/>
      <c r="Z351" s="68" t="n"/>
      <c r="AA351" s="69" t="n"/>
      <c r="AB351" s="68" t="n"/>
      <c r="AC351" s="69" t="n"/>
      <c r="AD351" s="70">
        <f>IF(AND(COUNTIF($B$5:B351,B351)=1,$B351&lt;&gt;"",$AB351&lt;&gt;""),1,0)</f>
        <v/>
      </c>
      <c r="AE351" s="67" t="inlineStr">
        <is>
          <t>https://www.elespectador.com/ambiente/el-fracking-en-colombia-entre-los-debates-ambientales-y-la-incapacidad-del-estado/</t>
        </is>
      </c>
      <c r="AF351" s="64" t="n"/>
      <c r="AG351" s="65" t="n"/>
    </row>
    <row r="352" ht="15" customHeight="1" s="31">
      <c r="A352" s="66" t="inlineStr">
        <is>
          <t>ART_066</t>
        </is>
      </c>
      <c r="B352" s="66" t="inlineStr">
        <is>
          <t>ART_066_S02</t>
        </is>
      </c>
      <c r="C352" s="66" t="inlineStr">
        <is>
          <t>El Espectador</t>
        </is>
      </c>
      <c r="D352" s="66" t="inlineStr">
        <is>
          <t>Medio ambiente</t>
        </is>
      </c>
      <c r="E352" s="66" t="inlineStr">
        <is>
          <t>Noticia dura</t>
        </is>
      </c>
      <c r="F352" s="66" t="inlineStr">
        <is>
          <t>2026-06-14T10:00:00-05:00</t>
        </is>
      </c>
      <c r="G352" s="67" t="inlineStr">
        <is>
          <t>¿Qué es mentira y qué es verdad sobre esta práctica?</t>
        </is>
      </c>
      <c r="H352" s="67" t="inlineStr">
        <is>
          <t>La idea de hacer fracturación hidráulica para explotar gas y petróleo en Colombia volvió al debate público en estas elecciones.</t>
        </is>
      </c>
      <c r="I352" s="67" t="inlineStr">
        <is>
          <t>El fracking se ha implementado en países como Estados Unidos, Canadá y Argentina.</t>
        </is>
      </c>
      <c r="J352" s="68" t="n"/>
      <c r="K352" s="69" t="n"/>
      <c r="L352" s="68" t="n"/>
      <c r="M352" s="69" t="n"/>
      <c r="N352" s="68" t="n"/>
      <c r="O352" s="69" t="n"/>
      <c r="P352" s="68" t="n"/>
      <c r="Q352" s="69" t="n"/>
      <c r="R352" s="68" t="n"/>
      <c r="S352" s="69" t="n"/>
      <c r="T352" s="68" t="n"/>
      <c r="U352" s="69" t="n"/>
      <c r="V352" s="68" t="n"/>
      <c r="W352" s="69" t="n"/>
      <c r="X352" s="68" t="n"/>
      <c r="Y352" s="69" t="n"/>
      <c r="Z352" s="68" t="n"/>
      <c r="AA352" s="69" t="n"/>
      <c r="AB352" s="68" t="n"/>
      <c r="AC352" s="69" t="n"/>
      <c r="AD352" s="70">
        <f>IF(AND(COUNTIF($B$5:B352,B352)=1,$B352&lt;&gt;"",$AB352&lt;&gt;""),1,0)</f>
        <v/>
      </c>
      <c r="AE352" s="67" t="inlineStr">
        <is>
          <t>https://www.elespectador.com/ambiente/el-fracking-en-colombia-entre-los-debates-ambientales-y-la-incapacidad-del-estado/</t>
        </is>
      </c>
      <c r="AF352" s="64" t="n"/>
      <c r="AG352" s="65" t="n"/>
    </row>
    <row r="353" ht="15" customHeight="1" s="31">
      <c r="A353" s="66" t="inlineStr">
        <is>
          <t>ART_066</t>
        </is>
      </c>
      <c r="B353" s="66" t="inlineStr">
        <is>
          <t>ART_066_S03</t>
        </is>
      </c>
      <c r="C353" s="66" t="inlineStr">
        <is>
          <t>El Espectador</t>
        </is>
      </c>
      <c r="D353" s="66" t="inlineStr">
        <is>
          <t>Medio ambiente</t>
        </is>
      </c>
      <c r="E353" s="66" t="inlineStr">
        <is>
          <t>Noticia dura</t>
        </is>
      </c>
      <c r="F353" s="66" t="inlineStr">
        <is>
          <t>2026-06-14T10:00:00-05:00</t>
        </is>
      </c>
      <c r="G353" s="67" t="inlineStr">
        <is>
          <t>El fracking se ha implementado en países como Estados Unidos, Canadá y Argentina.</t>
        </is>
      </c>
      <c r="H353" s="67" t="inlineStr">
        <is>
          <t>¿Qué es mentira y qué es verdad sobre esta práctica?</t>
        </is>
      </c>
      <c r="I353" s="67" t="inlineStr">
        <is>
          <t>Allí también se han adelantado estudios científicos sobre sus impactos.</t>
        </is>
      </c>
      <c r="J353" s="68" t="n"/>
      <c r="K353" s="69" t="n"/>
      <c r="L353" s="68" t="n"/>
      <c r="M353" s="69" t="n"/>
      <c r="N353" s="68" t="n"/>
      <c r="O353" s="69" t="n"/>
      <c r="P353" s="68" t="n"/>
      <c r="Q353" s="69" t="n"/>
      <c r="R353" s="68" t="n"/>
      <c r="S353" s="69" t="n"/>
      <c r="T353" s="68" t="n"/>
      <c r="U353" s="69" t="n"/>
      <c r="V353" s="68" t="n"/>
      <c r="W353" s="69" t="n"/>
      <c r="X353" s="68" t="n"/>
      <c r="Y353" s="69" t="n"/>
      <c r="Z353" s="68" t="n"/>
      <c r="AA353" s="69" t="n"/>
      <c r="AB353" s="68" t="n"/>
      <c r="AC353" s="69" t="n"/>
      <c r="AD353" s="70">
        <f>IF(AND(COUNTIF($B$5:B353,B353)=1,$B353&lt;&gt;"",$AB353&lt;&gt;""),1,0)</f>
        <v/>
      </c>
      <c r="AE353" s="67" t="inlineStr">
        <is>
          <t>https://www.elespectador.com/ambiente/el-fracking-en-colombia-entre-los-debates-ambientales-y-la-incapacidad-del-estado/</t>
        </is>
      </c>
      <c r="AF353" s="64" t="n"/>
      <c r="AG353" s="65" t="n"/>
    </row>
    <row r="354" ht="15" customHeight="1" s="31">
      <c r="A354" s="66" t="inlineStr">
        <is>
          <t>ART_066</t>
        </is>
      </c>
      <c r="B354" s="66" t="inlineStr">
        <is>
          <t>ART_066_S04</t>
        </is>
      </c>
      <c r="C354" s="66" t="inlineStr">
        <is>
          <t>El Espectador</t>
        </is>
      </c>
      <c r="D354" s="66" t="inlineStr">
        <is>
          <t>Medio ambiente</t>
        </is>
      </c>
      <c r="E354" s="66" t="inlineStr">
        <is>
          <t>Noticia dura</t>
        </is>
      </c>
      <c r="F354" s="66" t="inlineStr">
        <is>
          <t>2026-06-14T10:00:00-05:00</t>
        </is>
      </c>
      <c r="G354" s="67" t="inlineStr">
        <is>
          <t>Allí también se han adelantado estudios científicos sobre sus impactos.</t>
        </is>
      </c>
      <c r="H354" s="67" t="inlineStr">
        <is>
          <t>El fracking se ha implementado en países como Estados Unidos, Canadá y Argentina.</t>
        </is>
      </c>
      <c r="I354" s="67" t="inlineStr">
        <is>
          <t>Abelardo de la Espriella e Iván Cepeda tienen visiones diametralmente opuestas frente a la extracción de gas y petróleo, y el rol de las energías renovables en el abastecimiento de hogares e industrias en el país.</t>
        </is>
      </c>
      <c r="J354" s="68" t="n"/>
      <c r="K354" s="69" t="n"/>
      <c r="L354" s="68" t="n"/>
      <c r="M354" s="69" t="n"/>
      <c r="N354" s="68" t="n"/>
      <c r="O354" s="69" t="n"/>
      <c r="P354" s="68" t="n"/>
      <c r="Q354" s="69" t="n"/>
      <c r="R354" s="68" t="n"/>
      <c r="S354" s="69" t="n"/>
      <c r="T354" s="68" t="n"/>
      <c r="U354" s="69" t="n"/>
      <c r="V354" s="68" t="n"/>
      <c r="W354" s="69" t="n"/>
      <c r="X354" s="68" t="n"/>
      <c r="Y354" s="69" t="n"/>
      <c r="Z354" s="68" t="n"/>
      <c r="AA354" s="69" t="n"/>
      <c r="AB354" s="68" t="n"/>
      <c r="AC354" s="69" t="n"/>
      <c r="AD354" s="70">
        <f>IF(AND(COUNTIF($B$5:B354,B354)=1,$B354&lt;&gt;"",$AB354&lt;&gt;""),1,0)</f>
        <v/>
      </c>
      <c r="AE354" s="67" t="inlineStr">
        <is>
          <t>https://www.elespectador.com/ambiente/el-fracking-en-colombia-entre-los-debates-ambientales-y-la-incapacidad-del-estado/</t>
        </is>
      </c>
      <c r="AF354" s="64" t="n"/>
      <c r="AG354" s="65" t="n"/>
    </row>
    <row r="355" ht="15" customHeight="1" s="31">
      <c r="A355" s="66" t="inlineStr">
        <is>
          <t>ART_066</t>
        </is>
      </c>
      <c r="B355" s="66" t="inlineStr">
        <is>
          <t>ART_066_S05</t>
        </is>
      </c>
      <c r="C355" s="66" t="inlineStr">
        <is>
          <t>El Espectador</t>
        </is>
      </c>
      <c r="D355" s="66" t="inlineStr">
        <is>
          <t>Medio ambiente</t>
        </is>
      </c>
      <c r="E355" s="66" t="inlineStr">
        <is>
          <t>Noticia dura</t>
        </is>
      </c>
      <c r="F355" s="66" t="inlineStr">
        <is>
          <t>2026-06-14T10:00:00-05:00</t>
        </is>
      </c>
      <c r="G355" s="67" t="inlineStr">
        <is>
          <t>Abelardo de la Espriella e Iván Cepeda tienen visiones diametralmente opuestas frente a la extracción de gas y petróleo, y el rol de las energías renovables en el abastecimiento de hogares e industrias en el país.</t>
        </is>
      </c>
      <c r="H355" s="67" t="inlineStr">
        <is>
          <t>Allí también se han adelantado estudios científicos sobre sus impactos.</t>
        </is>
      </c>
      <c r="I355" s="67" t="inlineStr">
        <is>
          <t>Mientras De la Espriella plantea que el fracking se haga con “pilotos regulados, evaluados con la mejor ciencia disponible y veeduría independiente, que permitan decidir con evidencia”, Cepeda propone “una política energética integral orientada a diversificar la economía, superar la dependencia de los combustibles fósiles y evitar los errores que nos llevaron a concentrar el desarrollo en la exportación de materias primas”.</t>
        </is>
      </c>
      <c r="J355" s="68" t="n"/>
      <c r="K355" s="69" t="n"/>
      <c r="L355" s="68" t="n"/>
      <c r="M355" s="69" t="n"/>
      <c r="N355" s="68" t="n"/>
      <c r="O355" s="69" t="n"/>
      <c r="P355" s="68" t="n"/>
      <c r="Q355" s="69" t="n"/>
      <c r="R355" s="68" t="n"/>
      <c r="S355" s="69" t="n"/>
      <c r="T355" s="68" t="n"/>
      <c r="U355" s="69" t="n"/>
      <c r="V355" s="68" t="n"/>
      <c r="W355" s="69" t="n"/>
      <c r="X355" s="68" t="n"/>
      <c r="Y355" s="69" t="n"/>
      <c r="Z355" s="68" t="n"/>
      <c r="AA355" s="69" t="n"/>
      <c r="AB355" s="68" t="n"/>
      <c r="AC355" s="69" t="n"/>
      <c r="AD355" s="70">
        <f>IF(AND(COUNTIF($B$5:B355,B355)=1,$B355&lt;&gt;"",$AB355&lt;&gt;""),1,0)</f>
        <v/>
      </c>
      <c r="AE355" s="67" t="inlineStr">
        <is>
          <t>https://www.elespectador.com/ambiente/el-fracking-en-colombia-entre-los-debates-ambientales-y-la-incapacidad-del-estado/</t>
        </is>
      </c>
      <c r="AF355" s="64" t="n"/>
      <c r="AG355" s="65" t="n"/>
    </row>
    <row r="356" ht="15" customHeight="1" s="31">
      <c r="A356" s="66" t="inlineStr">
        <is>
          <t>ART_066</t>
        </is>
      </c>
      <c r="B356" s="66" t="inlineStr">
        <is>
          <t>ART_066_S06</t>
        </is>
      </c>
      <c r="C356" s="66" t="inlineStr">
        <is>
          <t>El Espectador</t>
        </is>
      </c>
      <c r="D356" s="66" t="inlineStr">
        <is>
          <t>Medio ambiente</t>
        </is>
      </c>
      <c r="E356" s="66" t="inlineStr">
        <is>
          <t>Noticia dura</t>
        </is>
      </c>
      <c r="F356" s="66" t="inlineStr">
        <is>
          <t>2026-06-14T10:00:00-05:00</t>
        </is>
      </c>
      <c r="G356" s="67" t="inlineStr">
        <is>
          <t>Mientras De la Espriella plantea que el fracking se haga con “pilotos regulados, evaluados con la mejor ciencia disponible y veeduría independiente, que permitan decidir con evidencia”, Cepeda propone “una política energética integral orientada a diversificar la economía, superar la dependencia de los combustibles fósiles y evitar los errores que nos llevaron a concentrar el desarrollo en la exportación de materias primas”.</t>
        </is>
      </c>
      <c r="H356" s="67" t="inlineStr">
        <is>
          <t>Abelardo de la Espriella e Iván Cepeda tienen visiones diametralmente opuestas frente a la extracción de gas y petróleo, y el rol de las energías renovables en el abastecimiento de hogares e industrias en el país.</t>
        </is>
      </c>
      <c r="I356" s="67" t="inlineStr">
        <is>
          <t>El debate entre las dos ideas se da en medio de las alertas que han hecho gremios del sector energético, como Acolgen y Naturgas, asegurando que hay un déficit entre la oferta de energía de los próximos años y el crecimiento de la demanda, que podría llegar al –3,5 % para 2027.</t>
        </is>
      </c>
      <c r="J356" s="68" t="n"/>
      <c r="K356" s="69" t="n"/>
      <c r="L356" s="68" t="n"/>
      <c r="M356" s="69" t="n"/>
      <c r="N356" s="68" t="n"/>
      <c r="O356" s="69" t="n"/>
      <c r="P356" s="68" t="n"/>
      <c r="Q356" s="69" t="n"/>
      <c r="R356" s="68" t="n"/>
      <c r="S356" s="69" t="n"/>
      <c r="T356" s="68" t="n"/>
      <c r="U356" s="69" t="n"/>
      <c r="V356" s="68" t="n"/>
      <c r="W356" s="69" t="n"/>
      <c r="X356" s="68" t="n"/>
      <c r="Y356" s="69" t="n"/>
      <c r="Z356" s="68" t="n"/>
      <c r="AA356" s="69" t="n"/>
      <c r="AB356" s="68" t="n"/>
      <c r="AC356" s="69" t="n"/>
      <c r="AD356" s="70">
        <f>IF(AND(COUNTIF($B$5:B356,B356)=1,$B356&lt;&gt;"",$AB356&lt;&gt;""),1,0)</f>
        <v/>
      </c>
      <c r="AE356" s="67" t="inlineStr">
        <is>
          <t>https://www.elespectador.com/ambiente/el-fracking-en-colombia-entre-los-debates-ambientales-y-la-incapacidad-del-estado/</t>
        </is>
      </c>
      <c r="AF356" s="64" t="n"/>
      <c r="AG356" s="65" t="n"/>
    </row>
    <row r="357" ht="15" customHeight="1" s="31">
      <c r="A357" s="66" t="inlineStr">
        <is>
          <t>ART_066</t>
        </is>
      </c>
      <c r="B357" s="66" t="inlineStr">
        <is>
          <t>ART_066_S07</t>
        </is>
      </c>
      <c r="C357" s="66" t="inlineStr">
        <is>
          <t>El Espectador</t>
        </is>
      </c>
      <c r="D357" s="66" t="inlineStr">
        <is>
          <t>Medio ambiente</t>
        </is>
      </c>
      <c r="E357" s="66" t="inlineStr">
        <is>
          <t>Noticia dura</t>
        </is>
      </c>
      <c r="F357" s="66" t="inlineStr">
        <is>
          <t>2026-06-14T10:00:00-05:00</t>
        </is>
      </c>
      <c r="G357" s="67" t="inlineStr">
        <is>
          <t>El debate entre las dos ideas se da en medio de las alertas que han hecho gremios del sector energético, como Acolgen y Naturgas, asegurando que hay un déficit entre la oferta de energía de los próximos años y el crecimiento de la demanda, que podría llegar al –3,5 % para 2027.</t>
        </is>
      </c>
      <c r="H357" s="67" t="inlineStr">
        <is>
          <t>Mientras De la Espriella plantea que el fracking se haga con “pilotos regulados, evaluados con la mejor ciencia disponible y veeduría independiente, que permitan decidir con evidencia”, Cepeda propone “una política energética integral orientada a diversificar la economía, superar la dependencia de los combustibles fósiles y evitar los errores que nos llevaron a concentrar el desarrollo en la exportación de materias primas”.</t>
        </is>
      </c>
      <c r="I357" s="67" t="inlineStr">
        <is>
          <t>Las reservas de gas, aseguran desde los gremios, han caído un 57 % durante la última década y en escenarios de escasez de agua, como el que plantea el fenómeno de El Niño durante este año, “la probabilidad de déficit de gas de por lo menos un mes, podría alcanzar el 53% en 2026 y el 70% en 2027, lo que eleva significativamente el riesgo de racionamientos, incrementos tarifarios y afectaciones a la competitividad del país”.</t>
        </is>
      </c>
      <c r="J357" s="68" t="n"/>
      <c r="K357" s="69" t="n"/>
      <c r="L357" s="68" t="n"/>
      <c r="M357" s="69" t="n"/>
      <c r="N357" s="68" t="n"/>
      <c r="O357" s="69" t="n"/>
      <c r="P357" s="68" t="n"/>
      <c r="Q357" s="69" t="n"/>
      <c r="R357" s="68" t="n"/>
      <c r="S357" s="69" t="n"/>
      <c r="T357" s="68" t="n"/>
      <c r="U357" s="69" t="n"/>
      <c r="V357" s="68" t="n"/>
      <c r="W357" s="69" t="n"/>
      <c r="X357" s="68" t="n"/>
      <c r="Y357" s="69" t="n"/>
      <c r="Z357" s="68" t="n"/>
      <c r="AA357" s="69" t="n"/>
      <c r="AB357" s="68" t="n"/>
      <c r="AC357" s="69" t="n"/>
      <c r="AD357" s="70">
        <f>IF(AND(COUNTIF($B$5:B357,B357)=1,$B357&lt;&gt;"",$AB357&lt;&gt;""),1,0)</f>
        <v/>
      </c>
      <c r="AE357" s="67" t="inlineStr">
        <is>
          <t>https://www.elespectador.com/ambiente/el-fracking-en-colombia-entre-los-debates-ambientales-y-la-incapacidad-del-estado/</t>
        </is>
      </c>
      <c r="AF357" s="64" t="n"/>
      <c r="AG357" s="65" t="n"/>
    </row>
    <row r="358" ht="15" customHeight="1" s="31">
      <c r="A358" s="66" t="inlineStr">
        <is>
          <t>ART_066</t>
        </is>
      </c>
      <c r="B358" s="66" t="inlineStr">
        <is>
          <t>ART_066_S08</t>
        </is>
      </c>
      <c r="C358" s="66" t="inlineStr">
        <is>
          <t>El Espectador</t>
        </is>
      </c>
      <c r="D358" s="66" t="inlineStr">
        <is>
          <t>Medio ambiente</t>
        </is>
      </c>
      <c r="E358" s="66" t="inlineStr">
        <is>
          <t>Noticia dura</t>
        </is>
      </c>
      <c r="F358" s="66" t="inlineStr">
        <is>
          <t>2026-06-14T10:00:00-05:00</t>
        </is>
      </c>
      <c r="G358" s="67" t="inlineStr">
        <is>
          <t>Las reservas de gas, aseguran desde los gremios, han caído un 57 % durante la última década y en escenarios de escasez de agua, como el que plantea el fenómeno de El Niño durante este año, “la probabilidad de déficit de gas de por lo menos un mes, podría alcanzar el 53% en 2026 y el 70% en 2027, lo que eleva significativamente el riesgo de racionamientos, incrementos tarifarios y afectaciones a la competitividad del país”.</t>
        </is>
      </c>
      <c r="H358" s="67" t="inlineStr">
        <is>
          <t>El debate entre las dos ideas se da en medio de las alertas que han hecho gremios del sector energético, como Acolgen y Naturgas, asegurando que hay un déficit entre la oferta de energía de los próximos años y el crecimiento de la demanda, que podría llegar al –3,5 % para 2027.</t>
        </is>
      </c>
      <c r="I358" s="67" t="inlineStr">
        <is>
          <t>Del otro lado, el Panel Científico para el Cambio Climático de las Naciones Unidas (IPCC) y organismos internacionales, como la Agencia Internacional de Energía, han hecho un llamado para acelerar el abandono de los combustibles como el gas y el petróleo, para lograr el objetivo de reducir las emisiones contaminantes que están acelerando el cambio climático.</t>
        </is>
      </c>
      <c r="J358" s="68" t="n"/>
      <c r="K358" s="69" t="n"/>
      <c r="L358" s="68" t="n"/>
      <c r="M358" s="69" t="n"/>
      <c r="N358" s="68" t="n"/>
      <c r="O358" s="69" t="n"/>
      <c r="P358" s="68" t="n"/>
      <c r="Q358" s="69" t="n"/>
      <c r="R358" s="68" t="n"/>
      <c r="S358" s="69" t="n"/>
      <c r="T358" s="68" t="n"/>
      <c r="U358" s="69" t="n"/>
      <c r="V358" s="68" t="n"/>
      <c r="W358" s="69" t="n"/>
      <c r="X358" s="68" t="n"/>
      <c r="Y358" s="69" t="n"/>
      <c r="Z358" s="68" t="n"/>
      <c r="AA358" s="69" t="n"/>
      <c r="AB358" s="68" t="n"/>
      <c r="AC358" s="69" t="n"/>
      <c r="AD358" s="70">
        <f>IF(AND(COUNTIF($B$5:B358,B358)=1,$B358&lt;&gt;"",$AB358&lt;&gt;""),1,0)</f>
        <v/>
      </c>
      <c r="AE358" s="67" t="inlineStr">
        <is>
          <t>https://www.elespectador.com/ambiente/el-fracking-en-colombia-entre-los-debates-ambientales-y-la-incapacidad-del-estado/</t>
        </is>
      </c>
      <c r="AF358" s="64" t="n"/>
      <c r="AG358" s="65" t="n"/>
    </row>
    <row r="359" ht="15" customHeight="1" s="31">
      <c r="A359" s="66" t="inlineStr">
        <is>
          <t>ART_066</t>
        </is>
      </c>
      <c r="B359" s="66" t="inlineStr">
        <is>
          <t>ART_066_S09</t>
        </is>
      </c>
      <c r="C359" s="66" t="inlineStr">
        <is>
          <t>El Espectador</t>
        </is>
      </c>
      <c r="D359" s="66" t="inlineStr">
        <is>
          <t>Medio ambiente</t>
        </is>
      </c>
      <c r="E359" s="66" t="inlineStr">
        <is>
          <t>Noticia dura</t>
        </is>
      </c>
      <c r="F359" s="66" t="inlineStr">
        <is>
          <t>2026-06-14T10:00:00-05:00</t>
        </is>
      </c>
      <c r="G359" s="67" t="inlineStr">
        <is>
          <t>Del otro lado, el Panel Científico para el Cambio Climático de las Naciones Unidas (IPCC) y organismos internacionales, como la Agencia Internacional de Energía, han hecho un llamado para acelerar el abandono de los combustibles como el gas y el petróleo, para lograr el objetivo de reducir las emisiones contaminantes que están acelerando el cambio climático.</t>
        </is>
      </c>
      <c r="H359" s="67" t="inlineStr">
        <is>
          <t>Las reservas de gas, aseguran desde los gremios, han caído un 57 % durante la última década y en escenarios de escasez de agua, como el que plantea el fenómeno de El Niño durante este año, “la probabilidad de déficit de gas de por lo menos un mes, podría alcanzar el 53% en 2026 y el 70% en 2027, lo que eleva significativamente el riesgo de racionamientos, incrementos tarifarios y afectaciones a la competitividad del país”.</t>
        </is>
      </c>
      <c r="I359" s="67" t="inlineStr">
        <is>
          <t>Además, han resaltado que, si Colombia iniciara pilotos de fracking a finales de 2026, estos proyectos entrarían en operación, al menos, la próxima década.</t>
        </is>
      </c>
      <c r="J359" s="68" t="n"/>
      <c r="K359" s="69" t="n"/>
      <c r="L359" s="68" t="n"/>
      <c r="M359" s="69" t="n"/>
      <c r="N359" s="68" t="n"/>
      <c r="O359" s="69" t="n"/>
      <c r="P359" s="68" t="n"/>
      <c r="Q359" s="69" t="n"/>
      <c r="R359" s="68" t="n"/>
      <c r="S359" s="69" t="n"/>
      <c r="T359" s="68" t="n"/>
      <c r="U359" s="69" t="n"/>
      <c r="V359" s="68" t="n"/>
      <c r="W359" s="69" t="n"/>
      <c r="X359" s="68" t="n"/>
      <c r="Y359" s="69" t="n"/>
      <c r="Z359" s="68" t="n"/>
      <c r="AA359" s="69" t="n"/>
      <c r="AB359" s="68" t="n"/>
      <c r="AC359" s="69" t="n"/>
      <c r="AD359" s="70">
        <f>IF(AND(COUNTIF($B$5:B359,B359)=1,$B359&lt;&gt;"",$AB359&lt;&gt;""),1,0)</f>
        <v/>
      </c>
      <c r="AE359" s="67" t="inlineStr">
        <is>
          <t>https://www.elespectador.com/ambiente/el-fracking-en-colombia-entre-los-debates-ambientales-y-la-incapacidad-del-estado/</t>
        </is>
      </c>
      <c r="AF359" s="64" t="n"/>
      <c r="AG359" s="65" t="n"/>
    </row>
    <row r="360" ht="15" customHeight="1" s="31">
      <c r="A360" s="66" t="inlineStr">
        <is>
          <t>ART_066</t>
        </is>
      </c>
      <c r="B360" s="66" t="inlineStr">
        <is>
          <t>ART_066_S10</t>
        </is>
      </c>
      <c r="C360" s="66" t="inlineStr">
        <is>
          <t>El Espectador</t>
        </is>
      </c>
      <c r="D360" s="66" t="inlineStr">
        <is>
          <t>Medio ambiente</t>
        </is>
      </c>
      <c r="E360" s="66" t="inlineStr">
        <is>
          <t>Noticia dura</t>
        </is>
      </c>
      <c r="F360" s="66" t="inlineStr">
        <is>
          <t>2026-06-14T10:00:00-05:00</t>
        </is>
      </c>
      <c r="G360" s="67" t="inlineStr">
        <is>
          <t>Además, han resaltado que, si Colombia iniciara pilotos de fracking a finales de 2026, estos proyectos entrarían en operación, al menos, la próxima década.</t>
        </is>
      </c>
      <c r="H360" s="67" t="inlineStr">
        <is>
          <t>Del otro lado, el Panel Científico para el Cambio Climático de las Naciones Unidas (IPCC) y organismos internacionales, como la Agencia Internacional de Energía, han hecho un llamado para acelerar el abandono de los combustibles como el gas y el petróleo, para lograr el objetivo de reducir las emisiones contaminantes que están acelerando el cambio climático.</t>
        </is>
      </c>
      <c r="I360" s="67" t="inlineStr">
        <is>
          <t>Según el GEM, los proyectos de gas y petróleo ahora están tardando alrededor de 15 años en entrar en operación, tres veces más de lo que se demoraban en los mejores años para explotación de estos combustibles.</t>
        </is>
      </c>
      <c r="J360" s="68" t="n"/>
      <c r="K360" s="69" t="n"/>
      <c r="L360" s="68" t="n"/>
      <c r="M360" s="69" t="n"/>
      <c r="N360" s="68" t="n"/>
      <c r="O360" s="69" t="n"/>
      <c r="P360" s="68" t="n"/>
      <c r="Q360" s="69" t="n"/>
      <c r="R360" s="68" t="n"/>
      <c r="S360" s="69" t="n"/>
      <c r="T360" s="68" t="n"/>
      <c r="U360" s="69" t="n"/>
      <c r="V360" s="68" t="n"/>
      <c r="W360" s="69" t="n"/>
      <c r="X360" s="68" t="n"/>
      <c r="Y360" s="69" t="n"/>
      <c r="Z360" s="68" t="n"/>
      <c r="AA360" s="69" t="n"/>
      <c r="AB360" s="68" t="n"/>
      <c r="AC360" s="69" t="n"/>
      <c r="AD360" s="70">
        <f>IF(AND(COUNTIF($B$5:B360,B360)=1,$B360&lt;&gt;"",$AB360&lt;&gt;""),1,0)</f>
        <v/>
      </c>
      <c r="AE360" s="67" t="inlineStr">
        <is>
          <t>https://www.elespectador.com/ambiente/el-fracking-en-colombia-entre-los-debates-ambientales-y-la-incapacidad-del-estado/</t>
        </is>
      </c>
      <c r="AF360" s="64" t="n"/>
      <c r="AG360" s="65" t="n"/>
    </row>
    <row r="361" ht="15" customHeight="1" s="31">
      <c r="A361" s="66" t="inlineStr">
        <is>
          <t>ART_066</t>
        </is>
      </c>
      <c r="B361" s="66" t="inlineStr">
        <is>
          <t>ART_066_S11</t>
        </is>
      </c>
      <c r="C361" s="66" t="inlineStr">
        <is>
          <t>El Espectador</t>
        </is>
      </c>
      <c r="D361" s="66" t="inlineStr">
        <is>
          <t>Medio ambiente</t>
        </is>
      </c>
      <c r="E361" s="66" t="inlineStr">
        <is>
          <t>Noticia dura</t>
        </is>
      </c>
      <c r="F361" s="66" t="inlineStr">
        <is>
          <t>2026-06-14T10:00:00-05:00</t>
        </is>
      </c>
      <c r="G361" s="67" t="inlineStr">
        <is>
          <t>Según el GEM, los proyectos de gas y petróleo ahora están tardando alrededor de 15 años en entrar en operación, tres veces más de lo que se demoraban en los mejores años para explotación de estos combustibles.</t>
        </is>
      </c>
      <c r="H361" s="67" t="inlineStr">
        <is>
          <t>Además, han resaltado que, si Colombia iniciara pilotos de fracking a finales de 2026, estos proyectos entrarían en operación, al menos, la próxima década.</t>
        </is>
      </c>
      <c r="I361" s="67" t="inlineStr">
        <is>
          <t>En este contexto, la campaña presidencial ha vuelto a abrir la discusión sobre si Colombia debería hacer fracking o no.</t>
        </is>
      </c>
      <c r="J361" s="68" t="n"/>
      <c r="K361" s="69" t="n"/>
      <c r="L361" s="68" t="n"/>
      <c r="M361" s="69" t="n"/>
      <c r="N361" s="68" t="n"/>
      <c r="O361" s="69" t="n"/>
      <c r="P361" s="68" t="n"/>
      <c r="Q361" s="69" t="n"/>
      <c r="R361" s="68" t="n"/>
      <c r="S361" s="69" t="n"/>
      <c r="T361" s="68" t="n"/>
      <c r="U361" s="69" t="n"/>
      <c r="V361" s="68" t="n"/>
      <c r="W361" s="69" t="n"/>
      <c r="X361" s="68" t="n"/>
      <c r="Y361" s="69" t="n"/>
      <c r="Z361" s="68" t="n"/>
      <c r="AA361" s="69" t="n"/>
      <c r="AB361" s="68" t="n"/>
      <c r="AC361" s="69" t="n"/>
      <c r="AD361" s="70">
        <f>IF(AND(COUNTIF($B$5:B361,B361)=1,$B361&lt;&gt;"",$AB361&lt;&gt;""),1,0)</f>
        <v/>
      </c>
      <c r="AE361" s="67" t="inlineStr">
        <is>
          <t>https://www.elespectador.com/ambiente/el-fracking-en-colombia-entre-los-debates-ambientales-y-la-incapacidad-del-estado/</t>
        </is>
      </c>
      <c r="AF361" s="64" t="n"/>
      <c r="AG361" s="65" t="n"/>
    </row>
    <row r="362" ht="15" customHeight="1" s="31">
      <c r="A362" s="66" t="inlineStr">
        <is>
          <t>ART_066</t>
        </is>
      </c>
      <c r="B362" s="66" t="inlineStr">
        <is>
          <t>ART_066_S12</t>
        </is>
      </c>
      <c r="C362" s="66" t="inlineStr">
        <is>
          <t>El Espectador</t>
        </is>
      </c>
      <c r="D362" s="66" t="inlineStr">
        <is>
          <t>Medio ambiente</t>
        </is>
      </c>
      <c r="E362" s="66" t="inlineStr">
        <is>
          <t>Noticia dura</t>
        </is>
      </c>
      <c r="F362" s="66" t="inlineStr">
        <is>
          <t>2026-06-14T10:00:00-05:00</t>
        </is>
      </c>
      <c r="G362" s="67" t="inlineStr">
        <is>
          <t>En este contexto, la campaña presidencial ha vuelto a abrir la discusión sobre si Colombia debería hacer fracking o no.</t>
        </is>
      </c>
      <c r="H362" s="67" t="inlineStr">
        <is>
          <t>Según el GEM, los proyectos de gas y petróleo ahora están tardando alrededor de 15 años en entrar en operación, tres veces más de lo que se demoraban en los mejores años para explotación de estos combustibles.</t>
        </is>
      </c>
      <c r="I362" s="67" t="inlineStr">
        <is>
          <t>El debate ya se venía dando desde 2018, cuando una comisión de expertos independientes evaluó los riesgos asociados a esta técnica y la capacidad del país para implementarla.</t>
        </is>
      </c>
      <c r="J362" s="68" t="n"/>
      <c r="K362" s="69" t="n"/>
      <c r="L362" s="68" t="n"/>
      <c r="M362" s="69" t="n"/>
      <c r="N362" s="68" t="n"/>
      <c r="O362" s="69" t="n"/>
      <c r="P362" s="68" t="n"/>
      <c r="Q362" s="69" t="n"/>
      <c r="R362" s="68" t="n"/>
      <c r="S362" s="69" t="n"/>
      <c r="T362" s="68" t="n"/>
      <c r="U362" s="69" t="n"/>
      <c r="V362" s="68" t="n"/>
      <c r="W362" s="69" t="n"/>
      <c r="X362" s="68" t="n"/>
      <c r="Y362" s="69" t="n"/>
      <c r="Z362" s="68" t="n"/>
      <c r="AA362" s="69" t="n"/>
      <c r="AB362" s="68" t="n"/>
      <c r="AC362" s="69" t="n"/>
      <c r="AD362" s="70">
        <f>IF(AND(COUNTIF($B$5:B362,B362)=1,$B362&lt;&gt;"",$AB362&lt;&gt;""),1,0)</f>
        <v/>
      </c>
      <c r="AE362" s="67" t="inlineStr">
        <is>
          <t>https://www.elespectador.com/ambiente/el-fracking-en-colombia-entre-los-debates-ambientales-y-la-incapacidad-del-estado/</t>
        </is>
      </c>
      <c r="AF362" s="64" t="n"/>
      <c r="AG362" s="65" t="n"/>
    </row>
    <row r="363" ht="15" customHeight="1" s="31">
      <c r="A363" s="66" t="inlineStr">
        <is>
          <t>ART_066</t>
        </is>
      </c>
      <c r="B363" s="66" t="inlineStr">
        <is>
          <t>ART_066_S13</t>
        </is>
      </c>
      <c r="C363" s="66" t="inlineStr">
        <is>
          <t>El Espectador</t>
        </is>
      </c>
      <c r="D363" s="66" t="inlineStr">
        <is>
          <t>Medio ambiente</t>
        </is>
      </c>
      <c r="E363" s="66" t="inlineStr">
        <is>
          <t>Noticia dura</t>
        </is>
      </c>
      <c r="F363" s="66" t="inlineStr">
        <is>
          <t>2026-06-14T10:00:00-05:00</t>
        </is>
      </c>
      <c r="G363" s="67" t="inlineStr">
        <is>
          <t>El debate ya se venía dando desde 2018, cuando una comisión de expertos independientes evaluó los riesgos asociados a esta técnica y la capacidad del país para implementarla.</t>
        </is>
      </c>
      <c r="H363" s="67" t="inlineStr">
        <is>
          <t>En este contexto, la campaña presidencial ha vuelto a abrir la discusión sobre si Colombia debería hacer fracking o no.</t>
        </is>
      </c>
      <c r="I363" s="67" t="inlineStr">
        <is>
          <t>En la discusión hay varios mitos, preocupaciones ambientales y una pregunta de fondo por el futuro del gas y el petróleo.</t>
        </is>
      </c>
      <c r="J363" s="68" t="n"/>
      <c r="K363" s="69" t="n"/>
      <c r="L363" s="68" t="n"/>
      <c r="M363" s="69" t="n"/>
      <c r="N363" s="68" t="n"/>
      <c r="O363" s="69" t="n"/>
      <c r="P363" s="68" t="n"/>
      <c r="Q363" s="69" t="n"/>
      <c r="R363" s="68" t="n"/>
      <c r="S363" s="69" t="n"/>
      <c r="T363" s="68" t="n"/>
      <c r="U363" s="69" t="n"/>
      <c r="V363" s="68" t="n"/>
      <c r="W363" s="69" t="n"/>
      <c r="X363" s="68" t="n"/>
      <c r="Y363" s="69" t="n"/>
      <c r="Z363" s="68" t="n"/>
      <c r="AA363" s="69" t="n"/>
      <c r="AB363" s="68" t="n"/>
      <c r="AC363" s="69" t="n"/>
      <c r="AD363" s="70">
        <f>IF(AND(COUNTIF($B$5:B363,B363)=1,$B363&lt;&gt;"",$AB363&lt;&gt;""),1,0)</f>
        <v/>
      </c>
      <c r="AE363" s="67" t="inlineStr">
        <is>
          <t>https://www.elespectador.com/ambiente/el-fracking-en-colombia-entre-los-debates-ambientales-y-la-incapacidad-del-estado/</t>
        </is>
      </c>
      <c r="AF363" s="64" t="n"/>
      <c r="AG363" s="65" t="n"/>
    </row>
    <row r="364" ht="15" customHeight="1" s="31">
      <c r="A364" s="66" t="inlineStr">
        <is>
          <t>ART_066</t>
        </is>
      </c>
      <c r="B364" s="66" t="inlineStr">
        <is>
          <t>ART_066_S14</t>
        </is>
      </c>
      <c r="C364" s="66" t="inlineStr">
        <is>
          <t>El Espectador</t>
        </is>
      </c>
      <c r="D364" s="66" t="inlineStr">
        <is>
          <t>Medio ambiente</t>
        </is>
      </c>
      <c r="E364" s="66" t="inlineStr">
        <is>
          <t>Noticia dura</t>
        </is>
      </c>
      <c r="F364" s="66" t="inlineStr">
        <is>
          <t>2026-06-14T10:00:00-05:00</t>
        </is>
      </c>
      <c r="G364" s="67" t="inlineStr">
        <is>
          <t>En la discusión hay varios mitos, preocupaciones ambientales y una pregunta de fondo por el futuro del gas y el petróleo.</t>
        </is>
      </c>
      <c r="H364" s="67" t="inlineStr">
        <is>
          <t>El debate ya se venía dando desde 2018, cuando una comisión de expertos independientes evaluó los riesgos asociados a esta técnica y la capacidad del país para implementarla.</t>
        </is>
      </c>
      <c r="I364" s="67" t="inlineStr"/>
      <c r="J364" s="68" t="n"/>
      <c r="K364" s="69" t="n"/>
      <c r="L364" s="68" t="n"/>
      <c r="M364" s="69" t="n"/>
      <c r="N364" s="68" t="n"/>
      <c r="O364" s="69" t="n"/>
      <c r="P364" s="68" t="n"/>
      <c r="Q364" s="69" t="n"/>
      <c r="R364" s="68" t="n"/>
      <c r="S364" s="69" t="n"/>
      <c r="T364" s="68" t="n"/>
      <c r="U364" s="69" t="n"/>
      <c r="V364" s="68" t="n"/>
      <c r="W364" s="69" t="n"/>
      <c r="X364" s="68" t="n"/>
      <c r="Y364" s="69" t="n"/>
      <c r="Z364" s="68" t="n"/>
      <c r="AA364" s="69" t="n"/>
      <c r="AB364" s="68" t="n"/>
      <c r="AC364" s="69" t="n"/>
      <c r="AD364" s="70">
        <f>IF(AND(COUNTIF($B$5:B364,B364)=1,$B364&lt;&gt;"",$AB364&lt;&gt;""),1,0)</f>
        <v/>
      </c>
      <c r="AE364" s="67" t="inlineStr">
        <is>
          <t>https://www.elespectador.com/ambiente/el-fracking-en-colombia-entre-los-debates-ambientales-y-la-incapacidad-del-estado/</t>
        </is>
      </c>
      <c r="AF364" s="64" t="n"/>
      <c r="AG364" s="65" t="n"/>
    </row>
    <row r="365" ht="15" customHeight="1" s="31">
      <c r="A365" s="66" t="inlineStr">
        <is>
          <t>ART_067</t>
        </is>
      </c>
      <c r="B365" s="66" t="inlineStr">
        <is>
          <t>ART_067_S01</t>
        </is>
      </c>
      <c r="C365" s="66" t="inlineStr">
        <is>
          <t>La Silla Vacía</t>
        </is>
      </c>
      <c r="D365" s="66" t="inlineStr">
        <is>
          <t>Medio ambiente</t>
        </is>
      </c>
      <c r="E365" s="66" t="inlineStr">
        <is>
          <t>Noticia dura</t>
        </is>
      </c>
      <c r="F365" s="66" t="inlineStr">
        <is>
          <t>2026-04-03T20:20:29+00:00</t>
        </is>
      </c>
      <c r="G365" s="67" t="inlineStr">
        <is>
          <t>El Instituto de Hidrología, Meteorología y Estudios Ambientales (Ideam) publicó esta semana su cuarto boletín trimestral de alertas tempranas de deforestación de 2025.</t>
        </is>
      </c>
      <c r="H365" s="67" t="inlineStr"/>
      <c r="I365" s="67" t="inlineStr">
        <is>
          <t>Según ese informe, la deforestación estimada en la Amazonía colombiana fue de 72.409 hectáreas en 2025, un 6% más que en 2024, cuando se estimaron 68.330 ha.</t>
        </is>
      </c>
      <c r="J365" s="68" t="n"/>
      <c r="K365" s="69" t="n"/>
      <c r="L365" s="68" t="n"/>
      <c r="M365" s="69" t="n"/>
      <c r="N365" s="68" t="n"/>
      <c r="O365" s="69" t="n"/>
      <c r="P365" s="68" t="n"/>
      <c r="Q365" s="69" t="n"/>
      <c r="R365" s="68" t="n"/>
      <c r="S365" s="69" t="n"/>
      <c r="T365" s="68" t="n"/>
      <c r="U365" s="69" t="n"/>
      <c r="V365" s="68" t="n"/>
      <c r="W365" s="69" t="n"/>
      <c r="X365" s="68" t="n"/>
      <c r="Y365" s="69" t="n"/>
      <c r="Z365" s="68" t="n"/>
      <c r="AA365" s="69" t="n"/>
      <c r="AB365" s="68" t="n"/>
      <c r="AC365" s="69" t="n"/>
      <c r="AD365" s="70">
        <f>IF(AND(COUNTIF($B$5:B365,B365)=1,$B365&lt;&gt;"",$AB365&lt;&gt;""),1,0)</f>
        <v/>
      </c>
      <c r="AE365" s="67" t="inlineStr">
        <is>
          <t>https://www.lasillavacia.com/en-vivo/deforestacion-en-la-amazonia-aumento-6-en-2025/</t>
        </is>
      </c>
      <c r="AF365" s="64" t="n"/>
      <c r="AG365" s="65" t="n"/>
    </row>
    <row r="366" ht="15" customHeight="1" s="31">
      <c r="A366" s="66" t="inlineStr">
        <is>
          <t>ART_067</t>
        </is>
      </c>
      <c r="B366" s="66" t="inlineStr">
        <is>
          <t>ART_067_S02</t>
        </is>
      </c>
      <c r="C366" s="66" t="inlineStr">
        <is>
          <t>La Silla Vacía</t>
        </is>
      </c>
      <c r="D366" s="66" t="inlineStr">
        <is>
          <t>Medio ambiente</t>
        </is>
      </c>
      <c r="E366" s="66" t="inlineStr">
        <is>
          <t>Noticia dura</t>
        </is>
      </c>
      <c r="F366" s="66" t="inlineStr">
        <is>
          <t>2026-04-03T20:20:29+00:00</t>
        </is>
      </c>
      <c r="G366" s="67" t="inlineStr">
        <is>
          <t>Según ese informe, la deforestación estimada en la Amazonía colombiana fue de 72.409 hectáreas en 2025, un 6% más que en 2024, cuando se estimaron 68.330 ha.</t>
        </is>
      </c>
      <c r="H366" s="67" t="inlineStr">
        <is>
          <t>El Instituto de Hidrología, Meteorología y Estudios Ambientales (Ideam) publicó esta semana su cuarto boletín trimestral de alertas tempranas de deforestación de 2025.</t>
        </is>
      </c>
      <c r="I366" s="67" t="inlineStr">
        <is>
          <t>La cifra definitiva saldrá en el mes de julio de este año.</t>
        </is>
      </c>
      <c r="J366" s="68" t="n"/>
      <c r="K366" s="69" t="n"/>
      <c r="L366" s="68" t="n"/>
      <c r="M366" s="69" t="n"/>
      <c r="N366" s="68" t="n"/>
      <c r="O366" s="69" t="n"/>
      <c r="P366" s="68" t="n"/>
      <c r="Q366" s="69" t="n"/>
      <c r="R366" s="68" t="n"/>
      <c r="S366" s="69" t="n"/>
      <c r="T366" s="68" t="n"/>
      <c r="U366" s="69" t="n"/>
      <c r="V366" s="68" t="n"/>
      <c r="W366" s="69" t="n"/>
      <c r="X366" s="68" t="n"/>
      <c r="Y366" s="69" t="n"/>
      <c r="Z366" s="68" t="n"/>
      <c r="AA366" s="69" t="n"/>
      <c r="AB366" s="68" t="n"/>
      <c r="AC366" s="69" t="n"/>
      <c r="AD366" s="70">
        <f>IF(AND(COUNTIF($B$5:B366,B366)=1,$B366&lt;&gt;"",$AB366&lt;&gt;""),1,0)</f>
        <v/>
      </c>
      <c r="AE366" s="67" t="inlineStr">
        <is>
          <t>https://www.lasillavacia.com/en-vivo/deforestacion-en-la-amazonia-aumento-6-en-2025/</t>
        </is>
      </c>
      <c r="AF366" s="64" t="n"/>
      <c r="AG366" s="65" t="n"/>
    </row>
    <row r="367" ht="15" customHeight="1" s="31">
      <c r="A367" s="66" t="inlineStr">
        <is>
          <t>ART_067</t>
        </is>
      </c>
      <c r="B367" s="66" t="inlineStr">
        <is>
          <t>ART_067_S03</t>
        </is>
      </c>
      <c r="C367" s="66" t="inlineStr">
        <is>
          <t>La Silla Vacía</t>
        </is>
      </c>
      <c r="D367" s="66" t="inlineStr">
        <is>
          <t>Medio ambiente</t>
        </is>
      </c>
      <c r="E367" s="66" t="inlineStr">
        <is>
          <t>Noticia dura</t>
        </is>
      </c>
      <c r="F367" s="66" t="inlineStr">
        <is>
          <t>2026-04-03T20:20:29+00:00</t>
        </is>
      </c>
      <c r="G367" s="67" t="inlineStr">
        <is>
          <t>La cifra definitiva saldrá en el mes de julio de este año.</t>
        </is>
      </c>
      <c r="H367" s="67" t="inlineStr">
        <is>
          <t>Según ese informe, la deforestación estimada en la Amazonía colombiana fue de 72.409 hectáreas en 2025, un 6% más que en 2024, cuando se estimaron 68.330 ha.</t>
        </is>
      </c>
      <c r="I367" s="67" t="inlineStr">
        <is>
          <t>El año pasado originalmente se estimó un aumento del 54%, pero el definitivo fue 20 puntos porcentuales más (74%).</t>
        </is>
      </c>
      <c r="J367" s="68" t="n"/>
      <c r="K367" s="69" t="n"/>
      <c r="L367" s="68" t="n"/>
      <c r="M367" s="69" t="n"/>
      <c r="N367" s="68" t="n"/>
      <c r="O367" s="69" t="n"/>
      <c r="P367" s="68" t="n"/>
      <c r="Q367" s="69" t="n"/>
      <c r="R367" s="68" t="n"/>
      <c r="S367" s="69" t="n"/>
      <c r="T367" s="68" t="n"/>
      <c r="U367" s="69" t="n"/>
      <c r="V367" s="68" t="n"/>
      <c r="W367" s="69" t="n"/>
      <c r="X367" s="68" t="n"/>
      <c r="Y367" s="69" t="n"/>
      <c r="Z367" s="68" t="n"/>
      <c r="AA367" s="69" t="n"/>
      <c r="AB367" s="68" t="n"/>
      <c r="AC367" s="69" t="n"/>
      <c r="AD367" s="70">
        <f>IF(AND(COUNTIF($B$5:B367,B367)=1,$B367&lt;&gt;"",$AB367&lt;&gt;""),1,0)</f>
        <v/>
      </c>
      <c r="AE367" s="67" t="inlineStr">
        <is>
          <t>https://www.lasillavacia.com/en-vivo/deforestacion-en-la-amazonia-aumento-6-en-2025/</t>
        </is>
      </c>
      <c r="AF367" s="64" t="n"/>
      <c r="AG367" s="65" t="n"/>
    </row>
    <row r="368" ht="15" customHeight="1" s="31">
      <c r="A368" s="66" t="inlineStr">
        <is>
          <t>ART_067</t>
        </is>
      </c>
      <c r="B368" s="66" t="inlineStr">
        <is>
          <t>ART_067_S04</t>
        </is>
      </c>
      <c r="C368" s="66" t="inlineStr">
        <is>
          <t>La Silla Vacía</t>
        </is>
      </c>
      <c r="D368" s="66" t="inlineStr">
        <is>
          <t>Medio ambiente</t>
        </is>
      </c>
      <c r="E368" s="66" t="inlineStr">
        <is>
          <t>Noticia dura</t>
        </is>
      </c>
      <c r="F368" s="66" t="inlineStr">
        <is>
          <t>2026-04-03T20:20:29+00:00</t>
        </is>
      </c>
      <c r="G368" s="67" t="inlineStr">
        <is>
          <t>El año pasado originalmente se estimó un aumento del 54%, pero el definitivo fue 20 puntos porcentuales más (74%).</t>
        </is>
      </c>
      <c r="H368" s="67" t="inlineStr">
        <is>
          <t>La cifra definitiva saldrá en el mes de julio de este año.</t>
        </is>
      </c>
      <c r="I368" s="67" t="inlineStr">
        <is>
          <t>El cuarto trimestre disparó las cifras.</t>
        </is>
      </c>
      <c r="J368" s="68" t="n"/>
      <c r="K368" s="69" t="n"/>
      <c r="L368" s="68" t="n"/>
      <c r="M368" s="69" t="n"/>
      <c r="N368" s="68" t="n"/>
      <c r="O368" s="69" t="n"/>
      <c r="P368" s="68" t="n"/>
      <c r="Q368" s="69" t="n"/>
      <c r="R368" s="68" t="n"/>
      <c r="S368" s="69" t="n"/>
      <c r="T368" s="68" t="n"/>
      <c r="U368" s="69" t="n"/>
      <c r="V368" s="68" t="n"/>
      <c r="W368" s="69" t="n"/>
      <c r="X368" s="68" t="n"/>
      <c r="Y368" s="69" t="n"/>
      <c r="Z368" s="68" t="n"/>
      <c r="AA368" s="69" t="n"/>
      <c r="AB368" s="68" t="n"/>
      <c r="AC368" s="69" t="n"/>
      <c r="AD368" s="70">
        <f>IF(AND(COUNTIF($B$5:B368,B368)=1,$B368&lt;&gt;"",$AB368&lt;&gt;""),1,0)</f>
        <v/>
      </c>
      <c r="AE368" s="67" t="inlineStr">
        <is>
          <t>https://www.lasillavacia.com/en-vivo/deforestacion-en-la-amazonia-aumento-6-en-2025/</t>
        </is>
      </c>
      <c r="AF368" s="64" t="n"/>
      <c r="AG368" s="65" t="n"/>
    </row>
    <row r="369" ht="15" customHeight="1" s="31">
      <c r="A369" s="66" t="inlineStr">
        <is>
          <t>ART_067</t>
        </is>
      </c>
      <c r="B369" s="66" t="inlineStr">
        <is>
          <t>ART_067_S05</t>
        </is>
      </c>
      <c r="C369" s="66" t="inlineStr">
        <is>
          <t>La Silla Vacía</t>
        </is>
      </c>
      <c r="D369" s="66" t="inlineStr">
        <is>
          <t>Medio ambiente</t>
        </is>
      </c>
      <c r="E369" s="66" t="inlineStr">
        <is>
          <t>Noticia dura</t>
        </is>
      </c>
      <c r="F369" s="66" t="inlineStr">
        <is>
          <t>2026-04-03T20:20:29+00:00</t>
        </is>
      </c>
      <c r="G369" s="67" t="inlineStr">
        <is>
          <t>El cuarto trimestre disparó las cifras.</t>
        </is>
      </c>
      <c r="H369" s="67" t="inlineStr">
        <is>
          <t>El año pasado originalmente se estimó un aumento del 54%, pero el definitivo fue 20 puntos porcentuales más (74%).</t>
        </is>
      </c>
      <c r="I369" s="67" t="inlineStr">
        <is>
          <t>La deforestación entre enero y septiembre de 2025 (36.280 hectáreas) había sido menor 25% frente al mismo período en 2024 (48.532).</t>
        </is>
      </c>
      <c r="J369" s="68" t="n"/>
      <c r="K369" s="69" t="n"/>
      <c r="L369" s="68" t="n"/>
      <c r="M369" s="69" t="n"/>
      <c r="N369" s="68" t="n"/>
      <c r="O369" s="69" t="n"/>
      <c r="P369" s="68" t="n"/>
      <c r="Q369" s="69" t="n"/>
      <c r="R369" s="68" t="n"/>
      <c r="S369" s="69" t="n"/>
      <c r="T369" s="68" t="n"/>
      <c r="U369" s="69" t="n"/>
      <c r="V369" s="68" t="n"/>
      <c r="W369" s="69" t="n"/>
      <c r="X369" s="68" t="n"/>
      <c r="Y369" s="69" t="n"/>
      <c r="Z369" s="68" t="n"/>
      <c r="AA369" s="69" t="n"/>
      <c r="AB369" s="68" t="n"/>
      <c r="AC369" s="69" t="n"/>
      <c r="AD369" s="70">
        <f>IF(AND(COUNTIF($B$5:B369,B369)=1,$B369&lt;&gt;"",$AB369&lt;&gt;""),1,0)</f>
        <v/>
      </c>
      <c r="AE369" s="67" t="inlineStr">
        <is>
          <t>https://www.lasillavacia.com/en-vivo/deforestacion-en-la-amazonia-aumento-6-en-2025/</t>
        </is>
      </c>
      <c r="AF369" s="64" t="n"/>
      <c r="AG369" s="65" t="n"/>
    </row>
    <row r="370" ht="15" customHeight="1" s="31">
      <c r="A370" s="66" t="inlineStr">
        <is>
          <t>ART_067</t>
        </is>
      </c>
      <c r="B370" s="66" t="inlineStr">
        <is>
          <t>ART_067_S06</t>
        </is>
      </c>
      <c r="C370" s="66" t="inlineStr">
        <is>
          <t>La Silla Vacía</t>
        </is>
      </c>
      <c r="D370" s="66" t="inlineStr">
        <is>
          <t>Medio ambiente</t>
        </is>
      </c>
      <c r="E370" s="66" t="inlineStr">
        <is>
          <t>Noticia dura</t>
        </is>
      </c>
      <c r="F370" s="66" t="inlineStr">
        <is>
          <t>2026-04-03T20:20:29+00:00</t>
        </is>
      </c>
      <c r="G370" s="67" t="inlineStr">
        <is>
          <t>La deforestación entre enero y septiembre de 2025 (36.280 hectáreas) había sido menor 25% frente al mismo período en 2024 (48.532).</t>
        </is>
      </c>
      <c r="H370" s="67" t="inlineStr">
        <is>
          <t>El cuarto trimestre disparó las cifras.</t>
        </is>
      </c>
      <c r="I370" s="67" t="inlineStr">
        <is>
          <t>Pero en 2025 el aumento se concentró entre octubre y diciembre, cuando se perdieron 36.129 hectáreas, casi lo mismo que el resto de los otros nueve meses y 16.330 más que en el mismo período de 2024.</t>
        </is>
      </c>
      <c r="J370" s="68" t="n"/>
      <c r="K370" s="69" t="n"/>
      <c r="L370" s="68" t="n"/>
      <c r="M370" s="69" t="n"/>
      <c r="N370" s="68" t="n"/>
      <c r="O370" s="69" t="n"/>
      <c r="P370" s="68" t="n"/>
      <c r="Q370" s="69" t="n"/>
      <c r="R370" s="68" t="n"/>
      <c r="S370" s="69" t="n"/>
      <c r="T370" s="68" t="n"/>
      <c r="U370" s="69" t="n"/>
      <c r="V370" s="68" t="n"/>
      <c r="W370" s="69" t="n"/>
      <c r="X370" s="68" t="n"/>
      <c r="Y370" s="69" t="n"/>
      <c r="Z370" s="68" t="n"/>
      <c r="AA370" s="69" t="n"/>
      <c r="AB370" s="68" t="n"/>
      <c r="AC370" s="69" t="n"/>
      <c r="AD370" s="70">
        <f>IF(AND(COUNTIF($B$5:B370,B370)=1,$B370&lt;&gt;"",$AB370&lt;&gt;""),1,0)</f>
        <v/>
      </c>
      <c r="AE370" s="67" t="inlineStr">
        <is>
          <t>https://www.lasillavacia.com/en-vivo/deforestacion-en-la-amazonia-aumento-6-en-2025/</t>
        </is>
      </c>
      <c r="AF370" s="64" t="n"/>
      <c r="AG370" s="65" t="n"/>
    </row>
    <row r="371" ht="15" customHeight="1" s="31">
      <c r="A371" s="66" t="inlineStr">
        <is>
          <t>ART_067</t>
        </is>
      </c>
      <c r="B371" s="66" t="inlineStr">
        <is>
          <t>ART_067_S07</t>
        </is>
      </c>
      <c r="C371" s="66" t="inlineStr">
        <is>
          <t>La Silla Vacía</t>
        </is>
      </c>
      <c r="D371" s="66" t="inlineStr">
        <is>
          <t>Medio ambiente</t>
        </is>
      </c>
      <c r="E371" s="66" t="inlineStr">
        <is>
          <t>Noticia dura</t>
        </is>
      </c>
      <c r="F371" s="66" t="inlineStr">
        <is>
          <t>2026-04-03T20:20:29+00:00</t>
        </is>
      </c>
      <c r="G371" s="67" t="inlineStr">
        <is>
          <t>Pero en 2025 el aumento se concentró entre octubre y diciembre, cuando se perdieron 36.129 hectáreas, casi lo mismo que el resto de los otros nueve meses y 16.330 más que en el mismo período de 2024.</t>
        </is>
      </c>
      <c r="H371" s="67" t="inlineStr">
        <is>
          <t>La deforestación entre enero y septiembre de 2025 (36.280 hectáreas) había sido menor 25% frente al mismo período en 2024 (48.532).</t>
        </is>
      </c>
      <c r="I371" s="67" t="inlineStr"/>
      <c r="J371" s="68" t="n"/>
      <c r="K371" s="69" t="n"/>
      <c r="L371" s="68" t="n"/>
      <c r="M371" s="69" t="n"/>
      <c r="N371" s="68" t="n"/>
      <c r="O371" s="69" t="n"/>
      <c r="P371" s="68" t="n"/>
      <c r="Q371" s="69" t="n"/>
      <c r="R371" s="68" t="n"/>
      <c r="S371" s="69" t="n"/>
      <c r="T371" s="68" t="n"/>
      <c r="U371" s="69" t="n"/>
      <c r="V371" s="68" t="n"/>
      <c r="W371" s="69" t="n"/>
      <c r="X371" s="68" t="n"/>
      <c r="Y371" s="69" t="n"/>
      <c r="Z371" s="68" t="n"/>
      <c r="AA371" s="69" t="n"/>
      <c r="AB371" s="68" t="n"/>
      <c r="AC371" s="69" t="n"/>
      <c r="AD371" s="70">
        <f>IF(AND(COUNTIF($B$5:B371,B371)=1,$B371&lt;&gt;"",$AB371&lt;&gt;""),1,0)</f>
        <v/>
      </c>
      <c r="AE371" s="67" t="inlineStr">
        <is>
          <t>https://www.lasillavacia.com/en-vivo/deforestacion-en-la-amazonia-aumento-6-en-2025/</t>
        </is>
      </c>
      <c r="AF371" s="64" t="n"/>
      <c r="AG371" s="65" t="n"/>
    </row>
    <row r="372" ht="15" customHeight="1" s="31">
      <c r="A372" s="66" t="inlineStr">
        <is>
          <t>ART_068</t>
        </is>
      </c>
      <c r="B372" s="66" t="inlineStr">
        <is>
          <t>ART_068_S01</t>
        </is>
      </c>
      <c r="C372" s="66" t="inlineStr">
        <is>
          <t>La Silla Vacía</t>
        </is>
      </c>
      <c r="D372" s="66" t="inlineStr">
        <is>
          <t>Medio ambiente</t>
        </is>
      </c>
      <c r="E372" s="66" t="inlineStr">
        <is>
          <t>Noticia dura</t>
        </is>
      </c>
      <c r="F372" s="66" t="inlineStr">
        <is>
          <t>2026-07-03T23:17:19+00:00</t>
        </is>
      </c>
      <c r="G372" s="67" t="inlineStr">
        <is>
          <t>Durante la ronda de medios que hizo este viernes, el próximo ministro de Ambiente, Fabio Arjona , dio a entender que desde el Ministerio no se opondrá al fracking, sino que se concentrará en supervisar que no genere daños ambientales irreparables.</t>
        </is>
      </c>
      <c r="H372" s="67" t="inlineStr"/>
      <c r="I372" s="67" t="inlineStr"/>
      <c r="J372" s="68" t="n"/>
      <c r="K372" s="69" t="n"/>
      <c r="L372" s="68" t="n"/>
      <c r="M372" s="69" t="n"/>
      <c r="N372" s="68" t="n"/>
      <c r="O372" s="69" t="n"/>
      <c r="P372" s="68" t="n"/>
      <c r="Q372" s="69" t="n"/>
      <c r="R372" s="68" t="n"/>
      <c r="S372" s="69" t="n"/>
      <c r="T372" s="68" t="n"/>
      <c r="U372" s="69" t="n"/>
      <c r="V372" s="68" t="n"/>
      <c r="W372" s="69" t="n"/>
      <c r="X372" s="68" t="n"/>
      <c r="Y372" s="69" t="n"/>
      <c r="Z372" s="68" t="n"/>
      <c r="AA372" s="69" t="n"/>
      <c r="AB372" s="68" t="n"/>
      <c r="AC372" s="69" t="n"/>
      <c r="AD372" s="70">
        <f>IF(AND(COUNTIF($B$5:B372,B372)=1,$B372&lt;&gt;"",$AB372&lt;&gt;""),1,0)</f>
        <v/>
      </c>
      <c r="AE372" s="67" t="inlineStr">
        <is>
          <t>https://www.lasillavacia.com/silla-amazonia/amazonia-en-breve/nuevo-minambiente-afirma-que-el-nuevo-gobierno-dara-pie-al-fracking/</t>
        </is>
      </c>
      <c r="AF372" s="64" t="n"/>
      <c r="AG372" s="65" t="n"/>
    </row>
    <row r="373" ht="15" customHeight="1" s="31">
      <c r="A373" s="66" t="inlineStr">
        <is>
          <t>ART_069</t>
        </is>
      </c>
      <c r="B373" s="66" t="inlineStr">
        <is>
          <t>ART_069_S01</t>
        </is>
      </c>
      <c r="C373" s="66" t="inlineStr">
        <is>
          <t>La Silla Vacía</t>
        </is>
      </c>
      <c r="D373" s="66" t="inlineStr">
        <is>
          <t>Medio ambiente</t>
        </is>
      </c>
      <c r="E373" s="66" t="inlineStr">
        <is>
          <t>Opinión-análisis</t>
        </is>
      </c>
      <c r="F373" s="66" t="inlineStr">
        <is>
          <t>2015-04-22T06:35:02+00:00</t>
        </is>
      </c>
      <c r="G373" s="67" t="inlineStr">
        <is>
          <t>Juan Camilo Cárdenas, profesor de la Facultad de Economía de la Universidad de los Andes, viene trabajando hace varios años con metodologías de economía comportamental y experimental para explorar cómo se crean espacios de construcción colectiva.</t>
        </is>
      </c>
      <c r="H373" s="67" t="inlineStr"/>
      <c r="I373" s="67" t="inlineStr">
        <is>
          <t>Juan Camilo Cárdenas colabora con el Ministerio del Medio Ambiente en el emblemático caso del Páramo de Santurbán, en el que han entrado en conflicto campesinos, mineros y el Estado, con respecto a temas de minería, desarrollo sostenible y manejo del agua.</t>
        </is>
      </c>
      <c r="J373" s="68" t="n"/>
      <c r="K373" s="69" t="n"/>
      <c r="L373" s="68" t="n"/>
      <c r="M373" s="69" t="n"/>
      <c r="N373" s="68" t="n"/>
      <c r="O373" s="69" t="n"/>
      <c r="P373" s="68" t="n"/>
      <c r="Q373" s="69" t="n"/>
      <c r="R373" s="68" t="n"/>
      <c r="S373" s="69" t="n"/>
      <c r="T373" s="68" t="n"/>
      <c r="U373" s="69" t="n"/>
      <c r="V373" s="68" t="n"/>
      <c r="W373" s="69" t="n"/>
      <c r="X373" s="68" t="n"/>
      <c r="Y373" s="69" t="n"/>
      <c r="Z373" s="68" t="n"/>
      <c r="AA373" s="69" t="n"/>
      <c r="AB373" s="68" t="n"/>
      <c r="AC373" s="69" t="n"/>
      <c r="AD373" s="70">
        <f>IF(AND(COUNTIF($B$5:B373,B373)=1,$B373&lt;&gt;"",$AB373&lt;&gt;""),1,0)</f>
        <v/>
      </c>
      <c r="AE373" s="67" t="inlineStr">
        <is>
          <t>https://www.lasillavacia.com/red-de-expertos/red-lider/caso-santurban-jugando-jugando-se-va-transformando-juan-camilo-cardenas-trendinglider/</t>
        </is>
      </c>
      <c r="AF373" s="64" t="n"/>
      <c r="AG373" s="65" t="n"/>
    </row>
    <row r="374" ht="15" customHeight="1" s="31">
      <c r="A374" s="66" t="inlineStr">
        <is>
          <t>ART_069</t>
        </is>
      </c>
      <c r="B374" s="66" t="inlineStr">
        <is>
          <t>ART_069_S02</t>
        </is>
      </c>
      <c r="C374" s="66" t="inlineStr">
        <is>
          <t>La Silla Vacía</t>
        </is>
      </c>
      <c r="D374" s="66" t="inlineStr">
        <is>
          <t>Medio ambiente</t>
        </is>
      </c>
      <c r="E374" s="66" t="inlineStr">
        <is>
          <t>Opinión-análisis</t>
        </is>
      </c>
      <c r="F374" s="66" t="inlineStr">
        <is>
          <t>2015-04-22T06:35:02+00:00</t>
        </is>
      </c>
      <c r="G374" s="67" t="inlineStr">
        <is>
          <t>Juan Camilo Cárdenas colabora con el Ministerio del Medio Ambiente en el emblemático caso del Páramo de Santurbán, en el que han entrado en conflicto campesinos, mineros y el Estado, con respecto a temas de minería, desarrollo sostenible y manejo del agua.</t>
        </is>
      </c>
      <c r="H374" s="67" t="inlineStr">
        <is>
          <t>Juan Camilo Cárdenas, profesor de la Facultad de Economía de la Universidad de los Andes, viene trabajando hace varios años con metodologías de economía comportamental y experimental para explorar cómo se crean espacios de construcción colectiva.</t>
        </is>
      </c>
      <c r="I374" s="67" t="inlineStr">
        <is>
          <t>A comienzos de los 2000 cuando realizaba su Postdoctorado en la Universidad de Indiana, Cárdenas tuvo la oportunidad de llevar a cabo trabajos de investigación de la mano de Elinor Ostrom, primera mujer y politóloga en ganar el Premio Nobel de Economía en 2009.</t>
        </is>
      </c>
      <c r="J374" s="68" t="n"/>
      <c r="K374" s="69" t="n"/>
      <c r="L374" s="68" t="n"/>
      <c r="M374" s="69" t="n"/>
      <c r="N374" s="68" t="n"/>
      <c r="O374" s="69" t="n"/>
      <c r="P374" s="68" t="n"/>
      <c r="Q374" s="69" t="n"/>
      <c r="R374" s="68" t="n"/>
      <c r="S374" s="69" t="n"/>
      <c r="T374" s="68" t="n"/>
      <c r="U374" s="69" t="n"/>
      <c r="V374" s="68" t="n"/>
      <c r="W374" s="69" t="n"/>
      <c r="X374" s="68" t="n"/>
      <c r="Y374" s="69" t="n"/>
      <c r="Z374" s="68" t="n"/>
      <c r="AA374" s="69" t="n"/>
      <c r="AB374" s="68" t="n"/>
      <c r="AC374" s="69" t="n"/>
      <c r="AD374" s="70">
        <f>IF(AND(COUNTIF($B$5:B374,B374)=1,$B374&lt;&gt;"",$AB374&lt;&gt;""),1,0)</f>
        <v/>
      </c>
      <c r="AE374" s="67" t="inlineStr">
        <is>
          <t>https://www.lasillavacia.com/red-de-expertos/red-lider/caso-santurban-jugando-jugando-se-va-transformando-juan-camilo-cardenas-trendinglider/</t>
        </is>
      </c>
      <c r="AF374" s="64" t="n"/>
      <c r="AG374" s="65" t="n"/>
    </row>
    <row r="375" ht="15" customHeight="1" s="31">
      <c r="A375" s="66" t="inlineStr">
        <is>
          <t>ART_069</t>
        </is>
      </c>
      <c r="B375" s="66" t="inlineStr">
        <is>
          <t>ART_069_S03</t>
        </is>
      </c>
      <c r="C375" s="66" t="inlineStr">
        <is>
          <t>La Silla Vacía</t>
        </is>
      </c>
      <c r="D375" s="66" t="inlineStr">
        <is>
          <t>Medio ambiente</t>
        </is>
      </c>
      <c r="E375" s="66" t="inlineStr">
        <is>
          <t>Opinión-análisis</t>
        </is>
      </c>
      <c r="F375" s="66" t="inlineStr">
        <is>
          <t>2015-04-22T06:35:02+00:00</t>
        </is>
      </c>
      <c r="G375" s="67" t="inlineStr">
        <is>
          <t>A comienzos de los 2000 cuando realizaba su Postdoctorado en la Universidad de Indiana, Cárdenas tuvo la oportunidad de llevar a cabo trabajos de investigación de la mano de Elinor Ostrom, primera mujer y politóloga en ganar el Premio Nobel de Economía en 2009.</t>
        </is>
      </c>
      <c r="H375" s="67" t="inlineStr">
        <is>
          <t>Juan Camilo Cárdenas colabora con el Ministerio del Medio Ambiente en el emblemático caso del Páramo de Santurbán, en el que han entrado en conflicto campesinos, mineros y el Estado, con respecto a temas de minería, desarrollo sostenible y manejo del agua.</t>
        </is>
      </c>
      <c r="I375" s="67" t="inlineStr">
        <is>
          <t>Como el mismo afirma “no todo es utopía intelectual”, por eso colabora con el Ministerio del Medio Ambiente en el emblemático caso del Páramo de Santurbán, en el que han entrado en conflicto campesinos, mineros y el Gobierno, con respecto a temas de minería, desarrollo sostenible y manejo del agua.</t>
        </is>
      </c>
      <c r="J375" s="68" t="n"/>
      <c r="K375" s="69" t="n"/>
      <c r="L375" s="68" t="n"/>
      <c r="M375" s="69" t="n"/>
      <c r="N375" s="68" t="n"/>
      <c r="O375" s="69" t="n"/>
      <c r="P375" s="68" t="n"/>
      <c r="Q375" s="69" t="n"/>
      <c r="R375" s="68" t="n"/>
      <c r="S375" s="69" t="n"/>
      <c r="T375" s="68" t="n"/>
      <c r="U375" s="69" t="n"/>
      <c r="V375" s="68" t="n"/>
      <c r="W375" s="69" t="n"/>
      <c r="X375" s="68" t="n"/>
      <c r="Y375" s="69" t="n"/>
      <c r="Z375" s="68" t="n"/>
      <c r="AA375" s="69" t="n"/>
      <c r="AB375" s="68" t="n"/>
      <c r="AC375" s="69" t="n"/>
      <c r="AD375" s="70">
        <f>IF(AND(COUNTIF($B$5:B375,B375)=1,$B375&lt;&gt;"",$AB375&lt;&gt;""),1,0)</f>
        <v/>
      </c>
      <c r="AE375" s="67" t="inlineStr">
        <is>
          <t>https://www.lasillavacia.com/red-de-expertos/red-lider/caso-santurban-jugando-jugando-se-va-transformando-juan-camilo-cardenas-trendinglider/</t>
        </is>
      </c>
      <c r="AF375" s="64" t="n"/>
      <c r="AG375" s="65" t="n"/>
    </row>
    <row r="376" ht="15" customHeight="1" s="31">
      <c r="A376" s="66" t="inlineStr">
        <is>
          <t>ART_069</t>
        </is>
      </c>
      <c r="B376" s="66" t="inlineStr">
        <is>
          <t>ART_069_S04</t>
        </is>
      </c>
      <c r="C376" s="66" t="inlineStr">
        <is>
          <t>La Silla Vacía</t>
        </is>
      </c>
      <c r="D376" s="66" t="inlineStr">
        <is>
          <t>Medio ambiente</t>
        </is>
      </c>
      <c r="E376" s="66" t="inlineStr">
        <is>
          <t>Opinión-análisis</t>
        </is>
      </c>
      <c r="F376" s="66" t="inlineStr">
        <is>
          <t>2015-04-22T06:35:02+00:00</t>
        </is>
      </c>
      <c r="G376" s="67" t="inlineStr">
        <is>
          <t>Como el mismo afirma “no todo es utopía intelectual”, por eso colabora con el Ministerio del Medio Ambiente en el emblemático caso del Páramo de Santurbán, en el que han entrado en conflicto campesinos, mineros y el Gobierno, con respecto a temas de minería, desarrollo sostenible y manejo del agua.</t>
        </is>
      </c>
      <c r="H376" s="67" t="inlineStr">
        <is>
          <t>A comienzos de los 2000 cuando realizaba su Postdoctorado en la Universidad de Indiana, Cárdenas tuvo la oportunidad de llevar a cabo trabajos de investigación de la mano de Elinor Ostrom, primera mujer y politóloga en ganar el Premio Nobel de Economía en 2009.</t>
        </is>
      </c>
      <c r="I376" s="67" t="inlineStr">
        <is>
          <t>La ex ministra Luz Helena Sarmiento le pidió que llevaran las herramientas con las que venía trabajando con otras comunidades locales para discutir estos dilemas colectivos y tratar de acercar a las partes que en Santurbán han mostrado tensiones alrededor de los proyectos mineros, la agricultura y la provisión de agua para millones de habitantes.</t>
        </is>
      </c>
      <c r="J376" s="68" t="n"/>
      <c r="K376" s="69" t="n"/>
      <c r="L376" s="68" t="n"/>
      <c r="M376" s="69" t="n"/>
      <c r="N376" s="68" t="n"/>
      <c r="O376" s="69" t="n"/>
      <c r="P376" s="68" t="n"/>
      <c r="Q376" s="69" t="n"/>
      <c r="R376" s="68" t="n"/>
      <c r="S376" s="69" t="n"/>
      <c r="T376" s="68" t="n"/>
      <c r="U376" s="69" t="n"/>
      <c r="V376" s="68" t="n"/>
      <c r="W376" s="69" t="n"/>
      <c r="X376" s="68" t="n"/>
      <c r="Y376" s="69" t="n"/>
      <c r="Z376" s="68" t="n"/>
      <c r="AA376" s="69" t="n"/>
      <c r="AB376" s="68" t="n"/>
      <c r="AC376" s="69" t="n"/>
      <c r="AD376" s="70">
        <f>IF(AND(COUNTIF($B$5:B376,B376)=1,$B376&lt;&gt;"",$AB376&lt;&gt;""),1,0)</f>
        <v/>
      </c>
      <c r="AE376" s="67" t="inlineStr">
        <is>
          <t>https://www.lasillavacia.com/red-de-expertos/red-lider/caso-santurban-jugando-jugando-se-va-transformando-juan-camilo-cardenas-trendinglider/</t>
        </is>
      </c>
      <c r="AF376" s="64" t="n"/>
      <c r="AG376" s="65" t="n"/>
    </row>
    <row r="377" ht="15" customHeight="1" s="31">
      <c r="A377" s="66" t="inlineStr">
        <is>
          <t>ART_069</t>
        </is>
      </c>
      <c r="B377" s="66" t="inlineStr">
        <is>
          <t>ART_069_S05</t>
        </is>
      </c>
      <c r="C377" s="66" t="inlineStr">
        <is>
          <t>La Silla Vacía</t>
        </is>
      </c>
      <c r="D377" s="66" t="inlineStr">
        <is>
          <t>Medio ambiente</t>
        </is>
      </c>
      <c r="E377" s="66" t="inlineStr">
        <is>
          <t>Opinión-análisis</t>
        </is>
      </c>
      <c r="F377" s="66" t="inlineStr">
        <is>
          <t>2015-04-22T06:35:02+00:00</t>
        </is>
      </c>
      <c r="G377" s="67" t="inlineStr">
        <is>
          <t>La ex ministra Luz Helena Sarmiento le pidió que llevaran las herramientas con las que venía trabajando con otras comunidades locales para discutir estos dilemas colectivos y tratar de acercar a las partes que en Santurbán han mostrado tensiones alrededor de los proyectos mineros, la agricultura y la provisión de agua para millones de habitantes.</t>
        </is>
      </c>
      <c r="H377" s="67" t="inlineStr">
        <is>
          <t>Como el mismo afirma “no todo es utopía intelectual”, por eso colabora con el Ministerio del Medio Ambiente en el emblemático caso del Páramo de Santurbán, en el que han entrado en conflicto campesinos, mineros y el Gobierno, con respecto a temas de minería, desarrollo sostenible y manejo del agua.</t>
        </is>
      </c>
      <c r="I377" s="67" t="inlineStr">
        <is>
          <t>Así, Cárdenas puso a jugar a los que viven, trabajan y dependen del páramo en un taller en Bucaramanga .</t>
        </is>
      </c>
      <c r="J377" s="68" t="n"/>
      <c r="K377" s="69" t="n"/>
      <c r="L377" s="68" t="n"/>
      <c r="M377" s="69" t="n"/>
      <c r="N377" s="68" t="n"/>
      <c r="O377" s="69" t="n"/>
      <c r="P377" s="68" t="n"/>
      <c r="Q377" s="69" t="n"/>
      <c r="R377" s="68" t="n"/>
      <c r="S377" s="69" t="n"/>
      <c r="T377" s="68" t="n"/>
      <c r="U377" s="69" t="n"/>
      <c r="V377" s="68" t="n"/>
      <c r="W377" s="69" t="n"/>
      <c r="X377" s="68" t="n"/>
      <c r="Y377" s="69" t="n"/>
      <c r="Z377" s="68" t="n"/>
      <c r="AA377" s="69" t="n"/>
      <c r="AB377" s="68" t="n"/>
      <c r="AC377" s="69" t="n"/>
      <c r="AD377" s="70">
        <f>IF(AND(COUNTIF($B$5:B377,B377)=1,$B377&lt;&gt;"",$AB377&lt;&gt;""),1,0)</f>
        <v/>
      </c>
      <c r="AE377" s="67" t="inlineStr">
        <is>
          <t>https://www.lasillavacia.com/red-de-expertos/red-lider/caso-santurban-jugando-jugando-se-va-transformando-juan-camilo-cardenas-trendinglider/</t>
        </is>
      </c>
      <c r="AF377" s="64" t="n"/>
      <c r="AG377" s="65" t="n"/>
    </row>
    <row r="378" ht="15" customHeight="1" s="31">
      <c r="A378" s="66" t="inlineStr">
        <is>
          <t>ART_069</t>
        </is>
      </c>
      <c r="B378" s="66" t="inlineStr">
        <is>
          <t>ART_069_S06</t>
        </is>
      </c>
      <c r="C378" s="66" t="inlineStr">
        <is>
          <t>La Silla Vacía</t>
        </is>
      </c>
      <c r="D378" s="66" t="inlineStr">
        <is>
          <t>Medio ambiente</t>
        </is>
      </c>
      <c r="E378" s="66" t="inlineStr">
        <is>
          <t>Opinión-análisis</t>
        </is>
      </c>
      <c r="F378" s="66" t="inlineStr">
        <is>
          <t>2015-04-22T06:35:02+00:00</t>
        </is>
      </c>
      <c r="G378" s="67" t="inlineStr">
        <is>
          <t>Así, Cárdenas puso a jugar a los que viven, trabajan y dependen del páramo en un taller en Bucaramanga .</t>
        </is>
      </c>
      <c r="H378" s="67" t="inlineStr">
        <is>
          <t>La ex ministra Luz Helena Sarmiento le pidió que llevaran las herramientas con las que venía trabajando con otras comunidades locales para discutir estos dilemas colectivos y tratar de acercar a las partes que en Santurbán han mostrado tensiones alrededor de los proyectos mineros, la agricultura y la provisión de agua para millones de habitantes.</t>
        </is>
      </c>
      <c r="I378" s="67" t="inlineStr">
        <is>
          <t>La intención era comenzar con un trabajo de diseño e implementación de acuerdos logrados entre las partes involucradas.</t>
        </is>
      </c>
      <c r="J378" s="68" t="n"/>
      <c r="K378" s="69" t="n"/>
      <c r="L378" s="68" t="n"/>
      <c r="M378" s="69" t="n"/>
      <c r="N378" s="68" t="n"/>
      <c r="O378" s="69" t="n"/>
      <c r="P378" s="68" t="n"/>
      <c r="Q378" s="69" t="n"/>
      <c r="R378" s="68" t="n"/>
      <c r="S378" s="69" t="n"/>
      <c r="T378" s="68" t="n"/>
      <c r="U378" s="69" t="n"/>
      <c r="V378" s="68" t="n"/>
      <c r="W378" s="69" t="n"/>
      <c r="X378" s="68" t="n"/>
      <c r="Y378" s="69" t="n"/>
      <c r="Z378" s="68" t="n"/>
      <c r="AA378" s="69" t="n"/>
      <c r="AB378" s="68" t="n"/>
      <c r="AC378" s="69" t="n"/>
      <c r="AD378" s="70">
        <f>IF(AND(COUNTIF($B$5:B378,B378)=1,$B378&lt;&gt;"",$AB378&lt;&gt;""),1,0)</f>
        <v/>
      </c>
      <c r="AE378" s="67" t="inlineStr">
        <is>
          <t>https://www.lasillavacia.com/red-de-expertos/red-lider/caso-santurban-jugando-jugando-se-va-transformando-juan-camilo-cardenas-trendinglider/</t>
        </is>
      </c>
      <c r="AF378" s="64" t="n"/>
      <c r="AG378" s="65" t="n"/>
    </row>
    <row r="379" ht="15" customHeight="1" s="31">
      <c r="A379" s="66" t="inlineStr">
        <is>
          <t>ART_069</t>
        </is>
      </c>
      <c r="B379" s="66" t="inlineStr">
        <is>
          <t>ART_069_S07</t>
        </is>
      </c>
      <c r="C379" s="66" t="inlineStr">
        <is>
          <t>La Silla Vacía</t>
        </is>
      </c>
      <c r="D379" s="66" t="inlineStr">
        <is>
          <t>Medio ambiente</t>
        </is>
      </c>
      <c r="E379" s="66" t="inlineStr">
        <is>
          <t>Opinión-análisis</t>
        </is>
      </c>
      <c r="F379" s="66" t="inlineStr">
        <is>
          <t>2015-04-22T06:35:02+00:00</t>
        </is>
      </c>
      <c r="G379" s="67" t="inlineStr">
        <is>
          <t>La intención era comenzar con un trabajo de diseño e implementación de acuerdos logrados entre las partes involucradas.</t>
        </is>
      </c>
      <c r="H379" s="67" t="inlineStr">
        <is>
          <t>Así, Cárdenas puso a jugar a los que viven, trabajan y dependen del páramo en un taller en Bucaramanga .</t>
        </is>
      </c>
      <c r="I379" s="67" t="inlineStr">
        <is>
          <t>Allí lo que hizo Cárdenas fue recrear los problemas reales a los que se ven enfrentados, a través de una situación pedagógica, haciendo que todos los afectados por la problemática se pusieran en los zapatos  del otro, para generar procesos de confianza, de confiabilidad y de empatía.</t>
        </is>
      </c>
      <c r="J379" s="68" t="n"/>
      <c r="K379" s="69" t="n"/>
      <c r="L379" s="68" t="n"/>
      <c r="M379" s="69" t="n"/>
      <c r="N379" s="68" t="n"/>
      <c r="O379" s="69" t="n"/>
      <c r="P379" s="68" t="n"/>
      <c r="Q379" s="69" t="n"/>
      <c r="R379" s="68" t="n"/>
      <c r="S379" s="69" t="n"/>
      <c r="T379" s="68" t="n"/>
      <c r="U379" s="69" t="n"/>
      <c r="V379" s="68" t="n"/>
      <c r="W379" s="69" t="n"/>
      <c r="X379" s="68" t="n"/>
      <c r="Y379" s="69" t="n"/>
      <c r="Z379" s="68" t="n"/>
      <c r="AA379" s="69" t="n"/>
      <c r="AB379" s="68" t="n"/>
      <c r="AC379" s="69" t="n"/>
      <c r="AD379" s="70">
        <f>IF(AND(COUNTIF($B$5:B379,B379)=1,$B379&lt;&gt;"",$AB379&lt;&gt;""),1,0)</f>
        <v/>
      </c>
      <c r="AE379" s="67" t="inlineStr">
        <is>
          <t>https://www.lasillavacia.com/red-de-expertos/red-lider/caso-santurban-jugando-jugando-se-va-transformando-juan-camilo-cardenas-trendinglider/</t>
        </is>
      </c>
      <c r="AF379" s="64" t="n"/>
      <c r="AG379" s="65" t="n"/>
    </row>
    <row r="380" ht="15" customHeight="1" s="31">
      <c r="A380" s="66" t="inlineStr">
        <is>
          <t>ART_069</t>
        </is>
      </c>
      <c r="B380" s="66" t="inlineStr">
        <is>
          <t>ART_069_S08</t>
        </is>
      </c>
      <c r="C380" s="66" t="inlineStr">
        <is>
          <t>La Silla Vacía</t>
        </is>
      </c>
      <c r="D380" s="66" t="inlineStr">
        <is>
          <t>Medio ambiente</t>
        </is>
      </c>
      <c r="E380" s="66" t="inlineStr">
        <is>
          <t>Opinión-análisis</t>
        </is>
      </c>
      <c r="F380" s="66" t="inlineStr">
        <is>
          <t>2015-04-22T06:35:02+00:00</t>
        </is>
      </c>
      <c r="G380" s="67" t="inlineStr">
        <is>
          <t>Allí lo que hizo Cárdenas fue recrear los problemas reales a los que se ven enfrentados, a través de una situación pedagógica, haciendo que todos los afectados por la problemática se pusieran en los zapatos  del otro, para generar procesos de confianza, de confiabilidad y de empatía.</t>
        </is>
      </c>
      <c r="H380" s="67" t="inlineStr">
        <is>
          <t>La intención era comenzar con un trabajo de diseño e implementación de acuerdos logrados entre las partes involucradas.</t>
        </is>
      </c>
      <c r="I380" s="67" t="inlineStr">
        <is>
          <t>Así es más fácil entender los intereses del otro, que están determinando a través de sus acciones, los intereses de la contraparte.</t>
        </is>
      </c>
      <c r="J380" s="68" t="n"/>
      <c r="K380" s="69" t="n"/>
      <c r="L380" s="68" t="n"/>
      <c r="M380" s="69" t="n"/>
      <c r="N380" s="68" t="n"/>
      <c r="O380" s="69" t="n"/>
      <c r="P380" s="68" t="n"/>
      <c r="Q380" s="69" t="n"/>
      <c r="R380" s="68" t="n"/>
      <c r="S380" s="69" t="n"/>
      <c r="T380" s="68" t="n"/>
      <c r="U380" s="69" t="n"/>
      <c r="V380" s="68" t="n"/>
      <c r="W380" s="69" t="n"/>
      <c r="X380" s="68" t="n"/>
      <c r="Y380" s="69" t="n"/>
      <c r="Z380" s="68" t="n"/>
      <c r="AA380" s="69" t="n"/>
      <c r="AB380" s="68" t="n"/>
      <c r="AC380" s="69" t="n"/>
      <c r="AD380" s="70">
        <f>IF(AND(COUNTIF($B$5:B380,B380)=1,$B380&lt;&gt;"",$AB380&lt;&gt;""),1,0)</f>
        <v/>
      </c>
      <c r="AE380" s="67" t="inlineStr">
        <is>
          <t>https://www.lasillavacia.com/red-de-expertos/red-lider/caso-santurban-jugando-jugando-se-va-transformando-juan-camilo-cardenas-trendinglider/</t>
        </is>
      </c>
      <c r="AF380" s="64" t="n"/>
      <c r="AG380" s="65" t="n"/>
    </row>
    <row r="381" ht="15" customHeight="1" s="31">
      <c r="A381" s="66" t="inlineStr">
        <is>
          <t>ART_069</t>
        </is>
      </c>
      <c r="B381" s="66" t="inlineStr">
        <is>
          <t>ART_069_S09</t>
        </is>
      </c>
      <c r="C381" s="66" t="inlineStr">
        <is>
          <t>La Silla Vacía</t>
        </is>
      </c>
      <c r="D381" s="66" t="inlineStr">
        <is>
          <t>Medio ambiente</t>
        </is>
      </c>
      <c r="E381" s="66" t="inlineStr">
        <is>
          <t>Opinión-análisis</t>
        </is>
      </c>
      <c r="F381" s="66" t="inlineStr">
        <is>
          <t>2015-04-22T06:35:02+00:00</t>
        </is>
      </c>
      <c r="G381" s="67" t="inlineStr">
        <is>
          <t>Así es más fácil entender los intereses del otro, que están determinando a través de sus acciones, los intereses de la contraparte.</t>
        </is>
      </c>
      <c r="H381" s="67" t="inlineStr">
        <is>
          <t>Allí lo que hizo Cárdenas fue recrear los problemas reales a los que se ven enfrentados, a través de una situación pedagógica, haciendo que todos los afectados por la problemática se pusieran en los zapatos  del otro, para generar procesos de confianza, de confiabilidad y de empatía.</t>
        </is>
      </c>
      <c r="I381" s="67" t="inlineStr">
        <is>
          <t>Y poder acercar a las personas a la idea de transformar estas situaciones en una posibilidad de acción colectiva.</t>
        </is>
      </c>
      <c r="J381" s="68" t="n"/>
      <c r="K381" s="69" t="n"/>
      <c r="L381" s="68" t="n"/>
      <c r="M381" s="69" t="n"/>
      <c r="N381" s="68" t="n"/>
      <c r="O381" s="69" t="n"/>
      <c r="P381" s="68" t="n"/>
      <c r="Q381" s="69" t="n"/>
      <c r="R381" s="68" t="n"/>
      <c r="S381" s="69" t="n"/>
      <c r="T381" s="68" t="n"/>
      <c r="U381" s="69" t="n"/>
      <c r="V381" s="68" t="n"/>
      <c r="W381" s="69" t="n"/>
      <c r="X381" s="68" t="n"/>
      <c r="Y381" s="69" t="n"/>
      <c r="Z381" s="68" t="n"/>
      <c r="AA381" s="69" t="n"/>
      <c r="AB381" s="68" t="n"/>
      <c r="AC381" s="69" t="n"/>
      <c r="AD381" s="70">
        <f>IF(AND(COUNTIF($B$5:B381,B381)=1,$B381&lt;&gt;"",$AB381&lt;&gt;""),1,0)</f>
        <v/>
      </c>
      <c r="AE381" s="67" t="inlineStr">
        <is>
          <t>https://www.lasillavacia.com/red-de-expertos/red-lider/caso-santurban-jugando-jugando-se-va-transformando-juan-camilo-cardenas-trendinglider/</t>
        </is>
      </c>
      <c r="AF381" s="64" t="n"/>
      <c r="AG381" s="65" t="n"/>
    </row>
    <row r="382" ht="15" customHeight="1" s="31">
      <c r="A382" s="66" t="inlineStr">
        <is>
          <t>ART_069</t>
        </is>
      </c>
      <c r="B382" s="66" t="inlineStr">
        <is>
          <t>ART_069_S10</t>
        </is>
      </c>
      <c r="C382" s="66" t="inlineStr">
        <is>
          <t>La Silla Vacía</t>
        </is>
      </c>
      <c r="D382" s="66" t="inlineStr">
        <is>
          <t>Medio ambiente</t>
        </is>
      </c>
      <c r="E382" s="66" t="inlineStr">
        <is>
          <t>Opinión-análisis</t>
        </is>
      </c>
      <c r="F382" s="66" t="inlineStr">
        <is>
          <t>2015-04-22T06:35:02+00:00</t>
        </is>
      </c>
      <c r="G382" s="67" t="inlineStr">
        <is>
          <t>Y poder acercar a las personas a la idea de transformar estas situaciones en una posibilidad de acción colectiva.</t>
        </is>
      </c>
      <c r="H382" s="67" t="inlineStr">
        <is>
          <t>Así es más fácil entender los intereses del otro, que están determinando a través de sus acciones, los intereses de la contraparte.</t>
        </is>
      </c>
      <c r="I382" s="67" t="inlineStr">
        <is>
          <t>En marzo pasado el Ministro de Medio Ambiente Gabriel Vallejo nuevamente lo llamó para continuar con este esfuerzo. Pero esta vez en la ciudad de Cúcuta.</t>
        </is>
      </c>
      <c r="J382" s="68" t="n"/>
      <c r="K382" s="69" t="n"/>
      <c r="L382" s="68" t="n"/>
      <c r="M382" s="69" t="n"/>
      <c r="N382" s="68" t="n"/>
      <c r="O382" s="69" t="n"/>
      <c r="P382" s="68" t="n"/>
      <c r="Q382" s="69" t="n"/>
      <c r="R382" s="68" t="n"/>
      <c r="S382" s="69" t="n"/>
      <c r="T382" s="68" t="n"/>
      <c r="U382" s="69" t="n"/>
      <c r="V382" s="68" t="n"/>
      <c r="W382" s="69" t="n"/>
      <c r="X382" s="68" t="n"/>
      <c r="Y382" s="69" t="n"/>
      <c r="Z382" s="68" t="n"/>
      <c r="AA382" s="69" t="n"/>
      <c r="AB382" s="68" t="n"/>
      <c r="AC382" s="69" t="n"/>
      <c r="AD382" s="70">
        <f>IF(AND(COUNTIF($B$5:B382,B382)=1,$B382&lt;&gt;"",$AB382&lt;&gt;""),1,0)</f>
        <v/>
      </c>
      <c r="AE382" s="67" t="inlineStr">
        <is>
          <t>https://www.lasillavacia.com/red-de-expertos/red-lider/caso-santurban-jugando-jugando-se-va-transformando-juan-camilo-cardenas-trendinglider/</t>
        </is>
      </c>
      <c r="AF382" s="64" t="n"/>
      <c r="AG382" s="65" t="n"/>
    </row>
    <row r="383" ht="15" customHeight="1" s="31">
      <c r="A383" s="66" t="inlineStr">
        <is>
          <t>ART_069</t>
        </is>
      </c>
      <c r="B383" s="66" t="inlineStr">
        <is>
          <t>ART_069_S11</t>
        </is>
      </c>
      <c r="C383" s="66" t="inlineStr">
        <is>
          <t>La Silla Vacía</t>
        </is>
      </c>
      <c r="D383" s="66" t="inlineStr">
        <is>
          <t>Medio ambiente</t>
        </is>
      </c>
      <c r="E383" s="66" t="inlineStr">
        <is>
          <t>Opinión-análisis</t>
        </is>
      </c>
      <c r="F383" s="66" t="inlineStr">
        <is>
          <t>2015-04-22T06:35:02+00:00</t>
        </is>
      </c>
      <c r="G383" s="67" t="inlineStr">
        <is>
          <t>En marzo pasado el Ministro de Medio Ambiente Gabriel Vallejo nuevamente lo llamó para continuar con este esfuerzo. Pero esta vez en la ciudad de Cúcuta.</t>
        </is>
      </c>
      <c r="H383" s="67" t="inlineStr">
        <is>
          <t>Y poder acercar a las personas a la idea de transformar estas situaciones en una posibilidad de acción colectiva.</t>
        </is>
      </c>
      <c r="I383" s="67" t="inlineStr"/>
      <c r="J383" s="68" t="n"/>
      <c r="K383" s="69" t="n"/>
      <c r="L383" s="68" t="n"/>
      <c r="M383" s="69" t="n"/>
      <c r="N383" s="68" t="n"/>
      <c r="O383" s="69" t="n"/>
      <c r="P383" s="68" t="n"/>
      <c r="Q383" s="69" t="n"/>
      <c r="R383" s="68" t="n"/>
      <c r="S383" s="69" t="n"/>
      <c r="T383" s="68" t="n"/>
      <c r="U383" s="69" t="n"/>
      <c r="V383" s="68" t="n"/>
      <c r="W383" s="69" t="n"/>
      <c r="X383" s="68" t="n"/>
      <c r="Y383" s="69" t="n"/>
      <c r="Z383" s="68" t="n"/>
      <c r="AA383" s="69" t="n"/>
      <c r="AB383" s="68" t="n"/>
      <c r="AC383" s="69" t="n"/>
      <c r="AD383" s="70">
        <f>IF(AND(COUNTIF($B$5:B383,B383)=1,$B383&lt;&gt;"",$AB383&lt;&gt;""),1,0)</f>
        <v/>
      </c>
      <c r="AE383" s="67" t="inlineStr">
        <is>
          <t>https://www.lasillavacia.com/red-de-expertos/red-lider/caso-santurban-jugando-jugando-se-va-transformando-juan-camilo-cardenas-trendinglider/</t>
        </is>
      </c>
      <c r="AF383" s="64" t="n"/>
      <c r="AG383" s="65" t="n"/>
    </row>
    <row r="384" ht="15" customHeight="1" s="31">
      <c r="A384" s="66" t="inlineStr">
        <is>
          <t>ART_070</t>
        </is>
      </c>
      <c r="B384" s="66" t="inlineStr">
        <is>
          <t>ART_070_S01</t>
        </is>
      </c>
      <c r="C384" s="66" t="inlineStr">
        <is>
          <t>La Silla Vacía</t>
        </is>
      </c>
      <c r="D384" s="66" t="inlineStr">
        <is>
          <t>Medio ambiente</t>
        </is>
      </c>
      <c r="E384" s="66" t="inlineStr">
        <is>
          <t>Opinión-análisis</t>
        </is>
      </c>
      <c r="F384" s="66" t="inlineStr">
        <is>
          <t>2025-08-05T18:00:00+00:00</t>
        </is>
      </c>
      <c r="G384" s="67" t="inlineStr">
        <is>
          <t>El Páramo de Santurbán es uno de los escenarios más evidentes de la tensión entre desarrollo y justicia ambiental en Colombia.</t>
        </is>
      </c>
      <c r="H384" s="67" t="inlineStr"/>
      <c r="I384" s="67" t="inlineStr"/>
      <c r="J384" s="68" t="n"/>
      <c r="K384" s="69" t="n"/>
      <c r="L384" s="68" t="n"/>
      <c r="M384" s="69" t="n"/>
      <c r="N384" s="68" t="n"/>
      <c r="O384" s="69" t="n"/>
      <c r="P384" s="68" t="n"/>
      <c r="Q384" s="69" t="n"/>
      <c r="R384" s="68" t="n"/>
      <c r="S384" s="69" t="n"/>
      <c r="T384" s="68" t="n"/>
      <c r="U384" s="69" t="n"/>
      <c r="V384" s="68" t="n"/>
      <c r="W384" s="69" t="n"/>
      <c r="X384" s="68" t="n"/>
      <c r="Y384" s="69" t="n"/>
      <c r="Z384" s="68" t="n"/>
      <c r="AA384" s="69" t="n"/>
      <c r="AB384" s="68" t="n"/>
      <c r="AC384" s="69" t="n"/>
      <c r="AD384" s="70">
        <f>IF(AND(COUNTIF($B$5:B384,B384)=1,$B384&lt;&gt;"",$AB384&lt;&gt;""),1,0)</f>
        <v/>
      </c>
      <c r="AE384" s="67" t="inlineStr">
        <is>
          <t>https://www.lasillavacia.com/red-de-expertos/red-rural/el-enredo-juridico-en-el-paramo-de-santurban-no-permite-accion/</t>
        </is>
      </c>
      <c r="AF384" s="64" t="n"/>
      <c r="AG384" s="65" t="n"/>
    </row>
    <row r="385" ht="15" customHeight="1" s="31">
      <c r="A385" s="66" t="inlineStr">
        <is>
          <t>ART_071</t>
        </is>
      </c>
      <c r="B385" s="66" t="inlineStr">
        <is>
          <t>ART_071_S01</t>
        </is>
      </c>
      <c r="C385" s="66" t="inlineStr">
        <is>
          <t>Semana</t>
        </is>
      </c>
      <c r="D385" s="66" t="inlineStr">
        <is>
          <t>Medio ambiente</t>
        </is>
      </c>
      <c r="E385" s="66" t="inlineStr">
        <is>
          <t>Noticia dura</t>
        </is>
      </c>
      <c r="F385" s="66" t="inlineStr">
        <is>
          <t>2026-06-03T11:48:50-05:00</t>
        </is>
      </c>
      <c r="G385" s="67" t="inlineStr">
        <is>
          <t>A 18 días de que el país viva la segunda vuelta presidencial entre el candidato Abelardo de la Espriella y el aspirante del Pacto Histórico Iván Cepeda, el presidente de la República, Gustavo Petro, publicó un mensaje con el que agitó las redes sociales.</t>
        </is>
      </c>
      <c r="H385" s="67" t="inlineStr"/>
      <c r="I385" s="67" t="inlineStr">
        <is>
          <t>En la publicación que hizo en su cuenta personal de X, el mandatario colombiano arremetió con dureza en contra de la práctica del fracking, el cual consiste en extraer petróleo y gas natural del subsuelo.</t>
        </is>
      </c>
      <c r="J385" s="68" t="n"/>
      <c r="K385" s="69" t="n"/>
      <c r="L385" s="68" t="n"/>
      <c r="M385" s="69" t="n"/>
      <c r="N385" s="68" t="n"/>
      <c r="O385" s="69" t="n"/>
      <c r="P385" s="68" t="n"/>
      <c r="Q385" s="69" t="n"/>
      <c r="R385" s="68" t="n"/>
      <c r="S385" s="69" t="n"/>
      <c r="T385" s="68" t="n"/>
      <c r="U385" s="69" t="n"/>
      <c r="V385" s="68" t="n"/>
      <c r="W385" s="69" t="n"/>
      <c r="X385" s="68" t="n"/>
      <c r="Y385" s="69" t="n"/>
      <c r="Z385" s="68" t="n"/>
      <c r="AA385" s="69" t="n"/>
      <c r="AB385" s="68" t="n"/>
      <c r="AC385" s="69" t="n"/>
      <c r="AD385" s="70">
        <f>IF(AND(COUNTIF($B$5:B385,B385)=1,$B385&lt;&gt;"",$AB385&lt;&gt;""),1,0)</f>
        <v/>
      </c>
      <c r="AE385" s="67" t="inlineStr">
        <is>
          <t>https://www.semana.com/politica/articulo/gustavo-petro-abrio-el-debate-contra-el-fracking-de-cara-a-la-segunda-vuelta-presidencial-se-los-digo-de-todo-corazon/202628/</t>
        </is>
      </c>
      <c r="AF385" s="64" t="n"/>
      <c r="AG385" s="65" t="n"/>
    </row>
    <row r="386" ht="15" customHeight="1" s="31">
      <c r="A386" s="66" t="inlineStr">
        <is>
          <t>ART_071</t>
        </is>
      </c>
      <c r="B386" s="66" t="inlineStr">
        <is>
          <t>ART_071_S02</t>
        </is>
      </c>
      <c r="C386" s="66" t="inlineStr">
        <is>
          <t>Semana</t>
        </is>
      </c>
      <c r="D386" s="66" t="inlineStr">
        <is>
          <t>Medio ambiente</t>
        </is>
      </c>
      <c r="E386" s="66" t="inlineStr">
        <is>
          <t>Noticia dura</t>
        </is>
      </c>
      <c r="F386" s="66" t="inlineStr">
        <is>
          <t>2026-06-03T11:48:50-05:00</t>
        </is>
      </c>
      <c r="G386" s="67" t="inlineStr">
        <is>
          <t>En la publicación que hizo en su cuenta personal de X, el mandatario colombiano arremetió con dureza en contra de la práctica del fracking, el cual consiste en extraer petróleo y gas natural del subsuelo.</t>
        </is>
      </c>
      <c r="H386" s="67" t="inlineStr">
        <is>
          <t>A 18 días de que el país viva la segunda vuelta presidencial entre el candidato Abelardo de la Espriella y el aspirante del Pacto Histórico Iván Cepeda, el presidente de la República, Gustavo Petro, publicó un mensaje con el que agitó las redes sociales.</t>
        </is>
      </c>
      <c r="I386" s="67" t="inlineStr">
        <is>
          <t>En el mensaje, nuevamente el jefe de Estado lanzó una pulla en contra de uno de los candidatos al mencionar que estará al servicio de los intereses de Estados Unidos.</t>
        </is>
      </c>
      <c r="J386" s="68" t="n"/>
      <c r="K386" s="69" t="n"/>
      <c r="L386" s="68" t="n"/>
      <c r="M386" s="69" t="n"/>
      <c r="N386" s="68" t="n"/>
      <c r="O386" s="69" t="n"/>
      <c r="P386" s="68" t="n"/>
      <c r="Q386" s="69" t="n"/>
      <c r="R386" s="68" t="n"/>
      <c r="S386" s="69" t="n"/>
      <c r="T386" s="68" t="n"/>
      <c r="U386" s="69" t="n"/>
      <c r="V386" s="68" t="n"/>
      <c r="W386" s="69" t="n"/>
      <c r="X386" s="68" t="n"/>
      <c r="Y386" s="69" t="n"/>
      <c r="Z386" s="68" t="n"/>
      <c r="AA386" s="69" t="n"/>
      <c r="AB386" s="68" t="n"/>
      <c r="AC386" s="69" t="n"/>
      <c r="AD386" s="70">
        <f>IF(AND(COUNTIF($B$5:B386,B386)=1,$B386&lt;&gt;"",$AB386&lt;&gt;""),1,0)</f>
        <v/>
      </c>
      <c r="AE386" s="67" t="inlineStr">
        <is>
          <t>https://www.semana.com/politica/articulo/gustavo-petro-abrio-el-debate-contra-el-fracking-de-cara-a-la-segunda-vuelta-presidencial-se-los-digo-de-todo-corazon/202628/</t>
        </is>
      </c>
      <c r="AF386" s="64" t="n"/>
      <c r="AG386" s="65" t="n"/>
    </row>
    <row r="387" ht="15" customHeight="1" s="31">
      <c r="A387" s="66" t="inlineStr">
        <is>
          <t>ART_071</t>
        </is>
      </c>
      <c r="B387" s="66" t="inlineStr">
        <is>
          <t>ART_071_S03</t>
        </is>
      </c>
      <c r="C387" s="66" t="inlineStr">
        <is>
          <t>Semana</t>
        </is>
      </c>
      <c r="D387" s="66" t="inlineStr">
        <is>
          <t>Medio ambiente</t>
        </is>
      </c>
      <c r="E387" s="66" t="inlineStr">
        <is>
          <t>Noticia dura</t>
        </is>
      </c>
      <c r="F387" s="66" t="inlineStr">
        <is>
          <t>2026-06-03T11:48:50-05:00</t>
        </is>
      </c>
      <c r="G387" s="67" t="inlineStr">
        <is>
          <t>En el mensaje, nuevamente el jefe de Estado lanzó una pulla en contra de uno de los candidatos al mencionar que estará al servicio de los intereses de Estados Unidos.</t>
        </is>
      </c>
      <c r="H387" s="67" t="inlineStr">
        <is>
          <t>En la publicación que hizo en su cuenta personal de X, el mandatario colombiano arremetió con dureza en contra de la práctica del fracking, el cual consiste en extraer petróleo y gas natural del subsuelo.</t>
        </is>
      </c>
      <c r="I387" s="67" t="inlineStr">
        <is>
          <t>“Las alabanzas al fracking en este momento son suicidas, y más en Colombia.</t>
        </is>
      </c>
      <c r="J387" s="68" t="n"/>
      <c r="K387" s="69" t="n"/>
      <c r="L387" s="68" t="n"/>
      <c r="M387" s="69" t="n"/>
      <c r="N387" s="68" t="n"/>
      <c r="O387" s="69" t="n"/>
      <c r="P387" s="68" t="n"/>
      <c r="Q387" s="69" t="n"/>
      <c r="R387" s="68" t="n"/>
      <c r="S387" s="69" t="n"/>
      <c r="T387" s="68" t="n"/>
      <c r="U387" s="69" t="n"/>
      <c r="V387" s="68" t="n"/>
      <c r="W387" s="69" t="n"/>
      <c r="X387" s="68" t="n"/>
      <c r="Y387" s="69" t="n"/>
      <c r="Z387" s="68" t="n"/>
      <c r="AA387" s="69" t="n"/>
      <c r="AB387" s="68" t="n"/>
      <c r="AC387" s="69" t="n"/>
      <c r="AD387" s="70">
        <f>IF(AND(COUNTIF($B$5:B387,B387)=1,$B387&lt;&gt;"",$AB387&lt;&gt;""),1,0)</f>
        <v/>
      </c>
      <c r="AE387" s="67" t="inlineStr">
        <is>
          <t>https://www.semana.com/politica/articulo/gustavo-petro-abrio-el-debate-contra-el-fracking-de-cara-a-la-segunda-vuelta-presidencial-se-los-digo-de-todo-corazon/202628/</t>
        </is>
      </c>
      <c r="AF387" s="64" t="n"/>
      <c r="AG387" s="65" t="n"/>
    </row>
    <row r="388" ht="15" customHeight="1" s="31">
      <c r="A388" s="66" t="inlineStr">
        <is>
          <t>ART_071</t>
        </is>
      </c>
      <c r="B388" s="66" t="inlineStr">
        <is>
          <t>ART_071_S04</t>
        </is>
      </c>
      <c r="C388" s="66" t="inlineStr">
        <is>
          <t>Semana</t>
        </is>
      </c>
      <c r="D388" s="66" t="inlineStr">
        <is>
          <t>Medio ambiente</t>
        </is>
      </c>
      <c r="E388" s="66" t="inlineStr">
        <is>
          <t>Noticia dura</t>
        </is>
      </c>
      <c r="F388" s="66" t="inlineStr">
        <is>
          <t>2026-06-03T11:48:50-05:00</t>
        </is>
      </c>
      <c r="G388" s="67" t="inlineStr">
        <is>
          <t>“Las alabanzas al fracking en este momento son suicidas, y más en Colombia.</t>
        </is>
      </c>
      <c r="H388" s="67" t="inlineStr">
        <is>
          <t>En el mensaje, nuevamente el jefe de Estado lanzó una pulla en contra de uno de los candidatos al mencionar que estará al servicio de los intereses de Estados Unidos.</t>
        </is>
      </c>
      <c r="I388" s="67" t="inlineStr">
        <is>
          <t>El agua es más valiosa que el oro.</t>
        </is>
      </c>
      <c r="J388" s="68" t="n"/>
      <c r="K388" s="69" t="n"/>
      <c r="L388" s="68" t="n"/>
      <c r="M388" s="69" t="n"/>
      <c r="N388" s="68" t="n"/>
      <c r="O388" s="69" t="n"/>
      <c r="P388" s="68" t="n"/>
      <c r="Q388" s="69" t="n"/>
      <c r="R388" s="68" t="n"/>
      <c r="S388" s="69" t="n"/>
      <c r="T388" s="68" t="n"/>
      <c r="U388" s="69" t="n"/>
      <c r="V388" s="68" t="n"/>
      <c r="W388" s="69" t="n"/>
      <c r="X388" s="68" t="n"/>
      <c r="Y388" s="69" t="n"/>
      <c r="Z388" s="68" t="n"/>
      <c r="AA388" s="69" t="n"/>
      <c r="AB388" s="68" t="n"/>
      <c r="AC388" s="69" t="n"/>
      <c r="AD388" s="70">
        <f>IF(AND(COUNTIF($B$5:B388,B388)=1,$B388&lt;&gt;"",$AB388&lt;&gt;""),1,0)</f>
        <v/>
      </c>
      <c r="AE388" s="67" t="inlineStr">
        <is>
          <t>https://www.semana.com/politica/articulo/gustavo-petro-abrio-el-debate-contra-el-fracking-de-cara-a-la-segunda-vuelta-presidencial-se-los-digo-de-todo-corazon/202628/</t>
        </is>
      </c>
      <c r="AF388" s="64" t="n"/>
      <c r="AG388" s="65" t="n"/>
    </row>
    <row r="389" ht="15" customHeight="1" s="31">
      <c r="A389" s="66" t="inlineStr">
        <is>
          <t>ART_071</t>
        </is>
      </c>
      <c r="B389" s="66" t="inlineStr">
        <is>
          <t>ART_071_S05</t>
        </is>
      </c>
      <c r="C389" s="66" t="inlineStr">
        <is>
          <t>Semana</t>
        </is>
      </c>
      <c r="D389" s="66" t="inlineStr">
        <is>
          <t>Medio ambiente</t>
        </is>
      </c>
      <c r="E389" s="66" t="inlineStr">
        <is>
          <t>Noticia dura</t>
        </is>
      </c>
      <c r="F389" s="66" t="inlineStr">
        <is>
          <t>2026-06-03T11:48:50-05:00</t>
        </is>
      </c>
      <c r="G389" s="67" t="inlineStr">
        <is>
          <t>El agua es más valiosa que el oro.</t>
        </is>
      </c>
      <c r="H389" s="67" t="inlineStr">
        <is>
          <t>“Las alabanzas al fracking en este momento son suicidas, y más en Colombia.</t>
        </is>
      </c>
      <c r="I389" s="67" t="inlineStr">
        <is>
          <t>Esto no es una consigna ambientalista.</t>
        </is>
      </c>
      <c r="J389" s="68" t="n"/>
      <c r="K389" s="69" t="n"/>
      <c r="L389" s="68" t="n"/>
      <c r="M389" s="69" t="n"/>
      <c r="N389" s="68" t="n"/>
      <c r="O389" s="69" t="n"/>
      <c r="P389" s="68" t="n"/>
      <c r="Q389" s="69" t="n"/>
      <c r="R389" s="68" t="n"/>
      <c r="S389" s="69" t="n"/>
      <c r="T389" s="68" t="n"/>
      <c r="U389" s="69" t="n"/>
      <c r="V389" s="68" t="n"/>
      <c r="W389" s="69" t="n"/>
      <c r="X389" s="68" t="n"/>
      <c r="Y389" s="69" t="n"/>
      <c r="Z389" s="68" t="n"/>
      <c r="AA389" s="69" t="n"/>
      <c r="AB389" s="68" t="n"/>
      <c r="AC389" s="69" t="n"/>
      <c r="AD389" s="70">
        <f>IF(AND(COUNTIF($B$5:B389,B389)=1,$B389&lt;&gt;"",$AB389&lt;&gt;""),1,0)</f>
        <v/>
      </c>
      <c r="AE389" s="67" t="inlineStr">
        <is>
          <t>https://www.semana.com/politica/articulo/gustavo-petro-abrio-el-debate-contra-el-fracking-de-cara-a-la-segunda-vuelta-presidencial-se-los-digo-de-todo-corazon/202628/</t>
        </is>
      </c>
      <c r="AF389" s="64" t="n"/>
      <c r="AG389" s="65" t="n"/>
    </row>
    <row r="390" ht="15" customHeight="1" s="31">
      <c r="A390" s="66" t="inlineStr">
        <is>
          <t>ART_071</t>
        </is>
      </c>
      <c r="B390" s="66" t="inlineStr">
        <is>
          <t>ART_071_S06</t>
        </is>
      </c>
      <c r="C390" s="66" t="inlineStr">
        <is>
          <t>Semana</t>
        </is>
      </c>
      <c r="D390" s="66" t="inlineStr">
        <is>
          <t>Medio ambiente</t>
        </is>
      </c>
      <c r="E390" s="66" t="inlineStr">
        <is>
          <t>Noticia dura</t>
        </is>
      </c>
      <c r="F390" s="66" t="inlineStr">
        <is>
          <t>2026-06-03T11:48:50-05:00</t>
        </is>
      </c>
      <c r="G390" s="67" t="inlineStr">
        <is>
          <t>Esto no es una consigna ambientalista.</t>
        </is>
      </c>
      <c r="H390" s="67" t="inlineStr">
        <is>
          <t>El agua es más valiosa que el oro.</t>
        </is>
      </c>
      <c r="I390" s="67" t="inlineStr">
        <is>
          <t>Es ciencia”, manifestó Petro.</t>
        </is>
      </c>
      <c r="J390" s="68" t="n"/>
      <c r="K390" s="69" t="n"/>
      <c r="L390" s="68" t="n"/>
      <c r="M390" s="69" t="n"/>
      <c r="N390" s="68" t="n"/>
      <c r="O390" s="69" t="n"/>
      <c r="P390" s="68" t="n"/>
      <c r="Q390" s="69" t="n"/>
      <c r="R390" s="68" t="n"/>
      <c r="S390" s="69" t="n"/>
      <c r="T390" s="68" t="n"/>
      <c r="U390" s="69" t="n"/>
      <c r="V390" s="68" t="n"/>
      <c r="W390" s="69" t="n"/>
      <c r="X390" s="68" t="n"/>
      <c r="Y390" s="69" t="n"/>
      <c r="Z390" s="68" t="n"/>
      <c r="AA390" s="69" t="n"/>
      <c r="AB390" s="68" t="n"/>
      <c r="AC390" s="69" t="n"/>
      <c r="AD390" s="70">
        <f>IF(AND(COUNTIF($B$5:B390,B390)=1,$B390&lt;&gt;"",$AB390&lt;&gt;""),1,0)</f>
        <v/>
      </c>
      <c r="AE390" s="67" t="inlineStr">
        <is>
          <t>https://www.semana.com/politica/articulo/gustavo-petro-abrio-el-debate-contra-el-fracking-de-cara-a-la-segunda-vuelta-presidencial-se-los-digo-de-todo-corazon/202628/</t>
        </is>
      </c>
      <c r="AF390" s="64" t="n"/>
      <c r="AG390" s="65" t="n"/>
    </row>
    <row r="391" ht="15" customHeight="1" s="31">
      <c r="A391" s="66" t="inlineStr">
        <is>
          <t>ART_071</t>
        </is>
      </c>
      <c r="B391" s="66" t="inlineStr">
        <is>
          <t>ART_071_S07</t>
        </is>
      </c>
      <c r="C391" s="66" t="inlineStr">
        <is>
          <t>Semana</t>
        </is>
      </c>
      <c r="D391" s="66" t="inlineStr">
        <is>
          <t>Medio ambiente</t>
        </is>
      </c>
      <c r="E391" s="66" t="inlineStr">
        <is>
          <t>Noticia dura</t>
        </is>
      </c>
      <c r="F391" s="66" t="inlineStr">
        <is>
          <t>2026-06-03T11:48:50-05:00</t>
        </is>
      </c>
      <c r="G391" s="67" t="inlineStr">
        <is>
          <t>Es ciencia”, manifestó Petro.</t>
        </is>
      </c>
      <c r="H391" s="67" t="inlineStr">
        <is>
          <t>Esto no es una consigna ambientalista.</t>
        </is>
      </c>
      <c r="I391" s="67" t="inlineStr">
        <is>
          <t>Y avanzó en el mensaje: “La crisis climática como vamos a ver con el superniño en el próximo semestre, dejaré trazado el camino de una solución que pasa por usar más sol para electricidad, nos demuestra que habrá periodos cada vez más agudos de escasez de agua y que si llegamos al 2070 sin que la humanidad reaccione quedará la zona Tórrida del mundo, incluida Colombia, como un desierto inhabitable”.</t>
        </is>
      </c>
      <c r="J391" s="68" t="n"/>
      <c r="K391" s="69" t="n"/>
      <c r="L391" s="68" t="n"/>
      <c r="M391" s="69" t="n"/>
      <c r="N391" s="68" t="n"/>
      <c r="O391" s="69" t="n"/>
      <c r="P391" s="68" t="n"/>
      <c r="Q391" s="69" t="n"/>
      <c r="R391" s="68" t="n"/>
      <c r="S391" s="69" t="n"/>
      <c r="T391" s="68" t="n"/>
      <c r="U391" s="69" t="n"/>
      <c r="V391" s="68" t="n"/>
      <c r="W391" s="69" t="n"/>
      <c r="X391" s="68" t="n"/>
      <c r="Y391" s="69" t="n"/>
      <c r="Z391" s="68" t="n"/>
      <c r="AA391" s="69" t="n"/>
      <c r="AB391" s="68" t="n"/>
      <c r="AC391" s="69" t="n"/>
      <c r="AD391" s="70">
        <f>IF(AND(COUNTIF($B$5:B391,B391)=1,$B391&lt;&gt;"",$AB391&lt;&gt;""),1,0)</f>
        <v/>
      </c>
      <c r="AE391" s="67" t="inlineStr">
        <is>
          <t>https://www.semana.com/politica/articulo/gustavo-petro-abrio-el-debate-contra-el-fracking-de-cara-a-la-segunda-vuelta-presidencial-se-los-digo-de-todo-corazon/202628/</t>
        </is>
      </c>
      <c r="AF391" s="64" t="n"/>
      <c r="AG391" s="65" t="n"/>
    </row>
    <row r="392" ht="15" customHeight="1" s="31">
      <c r="A392" s="66" t="inlineStr">
        <is>
          <t>ART_071</t>
        </is>
      </c>
      <c r="B392" s="66" t="inlineStr">
        <is>
          <t>ART_071_S08</t>
        </is>
      </c>
      <c r="C392" s="66" t="inlineStr">
        <is>
          <t>Semana</t>
        </is>
      </c>
      <c r="D392" s="66" t="inlineStr">
        <is>
          <t>Medio ambiente</t>
        </is>
      </c>
      <c r="E392" s="66" t="inlineStr">
        <is>
          <t>Noticia dura</t>
        </is>
      </c>
      <c r="F392" s="66" t="inlineStr">
        <is>
          <t>2026-06-03T11:48:50-05:00</t>
        </is>
      </c>
      <c r="G392" s="67" t="inlineStr">
        <is>
          <t>Y avanzó en el mensaje: “La crisis climática como vamos a ver con el superniño en el próximo semestre, dejaré trazado el camino de una solución que pasa por usar más sol para electricidad, nos demuestra que habrá periodos cada vez más agudos de escasez de agua y que si llegamos al 2070 sin que la humanidad reaccione quedará la zona Tórrida del mundo, incluida Colombia, como un desierto inhabitable”.</t>
        </is>
      </c>
      <c r="H392" s="67" t="inlineStr">
        <is>
          <t>Es ciencia”, manifestó Petro.</t>
        </is>
      </c>
      <c r="I392" s="67" t="inlineStr">
        <is>
          <t>“Eso nos obliga a acelerar la descarbonización de la economía mundial y a cuidar al máximo el agua propia.</t>
        </is>
      </c>
      <c r="J392" s="68" t="n"/>
      <c r="K392" s="69" t="n"/>
      <c r="L392" s="68" t="n"/>
      <c r="M392" s="69" t="n"/>
      <c r="N392" s="68" t="n"/>
      <c r="O392" s="69" t="n"/>
      <c r="P392" s="68" t="n"/>
      <c r="Q392" s="69" t="n"/>
      <c r="R392" s="68" t="n"/>
      <c r="S392" s="69" t="n"/>
      <c r="T392" s="68" t="n"/>
      <c r="U392" s="69" t="n"/>
      <c r="V392" s="68" t="n"/>
      <c r="W392" s="69" t="n"/>
      <c r="X392" s="68" t="n"/>
      <c r="Y392" s="69" t="n"/>
      <c r="Z392" s="68" t="n"/>
      <c r="AA392" s="69" t="n"/>
      <c r="AB392" s="68" t="n"/>
      <c r="AC392" s="69" t="n"/>
      <c r="AD392" s="70">
        <f>IF(AND(COUNTIF($B$5:B392,B392)=1,$B392&lt;&gt;"",$AB392&lt;&gt;""),1,0)</f>
        <v/>
      </c>
      <c r="AE392" s="67" t="inlineStr">
        <is>
          <t>https://www.semana.com/politica/articulo/gustavo-petro-abrio-el-debate-contra-el-fracking-de-cara-a-la-segunda-vuelta-presidencial-se-los-digo-de-todo-corazon/202628/</t>
        </is>
      </c>
      <c r="AF392" s="64" t="n"/>
      <c r="AG392" s="65" t="n"/>
    </row>
    <row r="393" ht="15" customHeight="1" s="31">
      <c r="A393" s="66" t="inlineStr">
        <is>
          <t>ART_071</t>
        </is>
      </c>
      <c r="B393" s="66" t="inlineStr">
        <is>
          <t>ART_071_S09</t>
        </is>
      </c>
      <c r="C393" s="66" t="inlineStr">
        <is>
          <t>Semana</t>
        </is>
      </c>
      <c r="D393" s="66" t="inlineStr">
        <is>
          <t>Medio ambiente</t>
        </is>
      </c>
      <c r="E393" s="66" t="inlineStr">
        <is>
          <t>Noticia dura</t>
        </is>
      </c>
      <c r="F393" s="66" t="inlineStr">
        <is>
          <t>2026-06-03T11:48:50-05:00</t>
        </is>
      </c>
      <c r="G393" s="67" t="inlineStr">
        <is>
          <t>“Eso nos obliga a acelerar la descarbonización de la economía mundial y a cuidar al máximo el agua propia.</t>
        </is>
      </c>
      <c r="H393" s="67" t="inlineStr">
        <is>
          <t>Y avanzó en el mensaje: “La crisis climática como vamos a ver con el superniño en el próximo semestre, dejaré trazado el camino de una solución que pasa por usar más sol para electricidad, nos demuestra que habrá periodos cada vez más agudos de escasez de agua y que si llegamos al 2070 sin que la humanidad reaccione quedará la zona Tórrida del mundo, incluida Colombia, como un desierto inhabitable”.</t>
        </is>
      </c>
      <c r="I393" s="67" t="inlineStr">
        <is>
          <t>Gastar a centenares y miles de metros de profundidad, nuestra agua, combinándola con químicos venenosos para sacar el cuncho del petróleo es lo más estúpido que pueda hacer un país”, instó el mandatario colombiano.</t>
        </is>
      </c>
      <c r="J393" s="68" t="n"/>
      <c r="K393" s="69" t="n"/>
      <c r="L393" s="68" t="n"/>
      <c r="M393" s="69" t="n"/>
      <c r="N393" s="68" t="n"/>
      <c r="O393" s="69" t="n"/>
      <c r="P393" s="68" t="n"/>
      <c r="Q393" s="69" t="n"/>
      <c r="R393" s="68" t="n"/>
      <c r="S393" s="69" t="n"/>
      <c r="T393" s="68" t="n"/>
      <c r="U393" s="69" t="n"/>
      <c r="V393" s="68" t="n"/>
      <c r="W393" s="69" t="n"/>
      <c r="X393" s="68" t="n"/>
      <c r="Y393" s="69" t="n"/>
      <c r="Z393" s="68" t="n"/>
      <c r="AA393" s="69" t="n"/>
      <c r="AB393" s="68" t="n"/>
      <c r="AC393" s="69" t="n"/>
      <c r="AD393" s="70">
        <f>IF(AND(COUNTIF($B$5:B393,B393)=1,$B393&lt;&gt;"",$AB393&lt;&gt;""),1,0)</f>
        <v/>
      </c>
      <c r="AE393" s="67" t="inlineStr">
        <is>
          <t>https://www.semana.com/politica/articulo/gustavo-petro-abrio-el-debate-contra-el-fracking-de-cara-a-la-segunda-vuelta-presidencial-se-los-digo-de-todo-corazon/202628/</t>
        </is>
      </c>
      <c r="AF393" s="64" t="n"/>
      <c r="AG393" s="65" t="n"/>
    </row>
    <row r="394" ht="15" customHeight="1" s="31">
      <c r="A394" s="66" t="inlineStr">
        <is>
          <t>ART_071</t>
        </is>
      </c>
      <c r="B394" s="66" t="inlineStr">
        <is>
          <t>ART_071_S10</t>
        </is>
      </c>
      <c r="C394" s="66" t="inlineStr">
        <is>
          <t>Semana</t>
        </is>
      </c>
      <c r="D394" s="66" t="inlineStr">
        <is>
          <t>Medio ambiente</t>
        </is>
      </c>
      <c r="E394" s="66" t="inlineStr">
        <is>
          <t>Noticia dura</t>
        </is>
      </c>
      <c r="F394" s="66" t="inlineStr">
        <is>
          <t>2026-06-03T11:48:50-05:00</t>
        </is>
      </c>
      <c r="G394" s="67" t="inlineStr">
        <is>
          <t>Gastar a centenares y miles de metros de profundidad, nuestra agua, combinándola con químicos venenosos para sacar el cuncho del petróleo es lo más estúpido que pueda hacer un país”, instó el mandatario colombiano.</t>
        </is>
      </c>
      <c r="H394" s="67" t="inlineStr">
        <is>
          <t>“Eso nos obliga a acelerar la descarbonización de la economía mundial y a cuidar al máximo el agua propia.</t>
        </is>
      </c>
      <c r="I394" s="67" t="inlineStr"/>
      <c r="J394" s="68" t="n"/>
      <c r="K394" s="69" t="n"/>
      <c r="L394" s="68" t="n"/>
      <c r="M394" s="69" t="n"/>
      <c r="N394" s="68" t="n"/>
      <c r="O394" s="69" t="n"/>
      <c r="P394" s="68" t="n"/>
      <c r="Q394" s="69" t="n"/>
      <c r="R394" s="68" t="n"/>
      <c r="S394" s="69" t="n"/>
      <c r="T394" s="68" t="n"/>
      <c r="U394" s="69" t="n"/>
      <c r="V394" s="68" t="n"/>
      <c r="W394" s="69" t="n"/>
      <c r="X394" s="68" t="n"/>
      <c r="Y394" s="69" t="n"/>
      <c r="Z394" s="68" t="n"/>
      <c r="AA394" s="69" t="n"/>
      <c r="AB394" s="68" t="n"/>
      <c r="AC394" s="69" t="n"/>
      <c r="AD394" s="70">
        <f>IF(AND(COUNTIF($B$5:B394,B394)=1,$B394&lt;&gt;"",$AB394&lt;&gt;""),1,0)</f>
        <v/>
      </c>
      <c r="AE394" s="67" t="inlineStr">
        <is>
          <t>https://www.semana.com/politica/articulo/gustavo-petro-abrio-el-debate-contra-el-fracking-de-cara-a-la-segunda-vuelta-presidencial-se-los-digo-de-todo-corazon/202628/</t>
        </is>
      </c>
      <c r="AF394" s="64" t="n"/>
      <c r="AG394" s="65" t="n"/>
    </row>
    <row r="395" ht="15" customHeight="1" s="31">
      <c r="A395" s="66" t="inlineStr">
        <is>
          <t>ART_072</t>
        </is>
      </c>
      <c r="B395" s="66" t="inlineStr">
        <is>
          <t>ART_072_S01</t>
        </is>
      </c>
      <c r="C395" s="66" t="inlineStr">
        <is>
          <t>Semana</t>
        </is>
      </c>
      <c r="D395" s="66" t="inlineStr">
        <is>
          <t>Medio ambiente</t>
        </is>
      </c>
      <c r="E395" s="66" t="inlineStr">
        <is>
          <t>Opinión-análisis</t>
        </is>
      </c>
      <c r="F395" s="66" t="inlineStr">
        <is>
          <t>2026-07-16T05:00:00-05:00</t>
        </is>
      </c>
      <c r="G395" s="67" t="inlineStr">
        <is>
          <t>El Gobierno Petro anunció que el próximo 20 de julio radicará nuevamente el proyecto de ley para prohibir el desarrollo de los yacimientos no convencionales en Colombia.</t>
        </is>
      </c>
      <c r="H395" s="67" t="inlineStr"/>
      <c r="I395" s="67" t="inlineStr">
        <is>
          <t>Esta iniciativa, impulsada por los sectores progresistas desde 2018, ha sido archivada en cinco oportunidades por falta de respaldo en el Congreso.</t>
        </is>
      </c>
      <c r="J395" s="68" t="n"/>
      <c r="K395" s="69" t="n"/>
      <c r="L395" s="68" t="n"/>
      <c r="M395" s="69" t="n"/>
      <c r="N395" s="68" t="n"/>
      <c r="O395" s="69" t="n"/>
      <c r="P395" s="68" t="n"/>
      <c r="Q395" s="69" t="n"/>
      <c r="R395" s="68" t="n"/>
      <c r="S395" s="69" t="n"/>
      <c r="T395" s="68" t="n"/>
      <c r="U395" s="69" t="n"/>
      <c r="V395" s="68" t="n"/>
      <c r="W395" s="69" t="n"/>
      <c r="X395" s="68" t="n"/>
      <c r="Y395" s="69" t="n"/>
      <c r="Z395" s="68" t="n"/>
      <c r="AA395" s="69" t="n"/>
      <c r="AB395" s="68" t="n"/>
      <c r="AC395" s="69" t="n"/>
      <c r="AD395" s="70">
        <f>IF(AND(COUNTIF($B$5:B395,B395)=1,$B395&lt;&gt;"",$AB395&lt;&gt;""),1,0)</f>
        <v/>
      </c>
      <c r="AE395" s="67" t="inlineStr">
        <is>
          <t>https://www.semana.com/opinion/articulo/menos-ideologia-mas-fracking/202600/</t>
        </is>
      </c>
      <c r="AF395" s="64" t="n"/>
      <c r="AG395" s="65" t="n"/>
    </row>
    <row r="396" ht="15" customHeight="1" s="31">
      <c r="A396" s="66" t="inlineStr">
        <is>
          <t>ART_072</t>
        </is>
      </c>
      <c r="B396" s="66" t="inlineStr">
        <is>
          <t>ART_072_S02</t>
        </is>
      </c>
      <c r="C396" s="66" t="inlineStr">
        <is>
          <t>Semana</t>
        </is>
      </c>
      <c r="D396" s="66" t="inlineStr">
        <is>
          <t>Medio ambiente</t>
        </is>
      </c>
      <c r="E396" s="66" t="inlineStr">
        <is>
          <t>Opinión-análisis</t>
        </is>
      </c>
      <c r="F396" s="66" t="inlineStr">
        <is>
          <t>2026-07-16T05:00:00-05:00</t>
        </is>
      </c>
      <c r="G396" s="67" t="inlineStr">
        <is>
          <t>Esta iniciativa, impulsada por los sectores progresistas desde 2018, ha sido archivada en cinco oportunidades por falta de respaldo en el Congreso.</t>
        </is>
      </c>
      <c r="H396" s="67" t="inlineStr">
        <is>
          <t>El Gobierno Petro anunció que el próximo 20 de julio radicará nuevamente el proyecto de ley para prohibir el desarrollo de los yacimientos no convencionales en Colombia.</t>
        </is>
      </c>
      <c r="I396" s="67" t="inlineStr">
        <is>
          <t>Lo que hace algunos años era un debate dominado por el activismo y el miedo ha comenzado a cambiar.</t>
        </is>
      </c>
      <c r="J396" s="68" t="n"/>
      <c r="K396" s="69" t="n"/>
      <c r="L396" s="68" t="n"/>
      <c r="M396" s="69" t="n"/>
      <c r="N396" s="68" t="n"/>
      <c r="O396" s="69" t="n"/>
      <c r="P396" s="68" t="n"/>
      <c r="Q396" s="69" t="n"/>
      <c r="R396" s="68" t="n"/>
      <c r="S396" s="69" t="n"/>
      <c r="T396" s="68" t="n"/>
      <c r="U396" s="69" t="n"/>
      <c r="V396" s="68" t="n"/>
      <c r="W396" s="69" t="n"/>
      <c r="X396" s="68" t="n"/>
      <c r="Y396" s="69" t="n"/>
      <c r="Z396" s="68" t="n"/>
      <c r="AA396" s="69" t="n"/>
      <c r="AB396" s="68" t="n"/>
      <c r="AC396" s="69" t="n"/>
      <c r="AD396" s="70">
        <f>IF(AND(COUNTIF($B$5:B396,B396)=1,$B396&lt;&gt;"",$AB396&lt;&gt;""),1,0)</f>
        <v/>
      </c>
      <c r="AE396" s="67" t="inlineStr">
        <is>
          <t>https://www.semana.com/opinion/articulo/menos-ideologia-mas-fracking/202600/</t>
        </is>
      </c>
      <c r="AF396" s="64" t="n"/>
      <c r="AG396" s="65" t="n"/>
    </row>
    <row r="397" ht="15" customHeight="1" s="31">
      <c r="A397" s="66" t="inlineStr">
        <is>
          <t>ART_072</t>
        </is>
      </c>
      <c r="B397" s="66" t="inlineStr">
        <is>
          <t>ART_072_S03</t>
        </is>
      </c>
      <c r="C397" s="66" t="inlineStr">
        <is>
          <t>Semana</t>
        </is>
      </c>
      <c r="D397" s="66" t="inlineStr">
        <is>
          <t>Medio ambiente</t>
        </is>
      </c>
      <c r="E397" s="66" t="inlineStr">
        <is>
          <t>Opinión-análisis</t>
        </is>
      </c>
      <c r="F397" s="66" t="inlineStr">
        <is>
          <t>2026-07-16T05:00:00-05:00</t>
        </is>
      </c>
      <c r="G397" s="67" t="inlineStr">
        <is>
          <t>Lo que hace algunos años era un debate dominado por el activismo y el miedo ha comenzado a cambiar.</t>
        </is>
      </c>
      <c r="H397" s="67" t="inlineStr">
        <is>
          <t>Esta iniciativa, impulsada por los sectores progresistas desde 2018, ha sido archivada en cinco oportunidades por falta de respaldo en el Congreso.</t>
        </is>
      </c>
      <c r="I397" s="67" t="inlineStr">
        <is>
          <t>Cada vez son más los colombianos que entienden que la discusión sobre el fracking debe darse con argumentos técnicos y científicos, no con consignas ideológicas.</t>
        </is>
      </c>
      <c r="J397" s="68" t="n"/>
      <c r="K397" s="69" t="n"/>
      <c r="L397" s="68" t="n"/>
      <c r="M397" s="69" t="n"/>
      <c r="N397" s="68" t="n"/>
      <c r="O397" s="69" t="n"/>
      <c r="P397" s="68" t="n"/>
      <c r="Q397" s="69" t="n"/>
      <c r="R397" s="68" t="n"/>
      <c r="S397" s="69" t="n"/>
      <c r="T397" s="68" t="n"/>
      <c r="U397" s="69" t="n"/>
      <c r="V397" s="68" t="n"/>
      <c r="W397" s="69" t="n"/>
      <c r="X397" s="68" t="n"/>
      <c r="Y397" s="69" t="n"/>
      <c r="Z397" s="68" t="n"/>
      <c r="AA397" s="69" t="n"/>
      <c r="AB397" s="68" t="n"/>
      <c r="AC397" s="69" t="n"/>
      <c r="AD397" s="70">
        <f>IF(AND(COUNTIF($B$5:B397,B397)=1,$B397&lt;&gt;"",$AB397&lt;&gt;""),1,0)</f>
        <v/>
      </c>
      <c r="AE397" s="67" t="inlineStr">
        <is>
          <t>https://www.semana.com/opinion/articulo/menos-ideologia-mas-fracking/202600/</t>
        </is>
      </c>
      <c r="AF397" s="64" t="n"/>
      <c r="AG397" s="65" t="n"/>
    </row>
    <row r="398" ht="15" customHeight="1" s="31">
      <c r="A398" s="66" t="inlineStr">
        <is>
          <t>ART_072</t>
        </is>
      </c>
      <c r="B398" s="66" t="inlineStr">
        <is>
          <t>ART_072_S04</t>
        </is>
      </c>
      <c r="C398" s="66" t="inlineStr">
        <is>
          <t>Semana</t>
        </is>
      </c>
      <c r="D398" s="66" t="inlineStr">
        <is>
          <t>Medio ambiente</t>
        </is>
      </c>
      <c r="E398" s="66" t="inlineStr">
        <is>
          <t>Opinión-análisis</t>
        </is>
      </c>
      <c r="F398" s="66" t="inlineStr">
        <is>
          <t>2026-07-16T05:00:00-05:00</t>
        </is>
      </c>
      <c r="G398" s="67" t="inlineStr">
        <is>
          <t>Cada vez son más los colombianos que entienden que la discusión sobre el fracking debe darse con argumentos técnicos y científicos, no con consignas ideológicas.</t>
        </is>
      </c>
      <c r="H398" s="67" t="inlineStr">
        <is>
          <t>Lo que hace algunos años era un debate dominado por el activismo y el miedo ha comenzado a cambiar.</t>
        </is>
      </c>
      <c r="I398" s="67" t="inlineStr">
        <is>
          <t>Poco a poco, la narrativa de los sectores antifracking ha ido perdiendo fuerza frente a la evidencia.</t>
        </is>
      </c>
      <c r="J398" s="68" t="n"/>
      <c r="K398" s="69" t="n"/>
      <c r="L398" s="68" t="n"/>
      <c r="M398" s="69" t="n"/>
      <c r="N398" s="68" t="n"/>
      <c r="O398" s="69" t="n"/>
      <c r="P398" s="68" t="n"/>
      <c r="Q398" s="69" t="n"/>
      <c r="R398" s="68" t="n"/>
      <c r="S398" s="69" t="n"/>
      <c r="T398" s="68" t="n"/>
      <c r="U398" s="69" t="n"/>
      <c r="V398" s="68" t="n"/>
      <c r="W398" s="69" t="n"/>
      <c r="X398" s="68" t="n"/>
      <c r="Y398" s="69" t="n"/>
      <c r="Z398" s="68" t="n"/>
      <c r="AA398" s="69" t="n"/>
      <c r="AB398" s="68" t="n"/>
      <c r="AC398" s="69" t="n"/>
      <c r="AD398" s="70">
        <f>IF(AND(COUNTIF($B$5:B398,B398)=1,$B398&lt;&gt;"",$AB398&lt;&gt;""),1,0)</f>
        <v/>
      </c>
      <c r="AE398" s="67" t="inlineStr">
        <is>
          <t>https://www.semana.com/opinion/articulo/menos-ideologia-mas-fracking/202600/</t>
        </is>
      </c>
      <c r="AF398" s="64" t="n"/>
      <c r="AG398" s="65" t="n"/>
    </row>
    <row r="399" ht="15" customHeight="1" s="31">
      <c r="A399" s="66" t="inlineStr">
        <is>
          <t>ART_072</t>
        </is>
      </c>
      <c r="B399" s="66" t="inlineStr">
        <is>
          <t>ART_072_S05</t>
        </is>
      </c>
      <c r="C399" s="66" t="inlineStr">
        <is>
          <t>Semana</t>
        </is>
      </c>
      <c r="D399" s="66" t="inlineStr">
        <is>
          <t>Medio ambiente</t>
        </is>
      </c>
      <c r="E399" s="66" t="inlineStr">
        <is>
          <t>Opinión-análisis</t>
        </is>
      </c>
      <c r="F399" s="66" t="inlineStr">
        <is>
          <t>2026-07-16T05:00:00-05:00</t>
        </is>
      </c>
      <c r="G399" s="67" t="inlineStr">
        <is>
          <t>Poco a poco, la narrativa de los sectores antifracking ha ido perdiendo fuerza frente a la evidencia.</t>
        </is>
      </c>
      <c r="H399" s="67" t="inlineStr">
        <is>
          <t>Cada vez son más los colombianos que entienden que la discusión sobre el fracking debe darse con argumentos técnicos y científicos, no con consignas ideológicas.</t>
        </is>
      </c>
      <c r="I399" s="67" t="inlineStr">
        <is>
          <t>Colombia lleva más de 16 años preparándose para utilizar esta tecnología en la exploración y producción de petróleo y gas natural.</t>
        </is>
      </c>
      <c r="J399" s="68" t="n"/>
      <c r="K399" s="69" t="n"/>
      <c r="L399" s="68" t="n"/>
      <c r="M399" s="69" t="n"/>
      <c r="N399" s="68" t="n"/>
      <c r="O399" s="69" t="n"/>
      <c r="P399" s="68" t="n"/>
      <c r="Q399" s="69" t="n"/>
      <c r="R399" s="68" t="n"/>
      <c r="S399" s="69" t="n"/>
      <c r="T399" s="68" t="n"/>
      <c r="U399" s="69" t="n"/>
      <c r="V399" s="68" t="n"/>
      <c r="W399" s="69" t="n"/>
      <c r="X399" s="68" t="n"/>
      <c r="Y399" s="69" t="n"/>
      <c r="Z399" s="68" t="n"/>
      <c r="AA399" s="69" t="n"/>
      <c r="AB399" s="68" t="n"/>
      <c r="AC399" s="69" t="n"/>
      <c r="AD399" s="70">
        <f>IF(AND(COUNTIF($B$5:B399,B399)=1,$B399&lt;&gt;"",$AB399&lt;&gt;""),1,0)</f>
        <v/>
      </c>
      <c r="AE399" s="67" t="inlineStr">
        <is>
          <t>https://www.semana.com/opinion/articulo/menos-ideologia-mas-fracking/202600/</t>
        </is>
      </c>
      <c r="AF399" s="64" t="n"/>
      <c r="AG399" s="65" t="n"/>
    </row>
    <row r="400" ht="15" customHeight="1" s="31">
      <c r="A400" s="66" t="inlineStr">
        <is>
          <t>ART_072</t>
        </is>
      </c>
      <c r="B400" s="66" t="inlineStr">
        <is>
          <t>ART_072_S06</t>
        </is>
      </c>
      <c r="C400" s="66" t="inlineStr">
        <is>
          <t>Semana</t>
        </is>
      </c>
      <c r="D400" s="66" t="inlineStr">
        <is>
          <t>Medio ambiente</t>
        </is>
      </c>
      <c r="E400" s="66" t="inlineStr">
        <is>
          <t>Opinión-análisis</t>
        </is>
      </c>
      <c r="F400" s="66" t="inlineStr">
        <is>
          <t>2026-07-16T05:00:00-05:00</t>
        </is>
      </c>
      <c r="G400" s="67" t="inlineStr">
        <is>
          <t>Colombia lleva más de 16 años preparándose para utilizar esta tecnología en la exploración y producción de petróleo y gas natural.</t>
        </is>
      </c>
      <c r="H400" s="67" t="inlineStr">
        <is>
          <t>Poco a poco, la narrativa de los sectores antifracking ha ido perdiendo fuerza frente a la evidencia.</t>
        </is>
      </c>
      <c r="I400" s="67" t="inlineStr">
        <is>
          <t>Su implementación permitiría aumentar significativamente las reservas probadas de hidrocarburos, reducir la dependencia de las importaciones de gas, que hoy ya superan el 30 % del consumo nacional, fortalecer la seguridad energética, generar miles de empleos y aumentar los ingresos por regalías para las regiones.</t>
        </is>
      </c>
      <c r="J400" s="68" t="n"/>
      <c r="K400" s="69" t="n"/>
      <c r="L400" s="68" t="n"/>
      <c r="M400" s="69" t="n"/>
      <c r="N400" s="68" t="n"/>
      <c r="O400" s="69" t="n"/>
      <c r="P400" s="68" t="n"/>
      <c r="Q400" s="69" t="n"/>
      <c r="R400" s="68" t="n"/>
      <c r="S400" s="69" t="n"/>
      <c r="T400" s="68" t="n"/>
      <c r="U400" s="69" t="n"/>
      <c r="V400" s="68" t="n"/>
      <c r="W400" s="69" t="n"/>
      <c r="X400" s="68" t="n"/>
      <c r="Y400" s="69" t="n"/>
      <c r="Z400" s="68" t="n"/>
      <c r="AA400" s="69" t="n"/>
      <c r="AB400" s="68" t="n"/>
      <c r="AC400" s="69" t="n"/>
      <c r="AD400" s="70">
        <f>IF(AND(COUNTIF($B$5:B400,B400)=1,$B400&lt;&gt;"",$AB400&lt;&gt;""),1,0)</f>
        <v/>
      </c>
      <c r="AE400" s="67" t="inlineStr">
        <is>
          <t>https://www.semana.com/opinion/articulo/menos-ideologia-mas-fracking/202600/</t>
        </is>
      </c>
      <c r="AF400" s="64" t="n"/>
      <c r="AG400" s="65" t="n"/>
    </row>
    <row r="401" ht="15" customHeight="1" s="31">
      <c r="A401" s="66" t="inlineStr">
        <is>
          <t>ART_072</t>
        </is>
      </c>
      <c r="B401" s="66" t="inlineStr">
        <is>
          <t>ART_072_S07</t>
        </is>
      </c>
      <c r="C401" s="66" t="inlineStr">
        <is>
          <t>Semana</t>
        </is>
      </c>
      <c r="D401" s="66" t="inlineStr">
        <is>
          <t>Medio ambiente</t>
        </is>
      </c>
      <c r="E401" s="66" t="inlineStr">
        <is>
          <t>Opinión-análisis</t>
        </is>
      </c>
      <c r="F401" s="66" t="inlineStr">
        <is>
          <t>2026-07-16T05:00:00-05:00</t>
        </is>
      </c>
      <c r="G401" s="67" t="inlineStr">
        <is>
          <t>Su implementación permitiría aumentar significativamente las reservas probadas de hidrocarburos, reducir la dependencia de las importaciones de gas, que hoy ya superan el 30 % del consumo nacional, fortalecer la seguridad energética, generar miles de empleos y aumentar los ingresos por regalías para las regiones.</t>
        </is>
      </c>
      <c r="H401" s="67" t="inlineStr">
        <is>
          <t>Colombia lleva más de 16 años preparándose para utilizar esta tecnología en la exploración y producción de petróleo y gas natural.</t>
        </is>
      </c>
      <c r="I401" s="67" t="inlineStr">
        <is>
          <t>Las estimaciones indican que las reservas de gas podrían pasar de 2,3 terapies cúbicos (TPC) a cerca de 25 TPC, garantizando el abastecimiento durante varias décadas.</t>
        </is>
      </c>
      <c r="J401" s="68" t="n"/>
      <c r="K401" s="69" t="n"/>
      <c r="L401" s="68" t="n"/>
      <c r="M401" s="69" t="n"/>
      <c r="N401" s="68" t="n"/>
      <c r="O401" s="69" t="n"/>
      <c r="P401" s="68" t="n"/>
      <c r="Q401" s="69" t="n"/>
      <c r="R401" s="68" t="n"/>
      <c r="S401" s="69" t="n"/>
      <c r="T401" s="68" t="n"/>
      <c r="U401" s="69" t="n"/>
      <c r="V401" s="68" t="n"/>
      <c r="W401" s="69" t="n"/>
      <c r="X401" s="68" t="n"/>
      <c r="Y401" s="69" t="n"/>
      <c r="Z401" s="68" t="n"/>
      <c r="AA401" s="69" t="n"/>
      <c r="AB401" s="68" t="n"/>
      <c r="AC401" s="69" t="n"/>
      <c r="AD401" s="70">
        <f>IF(AND(COUNTIF($B$5:B401,B401)=1,$B401&lt;&gt;"",$AB401&lt;&gt;""),1,0)</f>
        <v/>
      </c>
      <c r="AE401" s="67" t="inlineStr">
        <is>
          <t>https://www.semana.com/opinion/articulo/menos-ideologia-mas-fracking/202600/</t>
        </is>
      </c>
      <c r="AF401" s="64" t="n"/>
      <c r="AG401" s="65" t="n"/>
    </row>
    <row r="402" ht="15" customHeight="1" s="31">
      <c r="A402" s="66" t="inlineStr">
        <is>
          <t>ART_072</t>
        </is>
      </c>
      <c r="B402" s="66" t="inlineStr">
        <is>
          <t>ART_072_S08</t>
        </is>
      </c>
      <c r="C402" s="66" t="inlineStr">
        <is>
          <t>Semana</t>
        </is>
      </c>
      <c r="D402" s="66" t="inlineStr">
        <is>
          <t>Medio ambiente</t>
        </is>
      </c>
      <c r="E402" s="66" t="inlineStr">
        <is>
          <t>Opinión-análisis</t>
        </is>
      </c>
      <c r="F402" s="66" t="inlineStr">
        <is>
          <t>2026-07-16T05:00:00-05:00</t>
        </is>
      </c>
      <c r="G402" s="67" t="inlineStr">
        <is>
          <t>Las estimaciones indican que las reservas de gas podrían pasar de 2,3 terapies cúbicos (TPC) a cerca de 25 TPC, garantizando el abastecimiento durante varias décadas.</t>
        </is>
      </c>
      <c r="H402" s="67" t="inlineStr">
        <is>
          <t>Su implementación permitiría aumentar significativamente las reservas probadas de hidrocarburos, reducir la dependencia de las importaciones de gas, que hoy ya superan el 30 % del consumo nacional, fortalecer la seguridad energética, generar miles de empleos y aumentar los ingresos por regalías para las regiones.</t>
        </is>
      </c>
      <c r="I402" s="67" t="inlineStr">
        <is>
          <t>Países como Estados Unidos y Argentina son prueba de ello.</t>
        </is>
      </c>
      <c r="J402" s="68" t="n"/>
      <c r="K402" s="69" t="n"/>
      <c r="L402" s="68" t="n"/>
      <c r="M402" s="69" t="n"/>
      <c r="N402" s="68" t="n"/>
      <c r="O402" s="69" t="n"/>
      <c r="P402" s="68" t="n"/>
      <c r="Q402" s="69" t="n"/>
      <c r="R402" s="68" t="n"/>
      <c r="S402" s="69" t="n"/>
      <c r="T402" s="68" t="n"/>
      <c r="U402" s="69" t="n"/>
      <c r="V402" s="68" t="n"/>
      <c r="W402" s="69" t="n"/>
      <c r="X402" s="68" t="n"/>
      <c r="Y402" s="69" t="n"/>
      <c r="Z402" s="68" t="n"/>
      <c r="AA402" s="69" t="n"/>
      <c r="AB402" s="68" t="n"/>
      <c r="AC402" s="69" t="n"/>
      <c r="AD402" s="70">
        <f>IF(AND(COUNTIF($B$5:B402,B402)=1,$B402&lt;&gt;"",$AB402&lt;&gt;""),1,0)</f>
        <v/>
      </c>
      <c r="AE402" s="67" t="inlineStr">
        <is>
          <t>https://www.semana.com/opinion/articulo/menos-ideologia-mas-fracking/202600/</t>
        </is>
      </c>
      <c r="AF402" s="64" t="n"/>
      <c r="AG402" s="65" t="n"/>
    </row>
    <row r="403" ht="15" customHeight="1" s="31">
      <c r="A403" s="66" t="inlineStr">
        <is>
          <t>ART_072</t>
        </is>
      </c>
      <c r="B403" s="66" t="inlineStr">
        <is>
          <t>ART_072_S09</t>
        </is>
      </c>
      <c r="C403" s="66" t="inlineStr">
        <is>
          <t>Semana</t>
        </is>
      </c>
      <c r="D403" s="66" t="inlineStr">
        <is>
          <t>Medio ambiente</t>
        </is>
      </c>
      <c r="E403" s="66" t="inlineStr">
        <is>
          <t>Opinión-análisis</t>
        </is>
      </c>
      <c r="F403" s="66" t="inlineStr">
        <is>
          <t>2026-07-16T05:00:00-05:00</t>
        </is>
      </c>
      <c r="G403" s="67" t="inlineStr">
        <is>
          <t>Países como Estados Unidos y Argentina son prueba de ello.</t>
        </is>
      </c>
      <c r="H403" s="67" t="inlineStr">
        <is>
          <t>Las estimaciones indican que las reservas de gas podrían pasar de 2,3 terapies cúbicos (TPC) a cerca de 25 TPC, garantizando el abastecimiento durante varias décadas.</t>
        </is>
      </c>
      <c r="I403" s="67" t="inlineStr">
        <is>
          <t>Gracias al desarrollo responsable del fracking, no solo aseguraron su autosuficiencia energética, sino que hoy exportan petróleo y gas natural, fortaleciendo sus economías y reduciendo la dependencia de mercados externos.</t>
        </is>
      </c>
      <c r="J403" s="68" t="n"/>
      <c r="K403" s="69" t="n"/>
      <c r="L403" s="68" t="n"/>
      <c r="M403" s="69" t="n"/>
      <c r="N403" s="68" t="n"/>
      <c r="O403" s="69" t="n"/>
      <c r="P403" s="68" t="n"/>
      <c r="Q403" s="69" t="n"/>
      <c r="R403" s="68" t="n"/>
      <c r="S403" s="69" t="n"/>
      <c r="T403" s="68" t="n"/>
      <c r="U403" s="69" t="n"/>
      <c r="V403" s="68" t="n"/>
      <c r="W403" s="69" t="n"/>
      <c r="X403" s="68" t="n"/>
      <c r="Y403" s="69" t="n"/>
      <c r="Z403" s="68" t="n"/>
      <c r="AA403" s="69" t="n"/>
      <c r="AB403" s="68" t="n"/>
      <c r="AC403" s="69" t="n"/>
      <c r="AD403" s="70">
        <f>IF(AND(COUNTIF($B$5:B403,B403)=1,$B403&lt;&gt;"",$AB403&lt;&gt;""),1,0)</f>
        <v/>
      </c>
      <c r="AE403" s="67" t="inlineStr">
        <is>
          <t>https://www.semana.com/opinion/articulo/menos-ideologia-mas-fracking/202600/</t>
        </is>
      </c>
      <c r="AF403" s="64" t="n"/>
      <c r="AG403" s="65" t="n"/>
    </row>
    <row r="404" ht="15" customHeight="1" s="31">
      <c r="A404" s="66" t="inlineStr">
        <is>
          <t>ART_072</t>
        </is>
      </c>
      <c r="B404" s="66" t="inlineStr">
        <is>
          <t>ART_072_S10</t>
        </is>
      </c>
      <c r="C404" s="66" t="inlineStr">
        <is>
          <t>Semana</t>
        </is>
      </c>
      <c r="D404" s="66" t="inlineStr">
        <is>
          <t>Medio ambiente</t>
        </is>
      </c>
      <c r="E404" s="66" t="inlineStr">
        <is>
          <t>Opinión-análisis</t>
        </is>
      </c>
      <c r="F404" s="66" t="inlineStr">
        <is>
          <t>2026-07-16T05:00:00-05:00</t>
        </is>
      </c>
      <c r="G404" s="67" t="inlineStr">
        <is>
          <t>Gracias al desarrollo responsable del fracking, no solo aseguraron su autosuficiencia energética, sino que hoy exportan petróleo y gas natural, fortaleciendo sus economías y reduciendo la dependencia de mercados externos.</t>
        </is>
      </c>
      <c r="H404" s="67" t="inlineStr">
        <is>
          <t>Países como Estados Unidos y Argentina son prueba de ello.</t>
        </is>
      </c>
      <c r="I404" s="67" t="inlineStr"/>
      <c r="J404" s="68" t="n"/>
      <c r="K404" s="69" t="n"/>
      <c r="L404" s="68" t="n"/>
      <c r="M404" s="69" t="n"/>
      <c r="N404" s="68" t="n"/>
      <c r="O404" s="69" t="n"/>
      <c r="P404" s="68" t="n"/>
      <c r="Q404" s="69" t="n"/>
      <c r="R404" s="68" t="n"/>
      <c r="S404" s="69" t="n"/>
      <c r="T404" s="68" t="n"/>
      <c r="U404" s="69" t="n"/>
      <c r="V404" s="68" t="n"/>
      <c r="W404" s="69" t="n"/>
      <c r="X404" s="68" t="n"/>
      <c r="Y404" s="69" t="n"/>
      <c r="Z404" s="68" t="n"/>
      <c r="AA404" s="69" t="n"/>
      <c r="AB404" s="68" t="n"/>
      <c r="AC404" s="69" t="n"/>
      <c r="AD404" s="70">
        <f>IF(AND(COUNTIF($B$5:B404,B404)=1,$B404&lt;&gt;"",$AB404&lt;&gt;""),1,0)</f>
        <v/>
      </c>
      <c r="AE404" s="67" t="inlineStr">
        <is>
          <t>https://www.semana.com/opinion/articulo/menos-ideologia-mas-fracking/202600/</t>
        </is>
      </c>
      <c r="AF404" s="64" t="n"/>
      <c r="AG404" s="65" t="n"/>
    </row>
    <row r="405" ht="15" customHeight="1" s="31">
      <c r="A405" s="66" t="inlineStr">
        <is>
          <t>ART_073</t>
        </is>
      </c>
      <c r="B405" s="66" t="inlineStr">
        <is>
          <t>ART_073_S01</t>
        </is>
      </c>
      <c r="C405" s="66" t="inlineStr">
        <is>
          <t>Infobae Colombia</t>
        </is>
      </c>
      <c r="D405" s="66" t="inlineStr">
        <is>
          <t>Deportes</t>
        </is>
      </c>
      <c r="E405" s="66" t="inlineStr">
        <is>
          <t>Noticia dura</t>
        </is>
      </c>
      <c r="F405" s="66" t="inlineStr">
        <is>
          <t>2026-07-23T20:47:49Z</t>
        </is>
      </c>
      <c r="G405" s="67" t="inlineStr">
        <is>
          <t>La selección Colombia despejó las dudas sobre el técnico del equipo tras el Mundial 2026 y anunció la continuidad de Néstor Lorenzo para el nuevo proceso hacia 2030, luego de llegar a un acuerdo con la Federación Colombiana de Fútbol para renovar su contrato, que terminaba el 31 de julio.</t>
        </is>
      </c>
      <c r="H405" s="67" t="inlineStr"/>
      <c r="I405" s="67" t="inlineStr">
        <is>
          <t>Sin embargo, hubo críticas por la decisión de la FCF, ya que la eliminación en la Copa de la FIFA fue un golpe duro.</t>
        </is>
      </c>
      <c r="J405" s="68" t="n"/>
      <c r="K405" s="69" t="n"/>
      <c r="L405" s="68" t="n"/>
      <c r="M405" s="69" t="n"/>
      <c r="N405" s="68" t="n"/>
      <c r="O405" s="69" t="n"/>
      <c r="P405" s="68" t="n"/>
      <c r="Q405" s="69" t="n"/>
      <c r="R405" s="68" t="n"/>
      <c r="S405" s="69" t="n"/>
      <c r="T405" s="68" t="n"/>
      <c r="U405" s="69" t="n"/>
      <c r="V405" s="68" t="n"/>
      <c r="W405" s="69" t="n"/>
      <c r="X405" s="68" t="n"/>
      <c r="Y405" s="69" t="n"/>
      <c r="Z405" s="68" t="n"/>
      <c r="AA405" s="69" t="n"/>
      <c r="AB405" s="68" t="n"/>
      <c r="AC405" s="69" t="n"/>
      <c r="AD405" s="70">
        <f>IF(AND(COUNTIF($B$5:B405,B405)=1,$B405&lt;&gt;"",$AB405&lt;&gt;""),1,0)</f>
        <v/>
      </c>
      <c r="AE405" s="67" t="inlineStr">
        <is>
          <t>https://www.infobae.com/colombia/deportes/2026/07/23/carlos-antonio-velez-estallo-por-la-renovacion-de-nestor-lorenzo-en-la-seleccion-colombia-viva-la-mediocridad/</t>
        </is>
      </c>
      <c r="AF405" s="64" t="n"/>
      <c r="AG405" s="65" t="n"/>
    </row>
    <row r="406" ht="15" customHeight="1" s="31">
      <c r="A406" s="66" t="inlineStr">
        <is>
          <t>ART_073</t>
        </is>
      </c>
      <c r="B406" s="66" t="inlineStr">
        <is>
          <t>ART_073_S02</t>
        </is>
      </c>
      <c r="C406" s="66" t="inlineStr">
        <is>
          <t>Infobae Colombia</t>
        </is>
      </c>
      <c r="D406" s="66" t="inlineStr">
        <is>
          <t>Deportes</t>
        </is>
      </c>
      <c r="E406" s="66" t="inlineStr">
        <is>
          <t>Noticia dura</t>
        </is>
      </c>
      <c r="F406" s="66" t="inlineStr">
        <is>
          <t>2026-07-23T20:47:49Z</t>
        </is>
      </c>
      <c r="G406" s="67" t="inlineStr">
        <is>
          <t>Sin embargo, hubo críticas por la decisión de la FCF, ya que la eliminación en la Copa de la FIFA fue un golpe duro.</t>
        </is>
      </c>
      <c r="H406" s="67" t="inlineStr">
        <is>
          <t>La selección Colombia despejó las dudas sobre el técnico del equipo tras el Mundial 2026 y anunció la continuidad de Néstor Lorenzo para el nuevo proceso hacia 2030, luego de llegar a un acuerdo con la Federación Colombiana de Fútbol para renovar su contrato, que terminaba el 31 de julio.</t>
        </is>
      </c>
      <c r="I406" s="67" t="inlineStr">
        <is>
          <t>Queda por saber hasta cuándo será el nuevo contrato del argentino, pues se conoció que no sería tan largo como el primero, que firmó en 2022, además de las condiciones, objetivos y tema económico para él y su cuerpo técnico, el cual deberá rearmar por la salida del asistente Luis Amaranto Perea.</t>
        </is>
      </c>
      <c r="J406" s="68" t="n"/>
      <c r="K406" s="69" t="n"/>
      <c r="L406" s="68" t="n"/>
      <c r="M406" s="69" t="n"/>
      <c r="N406" s="68" t="n"/>
      <c r="O406" s="69" t="n"/>
      <c r="P406" s="68" t="n"/>
      <c r="Q406" s="69" t="n"/>
      <c r="R406" s="68" t="n"/>
      <c r="S406" s="69" t="n"/>
      <c r="T406" s="68" t="n"/>
      <c r="U406" s="69" t="n"/>
      <c r="V406" s="68" t="n"/>
      <c r="W406" s="69" t="n"/>
      <c r="X406" s="68" t="n"/>
      <c r="Y406" s="69" t="n"/>
      <c r="Z406" s="68" t="n"/>
      <c r="AA406" s="69" t="n"/>
      <c r="AB406" s="68" t="n"/>
      <c r="AC406" s="69" t="n"/>
      <c r="AD406" s="70">
        <f>IF(AND(COUNTIF($B$5:B406,B406)=1,$B406&lt;&gt;"",$AB406&lt;&gt;""),1,0)</f>
        <v/>
      </c>
      <c r="AE406" s="67" t="inlineStr">
        <is>
          <t>https://www.infobae.com/colombia/deportes/2026/07/23/carlos-antonio-velez-estallo-por-la-renovacion-de-nestor-lorenzo-en-la-seleccion-colombia-viva-la-mediocridad/</t>
        </is>
      </c>
      <c r="AF406" s="64" t="n"/>
      <c r="AG406" s="65" t="n"/>
    </row>
    <row r="407" ht="15" customHeight="1" s="31">
      <c r="A407" s="66" t="inlineStr">
        <is>
          <t>ART_073</t>
        </is>
      </c>
      <c r="B407" s="66" t="inlineStr">
        <is>
          <t>ART_073_S03</t>
        </is>
      </c>
      <c r="C407" s="66" t="inlineStr">
        <is>
          <t>Infobae Colombia</t>
        </is>
      </c>
      <c r="D407" s="66" t="inlineStr">
        <is>
          <t>Deportes</t>
        </is>
      </c>
      <c r="E407" s="66" t="inlineStr">
        <is>
          <t>Noticia dura</t>
        </is>
      </c>
      <c r="F407" s="66" t="inlineStr">
        <is>
          <t>2026-07-23T20:47:49Z</t>
        </is>
      </c>
      <c r="G407" s="67" t="inlineStr">
        <is>
          <t>Queda por saber hasta cuándo será el nuevo contrato del argentino, pues se conoció que no sería tan largo como el primero, que firmó en 2022, además de las condiciones, objetivos y tema económico para él y su cuerpo técnico, el cual deberá rearmar por la salida del asistente Luis Amaranto Perea.</t>
        </is>
      </c>
      <c r="H407" s="67" t="inlineStr">
        <is>
          <t>Sin embargo, hubo críticas por la decisión de la FCF, ya que la eliminación en la Copa de la FIFA fue un golpe duro.</t>
        </is>
      </c>
      <c r="I407" s="67" t="inlineStr">
        <is>
          <t>Una buena parte de los aficionados y algunos sectores del país no estaban de acuerdo con la continuidad del técnico argentino, debido a las versiones de conflictos en la nómina de la Tricolor, el supuesto favoritismo por James Rodríguez y la polémica de Sebastián Villa en la prelista.</t>
        </is>
      </c>
      <c r="J407" s="68" t="n"/>
      <c r="K407" s="69" t="n"/>
      <c r="L407" s="68" t="n"/>
      <c r="M407" s="69" t="n"/>
      <c r="N407" s="68" t="n"/>
      <c r="O407" s="69" t="n"/>
      <c r="P407" s="68" t="n"/>
      <c r="Q407" s="69" t="n"/>
      <c r="R407" s="68" t="n"/>
      <c r="S407" s="69" t="n"/>
      <c r="T407" s="68" t="n"/>
      <c r="U407" s="69" t="n"/>
      <c r="V407" s="68" t="n"/>
      <c r="W407" s="69" t="n"/>
      <c r="X407" s="68" t="n"/>
      <c r="Y407" s="69" t="n"/>
      <c r="Z407" s="68" t="n"/>
      <c r="AA407" s="69" t="n"/>
      <c r="AB407" s="68" t="n"/>
      <c r="AC407" s="69" t="n"/>
      <c r="AD407" s="70">
        <f>IF(AND(COUNTIF($B$5:B407,B407)=1,$B407&lt;&gt;"",$AB407&lt;&gt;""),1,0)</f>
        <v/>
      </c>
      <c r="AE407" s="67" t="inlineStr">
        <is>
          <t>https://www.infobae.com/colombia/deportes/2026/07/23/carlos-antonio-velez-estallo-por-la-renovacion-de-nestor-lorenzo-en-la-seleccion-colombia-viva-la-mediocridad/</t>
        </is>
      </c>
      <c r="AF407" s="64" t="n"/>
      <c r="AG407" s="65" t="n"/>
    </row>
    <row r="408" ht="15" customHeight="1" s="31">
      <c r="A408" s="66" t="inlineStr">
        <is>
          <t>ART_073</t>
        </is>
      </c>
      <c r="B408" s="66" t="inlineStr">
        <is>
          <t>ART_073_S04</t>
        </is>
      </c>
      <c r="C408" s="66" t="inlineStr">
        <is>
          <t>Infobae Colombia</t>
        </is>
      </c>
      <c r="D408" s="66" t="inlineStr">
        <is>
          <t>Deportes</t>
        </is>
      </c>
      <c r="E408" s="66" t="inlineStr">
        <is>
          <t>Noticia dura</t>
        </is>
      </c>
      <c r="F408" s="66" t="inlineStr">
        <is>
          <t>2026-07-23T20:47:49Z</t>
        </is>
      </c>
      <c r="G408" s="67" t="inlineStr">
        <is>
          <t>Una buena parte de los aficionados y algunos sectores del país no estaban de acuerdo con la continuidad del técnico argentino, debido a las versiones de conflictos en la nómina de la Tricolor, el supuesto favoritismo por James Rodríguez y la polémica de Sebastián Villa en la prelista.</t>
        </is>
      </c>
      <c r="H408" s="67" t="inlineStr">
        <is>
          <t>Queda por saber hasta cuándo será el nuevo contrato del argentino, pues se conoció que no sería tan largo como el primero, que firmó en 2022, además de las condiciones, objetivos y tema económico para él y su cuerpo técnico, el cual deberá rearmar por la salida del asistente Luis Amaranto Perea.</t>
        </is>
      </c>
      <c r="I408" s="67" t="inlineStr">
        <is>
          <t>Carlos Antonio Vélez volvió a mostrar sus críticas contra Néstor Lorenzo, al afirmar que, con la renovación en la selección Colombia, se volverán a ver los mismos resultados de su primer proceso, aunque lo dijo de manera sarcástica y aseguró que no habrá evolución en el equipo.</t>
        </is>
      </c>
      <c r="J408" s="68" t="n"/>
      <c r="K408" s="69" t="n"/>
      <c r="L408" s="68" t="n"/>
      <c r="M408" s="69" t="n"/>
      <c r="N408" s="68" t="n"/>
      <c r="O408" s="69" t="n"/>
      <c r="P408" s="68" t="n"/>
      <c r="Q408" s="69" t="n"/>
      <c r="R408" s="68" t="n"/>
      <c r="S408" s="69" t="n"/>
      <c r="T408" s="68" t="n"/>
      <c r="U408" s="69" t="n"/>
      <c r="V408" s="68" t="n"/>
      <c r="W408" s="69" t="n"/>
      <c r="X408" s="68" t="n"/>
      <c r="Y408" s="69" t="n"/>
      <c r="Z408" s="68" t="n"/>
      <c r="AA408" s="69" t="n"/>
      <c r="AB408" s="68" t="n"/>
      <c r="AC408" s="69" t="n"/>
      <c r="AD408" s="70">
        <f>IF(AND(COUNTIF($B$5:B408,B408)=1,$B408&lt;&gt;"",$AB408&lt;&gt;""),1,0)</f>
        <v/>
      </c>
      <c r="AE408" s="67" t="inlineStr">
        <is>
          <t>https://www.infobae.com/colombia/deportes/2026/07/23/carlos-antonio-velez-estallo-por-la-renovacion-de-nestor-lorenzo-en-la-seleccion-colombia-viva-la-mediocridad/</t>
        </is>
      </c>
      <c r="AF408" s="64" t="n"/>
      <c r="AG408" s="65" t="n"/>
    </row>
    <row r="409" ht="15" customHeight="1" s="31">
      <c r="A409" s="66" t="inlineStr">
        <is>
          <t>ART_073</t>
        </is>
      </c>
      <c r="B409" s="66" t="inlineStr">
        <is>
          <t>ART_073_S05</t>
        </is>
      </c>
      <c r="C409" s="66" t="inlineStr">
        <is>
          <t>Infobae Colombia</t>
        </is>
      </c>
      <c r="D409" s="66" t="inlineStr">
        <is>
          <t>Deportes</t>
        </is>
      </c>
      <c r="E409" s="66" t="inlineStr">
        <is>
          <t>Noticia dura</t>
        </is>
      </c>
      <c r="F409" s="66" t="inlineStr">
        <is>
          <t>2026-07-23T20:47:49Z</t>
        </is>
      </c>
      <c r="G409" s="67" t="inlineStr">
        <is>
          <t>Carlos Antonio Vélez volvió a mostrar sus críticas contra Néstor Lorenzo, al afirmar que, con la renovación en la selección Colombia, se volverán a ver los mismos resultados de su primer proceso, aunque lo dijo de manera sarcástica y aseguró que no habrá evolución en el equipo.</t>
        </is>
      </c>
      <c r="H409" s="67" t="inlineStr">
        <is>
          <t>Una buena parte de los aficionados y algunos sectores del país no estaban de acuerdo con la continuidad del técnico argentino, debido a las versiones de conflictos en la nómina de la Tricolor, el supuesto favoritismo por James Rodríguez y la polémica de Sebastián Villa en la prelista.</t>
        </is>
      </c>
      <c r="I409" s="67" t="inlineStr">
        <is>
          <t>“Maravillosa noticia… (Para los rivales y los empresarios).</t>
        </is>
      </c>
      <c r="J409" s="68" t="n"/>
      <c r="K409" s="69" t="n"/>
      <c r="L409" s="68" t="n"/>
      <c r="M409" s="69" t="n"/>
      <c r="N409" s="68" t="n"/>
      <c r="O409" s="69" t="n"/>
      <c r="P409" s="68" t="n"/>
      <c r="Q409" s="69" t="n"/>
      <c r="R409" s="68" t="n"/>
      <c r="S409" s="69" t="n"/>
      <c r="T409" s="68" t="n"/>
      <c r="U409" s="69" t="n"/>
      <c r="V409" s="68" t="n"/>
      <c r="W409" s="69" t="n"/>
      <c r="X409" s="68" t="n"/>
      <c r="Y409" s="69" t="n"/>
      <c r="Z409" s="68" t="n"/>
      <c r="AA409" s="69" t="n"/>
      <c r="AB409" s="68" t="n"/>
      <c r="AC409" s="69" t="n"/>
      <c r="AD409" s="70">
        <f>IF(AND(COUNTIF($B$5:B409,B409)=1,$B409&lt;&gt;"",$AB409&lt;&gt;""),1,0)</f>
        <v/>
      </c>
      <c r="AE409" s="67" t="inlineStr">
        <is>
          <t>https://www.infobae.com/colombia/deportes/2026/07/23/carlos-antonio-velez-estallo-por-la-renovacion-de-nestor-lorenzo-en-la-seleccion-colombia-viva-la-mediocridad/</t>
        </is>
      </c>
      <c r="AF409" s="64" t="n"/>
      <c r="AG409" s="65" t="n"/>
    </row>
    <row r="410" ht="15" customHeight="1" s="31">
      <c r="A410" s="66" t="inlineStr">
        <is>
          <t>ART_073</t>
        </is>
      </c>
      <c r="B410" s="66" t="inlineStr">
        <is>
          <t>ART_073_S06</t>
        </is>
      </c>
      <c r="C410" s="66" t="inlineStr">
        <is>
          <t>Infobae Colombia</t>
        </is>
      </c>
      <c r="D410" s="66" t="inlineStr">
        <is>
          <t>Deportes</t>
        </is>
      </c>
      <c r="E410" s="66" t="inlineStr">
        <is>
          <t>Noticia dura</t>
        </is>
      </c>
      <c r="F410" s="66" t="inlineStr">
        <is>
          <t>2026-07-23T20:47:49Z</t>
        </is>
      </c>
      <c r="G410" s="67" t="inlineStr">
        <is>
          <t>“Maravillosa noticia… (Para los rivales y los empresarios).</t>
        </is>
      </c>
      <c r="H410" s="67" t="inlineStr">
        <is>
          <t>Carlos Antonio Vélez volvió a mostrar sus críticas contra Néstor Lorenzo, al afirmar que, con la renovación en la selección Colombia, se volverán a ver los mismos resultados de su primer proceso, aunque lo dijo de manera sarcástica y aseguró que no habrá evolución en el equipo.</t>
        </is>
      </c>
      <c r="I410" s="67" t="inlineStr">
        <is>
          <t>Y aseguramos múltiples triunfos en amistosos, la continuidad del exitoso club de amigos, ir al mundial (van casi todos) a jugar 8 partidos, pero nos regresamos antes y el show de disculpas en las bobaliconas conferencias de prensa.</t>
        </is>
      </c>
      <c r="J410" s="68" t="n"/>
      <c r="K410" s="69" t="n"/>
      <c r="L410" s="68" t="n"/>
      <c r="M410" s="69" t="n"/>
      <c r="N410" s="68" t="n"/>
      <c r="O410" s="69" t="n"/>
      <c r="P410" s="68" t="n"/>
      <c r="Q410" s="69" t="n"/>
      <c r="R410" s="68" t="n"/>
      <c r="S410" s="69" t="n"/>
      <c r="T410" s="68" t="n"/>
      <c r="U410" s="69" t="n"/>
      <c r="V410" s="68" t="n"/>
      <c r="W410" s="69" t="n"/>
      <c r="X410" s="68" t="n"/>
      <c r="Y410" s="69" t="n"/>
      <c r="Z410" s="68" t="n"/>
      <c r="AA410" s="69" t="n"/>
      <c r="AB410" s="68" t="n"/>
      <c r="AC410" s="69" t="n"/>
      <c r="AD410" s="70">
        <f>IF(AND(COUNTIF($B$5:B410,B410)=1,$B410&lt;&gt;"",$AB410&lt;&gt;""),1,0)</f>
        <v/>
      </c>
      <c r="AE410" s="67" t="inlineStr">
        <is>
          <t>https://www.infobae.com/colombia/deportes/2026/07/23/carlos-antonio-velez-estallo-por-la-renovacion-de-nestor-lorenzo-en-la-seleccion-colombia-viva-la-mediocridad/</t>
        </is>
      </c>
      <c r="AF410" s="64" t="n"/>
      <c r="AG410" s="65" t="n"/>
    </row>
    <row r="411" ht="15" customHeight="1" s="31">
      <c r="A411" s="66" t="inlineStr">
        <is>
          <t>ART_073</t>
        </is>
      </c>
      <c r="B411" s="66" t="inlineStr">
        <is>
          <t>ART_073_S07</t>
        </is>
      </c>
      <c r="C411" s="66" t="inlineStr">
        <is>
          <t>Infobae Colombia</t>
        </is>
      </c>
      <c r="D411" s="66" t="inlineStr">
        <is>
          <t>Deportes</t>
        </is>
      </c>
      <c r="E411" s="66" t="inlineStr">
        <is>
          <t>Noticia dura</t>
        </is>
      </c>
      <c r="F411" s="66" t="inlineStr">
        <is>
          <t>2026-07-23T20:47:49Z</t>
        </is>
      </c>
      <c r="G411" s="67" t="inlineStr">
        <is>
          <t>Y aseguramos múltiples triunfos en amistosos, la continuidad del exitoso club de amigos, ir al mundial (van casi todos) a jugar 8 partidos, pero nos regresamos antes y el show de disculpas en las bobaliconas conferencias de prensa.</t>
        </is>
      </c>
      <c r="H411" s="67" t="inlineStr">
        <is>
          <t>“Maravillosa noticia… (Para los rivales y los empresarios).</t>
        </is>
      </c>
      <c r="I411" s="67" t="inlineStr">
        <is>
          <t>Seguramente en Copa América nos irá de rechupete y vuelve a ilusionarse la patria boba hasta cuando lleguen los de verdad y ya saben el final .</t>
        </is>
      </c>
      <c r="J411" s="68" t="n"/>
      <c r="K411" s="69" t="n"/>
      <c r="L411" s="68" t="n"/>
      <c r="M411" s="69" t="n"/>
      <c r="N411" s="68" t="n"/>
      <c r="O411" s="69" t="n"/>
      <c r="P411" s="68" t="n"/>
      <c r="Q411" s="69" t="n"/>
      <c r="R411" s="68" t="n"/>
      <c r="S411" s="69" t="n"/>
      <c r="T411" s="68" t="n"/>
      <c r="U411" s="69" t="n"/>
      <c r="V411" s="68" t="n"/>
      <c r="W411" s="69" t="n"/>
      <c r="X411" s="68" t="n"/>
      <c r="Y411" s="69" t="n"/>
      <c r="Z411" s="68" t="n"/>
      <c r="AA411" s="69" t="n"/>
      <c r="AB411" s="68" t="n"/>
      <c r="AC411" s="69" t="n"/>
      <c r="AD411" s="70">
        <f>IF(AND(COUNTIF($B$5:B411,B411)=1,$B411&lt;&gt;"",$AB411&lt;&gt;""),1,0)</f>
        <v/>
      </c>
      <c r="AE411" s="67" t="inlineStr">
        <is>
          <t>https://www.infobae.com/colombia/deportes/2026/07/23/carlos-antonio-velez-estallo-por-la-renovacion-de-nestor-lorenzo-en-la-seleccion-colombia-viva-la-mediocridad/</t>
        </is>
      </c>
      <c r="AF411" s="64" t="n"/>
      <c r="AG411" s="65" t="n"/>
    </row>
    <row r="412" ht="15" customHeight="1" s="31">
      <c r="A412" s="66" t="inlineStr">
        <is>
          <t>ART_073</t>
        </is>
      </c>
      <c r="B412" s="66" t="inlineStr">
        <is>
          <t>ART_073_S08</t>
        </is>
      </c>
      <c r="C412" s="66" t="inlineStr">
        <is>
          <t>Infobae Colombia</t>
        </is>
      </c>
      <c r="D412" s="66" t="inlineStr">
        <is>
          <t>Deportes</t>
        </is>
      </c>
      <c r="E412" s="66" t="inlineStr">
        <is>
          <t>Noticia dura</t>
        </is>
      </c>
      <c r="F412" s="66" t="inlineStr">
        <is>
          <t>2026-07-23T20:47:49Z</t>
        </is>
      </c>
      <c r="G412" s="67" t="inlineStr">
        <is>
          <t>Seguramente en Copa América nos irá de rechupete y vuelve a ilusionarse la patria boba hasta cuando lleguen los de verdad y ya saben el final .</t>
        </is>
      </c>
      <c r="H412" s="67" t="inlineStr">
        <is>
          <t>Y aseguramos múltiples triunfos en amistosos, la continuidad del exitoso club de amigos, ir al mundial (van casi todos) a jugar 8 partidos, pero nos regresamos antes y el show de disculpas en las bobaliconas conferencias de prensa.</t>
        </is>
      </c>
      <c r="I412" s="67" t="inlineStr">
        <is>
          <t>¡Viva la mediocridad!”, publicó el periodista en X.</t>
        </is>
      </c>
      <c r="J412" s="68" t="n"/>
      <c r="K412" s="69" t="n"/>
      <c r="L412" s="68" t="n"/>
      <c r="M412" s="69" t="n"/>
      <c r="N412" s="68" t="n"/>
      <c r="O412" s="69" t="n"/>
      <c r="P412" s="68" t="n"/>
      <c r="Q412" s="69" t="n"/>
      <c r="R412" s="68" t="n"/>
      <c r="S412" s="69" t="n"/>
      <c r="T412" s="68" t="n"/>
      <c r="U412" s="69" t="n"/>
      <c r="V412" s="68" t="n"/>
      <c r="W412" s="69" t="n"/>
      <c r="X412" s="68" t="n"/>
      <c r="Y412" s="69" t="n"/>
      <c r="Z412" s="68" t="n"/>
      <c r="AA412" s="69" t="n"/>
      <c r="AB412" s="68" t="n"/>
      <c r="AC412" s="69" t="n"/>
      <c r="AD412" s="70">
        <f>IF(AND(COUNTIF($B$5:B412,B412)=1,$B412&lt;&gt;"",$AB412&lt;&gt;""),1,0)</f>
        <v/>
      </c>
      <c r="AE412" s="67" t="inlineStr">
        <is>
          <t>https://www.infobae.com/colombia/deportes/2026/07/23/carlos-antonio-velez-estallo-por-la-renovacion-de-nestor-lorenzo-en-la-seleccion-colombia-viva-la-mediocridad/</t>
        </is>
      </c>
      <c r="AF412" s="64" t="n"/>
      <c r="AG412" s="65" t="n"/>
    </row>
    <row r="413" ht="15" customHeight="1" s="31">
      <c r="A413" s="66" t="inlineStr">
        <is>
          <t>ART_073</t>
        </is>
      </c>
      <c r="B413" s="66" t="inlineStr">
        <is>
          <t>ART_073_S09</t>
        </is>
      </c>
      <c r="C413" s="66" t="inlineStr">
        <is>
          <t>Infobae Colombia</t>
        </is>
      </c>
      <c r="D413" s="66" t="inlineStr">
        <is>
          <t>Deportes</t>
        </is>
      </c>
      <c r="E413" s="66" t="inlineStr">
        <is>
          <t>Noticia dura</t>
        </is>
      </c>
      <c r="F413" s="66" t="inlineStr">
        <is>
          <t>2026-07-23T20:47:49Z</t>
        </is>
      </c>
      <c r="G413" s="67" t="inlineStr">
        <is>
          <t>¡Viva la mediocridad!”, publicó el periodista en X.</t>
        </is>
      </c>
      <c r="H413" s="67" t="inlineStr">
        <is>
          <t>Seguramente en Copa América nos irá de rechupete y vuelve a ilusionarse la patria boba hasta cuando lleguen los de verdad y ya saben el final .</t>
        </is>
      </c>
      <c r="I413" s="67" t="inlineStr">
        <is>
          <t>Sumado a eso, Vélez también lanzó una crítica al anuncio de la renovación de Lorenzo en redes sociales: “Fácil saber qué piensa la gente del mamarracho de esta tarda.</t>
        </is>
      </c>
      <c r="J413" s="68" t="n"/>
      <c r="K413" s="69" t="n"/>
      <c r="L413" s="68" t="n"/>
      <c r="M413" s="69" t="n"/>
      <c r="N413" s="68" t="n"/>
      <c r="O413" s="69" t="n"/>
      <c r="P413" s="68" t="n"/>
      <c r="Q413" s="69" t="n"/>
      <c r="R413" s="68" t="n"/>
      <c r="S413" s="69" t="n"/>
      <c r="T413" s="68" t="n"/>
      <c r="U413" s="69" t="n"/>
      <c r="V413" s="68" t="n"/>
      <c r="W413" s="69" t="n"/>
      <c r="X413" s="68" t="n"/>
      <c r="Y413" s="69" t="n"/>
      <c r="Z413" s="68" t="n"/>
      <c r="AA413" s="69" t="n"/>
      <c r="AB413" s="68" t="n"/>
      <c r="AC413" s="69" t="n"/>
      <c r="AD413" s="70">
        <f>IF(AND(COUNTIF($B$5:B413,B413)=1,$B413&lt;&gt;"",$AB413&lt;&gt;""),1,0)</f>
        <v/>
      </c>
      <c r="AE413" s="67" t="inlineStr">
        <is>
          <t>https://www.infobae.com/colombia/deportes/2026/07/23/carlos-antonio-velez-estallo-por-la-renovacion-de-nestor-lorenzo-en-la-seleccion-colombia-viva-la-mediocridad/</t>
        </is>
      </c>
      <c r="AF413" s="64" t="n"/>
      <c r="AG413" s="65" t="n"/>
    </row>
    <row r="414" ht="15" customHeight="1" s="31">
      <c r="A414" s="66" t="inlineStr">
        <is>
          <t>ART_073</t>
        </is>
      </c>
      <c r="B414" s="66" t="inlineStr">
        <is>
          <t>ART_073_S10</t>
        </is>
      </c>
      <c r="C414" s="66" t="inlineStr">
        <is>
          <t>Infobae Colombia</t>
        </is>
      </c>
      <c r="D414" s="66" t="inlineStr">
        <is>
          <t>Deportes</t>
        </is>
      </c>
      <c r="E414" s="66" t="inlineStr">
        <is>
          <t>Noticia dura</t>
        </is>
      </c>
      <c r="F414" s="66" t="inlineStr">
        <is>
          <t>2026-07-23T20:47:49Z</t>
        </is>
      </c>
      <c r="G414" s="67" t="inlineStr">
        <is>
          <t>Sumado a eso, Vélez también lanzó una crítica al anuncio de la renovación de Lorenzo en redes sociales: “Fácil saber qué piensa la gente del mamarracho de esta tarda.</t>
        </is>
      </c>
      <c r="H414" s="67" t="inlineStr">
        <is>
          <t>¡Viva la mediocridad!”, publicó el periodista en X.</t>
        </is>
      </c>
      <c r="I414" s="67" t="inlineStr"/>
      <c r="J414" s="68" t="n"/>
      <c r="K414" s="69" t="n"/>
      <c r="L414" s="68" t="n"/>
      <c r="M414" s="69" t="n"/>
      <c r="N414" s="68" t="n"/>
      <c r="O414" s="69" t="n"/>
      <c r="P414" s="68" t="n"/>
      <c r="Q414" s="69" t="n"/>
      <c r="R414" s="68" t="n"/>
      <c r="S414" s="69" t="n"/>
      <c r="T414" s="68" t="n"/>
      <c r="U414" s="69" t="n"/>
      <c r="V414" s="68" t="n"/>
      <c r="W414" s="69" t="n"/>
      <c r="X414" s="68" t="n"/>
      <c r="Y414" s="69" t="n"/>
      <c r="Z414" s="68" t="n"/>
      <c r="AA414" s="69" t="n"/>
      <c r="AB414" s="68" t="n"/>
      <c r="AC414" s="69" t="n"/>
      <c r="AD414" s="70">
        <f>IF(AND(COUNTIF($B$5:B414,B414)=1,$B414&lt;&gt;"",$AB414&lt;&gt;""),1,0)</f>
        <v/>
      </c>
      <c r="AE414" s="67" t="inlineStr">
        <is>
          <t>https://www.infobae.com/colombia/deportes/2026/07/23/carlos-antonio-velez-estallo-por-la-renovacion-de-nestor-lorenzo-en-la-seleccion-colombia-viva-la-mediocridad/</t>
        </is>
      </c>
      <c r="AF414" s="64" t="n"/>
      <c r="AG414" s="65" t="n"/>
    </row>
    <row r="415" ht="15" customHeight="1" s="31">
      <c r="A415" s="66" t="inlineStr">
        <is>
          <t>ART_074</t>
        </is>
      </c>
      <c r="B415" s="66" t="inlineStr">
        <is>
          <t>ART_074_S01</t>
        </is>
      </c>
      <c r="C415" s="66" t="inlineStr">
        <is>
          <t>Infobae Colombia</t>
        </is>
      </c>
      <c r="D415" s="66" t="inlineStr">
        <is>
          <t>Deportes</t>
        </is>
      </c>
      <c r="E415" s="66" t="inlineStr">
        <is>
          <t>Noticia dura</t>
        </is>
      </c>
      <c r="F415" s="66" t="inlineStr">
        <is>
          <t>2026-05-20T00:29:26Z</t>
        </is>
      </c>
      <c r="G415" s="67" t="inlineStr">
        <is>
          <t>La reciente preconvocatoria de Sebastián Villa a la Selección Colombia ha reavivado la controversia en el país.</t>
        </is>
      </c>
      <c r="H415" s="67" t="inlineStr"/>
      <c r="I415" s="67" t="inlineStr">
        <is>
          <t>La Asociación Colombiana de Futbolistas Profesionales (Acolfutpro) defiende su inclusión, alegando que actualmente no existe ninguna restricción legal que impida al delantero jugar en el combinado nacional, pese a la polémica por sus antecedentes judiciales.</t>
        </is>
      </c>
      <c r="J415" s="68" t="n"/>
      <c r="K415" s="69" t="n"/>
      <c r="L415" s="68" t="n"/>
      <c r="M415" s="69" t="n"/>
      <c r="N415" s="68" t="n"/>
      <c r="O415" s="69" t="n"/>
      <c r="P415" s="68" t="n"/>
      <c r="Q415" s="69" t="n"/>
      <c r="R415" s="68" t="n"/>
      <c r="S415" s="69" t="n"/>
      <c r="T415" s="68" t="n"/>
      <c r="U415" s="69" t="n"/>
      <c r="V415" s="68" t="n"/>
      <c r="W415" s="69" t="n"/>
      <c r="X415" s="68" t="n"/>
      <c r="Y415" s="69" t="n"/>
      <c r="Z415" s="68" t="n"/>
      <c r="AA415" s="69" t="n"/>
      <c r="AB415" s="68" t="n"/>
      <c r="AC415" s="69" t="n"/>
      <c r="AD415" s="70">
        <f>IF(AND(COUNTIF($B$5:B415,B415)=1,$B415&lt;&gt;"",$AB415&lt;&gt;""),1,0)</f>
        <v/>
      </c>
      <c r="AE415" s="67" t="inlineStr">
        <is>
          <t>https://www.infobae.com/colombia/deportes/2026/05/20/sebastian-villa-es-defendido-por-la-acolfutpro-en-prelista-de-seleccion-colombia-los-mejores-tienen-que-representarnos/</t>
        </is>
      </c>
      <c r="AF415" s="64" t="n"/>
      <c r="AG415" s="65" t="n"/>
    </row>
    <row r="416" ht="15" customHeight="1" s="31">
      <c r="A416" s="66" t="inlineStr">
        <is>
          <t>ART_074</t>
        </is>
      </c>
      <c r="B416" s="66" t="inlineStr">
        <is>
          <t>ART_074_S02</t>
        </is>
      </c>
      <c r="C416" s="66" t="inlineStr">
        <is>
          <t>Infobae Colombia</t>
        </is>
      </c>
      <c r="D416" s="66" t="inlineStr">
        <is>
          <t>Deportes</t>
        </is>
      </c>
      <c r="E416" s="66" t="inlineStr">
        <is>
          <t>Noticia dura</t>
        </is>
      </c>
      <c r="F416" s="66" t="inlineStr">
        <is>
          <t>2026-05-20T00:29:26Z</t>
        </is>
      </c>
      <c r="G416" s="67" t="inlineStr">
        <is>
          <t>La Asociación Colombiana de Futbolistas Profesionales (Acolfutpro) defiende su inclusión, alegando que actualmente no existe ninguna restricción legal que impida al delantero jugar en el combinado nacional, pese a la polémica por sus antecedentes judiciales.</t>
        </is>
      </c>
      <c r="H416" s="67" t="inlineStr">
        <is>
          <t>La reciente preconvocatoria de Sebastián Villa a la Selección Colombia ha reavivado la controversia en el país.</t>
        </is>
      </c>
      <c r="I416" s="67" t="inlineStr">
        <is>
          <t>La Acolfutpro respalda la presencia de Villa porque, según su ejecutivo Carlos González Puche, el futbolista “no tiene ninguna limitación, ninguna restricción para el ejercicio de su actividad profesional”.</t>
        </is>
      </c>
      <c r="J416" s="68" t="n"/>
      <c r="K416" s="69" t="n"/>
      <c r="L416" s="68" t="n"/>
      <c r="M416" s="69" t="n"/>
      <c r="N416" s="68" t="n"/>
      <c r="O416" s="69" t="n"/>
      <c r="P416" s="68" t="n"/>
      <c r="Q416" s="69" t="n"/>
      <c r="R416" s="68" t="n"/>
      <c r="S416" s="69" t="n"/>
      <c r="T416" s="68" t="n"/>
      <c r="U416" s="69" t="n"/>
      <c r="V416" s="68" t="n"/>
      <c r="W416" s="69" t="n"/>
      <c r="X416" s="68" t="n"/>
      <c r="Y416" s="69" t="n"/>
      <c r="Z416" s="68" t="n"/>
      <c r="AA416" s="69" t="n"/>
      <c r="AB416" s="68" t="n"/>
      <c r="AC416" s="69" t="n"/>
      <c r="AD416" s="70">
        <f>IF(AND(COUNTIF($B$5:B416,B416)=1,$B416&lt;&gt;"",$AB416&lt;&gt;""),1,0)</f>
        <v/>
      </c>
      <c r="AE416" s="67" t="inlineStr">
        <is>
          <t>https://www.infobae.com/colombia/deportes/2026/05/20/sebastian-villa-es-defendido-por-la-acolfutpro-en-prelista-de-seleccion-colombia-los-mejores-tienen-que-representarnos/</t>
        </is>
      </c>
      <c r="AF416" s="64" t="n"/>
      <c r="AG416" s="65" t="n"/>
    </row>
    <row r="417" ht="15" customHeight="1" s="31">
      <c r="A417" s="66" t="inlineStr">
        <is>
          <t>ART_074</t>
        </is>
      </c>
      <c r="B417" s="66" t="inlineStr">
        <is>
          <t>ART_074_S03</t>
        </is>
      </c>
      <c r="C417" s="66" t="inlineStr">
        <is>
          <t>Infobae Colombia</t>
        </is>
      </c>
      <c r="D417" s="66" t="inlineStr">
        <is>
          <t>Deportes</t>
        </is>
      </c>
      <c r="E417" s="66" t="inlineStr">
        <is>
          <t>Noticia dura</t>
        </is>
      </c>
      <c r="F417" s="66" t="inlineStr">
        <is>
          <t>2026-05-20T00:29:26Z</t>
        </is>
      </c>
      <c r="G417" s="67" t="inlineStr">
        <is>
          <t>La Acolfutpro respalda la presencia de Villa porque, según su ejecutivo Carlos González Puche, el futbolista “no tiene ninguna limitación, ninguna restricción para el ejercicio de su actividad profesional”.</t>
        </is>
      </c>
      <c r="H417" s="67" t="inlineStr">
        <is>
          <t>La Asociación Colombiana de Futbolistas Profesionales (Acolfutpro) defiende su inclusión, alegando que actualmente no existe ninguna restricción legal que impida al delantero jugar en el combinado nacional, pese a la polémica por sus antecedentes judiciales.</t>
        </is>
      </c>
      <c r="I417" s="67" t="inlineStr">
        <is>
          <t>El dirigente sostiene que, ante la ausencia de un impedimento legal vigente, la decisión debe centrarse en el criterio deportivo y no en cuestionamientos éticos vinculados con su pasado.</t>
        </is>
      </c>
      <c r="J417" s="68" t="n"/>
      <c r="K417" s="69" t="n"/>
      <c r="L417" s="68" t="n"/>
      <c r="M417" s="69" t="n"/>
      <c r="N417" s="68" t="n"/>
      <c r="O417" s="69" t="n"/>
      <c r="P417" s="68" t="n"/>
      <c r="Q417" s="69" t="n"/>
      <c r="R417" s="68" t="n"/>
      <c r="S417" s="69" t="n"/>
      <c r="T417" s="68" t="n"/>
      <c r="U417" s="69" t="n"/>
      <c r="V417" s="68" t="n"/>
      <c r="W417" s="69" t="n"/>
      <c r="X417" s="68" t="n"/>
      <c r="Y417" s="69" t="n"/>
      <c r="Z417" s="68" t="n"/>
      <c r="AA417" s="69" t="n"/>
      <c r="AB417" s="68" t="n"/>
      <c r="AC417" s="69" t="n"/>
      <c r="AD417" s="70">
        <f>IF(AND(COUNTIF($B$5:B417,B417)=1,$B417&lt;&gt;"",$AB417&lt;&gt;""),1,0)</f>
        <v/>
      </c>
      <c r="AE417" s="67" t="inlineStr">
        <is>
          <t>https://www.infobae.com/colombia/deportes/2026/05/20/sebastian-villa-es-defendido-por-la-acolfutpro-en-prelista-de-seleccion-colombia-los-mejores-tienen-que-representarnos/</t>
        </is>
      </c>
      <c r="AF417" s="64" t="n"/>
      <c r="AG417" s="65" t="n"/>
    </row>
    <row r="418" ht="15" customHeight="1" s="31">
      <c r="A418" s="66" t="inlineStr">
        <is>
          <t>ART_074</t>
        </is>
      </c>
      <c r="B418" s="66" t="inlineStr">
        <is>
          <t>ART_074_S04</t>
        </is>
      </c>
      <c r="C418" s="66" t="inlineStr">
        <is>
          <t>Infobae Colombia</t>
        </is>
      </c>
      <c r="D418" s="66" t="inlineStr">
        <is>
          <t>Deportes</t>
        </is>
      </c>
      <c r="E418" s="66" t="inlineStr">
        <is>
          <t>Noticia dura</t>
        </is>
      </c>
      <c r="F418" s="66" t="inlineStr">
        <is>
          <t>2026-05-20T00:29:26Z</t>
        </is>
      </c>
      <c r="G418" s="67" t="inlineStr">
        <is>
          <t>El dirigente sostiene que, ante la ausencia de un impedimento legal vigente, la decisión debe centrarse en el criterio deportivo y no en cuestionamientos éticos vinculados con su pasado.</t>
        </is>
      </c>
      <c r="H418" s="67" t="inlineStr">
        <is>
          <t>La Acolfutpro respalda la presencia de Villa porque, según su ejecutivo Carlos González Puche, el futbolista “no tiene ninguna limitación, ninguna restricción para el ejercicio de su actividad profesional”.</t>
        </is>
      </c>
      <c r="I418" s="67" t="inlineStr">
        <is>
          <t>Néstor Lorenzo, director técnico de la selección, reforzó esa postura al indicar en Gol Caracol que Sebastián Villa “está jugando, está rindiendo bien, está a la altura” en Independiente Rivadavia.</t>
        </is>
      </c>
      <c r="J418" s="68" t="n"/>
      <c r="K418" s="69" t="n"/>
      <c r="L418" s="68" t="n"/>
      <c r="M418" s="69" t="n"/>
      <c r="N418" s="68" t="n"/>
      <c r="O418" s="69" t="n"/>
      <c r="P418" s="68" t="n"/>
      <c r="Q418" s="69" t="n"/>
      <c r="R418" s="68" t="n"/>
      <c r="S418" s="69" t="n"/>
      <c r="T418" s="68" t="n"/>
      <c r="U418" s="69" t="n"/>
      <c r="V418" s="68" t="n"/>
      <c r="W418" s="69" t="n"/>
      <c r="X418" s="68" t="n"/>
      <c r="Y418" s="69" t="n"/>
      <c r="Z418" s="68" t="n"/>
      <c r="AA418" s="69" t="n"/>
      <c r="AB418" s="68" t="n"/>
      <c r="AC418" s="69" t="n"/>
      <c r="AD418" s="70">
        <f>IF(AND(COUNTIF($B$5:B418,B418)=1,$B418&lt;&gt;"",$AB418&lt;&gt;""),1,0)</f>
        <v/>
      </c>
      <c r="AE418" s="67" t="inlineStr">
        <is>
          <t>https://www.infobae.com/colombia/deportes/2026/05/20/sebastian-villa-es-defendido-por-la-acolfutpro-en-prelista-de-seleccion-colombia-los-mejores-tienen-que-representarnos/</t>
        </is>
      </c>
      <c r="AF418" s="64" t="n"/>
      <c r="AG418" s="65" t="n"/>
    </row>
    <row r="419" ht="15" customHeight="1" s="31">
      <c r="A419" s="66" t="inlineStr">
        <is>
          <t>ART_074</t>
        </is>
      </c>
      <c r="B419" s="66" t="inlineStr">
        <is>
          <t>ART_074_S05</t>
        </is>
      </c>
      <c r="C419" s="66" t="inlineStr">
        <is>
          <t>Infobae Colombia</t>
        </is>
      </c>
      <c r="D419" s="66" t="inlineStr">
        <is>
          <t>Deportes</t>
        </is>
      </c>
      <c r="E419" s="66" t="inlineStr">
        <is>
          <t>Noticia dura</t>
        </is>
      </c>
      <c r="F419" s="66" t="inlineStr">
        <is>
          <t>2026-05-20T00:29:26Z</t>
        </is>
      </c>
      <c r="G419" s="67" t="inlineStr">
        <is>
          <t>Néstor Lorenzo, director técnico de la selección, reforzó esa postura al indicar en Gol Caracol que Sebastián Villa “está jugando, está rindiendo bien, está a la altura” en Independiente Rivadavia.</t>
        </is>
      </c>
      <c r="H419" s="67" t="inlineStr">
        <is>
          <t>El dirigente sostiene que, ante la ausencia de un impedimento legal vigente, la decisión debe centrarse en el criterio deportivo y no en cuestionamientos éticos vinculados con su pasado.</t>
        </is>
      </c>
      <c r="I419" s="67" t="inlineStr">
        <is>
          <t>De acuerdo con Lorenzo, la convocatoria responde al rendimiento futbolístico actual del jugador, no a consideraciones extradeportivas.</t>
        </is>
      </c>
      <c r="J419" s="68" t="n"/>
      <c r="K419" s="69" t="n"/>
      <c r="L419" s="68" t="n"/>
      <c r="M419" s="69" t="n"/>
      <c r="N419" s="68" t="n"/>
      <c r="O419" s="69" t="n"/>
      <c r="P419" s="68" t="n"/>
      <c r="Q419" s="69" t="n"/>
      <c r="R419" s="68" t="n"/>
      <c r="S419" s="69" t="n"/>
      <c r="T419" s="68" t="n"/>
      <c r="U419" s="69" t="n"/>
      <c r="V419" s="68" t="n"/>
      <c r="W419" s="69" t="n"/>
      <c r="X419" s="68" t="n"/>
      <c r="Y419" s="69" t="n"/>
      <c r="Z419" s="68" t="n"/>
      <c r="AA419" s="69" t="n"/>
      <c r="AB419" s="68" t="n"/>
      <c r="AC419" s="69" t="n"/>
      <c r="AD419" s="70">
        <f>IF(AND(COUNTIF($B$5:B419,B419)=1,$B419&lt;&gt;"",$AB419&lt;&gt;""),1,0)</f>
        <v/>
      </c>
      <c r="AE419" s="67" t="inlineStr">
        <is>
          <t>https://www.infobae.com/colombia/deportes/2026/05/20/sebastian-villa-es-defendido-por-la-acolfutpro-en-prelista-de-seleccion-colombia-los-mejores-tienen-que-representarnos/</t>
        </is>
      </c>
      <c r="AF419" s="64" t="n"/>
      <c r="AG419" s="65" t="n"/>
    </row>
    <row r="420" ht="15" customHeight="1" s="31">
      <c r="A420" s="66" t="inlineStr">
        <is>
          <t>ART_074</t>
        </is>
      </c>
      <c r="B420" s="66" t="inlineStr">
        <is>
          <t>ART_074_S06</t>
        </is>
      </c>
      <c r="C420" s="66" t="inlineStr">
        <is>
          <t>Infobae Colombia</t>
        </is>
      </c>
      <c r="D420" s="66" t="inlineStr">
        <is>
          <t>Deportes</t>
        </is>
      </c>
      <c r="E420" s="66" t="inlineStr">
        <is>
          <t>Noticia dura</t>
        </is>
      </c>
      <c r="F420" s="66" t="inlineStr">
        <is>
          <t>2026-05-20T00:29:26Z</t>
        </is>
      </c>
      <c r="G420" s="67" t="inlineStr">
        <is>
          <t>De acuerdo con Lorenzo, la convocatoria responde al rendimiento futbolístico actual del jugador, no a consideraciones extradeportivas.</t>
        </is>
      </c>
      <c r="H420" s="67" t="inlineStr">
        <is>
          <t>Néstor Lorenzo, director técnico de la selección, reforzó esa postura al indicar en Gol Caracol que Sebastián Villa “está jugando, está rindiendo bien, está a la altura” en Independiente Rivadavia.</t>
        </is>
      </c>
      <c r="I420" s="67" t="inlineStr">
        <is>
          <t>Según las declaraciones dadas al programa Mañanas Blu, de la emisora Blu Radio, González Puche subraya que el núcleo de la decisión pertenece al ámbito estrictamente deportivo: “Me parece que los mejores colombianos tienen que representarnos en un Mundial.</t>
        </is>
      </c>
      <c r="J420" s="68" t="n"/>
      <c r="K420" s="69" t="n"/>
      <c r="L420" s="68" t="n"/>
      <c r="M420" s="69" t="n"/>
      <c r="N420" s="68" t="n"/>
      <c r="O420" s="69" t="n"/>
      <c r="P420" s="68" t="n"/>
      <c r="Q420" s="69" t="n"/>
      <c r="R420" s="68" t="n"/>
      <c r="S420" s="69" t="n"/>
      <c r="T420" s="68" t="n"/>
      <c r="U420" s="69" t="n"/>
      <c r="V420" s="68" t="n"/>
      <c r="W420" s="69" t="n"/>
      <c r="X420" s="68" t="n"/>
      <c r="Y420" s="69" t="n"/>
      <c r="Z420" s="68" t="n"/>
      <c r="AA420" s="69" t="n"/>
      <c r="AB420" s="68" t="n"/>
      <c r="AC420" s="69" t="n"/>
      <c r="AD420" s="70">
        <f>IF(AND(COUNTIF($B$5:B420,B420)=1,$B420&lt;&gt;"",$AB420&lt;&gt;""),1,0)</f>
        <v/>
      </c>
      <c r="AE420" s="67" t="inlineStr">
        <is>
          <t>https://www.infobae.com/colombia/deportes/2026/05/20/sebastian-villa-es-defendido-por-la-acolfutpro-en-prelista-de-seleccion-colombia-los-mejores-tienen-que-representarnos/</t>
        </is>
      </c>
      <c r="AF420" s="64" t="n"/>
      <c r="AG420" s="65" t="n"/>
    </row>
    <row r="421" ht="15" customHeight="1" s="31">
      <c r="A421" s="66" t="inlineStr">
        <is>
          <t>ART_074</t>
        </is>
      </c>
      <c r="B421" s="66" t="inlineStr">
        <is>
          <t>ART_074_S07</t>
        </is>
      </c>
      <c r="C421" s="66" t="inlineStr">
        <is>
          <t>Infobae Colombia</t>
        </is>
      </c>
      <c r="D421" s="66" t="inlineStr">
        <is>
          <t>Deportes</t>
        </is>
      </c>
      <c r="E421" s="66" t="inlineStr">
        <is>
          <t>Noticia dura</t>
        </is>
      </c>
      <c r="F421" s="66" t="inlineStr">
        <is>
          <t>2026-05-20T00:29:26Z</t>
        </is>
      </c>
      <c r="G421" s="67" t="inlineStr">
        <is>
          <t>Según las declaraciones dadas al programa Mañanas Blu, de la emisora Blu Radio, González Puche subraya que el núcleo de la decisión pertenece al ámbito estrictamente deportivo: “Me parece que los mejores colombianos tienen que representarnos en un Mundial.</t>
        </is>
      </c>
      <c r="H421" s="67" t="inlineStr">
        <is>
          <t>De acuerdo con Lorenzo, la convocatoria responde al rendimiento futbolístico actual del jugador, no a consideraciones extradeportivas.</t>
        </is>
      </c>
      <c r="I421" s="67" t="inlineStr">
        <is>
          <t>Los aspectos morales no entro a cuestionarlos, ella tiene sus posiciones, yo no las comparto”.</t>
        </is>
      </c>
      <c r="J421" s="68" t="n"/>
      <c r="K421" s="69" t="n"/>
      <c r="L421" s="68" t="n"/>
      <c r="M421" s="69" t="n"/>
      <c r="N421" s="68" t="n"/>
      <c r="O421" s="69" t="n"/>
      <c r="P421" s="68" t="n"/>
      <c r="Q421" s="69" t="n"/>
      <c r="R421" s="68" t="n"/>
      <c r="S421" s="69" t="n"/>
      <c r="T421" s="68" t="n"/>
      <c r="U421" s="69" t="n"/>
      <c r="V421" s="68" t="n"/>
      <c r="W421" s="69" t="n"/>
      <c r="X421" s="68" t="n"/>
      <c r="Y421" s="69" t="n"/>
      <c r="Z421" s="68" t="n"/>
      <c r="AA421" s="69" t="n"/>
      <c r="AB421" s="68" t="n"/>
      <c r="AC421" s="69" t="n"/>
      <c r="AD421" s="70">
        <f>IF(AND(COUNTIF($B$5:B421,B421)=1,$B421&lt;&gt;"",$AB421&lt;&gt;""),1,0)</f>
        <v/>
      </c>
      <c r="AE421" s="67" t="inlineStr">
        <is>
          <t>https://www.infobae.com/colombia/deportes/2026/05/20/sebastian-villa-es-defendido-por-la-acolfutpro-en-prelista-de-seleccion-colombia-los-mejores-tienen-que-representarnos/</t>
        </is>
      </c>
      <c r="AF421" s="64" t="n"/>
      <c r="AG421" s="65" t="n"/>
    </row>
    <row r="422" ht="15" customHeight="1" s="31">
      <c r="A422" s="66" t="inlineStr">
        <is>
          <t>ART_074</t>
        </is>
      </c>
      <c r="B422" s="66" t="inlineStr">
        <is>
          <t>ART_074_S08</t>
        </is>
      </c>
      <c r="C422" s="66" t="inlineStr">
        <is>
          <t>Infobae Colombia</t>
        </is>
      </c>
      <c r="D422" s="66" t="inlineStr">
        <is>
          <t>Deportes</t>
        </is>
      </c>
      <c r="E422" s="66" t="inlineStr">
        <is>
          <t>Noticia dura</t>
        </is>
      </c>
      <c r="F422" s="66" t="inlineStr">
        <is>
          <t>2026-05-20T00:29:26Z</t>
        </is>
      </c>
      <c r="G422" s="67" t="inlineStr">
        <is>
          <t>Los aspectos morales no entro a cuestionarlos, ella tiene sus posiciones, yo no las comparto”.</t>
        </is>
      </c>
      <c r="H422" s="67" t="inlineStr">
        <is>
          <t>Según las declaraciones dadas al programa Mañanas Blu, de la emisora Blu Radio, González Puche subraya que el núcleo de la decisión pertenece al ámbito estrictamente deportivo: “Me parece que los mejores colombianos tienen que representarnos en un Mundial.</t>
        </is>
      </c>
      <c r="I422" s="67" t="inlineStr">
        <is>
          <t>Tanto el dirigente como Lorenzo insisten en que no existe, en este momento, ninguna restricción legal que obligue a excluir a Villa de la prelista de la selección Colombia.</t>
        </is>
      </c>
      <c r="J422" s="68" t="n"/>
      <c r="K422" s="69" t="n"/>
      <c r="L422" s="68" t="n"/>
      <c r="M422" s="69" t="n"/>
      <c r="N422" s="68" t="n"/>
      <c r="O422" s="69" t="n"/>
      <c r="P422" s="68" t="n"/>
      <c r="Q422" s="69" t="n"/>
      <c r="R422" s="68" t="n"/>
      <c r="S422" s="69" t="n"/>
      <c r="T422" s="68" t="n"/>
      <c r="U422" s="69" t="n"/>
      <c r="V422" s="68" t="n"/>
      <c r="W422" s="69" t="n"/>
      <c r="X422" s="68" t="n"/>
      <c r="Y422" s="69" t="n"/>
      <c r="Z422" s="68" t="n"/>
      <c r="AA422" s="69" t="n"/>
      <c r="AB422" s="68" t="n"/>
      <c r="AC422" s="69" t="n"/>
      <c r="AD422" s="70">
        <f>IF(AND(COUNTIF($B$5:B422,B422)=1,$B422&lt;&gt;"",$AB422&lt;&gt;""),1,0)</f>
        <v/>
      </c>
      <c r="AE422" s="67" t="inlineStr">
        <is>
          <t>https://www.infobae.com/colombia/deportes/2026/05/20/sebastian-villa-es-defendido-por-la-acolfutpro-en-prelista-de-seleccion-colombia-los-mejores-tienen-que-representarnos/</t>
        </is>
      </c>
      <c r="AF422" s="64" t="n"/>
      <c r="AG422" s="65" t="n"/>
    </row>
    <row r="423" ht="15" customHeight="1" s="31">
      <c r="A423" s="66" t="inlineStr">
        <is>
          <t>ART_074</t>
        </is>
      </c>
      <c r="B423" s="66" t="inlineStr">
        <is>
          <t>ART_074_S09</t>
        </is>
      </c>
      <c r="C423" s="66" t="inlineStr">
        <is>
          <t>Infobae Colombia</t>
        </is>
      </c>
      <c r="D423" s="66" t="inlineStr">
        <is>
          <t>Deportes</t>
        </is>
      </c>
      <c r="E423" s="66" t="inlineStr">
        <is>
          <t>Noticia dura</t>
        </is>
      </c>
      <c r="F423" s="66" t="inlineStr">
        <is>
          <t>2026-05-20T00:29:26Z</t>
        </is>
      </c>
      <c r="G423" s="67" t="inlineStr">
        <is>
          <t>Tanto el dirigente como Lorenzo insisten en que no existe, en este momento, ninguna restricción legal que obligue a excluir a Villa de la prelista de la selección Colombia.</t>
        </is>
      </c>
      <c r="H423" s="67" t="inlineStr">
        <is>
          <t>Los aspectos morales no entro a cuestionarlos, ella tiene sus posiciones, yo no las comparto”.</t>
        </is>
      </c>
      <c r="I423" s="67" t="inlineStr">
        <is>
          <t>Para ambos, la prioridad debe ser el rendimiento deportivo del jugador, quedando los juicios éticos y sociales fuera de los criterios de elegibilidad.</t>
        </is>
      </c>
      <c r="J423" s="68" t="n"/>
      <c r="K423" s="69" t="n"/>
      <c r="L423" s="68" t="n"/>
      <c r="M423" s="69" t="n"/>
      <c r="N423" s="68" t="n"/>
      <c r="O423" s="69" t="n"/>
      <c r="P423" s="68" t="n"/>
      <c r="Q423" s="69" t="n"/>
      <c r="R423" s="68" t="n"/>
      <c r="S423" s="69" t="n"/>
      <c r="T423" s="68" t="n"/>
      <c r="U423" s="69" t="n"/>
      <c r="V423" s="68" t="n"/>
      <c r="W423" s="69" t="n"/>
      <c r="X423" s="68" t="n"/>
      <c r="Y423" s="69" t="n"/>
      <c r="Z423" s="68" t="n"/>
      <c r="AA423" s="69" t="n"/>
      <c r="AB423" s="68" t="n"/>
      <c r="AC423" s="69" t="n"/>
      <c r="AD423" s="70">
        <f>IF(AND(COUNTIF($B$5:B423,B423)=1,$B423&lt;&gt;"",$AB423&lt;&gt;""),1,0)</f>
        <v/>
      </c>
      <c r="AE423" s="67" t="inlineStr">
        <is>
          <t>https://www.infobae.com/colombia/deportes/2026/05/20/sebastian-villa-es-defendido-por-la-acolfutpro-en-prelista-de-seleccion-colombia-los-mejores-tienen-que-representarnos/</t>
        </is>
      </c>
      <c r="AF423" s="64" t="n"/>
      <c r="AG423" s="65" t="n"/>
    </row>
    <row r="424" ht="15" customHeight="1" s="31">
      <c r="A424" s="66" t="inlineStr">
        <is>
          <t>ART_074</t>
        </is>
      </c>
      <c r="B424" s="66" t="inlineStr">
        <is>
          <t>ART_074_S10</t>
        </is>
      </c>
      <c r="C424" s="66" t="inlineStr">
        <is>
          <t>Infobae Colombia</t>
        </is>
      </c>
      <c r="D424" s="66" t="inlineStr">
        <is>
          <t>Deportes</t>
        </is>
      </c>
      <c r="E424" s="66" t="inlineStr">
        <is>
          <t>Noticia dura</t>
        </is>
      </c>
      <c r="F424" s="66" t="inlineStr">
        <is>
          <t>2026-05-20T00:29:26Z</t>
        </is>
      </c>
      <c r="G424" s="67" t="inlineStr">
        <is>
          <t>Para ambos, la prioridad debe ser el rendimiento deportivo del jugador, quedando los juicios éticos y sociales fuera de los criterios de elegibilidad.</t>
        </is>
      </c>
      <c r="H424" s="67" t="inlineStr">
        <is>
          <t>Tanto el dirigente como Lorenzo insisten en que no existe, en este momento, ninguna restricción legal que obligue a excluir a Villa de la prelista de la selección Colombia.</t>
        </is>
      </c>
      <c r="I424" s="67" t="inlineStr">
        <is>
          <t>Lorenzo explicó, en rueda de prensa en Bogotá, que el futbolista no había sido citado anteriormente debido a “algún tema” personal, pero enfatizó que “hoy está jugando, está rindiendo bien, está a la altura”, según Gol Caracol.</t>
        </is>
      </c>
      <c r="J424" s="68" t="n"/>
      <c r="K424" s="69" t="n"/>
      <c r="L424" s="68" t="n"/>
      <c r="M424" s="69" t="n"/>
      <c r="N424" s="68" t="n"/>
      <c r="O424" s="69" t="n"/>
      <c r="P424" s="68" t="n"/>
      <c r="Q424" s="69" t="n"/>
      <c r="R424" s="68" t="n"/>
      <c r="S424" s="69" t="n"/>
      <c r="T424" s="68" t="n"/>
      <c r="U424" s="69" t="n"/>
      <c r="V424" s="68" t="n"/>
      <c r="W424" s="69" t="n"/>
      <c r="X424" s="68" t="n"/>
      <c r="Y424" s="69" t="n"/>
      <c r="Z424" s="68" t="n"/>
      <c r="AA424" s="69" t="n"/>
      <c r="AB424" s="68" t="n"/>
      <c r="AC424" s="69" t="n"/>
      <c r="AD424" s="70">
        <f>IF(AND(COUNTIF($B$5:B424,B424)=1,$B424&lt;&gt;"",$AB424&lt;&gt;""),1,0)</f>
        <v/>
      </c>
      <c r="AE424" s="67" t="inlineStr">
        <is>
          <t>https://www.infobae.com/colombia/deportes/2026/05/20/sebastian-villa-es-defendido-por-la-acolfutpro-en-prelista-de-seleccion-colombia-los-mejores-tienen-que-representarnos/</t>
        </is>
      </c>
      <c r="AF424" s="64" t="n"/>
      <c r="AG424" s="65" t="n"/>
    </row>
    <row r="425" ht="15" customHeight="1" s="31">
      <c r="A425" s="66" t="inlineStr">
        <is>
          <t>ART_074</t>
        </is>
      </c>
      <c r="B425" s="66" t="inlineStr">
        <is>
          <t>ART_074_S11</t>
        </is>
      </c>
      <c r="C425" s="66" t="inlineStr">
        <is>
          <t>Infobae Colombia</t>
        </is>
      </c>
      <c r="D425" s="66" t="inlineStr">
        <is>
          <t>Deportes</t>
        </is>
      </c>
      <c r="E425" s="66" t="inlineStr">
        <is>
          <t>Noticia dura</t>
        </is>
      </c>
      <c r="F425" s="66" t="inlineStr">
        <is>
          <t>2026-05-20T00:29:26Z</t>
        </is>
      </c>
      <c r="G425" s="67" t="inlineStr">
        <is>
          <t>Lorenzo explicó, en rueda de prensa en Bogotá, que el futbolista no había sido citado anteriormente debido a “algún tema” personal, pero enfatizó que “hoy está jugando, está rindiendo bien, está a la altura”, según Gol Caracol.</t>
        </is>
      </c>
      <c r="H425" s="67" t="inlineStr">
        <is>
          <t>Para ambos, la prioridad debe ser el rendimiento deportivo del jugador, quedando los juicios éticos y sociales fuera de los criterios de elegibilidad.</t>
        </is>
      </c>
      <c r="I425" s="67" t="inlineStr"/>
      <c r="J425" s="68" t="n"/>
      <c r="K425" s="69" t="n"/>
      <c r="L425" s="68" t="n"/>
      <c r="M425" s="69" t="n"/>
      <c r="N425" s="68" t="n"/>
      <c r="O425" s="69" t="n"/>
      <c r="P425" s="68" t="n"/>
      <c r="Q425" s="69" t="n"/>
      <c r="R425" s="68" t="n"/>
      <c r="S425" s="69" t="n"/>
      <c r="T425" s="68" t="n"/>
      <c r="U425" s="69" t="n"/>
      <c r="V425" s="68" t="n"/>
      <c r="W425" s="69" t="n"/>
      <c r="X425" s="68" t="n"/>
      <c r="Y425" s="69" t="n"/>
      <c r="Z425" s="68" t="n"/>
      <c r="AA425" s="69" t="n"/>
      <c r="AB425" s="68" t="n"/>
      <c r="AC425" s="69" t="n"/>
      <c r="AD425" s="70">
        <f>IF(AND(COUNTIF($B$5:B425,B425)=1,$B425&lt;&gt;"",$AB425&lt;&gt;""),1,0)</f>
        <v/>
      </c>
      <c r="AE425" s="67" t="inlineStr">
        <is>
          <t>https://www.infobae.com/colombia/deportes/2026/05/20/sebastian-villa-es-defendido-por-la-acolfutpro-en-prelista-de-seleccion-colombia-los-mejores-tienen-que-representarnos/</t>
        </is>
      </c>
      <c r="AF425" s="64" t="n"/>
      <c r="AG425" s="65" t="n"/>
    </row>
    <row r="426" ht="15" customHeight="1" s="31">
      <c r="A426" s="66" t="inlineStr">
        <is>
          <t>ART_075</t>
        </is>
      </c>
      <c r="B426" s="66" t="inlineStr">
        <is>
          <t>ART_075_S01</t>
        </is>
      </c>
      <c r="C426" s="66" t="inlineStr">
        <is>
          <t>Infobae Colombia</t>
        </is>
      </c>
      <c r="D426" s="66" t="inlineStr">
        <is>
          <t>Deportes</t>
        </is>
      </c>
      <c r="E426" s="66" t="inlineStr">
        <is>
          <t>Noticia dura</t>
        </is>
      </c>
      <c r="F426" s="66" t="inlineStr">
        <is>
          <t>2026-05-22T18:44:32Z</t>
        </is>
      </c>
      <c r="G426" s="67" t="inlineStr">
        <is>
          <t>La Federación Colombiana de Fútbol (FCF) habría tomado una determinación que impacta directamente en la convocatoria de la selección para el Mundial 2026: Sebastián Villa, hombre que había sido incluido en la prelista de Néstor Lorenzo, sería dejado de lado por decisión expresa de la entidad.</t>
        </is>
      </c>
      <c r="H426" s="67" t="inlineStr"/>
      <c r="I426" s="67" t="inlineStr"/>
      <c r="J426" s="68" t="n"/>
      <c r="K426" s="69" t="n"/>
      <c r="L426" s="68" t="n"/>
      <c r="M426" s="69" t="n"/>
      <c r="N426" s="68" t="n"/>
      <c r="O426" s="69" t="n"/>
      <c r="P426" s="68" t="n"/>
      <c r="Q426" s="69" t="n"/>
      <c r="R426" s="68" t="n"/>
      <c r="S426" s="69" t="n"/>
      <c r="T426" s="68" t="n"/>
      <c r="U426" s="69" t="n"/>
      <c r="V426" s="68" t="n"/>
      <c r="W426" s="69" t="n"/>
      <c r="X426" s="68" t="n"/>
      <c r="Y426" s="69" t="n"/>
      <c r="Z426" s="68" t="n"/>
      <c r="AA426" s="69" t="n"/>
      <c r="AB426" s="68" t="n"/>
      <c r="AC426" s="69" t="n"/>
      <c r="AD426" s="70">
        <f>IF(AND(COUNTIF($B$5:B426,B426)=1,$B426&lt;&gt;"",$AB426&lt;&gt;""),1,0)</f>
        <v/>
      </c>
      <c r="AE426" s="67" t="inlineStr">
        <is>
          <t>https://www.infobae.com/colombia/deportes/2026/05/22/la-federacion-colombiana-de-futbol-habria-pedido-que-no-convoquen-a-un-jugador-para-el-mundial-2026/</t>
        </is>
      </c>
      <c r="AF426" s="64" t="n"/>
      <c r="AG426" s="65" t="n"/>
    </row>
    <row r="427" ht="15" customHeight="1" s="31">
      <c r="A427" s="66" t="inlineStr">
        <is>
          <t>ART_076</t>
        </is>
      </c>
      <c r="B427" s="66" t="inlineStr">
        <is>
          <t>ART_076_S01</t>
        </is>
      </c>
      <c r="C427" s="66" t="inlineStr">
        <is>
          <t>Infobae Colombia</t>
        </is>
      </c>
      <c r="D427" s="66" t="inlineStr">
        <is>
          <t>Deportes</t>
        </is>
      </c>
      <c r="E427" s="66" t="inlineStr">
        <is>
          <t>Noticia dura</t>
        </is>
      </c>
      <c r="F427" s="66" t="inlineStr">
        <is>
          <t>2026-05-15T12:03:11Z</t>
        </is>
      </c>
      <c r="G427" s="67" t="inlineStr">
        <is>
          <t>Este jueves 14 de mayo de 2026, el técnico argentino Néstor Lorenzo dio a conocer la prelista de 55 jugadores que tendrá en cuenta para conformar la nómina de la selección Colombia para el Mundial de la FIFA Norteamérica 2026.</t>
        </is>
      </c>
      <c r="H427" s="67" t="inlineStr"/>
      <c r="I427" s="67" t="inlineStr">
        <is>
          <t>El listado de jugadores que podrían confirmar la escuadra colombiana en el mundial generó diferentes reacciones, y la polémica por el llamado de Sebastián Villa y Jhon Jáder Durán a la Tricolor sigue siendo uno de los temas que más llamó la atención.</t>
        </is>
      </c>
      <c r="J427" s="68" t="n"/>
      <c r="K427" s="69" t="n"/>
      <c r="L427" s="68" t="n"/>
      <c r="M427" s="69" t="n"/>
      <c r="N427" s="68" t="n"/>
      <c r="O427" s="69" t="n"/>
      <c r="P427" s="68" t="n"/>
      <c r="Q427" s="69" t="n"/>
      <c r="R427" s="68" t="n"/>
      <c r="S427" s="69" t="n"/>
      <c r="T427" s="68" t="n"/>
      <c r="U427" s="69" t="n"/>
      <c r="V427" s="68" t="n"/>
      <c r="W427" s="69" t="n"/>
      <c r="X427" s="68" t="n"/>
      <c r="Y427" s="69" t="n"/>
      <c r="Z427" s="68" t="n"/>
      <c r="AA427" s="69" t="n"/>
      <c r="AB427" s="68" t="n"/>
      <c r="AC427" s="69" t="n"/>
      <c r="AD427" s="70">
        <f>IF(AND(COUNTIF($B$5:B427,B427)=1,$B427&lt;&gt;"",$AB427&lt;&gt;""),1,0)</f>
        <v/>
      </c>
      <c r="AE427" s="67" t="inlineStr">
        <is>
          <t>https://www.infobae.com/colombia/deportes/2026/05/15/francisco-pacho-maturana-analizo-la-prelista-de-colombia-y-defendio-a-nestor-lorenzo-todos-tienen-razon-menos-el-dt/</t>
        </is>
      </c>
      <c r="AF427" s="64" t="n"/>
      <c r="AG427" s="65" t="n"/>
    </row>
    <row r="428" ht="15" customHeight="1" s="31">
      <c r="A428" s="66" t="inlineStr">
        <is>
          <t>ART_076</t>
        </is>
      </c>
      <c r="B428" s="66" t="inlineStr">
        <is>
          <t>ART_076_S02</t>
        </is>
      </c>
      <c r="C428" s="66" t="inlineStr">
        <is>
          <t>Infobae Colombia</t>
        </is>
      </c>
      <c r="D428" s="66" t="inlineStr">
        <is>
          <t>Deportes</t>
        </is>
      </c>
      <c r="E428" s="66" t="inlineStr">
        <is>
          <t>Noticia dura</t>
        </is>
      </c>
      <c r="F428" s="66" t="inlineStr">
        <is>
          <t>2026-05-15T12:03:11Z</t>
        </is>
      </c>
      <c r="G428" s="67" t="inlineStr">
        <is>
          <t>El listado de jugadores que podrían confirmar la escuadra colombiana en el mundial generó diferentes reacciones, y la polémica por el llamado de Sebastián Villa y Jhon Jáder Durán a la Tricolor sigue siendo uno de los temas que más llamó la atención.</t>
        </is>
      </c>
      <c r="H428" s="67" t="inlineStr">
        <is>
          <t>Este jueves 14 de mayo de 2026, el técnico argentino Néstor Lorenzo dio a conocer la prelista de 55 jugadores que tendrá en cuenta para conformar la nómina de la selección Colombia para el Mundial de la FIFA Norteamérica 2026.</t>
        </is>
      </c>
      <c r="I428" s="67" t="inlineStr"/>
      <c r="J428" s="68" t="n"/>
      <c r="K428" s="69" t="n"/>
      <c r="L428" s="68" t="n"/>
      <c r="M428" s="69" t="n"/>
      <c r="N428" s="68" t="n"/>
      <c r="O428" s="69" t="n"/>
      <c r="P428" s="68" t="n"/>
      <c r="Q428" s="69" t="n"/>
      <c r="R428" s="68" t="n"/>
      <c r="S428" s="69" t="n"/>
      <c r="T428" s="68" t="n"/>
      <c r="U428" s="69" t="n"/>
      <c r="V428" s="68" t="n"/>
      <c r="W428" s="69" t="n"/>
      <c r="X428" s="68" t="n"/>
      <c r="Y428" s="69" t="n"/>
      <c r="Z428" s="68" t="n"/>
      <c r="AA428" s="69" t="n"/>
      <c r="AB428" s="68" t="n"/>
      <c r="AC428" s="69" t="n"/>
      <c r="AD428" s="70">
        <f>IF(AND(COUNTIF($B$5:B428,B428)=1,$B428&lt;&gt;"",$AB428&lt;&gt;""),1,0)</f>
        <v/>
      </c>
      <c r="AE428" s="67" t="inlineStr">
        <is>
          <t>https://www.infobae.com/colombia/deportes/2026/05/15/francisco-pacho-maturana-analizo-la-prelista-de-colombia-y-defendio-a-nestor-lorenzo-todos-tienen-razon-menos-el-dt/</t>
        </is>
      </c>
      <c r="AF428" s="64" t="n"/>
      <c r="AG428" s="65" t="n"/>
    </row>
    <row r="429" ht="15" customHeight="1" s="31">
      <c r="A429" s="66" t="inlineStr">
        <is>
          <t>ART_077</t>
        </is>
      </c>
      <c r="B429" s="66" t="inlineStr">
        <is>
          <t>ART_077_S01</t>
        </is>
      </c>
      <c r="C429" s="66" t="inlineStr">
        <is>
          <t>Infobae Colombia</t>
        </is>
      </c>
      <c r="D429" s="66" t="inlineStr">
        <is>
          <t>Deportes</t>
        </is>
      </c>
      <c r="E429" s="66" t="inlineStr">
        <is>
          <t>Noticia dura</t>
        </is>
      </c>
      <c r="F429" s="66" t="inlineStr">
        <is>
          <t>2026-07-24T21:56:30Z</t>
        </is>
      </c>
      <c r="G429" s="67" t="inlineStr">
        <is>
          <t>La selección Colombia empezará pronto su nuevo proceso hacia el Mundial 2030 de España, Portugal y Marruecos, luego de que se renovara el contrato del técnico Néstor Lorenzo y, en los próximos días, arrancará el trabajo para definir el equipo con el que irá a los amistosos de septiembre y octubre.</t>
        </is>
      </c>
      <c r="H429" s="67" t="inlineStr"/>
      <c r="I429" s="67" t="inlineStr"/>
      <c r="J429" s="68" t="n"/>
      <c r="K429" s="69" t="n"/>
      <c r="L429" s="68" t="n"/>
      <c r="M429" s="69" t="n"/>
      <c r="N429" s="68" t="n"/>
      <c r="O429" s="69" t="n"/>
      <c r="P429" s="68" t="n"/>
      <c r="Q429" s="69" t="n"/>
      <c r="R429" s="68" t="n"/>
      <c r="S429" s="69" t="n"/>
      <c r="T429" s="68" t="n"/>
      <c r="U429" s="69" t="n"/>
      <c r="V429" s="68" t="n"/>
      <c r="W429" s="69" t="n"/>
      <c r="X429" s="68" t="n"/>
      <c r="Y429" s="69" t="n"/>
      <c r="Z429" s="68" t="n"/>
      <c r="AA429" s="69" t="n"/>
      <c r="AB429" s="68" t="n"/>
      <c r="AC429" s="69" t="n"/>
      <c r="AD429" s="70">
        <f>IF(AND(COUNTIF($B$5:B429,B429)=1,$B429&lt;&gt;"",$AB429&lt;&gt;""),1,0)</f>
        <v/>
      </c>
      <c r="AE429" s="67" t="inlineStr">
        <is>
          <t>https://www.infobae.com/colombia/deportes/2026/07/24/nestor-lorenzo-estaria-obligado-a-seguir-con-james-rodriguez-en-la-seleccion-colombia-este-es-el-motivo/</t>
        </is>
      </c>
      <c r="AF429" s="64" t="n"/>
      <c r="AG429" s="65" t="n"/>
    </row>
    <row r="430" ht="15" customHeight="1" s="31">
      <c r="A430" s="66" t="inlineStr">
        <is>
          <t>ART_078</t>
        </is>
      </c>
      <c r="B430" s="66" t="inlineStr">
        <is>
          <t>ART_078_S01</t>
        </is>
      </c>
      <c r="C430" s="66" t="inlineStr">
        <is>
          <t>El Tiempo</t>
        </is>
      </c>
      <c r="D430" s="66" t="inlineStr">
        <is>
          <t>Deportes</t>
        </is>
      </c>
      <c r="E430" s="66" t="inlineStr">
        <is>
          <t>Noticia dura</t>
        </is>
      </c>
      <c r="F430" s="66" t="inlineStr">
        <is>
          <t>2026-06-05T21:15:37-05:00</t>
        </is>
      </c>
      <c r="G430" s="67" t="inlineStr">
        <is>
          <t>Néstor Lorenzo, técnico de la Selección Colombia, salió al paso de la polémica por el supuesto desplante de James Rodríguez a Antonella, hija del presidente Gustavo Petro, y dijo que lo sucedido durante el acto de entrega de la bandera a la delegación en el aeropuerto de Catam se malinterpretó.</t>
        </is>
      </c>
      <c r="H430" s="67" t="inlineStr"/>
      <c r="I430" s="67" t="inlineStr">
        <is>
          <t>“El grupo ya está acostumbrado a estas cosas.</t>
        </is>
      </c>
      <c r="J430" s="68" t="n"/>
      <c r="K430" s="69" t="n"/>
      <c r="L430" s="68" t="n"/>
      <c r="M430" s="69" t="n"/>
      <c r="N430" s="68" t="n"/>
      <c r="O430" s="69" t="n"/>
      <c r="P430" s="68" t="n"/>
      <c r="Q430" s="69" t="n"/>
      <c r="R430" s="68" t="n"/>
      <c r="S430" s="69" t="n"/>
      <c r="T430" s="68" t="n"/>
      <c r="U430" s="69" t="n"/>
      <c r="V430" s="68" t="n"/>
      <c r="W430" s="69" t="n"/>
      <c r="X430" s="68" t="n"/>
      <c r="Y430" s="69" t="n"/>
      <c r="Z430" s="68" t="n"/>
      <c r="AA430" s="69" t="n"/>
      <c r="AB430" s="68" t="n"/>
      <c r="AC430" s="69" t="n"/>
      <c r="AD430" s="70">
        <f>IF(AND(COUNTIF($B$5:B430,B430)=1,$B430&lt;&gt;"",$AB430&lt;&gt;""),1,0)</f>
        <v/>
      </c>
      <c r="AE430" s="67" t="inlineStr">
        <is>
          <t>https://www.eltiempo.com/deportes/futbol-internacional/nestor-lorenzo-salio-al-paso-de-la-polemica-por-supuesto-desplante-de-james-rodriguez-tenemos-que-estar-blindados-ante-las-criticas-3562531</t>
        </is>
      </c>
      <c r="AF430" s="64" t="n"/>
      <c r="AG430" s="65" t="n"/>
    </row>
    <row r="431" ht="15" customHeight="1" s="31">
      <c r="A431" s="66" t="inlineStr">
        <is>
          <t>ART_078</t>
        </is>
      </c>
      <c r="B431" s="66" t="inlineStr">
        <is>
          <t>ART_078_S02</t>
        </is>
      </c>
      <c r="C431" s="66" t="inlineStr">
        <is>
          <t>El Tiempo</t>
        </is>
      </c>
      <c r="D431" s="66" t="inlineStr">
        <is>
          <t>Deportes</t>
        </is>
      </c>
      <c r="E431" s="66" t="inlineStr">
        <is>
          <t>Noticia dura</t>
        </is>
      </c>
      <c r="F431" s="66" t="inlineStr">
        <is>
          <t>2026-06-05T21:15:37-05:00</t>
        </is>
      </c>
      <c r="G431" s="67" t="inlineStr">
        <is>
          <t>“El grupo ya está acostumbrado a estas cosas.</t>
        </is>
      </c>
      <c r="H431" s="67" t="inlineStr">
        <is>
          <t>Néstor Lorenzo, técnico de la Selección Colombia, salió al paso de la polémica por el supuesto desplante de James Rodríguez a Antonella, hija del presidente Gustavo Petro, y dijo que lo sucedido durante el acto de entrega de la bandera a la delegación en el aeropuerto de Catam se malinterpretó.</t>
        </is>
      </c>
      <c r="I431" s="67" t="inlineStr">
        <is>
          <t>Siempre digo que tenemos que estar blindados ante las críticas y los elogios.</t>
        </is>
      </c>
      <c r="J431" s="68" t="n"/>
      <c r="K431" s="69" t="n"/>
      <c r="L431" s="68" t="n"/>
      <c r="M431" s="69" t="n"/>
      <c r="N431" s="68" t="n"/>
      <c r="O431" s="69" t="n"/>
      <c r="P431" s="68" t="n"/>
      <c r="Q431" s="69" t="n"/>
      <c r="R431" s="68" t="n"/>
      <c r="S431" s="69" t="n"/>
      <c r="T431" s="68" t="n"/>
      <c r="U431" s="69" t="n"/>
      <c r="V431" s="68" t="n"/>
      <c r="W431" s="69" t="n"/>
      <c r="X431" s="68" t="n"/>
      <c r="Y431" s="69" t="n"/>
      <c r="Z431" s="68" t="n"/>
      <c r="AA431" s="69" t="n"/>
      <c r="AB431" s="68" t="n"/>
      <c r="AC431" s="69" t="n"/>
      <c r="AD431" s="70">
        <f>IF(AND(COUNTIF($B$5:B431,B431)=1,$B431&lt;&gt;"",$AB431&lt;&gt;""),1,0)</f>
        <v/>
      </c>
      <c r="AE431" s="67" t="inlineStr">
        <is>
          <t>https://www.eltiempo.com/deportes/futbol-internacional/nestor-lorenzo-salio-al-paso-de-la-polemica-por-supuesto-desplante-de-james-rodriguez-tenemos-que-estar-blindados-ante-las-criticas-3562531</t>
        </is>
      </c>
      <c r="AF431" s="64" t="n"/>
      <c r="AG431" s="65" t="n"/>
    </row>
    <row r="432" ht="15" customHeight="1" s="31">
      <c r="A432" s="66" t="inlineStr">
        <is>
          <t>ART_078</t>
        </is>
      </c>
      <c r="B432" s="66" t="inlineStr">
        <is>
          <t>ART_078_S03</t>
        </is>
      </c>
      <c r="C432" s="66" t="inlineStr">
        <is>
          <t>El Tiempo</t>
        </is>
      </c>
      <c r="D432" s="66" t="inlineStr">
        <is>
          <t>Deportes</t>
        </is>
      </c>
      <c r="E432" s="66" t="inlineStr">
        <is>
          <t>Noticia dura</t>
        </is>
      </c>
      <c r="F432" s="66" t="inlineStr">
        <is>
          <t>2026-06-05T21:15:37-05:00</t>
        </is>
      </c>
      <c r="G432" s="67" t="inlineStr">
        <is>
          <t>Siempre digo que tenemos que estar blindados ante las críticas y los elogios.</t>
        </is>
      </c>
      <c r="H432" s="67" t="inlineStr">
        <is>
          <t>“El grupo ya está acostumbrado a estas cosas.</t>
        </is>
      </c>
      <c r="I432" s="67" t="inlineStr">
        <is>
          <t>Fuimos a un acto protocolario y lo hicimos con respeto y orgullo.</t>
        </is>
      </c>
      <c r="J432" s="68" t="n"/>
      <c r="K432" s="69" t="n"/>
      <c r="L432" s="68" t="n"/>
      <c r="M432" s="69" t="n"/>
      <c r="N432" s="68" t="n"/>
      <c r="O432" s="69" t="n"/>
      <c r="P432" s="68" t="n"/>
      <c r="Q432" s="69" t="n"/>
      <c r="R432" s="68" t="n"/>
      <c r="S432" s="69" t="n"/>
      <c r="T432" s="68" t="n"/>
      <c r="U432" s="69" t="n"/>
      <c r="V432" s="68" t="n"/>
      <c r="W432" s="69" t="n"/>
      <c r="X432" s="68" t="n"/>
      <c r="Y432" s="69" t="n"/>
      <c r="Z432" s="68" t="n"/>
      <c r="AA432" s="69" t="n"/>
      <c r="AB432" s="68" t="n"/>
      <c r="AC432" s="69" t="n"/>
      <c r="AD432" s="70">
        <f>IF(AND(COUNTIF($B$5:B432,B432)=1,$B432&lt;&gt;"",$AB432&lt;&gt;""),1,0)</f>
        <v/>
      </c>
      <c r="AE432" s="67" t="inlineStr">
        <is>
          <t>https://www.eltiempo.com/deportes/futbol-internacional/nestor-lorenzo-salio-al-paso-de-la-polemica-por-supuesto-desplante-de-james-rodriguez-tenemos-que-estar-blindados-ante-las-criticas-3562531</t>
        </is>
      </c>
      <c r="AF432" s="64" t="n"/>
      <c r="AG432" s="65" t="n"/>
    </row>
    <row r="433" ht="15" customHeight="1" s="31">
      <c r="A433" s="66" t="inlineStr">
        <is>
          <t>ART_078</t>
        </is>
      </c>
      <c r="B433" s="66" t="inlineStr">
        <is>
          <t>ART_078_S04</t>
        </is>
      </c>
      <c r="C433" s="66" t="inlineStr">
        <is>
          <t>El Tiempo</t>
        </is>
      </c>
      <c r="D433" s="66" t="inlineStr">
        <is>
          <t>Deportes</t>
        </is>
      </c>
      <c r="E433" s="66" t="inlineStr">
        <is>
          <t>Noticia dura</t>
        </is>
      </c>
      <c r="F433" s="66" t="inlineStr">
        <is>
          <t>2026-06-05T21:15:37-05:00</t>
        </is>
      </c>
      <c r="G433" s="67" t="inlineStr">
        <is>
          <t>Fuimos a un acto protocolario y lo hicimos con respeto y orgullo.</t>
        </is>
      </c>
      <c r="H433" s="67" t="inlineStr">
        <is>
          <t>Siempre digo que tenemos que estar blindados ante las críticas y los elogios.</t>
        </is>
      </c>
      <c r="I433" s="67" t="inlineStr">
        <is>
          <t>Desde que estamos nosotros, el equipo jugó para toda Colombia y las arengas de los capitanes son así antes de los partidos”, dijo Lorenzo en rueda de prensa en San Diego (Estados Unidos), en el primer acto oficial en el país sede del Mundial.</t>
        </is>
      </c>
      <c r="J433" s="68" t="n"/>
      <c r="K433" s="69" t="n"/>
      <c r="L433" s="68" t="n"/>
      <c r="M433" s="69" t="n"/>
      <c r="N433" s="68" t="n"/>
      <c r="O433" s="69" t="n"/>
      <c r="P433" s="68" t="n"/>
      <c r="Q433" s="69" t="n"/>
      <c r="R433" s="68" t="n"/>
      <c r="S433" s="69" t="n"/>
      <c r="T433" s="68" t="n"/>
      <c r="U433" s="69" t="n"/>
      <c r="V433" s="68" t="n"/>
      <c r="W433" s="69" t="n"/>
      <c r="X433" s="68" t="n"/>
      <c r="Y433" s="69" t="n"/>
      <c r="Z433" s="68" t="n"/>
      <c r="AA433" s="69" t="n"/>
      <c r="AB433" s="68" t="n"/>
      <c r="AC433" s="69" t="n"/>
      <c r="AD433" s="70">
        <f>IF(AND(COUNTIF($B$5:B433,B433)=1,$B433&lt;&gt;"",$AB433&lt;&gt;""),1,0)</f>
        <v/>
      </c>
      <c r="AE433" s="67" t="inlineStr">
        <is>
          <t>https://www.eltiempo.com/deportes/futbol-internacional/nestor-lorenzo-salio-al-paso-de-la-polemica-por-supuesto-desplante-de-james-rodriguez-tenemos-que-estar-blindados-ante-las-criticas-3562531</t>
        </is>
      </c>
      <c r="AF433" s="64" t="n"/>
      <c r="AG433" s="65" t="n"/>
    </row>
    <row r="434" ht="15" customHeight="1" s="31">
      <c r="A434" s="66" t="inlineStr">
        <is>
          <t>ART_078</t>
        </is>
      </c>
      <c r="B434" s="66" t="inlineStr">
        <is>
          <t>ART_078_S05</t>
        </is>
      </c>
      <c r="C434" s="66" t="inlineStr">
        <is>
          <t>El Tiempo</t>
        </is>
      </c>
      <c r="D434" s="66" t="inlineStr">
        <is>
          <t>Deportes</t>
        </is>
      </c>
      <c r="E434" s="66" t="inlineStr">
        <is>
          <t>Noticia dura</t>
        </is>
      </c>
      <c r="F434" s="66" t="inlineStr">
        <is>
          <t>2026-06-05T21:15:37-05:00</t>
        </is>
      </c>
      <c r="G434" s="67" t="inlineStr">
        <is>
          <t>Desde que estamos nosotros, el equipo jugó para toda Colombia y las arengas de los capitanes son así antes de los partidos”, dijo Lorenzo en rueda de prensa en San Diego (Estados Unidos), en el primer acto oficial en el país sede del Mundial.</t>
        </is>
      </c>
      <c r="H434" s="67" t="inlineStr">
        <is>
          <t>Fuimos a un acto protocolario y lo hicimos con respeto y orgullo.</t>
        </is>
      </c>
      <c r="I434" s="67" t="inlineStr">
        <is>
          <t>“Ese compromiso que asumimos recibiendo el pabellón ya lo traíamos.</t>
        </is>
      </c>
      <c r="J434" s="68" t="n"/>
      <c r="K434" s="69" t="n"/>
      <c r="L434" s="68" t="n"/>
      <c r="M434" s="69" t="n"/>
      <c r="N434" s="68" t="n"/>
      <c r="O434" s="69" t="n"/>
      <c r="P434" s="68" t="n"/>
      <c r="Q434" s="69" t="n"/>
      <c r="R434" s="68" t="n"/>
      <c r="S434" s="69" t="n"/>
      <c r="T434" s="68" t="n"/>
      <c r="U434" s="69" t="n"/>
      <c r="V434" s="68" t="n"/>
      <c r="W434" s="69" t="n"/>
      <c r="X434" s="68" t="n"/>
      <c r="Y434" s="69" t="n"/>
      <c r="Z434" s="68" t="n"/>
      <c r="AA434" s="69" t="n"/>
      <c r="AB434" s="68" t="n"/>
      <c r="AC434" s="69" t="n"/>
      <c r="AD434" s="70">
        <f>IF(AND(COUNTIF($B$5:B434,B434)=1,$B434&lt;&gt;"",$AB434&lt;&gt;""),1,0)</f>
        <v/>
      </c>
      <c r="AE434" s="67" t="inlineStr">
        <is>
          <t>https://www.eltiempo.com/deportes/futbol-internacional/nestor-lorenzo-salio-al-paso-de-la-polemica-por-supuesto-desplante-de-james-rodriguez-tenemos-que-estar-blindados-ante-las-criticas-3562531</t>
        </is>
      </c>
      <c r="AF434" s="64" t="n"/>
      <c r="AG434" s="65" t="n"/>
    </row>
    <row r="435" ht="15" customHeight="1" s="31">
      <c r="A435" s="66" t="inlineStr">
        <is>
          <t>ART_078</t>
        </is>
      </c>
      <c r="B435" s="66" t="inlineStr">
        <is>
          <t>ART_078_S06</t>
        </is>
      </c>
      <c r="C435" s="66" t="inlineStr">
        <is>
          <t>El Tiempo</t>
        </is>
      </c>
      <c r="D435" s="66" t="inlineStr">
        <is>
          <t>Deportes</t>
        </is>
      </c>
      <c r="E435" s="66" t="inlineStr">
        <is>
          <t>Noticia dura</t>
        </is>
      </c>
      <c r="F435" s="66" t="inlineStr">
        <is>
          <t>2026-06-05T21:15:37-05:00</t>
        </is>
      </c>
      <c r="G435" s="67" t="inlineStr">
        <is>
          <t>“Ese compromiso que asumimos recibiendo el pabellón ya lo traíamos.</t>
        </is>
      </c>
      <c r="H435" s="67" t="inlineStr">
        <is>
          <t>Desde que estamos nosotros, el equipo jugó para toda Colombia y las arengas de los capitanes son así antes de los partidos”, dijo Lorenzo en rueda de prensa en San Diego (Estados Unidos), en el primer acto oficial en el país sede del Mundial.</t>
        </is>
      </c>
      <c r="I435" s="67" t="inlineStr">
        <is>
          <t>Sabemos que ha habido malas interpretaciones, con videos cortados, pero bregamos por la unión, la entrega y hacer las cosas de corazón.</t>
        </is>
      </c>
      <c r="J435" s="68" t="n"/>
      <c r="K435" s="69" t="n"/>
      <c r="L435" s="68" t="n"/>
      <c r="M435" s="69" t="n"/>
      <c r="N435" s="68" t="n"/>
      <c r="O435" s="69" t="n"/>
      <c r="P435" s="68" t="n"/>
      <c r="Q435" s="69" t="n"/>
      <c r="R435" s="68" t="n"/>
      <c r="S435" s="69" t="n"/>
      <c r="T435" s="68" t="n"/>
      <c r="U435" s="69" t="n"/>
      <c r="V435" s="68" t="n"/>
      <c r="W435" s="69" t="n"/>
      <c r="X435" s="68" t="n"/>
      <c r="Y435" s="69" t="n"/>
      <c r="Z435" s="68" t="n"/>
      <c r="AA435" s="69" t="n"/>
      <c r="AB435" s="68" t="n"/>
      <c r="AC435" s="69" t="n"/>
      <c r="AD435" s="70">
        <f>IF(AND(COUNTIF($B$5:B435,B435)=1,$B435&lt;&gt;"",$AB435&lt;&gt;""),1,0)</f>
        <v/>
      </c>
      <c r="AE435" s="67" t="inlineStr">
        <is>
          <t>https://www.eltiempo.com/deportes/futbol-internacional/nestor-lorenzo-salio-al-paso-de-la-polemica-por-supuesto-desplante-de-james-rodriguez-tenemos-que-estar-blindados-ante-las-criticas-3562531</t>
        </is>
      </c>
      <c r="AF435" s="64" t="n"/>
      <c r="AG435" s="65" t="n"/>
    </row>
    <row r="436" ht="15" customHeight="1" s="31">
      <c r="A436" s="66" t="inlineStr">
        <is>
          <t>ART_078</t>
        </is>
      </c>
      <c r="B436" s="66" t="inlineStr">
        <is>
          <t>ART_078_S07</t>
        </is>
      </c>
      <c r="C436" s="66" t="inlineStr">
        <is>
          <t>El Tiempo</t>
        </is>
      </c>
      <c r="D436" s="66" t="inlineStr">
        <is>
          <t>Deportes</t>
        </is>
      </c>
      <c r="E436" s="66" t="inlineStr">
        <is>
          <t>Noticia dura</t>
        </is>
      </c>
      <c r="F436" s="66" t="inlineStr">
        <is>
          <t>2026-06-05T21:15:37-05:00</t>
        </is>
      </c>
      <c r="G436" s="67" t="inlineStr">
        <is>
          <t>Sabemos que ha habido malas interpretaciones, con videos cortados, pero bregamos por la unión, la entrega y hacer las cosas de corazón.</t>
        </is>
      </c>
      <c r="H436" s="67" t="inlineStr">
        <is>
          <t>“Ese compromiso que asumimos recibiendo el pabellón ya lo traíamos.</t>
        </is>
      </c>
      <c r="I436" s="67" t="inlineStr">
        <is>
          <t>Es para todos, para los 50 millones de colombianos”, agregó Lorenzo.</t>
        </is>
      </c>
      <c r="J436" s="68" t="n"/>
      <c r="K436" s="69" t="n"/>
      <c r="L436" s="68" t="n"/>
      <c r="M436" s="69" t="n"/>
      <c r="N436" s="68" t="n"/>
      <c r="O436" s="69" t="n"/>
      <c r="P436" s="68" t="n"/>
      <c r="Q436" s="69" t="n"/>
      <c r="R436" s="68" t="n"/>
      <c r="S436" s="69" t="n"/>
      <c r="T436" s="68" t="n"/>
      <c r="U436" s="69" t="n"/>
      <c r="V436" s="68" t="n"/>
      <c r="W436" s="69" t="n"/>
      <c r="X436" s="68" t="n"/>
      <c r="Y436" s="69" t="n"/>
      <c r="Z436" s="68" t="n"/>
      <c r="AA436" s="69" t="n"/>
      <c r="AB436" s="68" t="n"/>
      <c r="AC436" s="69" t="n"/>
      <c r="AD436" s="70">
        <f>IF(AND(COUNTIF($B$5:B436,B436)=1,$B436&lt;&gt;"",$AB436&lt;&gt;""),1,0)</f>
        <v/>
      </c>
      <c r="AE436" s="67" t="inlineStr">
        <is>
          <t>https://www.eltiempo.com/deportes/futbol-internacional/nestor-lorenzo-salio-al-paso-de-la-polemica-por-supuesto-desplante-de-james-rodriguez-tenemos-que-estar-blindados-ante-las-criticas-3562531</t>
        </is>
      </c>
      <c r="AF436" s="64" t="n"/>
      <c r="AG436" s="65" t="n"/>
    </row>
    <row r="437" ht="15" customHeight="1" s="31">
      <c r="A437" s="66" t="inlineStr">
        <is>
          <t>ART_078</t>
        </is>
      </c>
      <c r="B437" s="66" t="inlineStr">
        <is>
          <t>ART_078_S08</t>
        </is>
      </c>
      <c r="C437" s="66" t="inlineStr">
        <is>
          <t>El Tiempo</t>
        </is>
      </c>
      <c r="D437" s="66" t="inlineStr">
        <is>
          <t>Deportes</t>
        </is>
      </c>
      <c r="E437" s="66" t="inlineStr">
        <is>
          <t>Noticia dura</t>
        </is>
      </c>
      <c r="F437" s="66" t="inlineStr">
        <is>
          <t>2026-06-05T21:15:37-05:00</t>
        </is>
      </c>
      <c r="G437" s="67" t="inlineStr">
        <is>
          <t>Es para todos, para los 50 millones de colombianos”, agregó Lorenzo.</t>
        </is>
      </c>
      <c r="H437" s="67" t="inlineStr">
        <is>
          <t>Sabemos que ha habido malas interpretaciones, con videos cortados, pero bregamos por la unión, la entrega y hacer las cosas de corazón.</t>
        </is>
      </c>
      <c r="I437" s="67" t="inlineStr">
        <is>
          <t>Durante el acto, el presidente Petro le entregó un sombrero vueltiao a cada integrante de la Selección.</t>
        </is>
      </c>
      <c r="J437" s="68" t="n"/>
      <c r="K437" s="69" t="n"/>
      <c r="L437" s="68" t="n"/>
      <c r="M437" s="69" t="n"/>
      <c r="N437" s="68" t="n"/>
      <c r="O437" s="69" t="n"/>
      <c r="P437" s="68" t="n"/>
      <c r="Q437" s="69" t="n"/>
      <c r="R437" s="68" t="n"/>
      <c r="S437" s="69" t="n"/>
      <c r="T437" s="68" t="n"/>
      <c r="U437" s="69" t="n"/>
      <c r="V437" s="68" t="n"/>
      <c r="W437" s="69" t="n"/>
      <c r="X437" s="68" t="n"/>
      <c r="Y437" s="69" t="n"/>
      <c r="Z437" s="68" t="n"/>
      <c r="AA437" s="69" t="n"/>
      <c r="AB437" s="68" t="n"/>
      <c r="AC437" s="69" t="n"/>
      <c r="AD437" s="70">
        <f>IF(AND(COUNTIF($B$5:B437,B437)=1,$B437&lt;&gt;"",$AB437&lt;&gt;""),1,0)</f>
        <v/>
      </c>
      <c r="AE437" s="67" t="inlineStr">
        <is>
          <t>https://www.eltiempo.com/deportes/futbol-internacional/nestor-lorenzo-salio-al-paso-de-la-polemica-por-supuesto-desplante-de-james-rodriguez-tenemos-que-estar-blindados-ante-las-criticas-3562531</t>
        </is>
      </c>
      <c r="AF437" s="64" t="n"/>
      <c r="AG437" s="65" t="n"/>
    </row>
    <row r="438" ht="15" customHeight="1" s="31">
      <c r="A438" s="66" t="inlineStr">
        <is>
          <t>ART_078</t>
        </is>
      </c>
      <c r="B438" s="66" t="inlineStr">
        <is>
          <t>ART_078_S09</t>
        </is>
      </c>
      <c r="C438" s="66" t="inlineStr">
        <is>
          <t>El Tiempo</t>
        </is>
      </c>
      <c r="D438" s="66" t="inlineStr">
        <is>
          <t>Deportes</t>
        </is>
      </c>
      <c r="E438" s="66" t="inlineStr">
        <is>
          <t>Noticia dura</t>
        </is>
      </c>
      <c r="F438" s="66" t="inlineStr">
        <is>
          <t>2026-06-05T21:15:37-05:00</t>
        </is>
      </c>
      <c r="G438" s="67" t="inlineStr">
        <is>
          <t>Durante el acto, el presidente Petro le entregó un sombrero vueltiao a cada integrante de la Selección.</t>
        </is>
      </c>
      <c r="H438" s="67" t="inlineStr">
        <is>
          <t>Es para todos, para los 50 millones de colombianos”, agregó Lorenzo.</t>
        </is>
      </c>
      <c r="I438" s="67" t="inlineStr">
        <is>
          <t>Cuando James pasó frente a Antonella, ella le pidió una foto, pero el jugador pasó de largo.</t>
        </is>
      </c>
      <c r="J438" s="68" t="n"/>
      <c r="K438" s="69" t="n"/>
      <c r="L438" s="68" t="n"/>
      <c r="M438" s="69" t="n"/>
      <c r="N438" s="68" t="n"/>
      <c r="O438" s="69" t="n"/>
      <c r="P438" s="68" t="n"/>
      <c r="Q438" s="69" t="n"/>
      <c r="R438" s="68" t="n"/>
      <c r="S438" s="69" t="n"/>
      <c r="T438" s="68" t="n"/>
      <c r="U438" s="69" t="n"/>
      <c r="V438" s="68" t="n"/>
      <c r="W438" s="69" t="n"/>
      <c r="X438" s="68" t="n"/>
      <c r="Y438" s="69" t="n"/>
      <c r="Z438" s="68" t="n"/>
      <c r="AA438" s="69" t="n"/>
      <c r="AB438" s="68" t="n"/>
      <c r="AC438" s="69" t="n"/>
      <c r="AD438" s="70">
        <f>IF(AND(COUNTIF($B$5:B438,B438)=1,$B438&lt;&gt;"",$AB438&lt;&gt;""),1,0)</f>
        <v/>
      </c>
      <c r="AE438" s="67" t="inlineStr">
        <is>
          <t>https://www.eltiempo.com/deportes/futbol-internacional/nestor-lorenzo-salio-al-paso-de-la-polemica-por-supuesto-desplante-de-james-rodriguez-tenemos-que-estar-blindados-ante-las-criticas-3562531</t>
        </is>
      </c>
      <c r="AF438" s="64" t="n"/>
      <c r="AG438" s="65" t="n"/>
    </row>
    <row r="439" ht="15" customHeight="1" s="31">
      <c r="A439" s="66" t="inlineStr">
        <is>
          <t>ART_078</t>
        </is>
      </c>
      <c r="B439" s="66" t="inlineStr">
        <is>
          <t>ART_078_S10</t>
        </is>
      </c>
      <c r="C439" s="66" t="inlineStr">
        <is>
          <t>El Tiempo</t>
        </is>
      </c>
      <c r="D439" s="66" t="inlineStr">
        <is>
          <t>Deportes</t>
        </is>
      </c>
      <c r="E439" s="66" t="inlineStr">
        <is>
          <t>Noticia dura</t>
        </is>
      </c>
      <c r="F439" s="66" t="inlineStr">
        <is>
          <t>2026-06-05T21:15:37-05:00</t>
        </is>
      </c>
      <c r="G439" s="67" t="inlineStr">
        <is>
          <t>Cuando James pasó frente a Antonella, ella le pidió una foto, pero el jugador pasó de largo.</t>
        </is>
      </c>
      <c r="H439" s="67" t="inlineStr">
        <is>
          <t>Durante el acto, el presidente Petro le entregó un sombrero vueltiao a cada integrante de la Selección.</t>
        </is>
      </c>
      <c r="I439" s="67" t="inlineStr">
        <is>
          <t>La propia joven zanjó el tema amigablemente, en medio de duras críticas a James en las redes sociales, y publicó este viernes un video en el que manifestó su admiración por el '10'.</t>
        </is>
      </c>
      <c r="J439" s="68" t="n"/>
      <c r="K439" s="69" t="n"/>
      <c r="L439" s="68" t="n"/>
      <c r="M439" s="69" t="n"/>
      <c r="N439" s="68" t="n"/>
      <c r="O439" s="69" t="n"/>
      <c r="P439" s="68" t="n"/>
      <c r="Q439" s="69" t="n"/>
      <c r="R439" s="68" t="n"/>
      <c r="S439" s="69" t="n"/>
      <c r="T439" s="68" t="n"/>
      <c r="U439" s="69" t="n"/>
      <c r="V439" s="68" t="n"/>
      <c r="W439" s="69" t="n"/>
      <c r="X439" s="68" t="n"/>
      <c r="Y439" s="69" t="n"/>
      <c r="Z439" s="68" t="n"/>
      <c r="AA439" s="69" t="n"/>
      <c r="AB439" s="68" t="n"/>
      <c r="AC439" s="69" t="n"/>
      <c r="AD439" s="70">
        <f>IF(AND(COUNTIF($B$5:B439,B439)=1,$B439&lt;&gt;"",$AB439&lt;&gt;""),1,0)</f>
        <v/>
      </c>
      <c r="AE439" s="67" t="inlineStr">
        <is>
          <t>https://www.eltiempo.com/deportes/futbol-internacional/nestor-lorenzo-salio-al-paso-de-la-polemica-por-supuesto-desplante-de-james-rodriguez-tenemos-que-estar-blindados-ante-las-criticas-3562531</t>
        </is>
      </c>
      <c r="AF439" s="64" t="n"/>
      <c r="AG439" s="65" t="n"/>
    </row>
    <row r="440" ht="15" customHeight="1" s="31">
      <c r="A440" s="66" t="inlineStr">
        <is>
          <t>ART_078</t>
        </is>
      </c>
      <c r="B440" s="66" t="inlineStr">
        <is>
          <t>ART_078_S11</t>
        </is>
      </c>
      <c r="C440" s="66" t="inlineStr">
        <is>
          <t>El Tiempo</t>
        </is>
      </c>
      <c r="D440" s="66" t="inlineStr">
        <is>
          <t>Deportes</t>
        </is>
      </c>
      <c r="E440" s="66" t="inlineStr">
        <is>
          <t>Noticia dura</t>
        </is>
      </c>
      <c r="F440" s="66" t="inlineStr">
        <is>
          <t>2026-06-05T21:15:37-05:00</t>
        </is>
      </c>
      <c r="G440" s="67" t="inlineStr">
        <is>
          <t>La propia joven zanjó el tema amigablemente, en medio de duras críticas a James en las redes sociales, y publicó este viernes un video en el que manifestó su admiración por el '10'.</t>
        </is>
      </c>
      <c r="H440" s="67" t="inlineStr">
        <is>
          <t>Cuando James pasó frente a Antonella, ella le pidió una foto, pero el jugador pasó de largo.</t>
        </is>
      </c>
      <c r="I440" s="67" t="inlineStr"/>
      <c r="J440" s="68" t="n"/>
      <c r="K440" s="69" t="n"/>
      <c r="L440" s="68" t="n"/>
      <c r="M440" s="69" t="n"/>
      <c r="N440" s="68" t="n"/>
      <c r="O440" s="69" t="n"/>
      <c r="P440" s="68" t="n"/>
      <c r="Q440" s="69" t="n"/>
      <c r="R440" s="68" t="n"/>
      <c r="S440" s="69" t="n"/>
      <c r="T440" s="68" t="n"/>
      <c r="U440" s="69" t="n"/>
      <c r="V440" s="68" t="n"/>
      <c r="W440" s="69" t="n"/>
      <c r="X440" s="68" t="n"/>
      <c r="Y440" s="69" t="n"/>
      <c r="Z440" s="68" t="n"/>
      <c r="AA440" s="69" t="n"/>
      <c r="AB440" s="68" t="n"/>
      <c r="AC440" s="69" t="n"/>
      <c r="AD440" s="70">
        <f>IF(AND(COUNTIF($B$5:B440,B440)=1,$B440&lt;&gt;"",$AB440&lt;&gt;""),1,0)</f>
        <v/>
      </c>
      <c r="AE440" s="67" t="inlineStr">
        <is>
          <t>https://www.eltiempo.com/deportes/futbol-internacional/nestor-lorenzo-salio-al-paso-de-la-polemica-por-supuesto-desplante-de-james-rodriguez-tenemos-que-estar-blindados-ante-las-criticas-3562531</t>
        </is>
      </c>
      <c r="AF440" s="64" t="n"/>
      <c r="AG440" s="65" t="n"/>
    </row>
    <row r="441" ht="15" customHeight="1" s="31">
      <c r="A441" s="66" t="inlineStr">
        <is>
          <t>ART_079</t>
        </is>
      </c>
      <c r="B441" s="66" t="inlineStr">
        <is>
          <t>ART_079_S01</t>
        </is>
      </c>
      <c r="C441" s="66" t="inlineStr">
        <is>
          <t>El Tiempo</t>
        </is>
      </c>
      <c r="D441" s="66" t="inlineStr">
        <is>
          <t>Deportes</t>
        </is>
      </c>
      <c r="E441" s="66" t="inlineStr">
        <is>
          <t>Noticia dura</t>
        </is>
      </c>
      <c r="F441" s="66" t="inlineStr">
        <is>
          <t>2026-05-15T16:22:42-05:00</t>
        </is>
      </c>
      <c r="G441" s="67" t="inlineStr">
        <is>
          <t>La prelista de jugadores que presentó el técnico de la Selección Colombia, Néstor Lorenzo, para disputar el mundial de fútbol de este año, tuvo varias sorpresas.</t>
        </is>
      </c>
      <c r="H441" s="67" t="inlineStr"/>
      <c r="I441" s="67" t="inlineStr">
        <is>
          <t>Una de estas es la inclusión del jugador Sebastián Villa Cano, actual delantero del club Independiente Rivadavia, de Argentina, quien fue condenado en ese país por violencia de género en 2023.</t>
        </is>
      </c>
      <c r="J441" s="68" t="n"/>
      <c r="K441" s="69" t="n"/>
      <c r="L441" s="68" t="n"/>
      <c r="M441" s="69" t="n"/>
      <c r="N441" s="68" t="n"/>
      <c r="O441" s="69" t="n"/>
      <c r="P441" s="68" t="n"/>
      <c r="Q441" s="69" t="n"/>
      <c r="R441" s="68" t="n"/>
      <c r="S441" s="69" t="n"/>
      <c r="T441" s="68" t="n"/>
      <c r="U441" s="69" t="n"/>
      <c r="V441" s="68" t="n"/>
      <c r="W441" s="69" t="n"/>
      <c r="X441" s="68" t="n"/>
      <c r="Y441" s="69" t="n"/>
      <c r="Z441" s="68" t="n"/>
      <c r="AA441" s="69" t="n"/>
      <c r="AB441" s="68" t="n"/>
      <c r="AC441" s="69" t="n"/>
      <c r="AD441" s="70">
        <f>IF(AND(COUNTIF($B$5:B441,B441)=1,$B441&lt;&gt;"",$AB441&lt;&gt;""),1,0)</f>
        <v/>
      </c>
      <c r="AE441" s="67" t="inlineStr">
        <is>
          <t>https://www.eltiempo.com/unidad-investigativa/los-testimonios-por-violencia-de-genero-contra-el-jugador-sebastian-villa-que-desataron-polemica-tras-su-inclusion-en-listado-para-el-mundial-3555864</t>
        </is>
      </c>
      <c r="AF441" s="64" t="n"/>
      <c r="AG441" s="65" t="n"/>
    </row>
    <row r="442" ht="15" customHeight="1" s="31">
      <c r="A442" s="66" t="inlineStr">
        <is>
          <t>ART_079</t>
        </is>
      </c>
      <c r="B442" s="66" t="inlineStr">
        <is>
          <t>ART_079_S02</t>
        </is>
      </c>
      <c r="C442" s="66" t="inlineStr">
        <is>
          <t>El Tiempo</t>
        </is>
      </c>
      <c r="D442" s="66" t="inlineStr">
        <is>
          <t>Deportes</t>
        </is>
      </c>
      <c r="E442" s="66" t="inlineStr">
        <is>
          <t>Noticia dura</t>
        </is>
      </c>
      <c r="F442" s="66" t="inlineStr">
        <is>
          <t>2026-05-15T16:22:42-05:00</t>
        </is>
      </c>
      <c r="G442" s="67" t="inlineStr">
        <is>
          <t>Una de estas es la inclusión del jugador Sebastián Villa Cano, actual delantero del club Independiente Rivadavia, de Argentina, quien fue condenado en ese país por violencia de género en 2023.</t>
        </is>
      </c>
      <c r="H442" s="67" t="inlineStr">
        <is>
          <t>La prelista de jugadores que presentó el técnico de la Selección Colombia, Néstor Lorenzo, para disputar el mundial de fútbol de este año, tuvo varias sorpresas.</t>
        </is>
      </c>
      <c r="I442" s="67" t="inlineStr">
        <is>
          <t>“Entiendo a la opinión pública y a los periodistas.</t>
        </is>
      </c>
      <c r="J442" s="68" t="n"/>
      <c r="K442" s="69" t="n"/>
      <c r="L442" s="68" t="n"/>
      <c r="M442" s="69" t="n"/>
      <c r="N442" s="68" t="n"/>
      <c r="O442" s="69" t="n"/>
      <c r="P442" s="68" t="n"/>
      <c r="Q442" s="69" t="n"/>
      <c r="R442" s="68" t="n"/>
      <c r="S442" s="69" t="n"/>
      <c r="T442" s="68" t="n"/>
      <c r="U442" s="69" t="n"/>
      <c r="V442" s="68" t="n"/>
      <c r="W442" s="69" t="n"/>
      <c r="X442" s="68" t="n"/>
      <c r="Y442" s="69" t="n"/>
      <c r="Z442" s="68" t="n"/>
      <c r="AA442" s="69" t="n"/>
      <c r="AB442" s="68" t="n"/>
      <c r="AC442" s="69" t="n"/>
      <c r="AD442" s="70">
        <f>IF(AND(COUNTIF($B$5:B442,B442)=1,$B442&lt;&gt;"",$AB442&lt;&gt;""),1,0)</f>
        <v/>
      </c>
      <c r="AE442" s="67" t="inlineStr">
        <is>
          <t>https://www.eltiempo.com/unidad-investigativa/los-testimonios-por-violencia-de-genero-contra-el-jugador-sebastian-villa-que-desataron-polemica-tras-su-inclusion-en-listado-para-el-mundial-3555864</t>
        </is>
      </c>
      <c r="AF442" s="64" t="n"/>
      <c r="AG442" s="65" t="n"/>
    </row>
    <row r="443" ht="15" customHeight="1" s="31">
      <c r="A443" s="66" t="inlineStr">
        <is>
          <t>ART_079</t>
        </is>
      </c>
      <c r="B443" s="66" t="inlineStr">
        <is>
          <t>ART_079_S03</t>
        </is>
      </c>
      <c r="C443" s="66" t="inlineStr">
        <is>
          <t>El Tiempo</t>
        </is>
      </c>
      <c r="D443" s="66" t="inlineStr">
        <is>
          <t>Deportes</t>
        </is>
      </c>
      <c r="E443" s="66" t="inlineStr">
        <is>
          <t>Noticia dura</t>
        </is>
      </c>
      <c r="F443" s="66" t="inlineStr">
        <is>
          <t>2026-05-15T16:22:42-05:00</t>
        </is>
      </c>
      <c r="G443" s="67" t="inlineStr">
        <is>
          <t>“Entiendo a la opinión pública y a los periodistas.</t>
        </is>
      </c>
      <c r="H443" s="67" t="inlineStr">
        <is>
          <t>Una de estas es la inclusión del jugador Sebastián Villa Cano, actual delantero del club Independiente Rivadavia, de Argentina, quien fue condenado en ese país por violencia de género en 2023.</t>
        </is>
      </c>
      <c r="I443" s="67" t="inlineStr">
        <is>
          <t>Dentro de los criterios que analizamos están sus temas personales, pero está jugando, rindiendo bien y compitiendo ahí en la posibilidad de estar o no con los que compiten en su posición”, aseguró Néstor Lorenzo en la rueda de prensa llevada a cabo en la mañana del jueves 14 de mayo, en la que presentó el listado.</t>
        </is>
      </c>
      <c r="J443" s="68" t="n"/>
      <c r="K443" s="69" t="n"/>
      <c r="L443" s="68" t="n"/>
      <c r="M443" s="69" t="n"/>
      <c r="N443" s="68" t="n"/>
      <c r="O443" s="69" t="n"/>
      <c r="P443" s="68" t="n"/>
      <c r="Q443" s="69" t="n"/>
      <c r="R443" s="68" t="n"/>
      <c r="S443" s="69" t="n"/>
      <c r="T443" s="68" t="n"/>
      <c r="U443" s="69" t="n"/>
      <c r="V443" s="68" t="n"/>
      <c r="W443" s="69" t="n"/>
      <c r="X443" s="68" t="n"/>
      <c r="Y443" s="69" t="n"/>
      <c r="Z443" s="68" t="n"/>
      <c r="AA443" s="69" t="n"/>
      <c r="AB443" s="68" t="n"/>
      <c r="AC443" s="69" t="n"/>
      <c r="AD443" s="70">
        <f>IF(AND(COUNTIF($B$5:B443,B443)=1,$B443&lt;&gt;"",$AB443&lt;&gt;""),1,0)</f>
        <v/>
      </c>
      <c r="AE443" s="67" t="inlineStr">
        <is>
          <t>https://www.eltiempo.com/unidad-investigativa/los-testimonios-por-violencia-de-genero-contra-el-jugador-sebastian-villa-que-desataron-polemica-tras-su-inclusion-en-listado-para-el-mundial-3555864</t>
        </is>
      </c>
      <c r="AF443" s="64" t="n"/>
      <c r="AG443" s="65" t="n"/>
    </row>
    <row r="444" ht="15" customHeight="1" s="31">
      <c r="A444" s="66" t="inlineStr">
        <is>
          <t>ART_079</t>
        </is>
      </c>
      <c r="B444" s="66" t="inlineStr">
        <is>
          <t>ART_079_S04</t>
        </is>
      </c>
      <c r="C444" s="66" t="inlineStr">
        <is>
          <t>El Tiempo</t>
        </is>
      </c>
      <c r="D444" s="66" t="inlineStr">
        <is>
          <t>Deportes</t>
        </is>
      </c>
      <c r="E444" s="66" t="inlineStr">
        <is>
          <t>Noticia dura</t>
        </is>
      </c>
      <c r="F444" s="66" t="inlineStr">
        <is>
          <t>2026-05-15T16:22:42-05:00</t>
        </is>
      </c>
      <c r="G444" s="67" t="inlineStr">
        <is>
          <t>Dentro de los criterios que analizamos están sus temas personales, pero está jugando, rindiendo bien y compitiendo ahí en la posibilidad de estar o no con los que compiten en su posición”, aseguró Néstor Lorenzo en la rueda de prensa llevada a cabo en la mañana del jueves 14 de mayo, en la que presentó el listado.</t>
        </is>
      </c>
      <c r="H444" s="67" t="inlineStr">
        <is>
          <t>“Entiendo a la opinión pública y a los periodistas.</t>
        </is>
      </c>
      <c r="I444" s="67" t="inlineStr">
        <is>
          <t>La situación generó polémica en redes sociales por parte de periodistas y aficionados.</t>
        </is>
      </c>
      <c r="J444" s="68" t="n"/>
      <c r="K444" s="69" t="n"/>
      <c r="L444" s="68" t="n"/>
      <c r="M444" s="69" t="n"/>
      <c r="N444" s="68" t="n"/>
      <c r="O444" s="69" t="n"/>
      <c r="P444" s="68" t="n"/>
      <c r="Q444" s="69" t="n"/>
      <c r="R444" s="68" t="n"/>
      <c r="S444" s="69" t="n"/>
      <c r="T444" s="68" t="n"/>
      <c r="U444" s="69" t="n"/>
      <c r="V444" s="68" t="n"/>
      <c r="W444" s="69" t="n"/>
      <c r="X444" s="68" t="n"/>
      <c r="Y444" s="69" t="n"/>
      <c r="Z444" s="68" t="n"/>
      <c r="AA444" s="69" t="n"/>
      <c r="AB444" s="68" t="n"/>
      <c r="AC444" s="69" t="n"/>
      <c r="AD444" s="70">
        <f>IF(AND(COUNTIF($B$5:B444,B444)=1,$B444&lt;&gt;"",$AB444&lt;&gt;""),1,0)</f>
        <v/>
      </c>
      <c r="AE444" s="67" t="inlineStr">
        <is>
          <t>https://www.eltiempo.com/unidad-investigativa/los-testimonios-por-violencia-de-genero-contra-el-jugador-sebastian-villa-que-desataron-polemica-tras-su-inclusion-en-listado-para-el-mundial-3555864</t>
        </is>
      </c>
      <c r="AF444" s="64" t="n"/>
      <c r="AG444" s="65" t="n"/>
    </row>
    <row r="445" ht="15" customHeight="1" s="31">
      <c r="A445" s="66" t="inlineStr">
        <is>
          <t>ART_079</t>
        </is>
      </c>
      <c r="B445" s="66" t="inlineStr">
        <is>
          <t>ART_079_S05</t>
        </is>
      </c>
      <c r="C445" s="66" t="inlineStr">
        <is>
          <t>El Tiempo</t>
        </is>
      </c>
      <c r="D445" s="66" t="inlineStr">
        <is>
          <t>Deportes</t>
        </is>
      </c>
      <c r="E445" s="66" t="inlineStr">
        <is>
          <t>Noticia dura</t>
        </is>
      </c>
      <c r="F445" s="66" t="inlineStr">
        <is>
          <t>2026-05-15T16:22:42-05:00</t>
        </is>
      </c>
      <c r="G445" s="67" t="inlineStr">
        <is>
          <t>La situación generó polémica en redes sociales por parte de periodistas y aficionados.</t>
        </is>
      </c>
      <c r="H445" s="67" t="inlineStr">
        <is>
          <t>Dentro de los criterios que analizamos están sus temas personales, pero está jugando, rindiendo bien y compitiendo ahí en la posibilidad de estar o no con los que compiten en su posición”, aseguró Néstor Lorenzo en la rueda de prensa llevada a cabo en la mañana del jueves 14 de mayo, en la que presentó el listado.</t>
        </is>
      </c>
      <c r="I445" s="67" t="inlineStr"/>
      <c r="J445" s="68" t="n"/>
      <c r="K445" s="69" t="n"/>
      <c r="L445" s="68" t="n"/>
      <c r="M445" s="69" t="n"/>
      <c r="N445" s="68" t="n"/>
      <c r="O445" s="69" t="n"/>
      <c r="P445" s="68" t="n"/>
      <c r="Q445" s="69" t="n"/>
      <c r="R445" s="68" t="n"/>
      <c r="S445" s="69" t="n"/>
      <c r="T445" s="68" t="n"/>
      <c r="U445" s="69" t="n"/>
      <c r="V445" s="68" t="n"/>
      <c r="W445" s="69" t="n"/>
      <c r="X445" s="68" t="n"/>
      <c r="Y445" s="69" t="n"/>
      <c r="Z445" s="68" t="n"/>
      <c r="AA445" s="69" t="n"/>
      <c r="AB445" s="68" t="n"/>
      <c r="AC445" s="69" t="n"/>
      <c r="AD445" s="70">
        <f>IF(AND(COUNTIF($B$5:B445,B445)=1,$B445&lt;&gt;"",$AB445&lt;&gt;""),1,0)</f>
        <v/>
      </c>
      <c r="AE445" s="67" t="inlineStr">
        <is>
          <t>https://www.eltiempo.com/unidad-investigativa/los-testimonios-por-violencia-de-genero-contra-el-jugador-sebastian-villa-que-desataron-polemica-tras-su-inclusion-en-listado-para-el-mundial-3555864</t>
        </is>
      </c>
      <c r="AF445" s="64" t="n"/>
      <c r="AG445" s="65" t="n"/>
    </row>
    <row r="446" ht="15" customHeight="1" s="31">
      <c r="A446" s="66" t="inlineStr">
        <is>
          <t>ART_080</t>
        </is>
      </c>
      <c r="B446" s="66" t="inlineStr">
        <is>
          <t>ART_080_S01</t>
        </is>
      </c>
      <c r="C446" s="66" t="inlineStr">
        <is>
          <t>El Tiempo</t>
        </is>
      </c>
      <c r="D446" s="66" t="inlineStr">
        <is>
          <t>Deportes</t>
        </is>
      </c>
      <c r="E446" s="66" t="inlineStr">
        <is>
          <t>Noticia dura</t>
        </is>
      </c>
      <c r="F446" s="66" t="inlineStr">
        <is>
          <t>2026-05-14T12:17:24-05:00</t>
        </is>
      </c>
      <c r="G446" s="67" t="inlineStr">
        <is>
          <t>Néstor Lorenzo, técnico de la Selección Colombia, entregó este jueves la prelista de 55 jugadores con miras al Mundial de 2026, pero el nombre de Sebastián Villa ha generado todo tipo de comentarios negativos.</t>
        </is>
      </c>
      <c r="H446" s="67" t="inlineStr"/>
      <c r="I446" s="67" t="inlineStr"/>
      <c r="J446" s="68" t="n"/>
      <c r="K446" s="69" t="n"/>
      <c r="L446" s="68" t="n"/>
      <c r="M446" s="69" t="n"/>
      <c r="N446" s="68" t="n"/>
      <c r="O446" s="69" t="n"/>
      <c r="P446" s="68" t="n"/>
      <c r="Q446" s="69" t="n"/>
      <c r="R446" s="68" t="n"/>
      <c r="S446" s="69" t="n"/>
      <c r="T446" s="68" t="n"/>
      <c r="U446" s="69" t="n"/>
      <c r="V446" s="68" t="n"/>
      <c r="W446" s="69" t="n"/>
      <c r="X446" s="68" t="n"/>
      <c r="Y446" s="69" t="n"/>
      <c r="Z446" s="68" t="n"/>
      <c r="AA446" s="69" t="n"/>
      <c r="AB446" s="68" t="n"/>
      <c r="AC446" s="69" t="n"/>
      <c r="AD446" s="70">
        <f>IF(AND(COUNTIF($B$5:B446,B446)=1,$B446&lt;&gt;"",$AB446&lt;&gt;""),1,0)</f>
        <v/>
      </c>
      <c r="AE446" s="67" t="inlineStr">
        <is>
          <t>https://www.eltiempo.com/deportes/futbol-internacional/presencia-de-sebastian-villa-en-la-prelista-de-colombia-para-el-mundial-de-2026-desata-impresionante-polemica-nestor-lorenzo-senalado-3555733</t>
        </is>
      </c>
      <c r="AF446" s="64" t="n"/>
      <c r="AG446" s="65" t="n"/>
    </row>
    <row r="447" ht="15" customHeight="1" s="31">
      <c r="A447" s="66" t="inlineStr">
        <is>
          <t>ART_081</t>
        </is>
      </c>
      <c r="B447" s="66" t="inlineStr">
        <is>
          <t>ART_081_S01</t>
        </is>
      </c>
      <c r="C447" s="66" t="inlineStr">
        <is>
          <t>El Tiempo</t>
        </is>
      </c>
      <c r="D447" s="66" t="inlineStr">
        <is>
          <t>Deportes</t>
        </is>
      </c>
      <c r="E447" s="66" t="inlineStr">
        <is>
          <t>Opinión-análisis</t>
        </is>
      </c>
      <c r="F447" s="66" t="inlineStr">
        <is>
          <t>2026-07-10T23:09:09-05:00</t>
        </is>
      </c>
      <c r="G447" s="67" t="inlineStr">
        <is>
          <t>La belleza del Mundial es que durante un mes todos están pendientes de él, hasta los menos futboleros.</t>
        </is>
      </c>
      <c r="H447" s="67" t="inlineStr"/>
      <c r="I447" s="67" t="inlineStr">
        <is>
          <t>Lo malo es que toca oír declaraciones de gente que no sabe mucho del tema, pero que tiene todo el derecho a opinar, faltaba más; como cuando alguien sin interés ni conocimiento de arte va a una exposición y analiza las obras como para encajar en el ambiente.</t>
        </is>
      </c>
      <c r="J447" s="68" t="n"/>
      <c r="K447" s="69" t="n"/>
      <c r="L447" s="68" t="n"/>
      <c r="M447" s="69" t="n"/>
      <c r="N447" s="68" t="n"/>
      <c r="O447" s="69" t="n"/>
      <c r="P447" s="68" t="n"/>
      <c r="Q447" s="69" t="n"/>
      <c r="R447" s="68" t="n"/>
      <c r="S447" s="69" t="n"/>
      <c r="T447" s="68" t="n"/>
      <c r="U447" s="69" t="n"/>
      <c r="V447" s="68" t="n"/>
      <c r="W447" s="69" t="n"/>
      <c r="X447" s="68" t="n"/>
      <c r="Y447" s="69" t="n"/>
      <c r="Z447" s="68" t="n"/>
      <c r="AA447" s="69" t="n"/>
      <c r="AB447" s="68" t="n"/>
      <c r="AC447" s="69" t="n"/>
      <c r="AD447" s="70">
        <f>IF(AND(COUNTIF($B$5:B447,B447)=1,$B447&lt;&gt;"",$AB447&lt;&gt;""),1,0)</f>
        <v/>
      </c>
      <c r="AE447" s="67" t="inlineStr">
        <is>
          <t>https://www.eltiempo.com/opinion/columnistas/todo-lo-que-no-me-gusta-es-robo-3570630</t>
        </is>
      </c>
      <c r="AF447" s="64" t="n"/>
      <c r="AG447" s="65" t="n"/>
    </row>
    <row r="448" ht="15" customHeight="1" s="31">
      <c r="A448" s="66" t="inlineStr">
        <is>
          <t>ART_081</t>
        </is>
      </c>
      <c r="B448" s="66" t="inlineStr">
        <is>
          <t>ART_081_S02</t>
        </is>
      </c>
      <c r="C448" s="66" t="inlineStr">
        <is>
          <t>El Tiempo</t>
        </is>
      </c>
      <c r="D448" s="66" t="inlineStr">
        <is>
          <t>Deportes</t>
        </is>
      </c>
      <c r="E448" s="66" t="inlineStr">
        <is>
          <t>Opinión-análisis</t>
        </is>
      </c>
      <c r="F448" s="66" t="inlineStr">
        <is>
          <t>2026-07-10T23:09:09-05:00</t>
        </is>
      </c>
      <c r="G448" s="67" t="inlineStr">
        <is>
          <t>Lo malo es que toca oír declaraciones de gente que no sabe mucho del tema, pero que tiene todo el derecho a opinar, faltaba más; como cuando alguien sin interés ni conocimiento de arte va a una exposición y analiza las obras como para encajar en el ambiente.</t>
        </is>
      </c>
      <c r="H448" s="67" t="inlineStr">
        <is>
          <t>La belleza del Mundial es que durante un mes todos están pendientes de él, hasta los menos futboleros.</t>
        </is>
      </c>
      <c r="I448" s="67" t="inlineStr">
        <is>
          <t>Esto para decir que hay que dejar de llamarlas robo a las decisiones arbitrales que no nos gustan.</t>
        </is>
      </c>
      <c r="J448" s="68" t="n"/>
      <c r="K448" s="69" t="n"/>
      <c r="L448" s="68" t="n"/>
      <c r="M448" s="69" t="n"/>
      <c r="N448" s="68" t="n"/>
      <c r="O448" s="69" t="n"/>
      <c r="P448" s="68" t="n"/>
      <c r="Q448" s="69" t="n"/>
      <c r="R448" s="68" t="n"/>
      <c r="S448" s="69" t="n"/>
      <c r="T448" s="68" t="n"/>
      <c r="U448" s="69" t="n"/>
      <c r="V448" s="68" t="n"/>
      <c r="W448" s="69" t="n"/>
      <c r="X448" s="68" t="n"/>
      <c r="Y448" s="69" t="n"/>
      <c r="Z448" s="68" t="n"/>
      <c r="AA448" s="69" t="n"/>
      <c r="AB448" s="68" t="n"/>
      <c r="AC448" s="69" t="n"/>
      <c r="AD448" s="70">
        <f>IF(AND(COUNTIF($B$5:B448,B448)=1,$B448&lt;&gt;"",$AB448&lt;&gt;""),1,0)</f>
        <v/>
      </c>
      <c r="AE448" s="67" t="inlineStr">
        <is>
          <t>https://www.eltiempo.com/opinion/columnistas/todo-lo-que-no-me-gusta-es-robo-3570630</t>
        </is>
      </c>
      <c r="AF448" s="64" t="n"/>
      <c r="AG448" s="65" t="n"/>
    </row>
    <row r="449" ht="15" customHeight="1" s="31">
      <c r="A449" s="66" t="inlineStr">
        <is>
          <t>ART_081</t>
        </is>
      </c>
      <c r="B449" s="66" t="inlineStr">
        <is>
          <t>ART_081_S03</t>
        </is>
      </c>
      <c r="C449" s="66" t="inlineStr">
        <is>
          <t>El Tiempo</t>
        </is>
      </c>
      <c r="D449" s="66" t="inlineStr">
        <is>
          <t>Deportes</t>
        </is>
      </c>
      <c r="E449" s="66" t="inlineStr">
        <is>
          <t>Opinión-análisis</t>
        </is>
      </c>
      <c r="F449" s="66" t="inlineStr">
        <is>
          <t>2026-07-10T23:09:09-05:00</t>
        </is>
      </c>
      <c r="G449" s="67" t="inlineStr">
        <is>
          <t>Esto para decir que hay que dejar de llamarlas robo a las decisiones arbitrales que no nos gustan.</t>
        </is>
      </c>
      <c r="H449" s="67" t="inlineStr">
        <is>
          <t>Lo malo es que toca oír declaraciones de gente que no sabe mucho del tema, pero que tiene todo el derecho a opinar, faltaba más; como cuando alguien sin interés ni conocimiento de arte va a una exposición y analiza las obras como para encajar en el ambiente.</t>
        </is>
      </c>
      <c r="I449" s="67" t="inlineStr">
        <is>
          <t>Que la Fifa es un ente cuanto menos cuestionable, se sabe, pero creo que el nivel de influencia que maneja se escapa al entendimiento del ciudadano común.</t>
        </is>
      </c>
      <c r="J449" s="68" t="n"/>
      <c r="K449" s="69" t="n"/>
      <c r="L449" s="68" t="n"/>
      <c r="M449" s="69" t="n"/>
      <c r="N449" s="68" t="n"/>
      <c r="O449" s="69" t="n"/>
      <c r="P449" s="68" t="n"/>
      <c r="Q449" s="69" t="n"/>
      <c r="R449" s="68" t="n"/>
      <c r="S449" s="69" t="n"/>
      <c r="T449" s="68" t="n"/>
      <c r="U449" s="69" t="n"/>
      <c r="V449" s="68" t="n"/>
      <c r="W449" s="69" t="n"/>
      <c r="X449" s="68" t="n"/>
      <c r="Y449" s="69" t="n"/>
      <c r="Z449" s="68" t="n"/>
      <c r="AA449" s="69" t="n"/>
      <c r="AB449" s="68" t="n"/>
      <c r="AC449" s="69" t="n"/>
      <c r="AD449" s="70">
        <f>IF(AND(COUNTIF($B$5:B449,B449)=1,$B449&lt;&gt;"",$AB449&lt;&gt;""),1,0)</f>
        <v/>
      </c>
      <c r="AE449" s="67" t="inlineStr">
        <is>
          <t>https://www.eltiempo.com/opinion/columnistas/todo-lo-que-no-me-gusta-es-robo-3570630</t>
        </is>
      </c>
      <c r="AF449" s="64" t="n"/>
      <c r="AG449" s="65" t="n"/>
    </row>
    <row r="450" ht="15" customHeight="1" s="31">
      <c r="A450" s="66" t="inlineStr">
        <is>
          <t>ART_081</t>
        </is>
      </c>
      <c r="B450" s="66" t="inlineStr">
        <is>
          <t>ART_081_S04</t>
        </is>
      </c>
      <c r="C450" s="66" t="inlineStr">
        <is>
          <t>El Tiempo</t>
        </is>
      </c>
      <c r="D450" s="66" t="inlineStr">
        <is>
          <t>Deportes</t>
        </is>
      </c>
      <c r="E450" s="66" t="inlineStr">
        <is>
          <t>Opinión-análisis</t>
        </is>
      </c>
      <c r="F450" s="66" t="inlineStr">
        <is>
          <t>2026-07-10T23:09:09-05:00</t>
        </is>
      </c>
      <c r="G450" s="67" t="inlineStr">
        <is>
          <t>Que la Fifa es un ente cuanto menos cuestionable, se sabe, pero creo que el nivel de influencia que maneja se escapa al entendimiento del ciudadano común.</t>
        </is>
      </c>
      <c r="H450" s="67" t="inlineStr">
        <is>
          <t>Esto para decir que hay que dejar de llamarlas robo a las decisiones arbitrales que no nos gustan.</t>
        </is>
      </c>
      <c r="I450" s="67" t="inlineStr">
        <is>
          <t>Muy pocos de nosotros hemos estado involucrados en ese grado de poder que incluye federaciones nacionales, organizaciones internacionales, grandes corporaciones, diplomáticos de alto perfil y hasta jefes de Estado.</t>
        </is>
      </c>
      <c r="J450" s="68" t="n"/>
      <c r="K450" s="69" t="n"/>
      <c r="L450" s="68" t="n"/>
      <c r="M450" s="69" t="n"/>
      <c r="N450" s="68" t="n"/>
      <c r="O450" s="69" t="n"/>
      <c r="P450" s="68" t="n"/>
      <c r="Q450" s="69" t="n"/>
      <c r="R450" s="68" t="n"/>
      <c r="S450" s="69" t="n"/>
      <c r="T450" s="68" t="n"/>
      <c r="U450" s="69" t="n"/>
      <c r="V450" s="68" t="n"/>
      <c r="W450" s="69" t="n"/>
      <c r="X450" s="68" t="n"/>
      <c r="Y450" s="69" t="n"/>
      <c r="Z450" s="68" t="n"/>
      <c r="AA450" s="69" t="n"/>
      <c r="AB450" s="68" t="n"/>
      <c r="AC450" s="69" t="n"/>
      <c r="AD450" s="70">
        <f>IF(AND(COUNTIF($B$5:B450,B450)=1,$B450&lt;&gt;"",$AB450&lt;&gt;""),1,0)</f>
        <v/>
      </c>
      <c r="AE450" s="67" t="inlineStr">
        <is>
          <t>https://www.eltiempo.com/opinion/columnistas/todo-lo-que-no-me-gusta-es-robo-3570630</t>
        </is>
      </c>
      <c r="AF450" s="64" t="n"/>
      <c r="AG450" s="65" t="n"/>
    </row>
    <row r="451" ht="15" customHeight="1" s="31">
      <c r="A451" s="66" t="inlineStr">
        <is>
          <t>ART_081</t>
        </is>
      </c>
      <c r="B451" s="66" t="inlineStr">
        <is>
          <t>ART_081_S05</t>
        </is>
      </c>
      <c r="C451" s="66" t="inlineStr">
        <is>
          <t>El Tiempo</t>
        </is>
      </c>
      <c r="D451" s="66" t="inlineStr">
        <is>
          <t>Deportes</t>
        </is>
      </c>
      <c r="E451" s="66" t="inlineStr">
        <is>
          <t>Opinión-análisis</t>
        </is>
      </c>
      <c r="F451" s="66" t="inlineStr">
        <is>
          <t>2026-07-10T23:09:09-05:00</t>
        </is>
      </c>
      <c r="G451" s="67" t="inlineStr">
        <is>
          <t>Muy pocos de nosotros hemos estado involucrados en ese grado de poder que incluye federaciones nacionales, organizaciones internacionales, grandes corporaciones, diplomáticos de alto perfil y hasta jefes de Estado.</t>
        </is>
      </c>
      <c r="H451" s="67" t="inlineStr">
        <is>
          <t>Que la Fifa es un ente cuanto menos cuestionable, se sabe, pero creo que el nivel de influencia que maneja se escapa al entendimiento del ciudadano común.</t>
        </is>
      </c>
      <c r="I451" s="67" t="inlineStr">
        <is>
          <t>Sin duda hay un juego de interés ahí, pero no puede ser que si el tres de Alemania no recibió amarilla por pisar al extremo de Curazao es que están robando al pobre equipo caribeño producto de un elaborado complot internacional.</t>
        </is>
      </c>
      <c r="J451" s="68" t="n"/>
      <c r="K451" s="69" t="n"/>
      <c r="L451" s="68" t="n"/>
      <c r="M451" s="69" t="n"/>
      <c r="N451" s="68" t="n"/>
      <c r="O451" s="69" t="n"/>
      <c r="P451" s="68" t="n"/>
      <c r="Q451" s="69" t="n"/>
      <c r="R451" s="68" t="n"/>
      <c r="S451" s="69" t="n"/>
      <c r="T451" s="68" t="n"/>
      <c r="U451" s="69" t="n"/>
      <c r="V451" s="68" t="n"/>
      <c r="W451" s="69" t="n"/>
      <c r="X451" s="68" t="n"/>
      <c r="Y451" s="69" t="n"/>
      <c r="Z451" s="68" t="n"/>
      <c r="AA451" s="69" t="n"/>
      <c r="AB451" s="68" t="n"/>
      <c r="AC451" s="69" t="n"/>
      <c r="AD451" s="70">
        <f>IF(AND(COUNTIF($B$5:B451,B451)=1,$B451&lt;&gt;"",$AB451&lt;&gt;""),1,0)</f>
        <v/>
      </c>
      <c r="AE451" s="67" t="inlineStr">
        <is>
          <t>https://www.eltiempo.com/opinion/columnistas/todo-lo-que-no-me-gusta-es-robo-3570630</t>
        </is>
      </c>
      <c r="AF451" s="64" t="n"/>
      <c r="AG451" s="65" t="n"/>
    </row>
    <row r="452" ht="15" customHeight="1" s="31">
      <c r="A452" s="66" t="inlineStr">
        <is>
          <t>ART_081</t>
        </is>
      </c>
      <c r="B452" s="66" t="inlineStr">
        <is>
          <t>ART_081_S06</t>
        </is>
      </c>
      <c r="C452" s="66" t="inlineStr">
        <is>
          <t>El Tiempo</t>
        </is>
      </c>
      <c r="D452" s="66" t="inlineStr">
        <is>
          <t>Deportes</t>
        </is>
      </c>
      <c r="E452" s="66" t="inlineStr">
        <is>
          <t>Opinión-análisis</t>
        </is>
      </c>
      <c r="F452" s="66" t="inlineStr">
        <is>
          <t>2026-07-10T23:09:09-05:00</t>
        </is>
      </c>
      <c r="G452" s="67" t="inlineStr">
        <is>
          <t>Sin duda hay un juego de interés ahí, pero no puede ser que si el tres de Alemania no recibió amarilla por pisar al extremo de Curazao es que están robando al pobre equipo caribeño producto de un elaborado complot internacional.</t>
        </is>
      </c>
      <c r="H452" s="67" t="inlineStr">
        <is>
          <t>Muy pocos de nosotros hemos estado involucrados en ese grado de poder que incluye federaciones nacionales, organizaciones internacionales, grandes corporaciones, diplomáticos de alto perfil y hasta jefes de Estado.</t>
        </is>
      </c>
      <c r="I452" s="67" t="inlineStr">
        <is>
          <t>En el fútbol siempre se ha favorecido al fuerte y al local, y eso no siempre tiene que ver con conspiraciones, sino por simple torpeza, servilismo o miedo.</t>
        </is>
      </c>
      <c r="J452" s="68" t="n"/>
      <c r="K452" s="69" t="n"/>
      <c r="L452" s="68" t="n"/>
      <c r="M452" s="69" t="n"/>
      <c r="N452" s="68" t="n"/>
      <c r="O452" s="69" t="n"/>
      <c r="P452" s="68" t="n"/>
      <c r="Q452" s="69" t="n"/>
      <c r="R452" s="68" t="n"/>
      <c r="S452" s="69" t="n"/>
      <c r="T452" s="68" t="n"/>
      <c r="U452" s="69" t="n"/>
      <c r="V452" s="68" t="n"/>
      <c r="W452" s="69" t="n"/>
      <c r="X452" s="68" t="n"/>
      <c r="Y452" s="69" t="n"/>
      <c r="Z452" s="68" t="n"/>
      <c r="AA452" s="69" t="n"/>
      <c r="AB452" s="68" t="n"/>
      <c r="AC452" s="69" t="n"/>
      <c r="AD452" s="70">
        <f>IF(AND(COUNTIF($B$5:B452,B452)=1,$B452&lt;&gt;"",$AB452&lt;&gt;""),1,0)</f>
        <v/>
      </c>
      <c r="AE452" s="67" t="inlineStr">
        <is>
          <t>https://www.eltiempo.com/opinion/columnistas/todo-lo-que-no-me-gusta-es-robo-3570630</t>
        </is>
      </c>
      <c r="AF452" s="64" t="n"/>
      <c r="AG452" s="65" t="n"/>
    </row>
    <row r="453" ht="15" customHeight="1" s="31">
      <c r="A453" s="66" t="inlineStr">
        <is>
          <t>ART_081</t>
        </is>
      </c>
      <c r="B453" s="66" t="inlineStr">
        <is>
          <t>ART_081_S07</t>
        </is>
      </c>
      <c r="C453" s="66" t="inlineStr">
        <is>
          <t>El Tiempo</t>
        </is>
      </c>
      <c r="D453" s="66" t="inlineStr">
        <is>
          <t>Deportes</t>
        </is>
      </c>
      <c r="E453" s="66" t="inlineStr">
        <is>
          <t>Opinión-análisis</t>
        </is>
      </c>
      <c r="F453" s="66" t="inlineStr">
        <is>
          <t>2026-07-10T23:09:09-05:00</t>
        </is>
      </c>
      <c r="G453" s="67" t="inlineStr">
        <is>
          <t>En el fútbol siempre se ha favorecido al fuerte y al local, y eso no siempre tiene que ver con conspiraciones, sino por simple torpeza, servilismo o miedo.</t>
        </is>
      </c>
      <c r="H453" s="67" t="inlineStr">
        <is>
          <t>Sin duda hay un juego de interés ahí, pero no puede ser que si el tres de Alemania no recibió amarilla por pisar al extremo de Curazao es que están robando al pobre equipo caribeño producto de un elaborado complot internacional.</t>
        </is>
      </c>
      <c r="I453" s="67" t="inlineStr">
        <is>
          <t>¿Está tan podrido el deporte que todo error arbitral no es solo un yerro, sino un eslabón más en la infinita cadena de corrupción que busca trucar torneos y elegir campeones a dedo?</t>
        </is>
      </c>
      <c r="J453" s="68" t="n"/>
      <c r="K453" s="69" t="n"/>
      <c r="L453" s="68" t="n"/>
      <c r="M453" s="69" t="n"/>
      <c r="N453" s="68" t="n"/>
      <c r="O453" s="69" t="n"/>
      <c r="P453" s="68" t="n"/>
      <c r="Q453" s="69" t="n"/>
      <c r="R453" s="68" t="n"/>
      <c r="S453" s="69" t="n"/>
      <c r="T453" s="68" t="n"/>
      <c r="U453" s="69" t="n"/>
      <c r="V453" s="68" t="n"/>
      <c r="W453" s="69" t="n"/>
      <c r="X453" s="68" t="n"/>
      <c r="Y453" s="69" t="n"/>
      <c r="Z453" s="68" t="n"/>
      <c r="AA453" s="69" t="n"/>
      <c r="AB453" s="68" t="n"/>
      <c r="AC453" s="69" t="n"/>
      <c r="AD453" s="70">
        <f>IF(AND(COUNTIF($B$5:B453,B453)=1,$B453&lt;&gt;"",$AB453&lt;&gt;""),1,0)</f>
        <v/>
      </c>
      <c r="AE453" s="67" t="inlineStr">
        <is>
          <t>https://www.eltiempo.com/opinion/columnistas/todo-lo-que-no-me-gusta-es-robo-3570630</t>
        </is>
      </c>
      <c r="AF453" s="64" t="n"/>
      <c r="AG453" s="65" t="n"/>
    </row>
    <row r="454" ht="15" customHeight="1" s="31">
      <c r="A454" s="66" t="inlineStr">
        <is>
          <t>ART_081</t>
        </is>
      </c>
      <c r="B454" s="66" t="inlineStr">
        <is>
          <t>ART_081_S08</t>
        </is>
      </c>
      <c r="C454" s="66" t="inlineStr">
        <is>
          <t>El Tiempo</t>
        </is>
      </c>
      <c r="D454" s="66" t="inlineStr">
        <is>
          <t>Deportes</t>
        </is>
      </c>
      <c r="E454" s="66" t="inlineStr">
        <is>
          <t>Opinión-análisis</t>
        </is>
      </c>
      <c r="F454" s="66" t="inlineStr">
        <is>
          <t>2026-07-10T23:09:09-05:00</t>
        </is>
      </c>
      <c r="G454" s="67" t="inlineStr">
        <is>
          <t>¿Está tan podrido el deporte que todo error arbitral no es solo un yerro, sino un eslabón más en la infinita cadena de corrupción que busca trucar torneos y elegir campeones a dedo?</t>
        </is>
      </c>
      <c r="H454" s="67" t="inlineStr">
        <is>
          <t>En el fútbol siempre se ha favorecido al fuerte y al local, y eso no siempre tiene que ver con conspiraciones, sino por simple torpeza, servilismo o miedo.</t>
        </is>
      </c>
      <c r="I454" s="67" t="inlineStr"/>
      <c r="J454" s="68" t="n"/>
      <c r="K454" s="69" t="n"/>
      <c r="L454" s="68" t="n"/>
      <c r="M454" s="69" t="n"/>
      <c r="N454" s="68" t="n"/>
      <c r="O454" s="69" t="n"/>
      <c r="P454" s="68" t="n"/>
      <c r="Q454" s="69" t="n"/>
      <c r="R454" s="68" t="n"/>
      <c r="S454" s="69" t="n"/>
      <c r="T454" s="68" t="n"/>
      <c r="U454" s="69" t="n"/>
      <c r="V454" s="68" t="n"/>
      <c r="W454" s="69" t="n"/>
      <c r="X454" s="68" t="n"/>
      <c r="Y454" s="69" t="n"/>
      <c r="Z454" s="68" t="n"/>
      <c r="AA454" s="69" t="n"/>
      <c r="AB454" s="68" t="n"/>
      <c r="AC454" s="69" t="n"/>
      <c r="AD454" s="70">
        <f>IF(AND(COUNTIF($B$5:B454,B454)=1,$B454&lt;&gt;"",$AB454&lt;&gt;""),1,0)</f>
        <v/>
      </c>
      <c r="AE454" s="67" t="inlineStr">
        <is>
          <t>https://www.eltiempo.com/opinion/columnistas/todo-lo-que-no-me-gusta-es-robo-3570630</t>
        </is>
      </c>
      <c r="AF454" s="64" t="n"/>
      <c r="AG454" s="65" t="n"/>
    </row>
    <row r="455" ht="15" customHeight="1" s="31">
      <c r="A455" s="66" t="inlineStr">
        <is>
          <t>ART_082</t>
        </is>
      </c>
      <c r="B455" s="66" t="inlineStr">
        <is>
          <t>ART_082_S01</t>
        </is>
      </c>
      <c r="C455" s="66" t="inlineStr">
        <is>
          <t>El Tiempo</t>
        </is>
      </c>
      <c r="D455" s="66" t="inlineStr">
        <is>
          <t>Deportes</t>
        </is>
      </c>
      <c r="E455" s="66" t="inlineStr">
        <is>
          <t>Opinión-análisis</t>
        </is>
      </c>
      <c r="F455" s="66" t="inlineStr">
        <is>
          <t>2026-07-08T22:24:03-05:00</t>
        </is>
      </c>
      <c r="G455" s="67" t="inlineStr">
        <is>
          <t>Tras la dolorosa eliminación en tanda de cobros desde el punto penal puede afirmarse que la selección Colombia cumplió en el Mundial de Norteamérica.</t>
        </is>
      </c>
      <c r="H455" s="67" t="inlineStr"/>
      <c r="I455" s="67" t="inlineStr">
        <is>
          <t>Cumplió en lo deportivo: llegar a la ronda de octavos de final, ganar el grupo, recibir un solo gol y salir invicta es un muy buen balance.</t>
        </is>
      </c>
      <c r="J455" s="68" t="n"/>
      <c r="K455" s="69" t="n"/>
      <c r="L455" s="68" t="n"/>
      <c r="M455" s="69" t="n"/>
      <c r="N455" s="68" t="n"/>
      <c r="O455" s="69" t="n"/>
      <c r="P455" s="68" t="n"/>
      <c r="Q455" s="69" t="n"/>
      <c r="R455" s="68" t="n"/>
      <c r="S455" s="69" t="n"/>
      <c r="T455" s="68" t="n"/>
      <c r="U455" s="69" t="n"/>
      <c r="V455" s="68" t="n"/>
      <c r="W455" s="69" t="n"/>
      <c r="X455" s="68" t="n"/>
      <c r="Y455" s="69" t="n"/>
      <c r="Z455" s="68" t="n"/>
      <c r="AA455" s="69" t="n"/>
      <c r="AB455" s="68" t="n"/>
      <c r="AC455" s="69" t="n"/>
      <c r="AD455" s="70">
        <f>IF(AND(COUNTIF($B$5:B455,B455)=1,$B455&lt;&gt;"",$AB455&lt;&gt;""),1,0)</f>
        <v/>
      </c>
      <c r="AE455" s="67" t="inlineStr">
        <is>
          <t>https://www.eltiempo.com/opinion/editorial/lo-que-deja-el-mundial-3570067</t>
        </is>
      </c>
      <c r="AF455" s="64" t="n"/>
      <c r="AG455" s="65" t="n"/>
    </row>
    <row r="456" ht="15" customHeight="1" s="31">
      <c r="A456" s="66" t="inlineStr">
        <is>
          <t>ART_082</t>
        </is>
      </c>
      <c r="B456" s="66" t="inlineStr">
        <is>
          <t>ART_082_S02</t>
        </is>
      </c>
      <c r="C456" s="66" t="inlineStr">
        <is>
          <t>El Tiempo</t>
        </is>
      </c>
      <c r="D456" s="66" t="inlineStr">
        <is>
          <t>Deportes</t>
        </is>
      </c>
      <c r="E456" s="66" t="inlineStr">
        <is>
          <t>Opinión-análisis</t>
        </is>
      </c>
      <c r="F456" s="66" t="inlineStr">
        <is>
          <t>2026-07-08T22:24:03-05:00</t>
        </is>
      </c>
      <c r="G456" s="67" t="inlineStr">
        <is>
          <t>Cumplió en lo deportivo: llegar a la ronda de octavos de final, ganar el grupo, recibir un solo gol y salir invicta es un muy buen balance.</t>
        </is>
      </c>
      <c r="H456" s="67" t="inlineStr">
        <is>
          <t>Tras la dolorosa eliminación en tanda de cobros desde el punto penal puede afirmarse que la selección Colombia cumplió en el Mundial de Norteamérica.</t>
        </is>
      </c>
      <c r="I456" s="67" t="inlineStr">
        <is>
          <t>En varios momentos, además, mostró solidez en su juego y jerarquía propia de los grandes del planeta.</t>
        </is>
      </c>
      <c r="J456" s="68" t="n"/>
      <c r="K456" s="69" t="n"/>
      <c r="L456" s="68" t="n"/>
      <c r="M456" s="69" t="n"/>
      <c r="N456" s="68" t="n"/>
      <c r="O456" s="69" t="n"/>
      <c r="P456" s="68" t="n"/>
      <c r="Q456" s="69" t="n"/>
      <c r="R456" s="68" t="n"/>
      <c r="S456" s="69" t="n"/>
      <c r="T456" s="68" t="n"/>
      <c r="U456" s="69" t="n"/>
      <c r="V456" s="68" t="n"/>
      <c r="W456" s="69" t="n"/>
      <c r="X456" s="68" t="n"/>
      <c r="Y456" s="69" t="n"/>
      <c r="Z456" s="68" t="n"/>
      <c r="AA456" s="69" t="n"/>
      <c r="AB456" s="68" t="n"/>
      <c r="AC456" s="69" t="n"/>
      <c r="AD456" s="70">
        <f>IF(AND(COUNTIF($B$5:B456,B456)=1,$B456&lt;&gt;"",$AB456&lt;&gt;""),1,0)</f>
        <v/>
      </c>
      <c r="AE456" s="67" t="inlineStr">
        <is>
          <t>https://www.eltiempo.com/opinion/editorial/lo-que-deja-el-mundial-3570067</t>
        </is>
      </c>
      <c r="AF456" s="64" t="n"/>
      <c r="AG456" s="65" t="n"/>
    </row>
    <row r="457" ht="15" customHeight="1" s="31">
      <c r="A457" s="66" t="inlineStr">
        <is>
          <t>ART_082</t>
        </is>
      </c>
      <c r="B457" s="66" t="inlineStr">
        <is>
          <t>ART_082_S03</t>
        </is>
      </c>
      <c r="C457" s="66" t="inlineStr">
        <is>
          <t>El Tiempo</t>
        </is>
      </c>
      <c r="D457" s="66" t="inlineStr">
        <is>
          <t>Deportes</t>
        </is>
      </c>
      <c r="E457" s="66" t="inlineStr">
        <is>
          <t>Opinión-análisis</t>
        </is>
      </c>
      <c r="F457" s="66" t="inlineStr">
        <is>
          <t>2026-07-08T22:24:03-05:00</t>
        </is>
      </c>
      <c r="G457" s="67" t="inlineStr">
        <is>
          <t>En varios momentos, además, mostró solidez en su juego y jerarquía propia de los grandes del planeta.</t>
        </is>
      </c>
      <c r="H457" s="67" t="inlineStr">
        <is>
          <t>Cumplió en lo deportivo: llegar a la ronda de octavos de final, ganar el grupo, recibir un solo gol y salir invicta es un muy buen balance.</t>
        </is>
      </c>
      <c r="I457" s="67" t="inlineStr">
        <is>
          <t>No fueron fruto de la euforia sino más bien fundadas las palabras de quienes dijeron que tenía con qué llegar a rondas más avanzadas.</t>
        </is>
      </c>
      <c r="J457" s="68" t="n"/>
      <c r="K457" s="69" t="n"/>
      <c r="L457" s="68" t="n"/>
      <c r="M457" s="69" t="n"/>
      <c r="N457" s="68" t="n"/>
      <c r="O457" s="69" t="n"/>
      <c r="P457" s="68" t="n"/>
      <c r="Q457" s="69" t="n"/>
      <c r="R457" s="68" t="n"/>
      <c r="S457" s="69" t="n"/>
      <c r="T457" s="68" t="n"/>
      <c r="U457" s="69" t="n"/>
      <c r="V457" s="68" t="n"/>
      <c r="W457" s="69" t="n"/>
      <c r="X457" s="68" t="n"/>
      <c r="Y457" s="69" t="n"/>
      <c r="Z457" s="68" t="n"/>
      <c r="AA457" s="69" t="n"/>
      <c r="AB457" s="68" t="n"/>
      <c r="AC457" s="69" t="n"/>
      <c r="AD457" s="70">
        <f>IF(AND(COUNTIF($B$5:B457,B457)=1,$B457&lt;&gt;"",$AB457&lt;&gt;""),1,0)</f>
        <v/>
      </c>
      <c r="AE457" s="67" t="inlineStr">
        <is>
          <t>https://www.eltiempo.com/opinion/editorial/lo-que-deja-el-mundial-3570067</t>
        </is>
      </c>
      <c r="AF457" s="64" t="n"/>
      <c r="AG457" s="65" t="n"/>
    </row>
    <row r="458" ht="15" customHeight="1" s="31">
      <c r="A458" s="66" t="inlineStr">
        <is>
          <t>ART_082</t>
        </is>
      </c>
      <c r="B458" s="66" t="inlineStr">
        <is>
          <t>ART_082_S04</t>
        </is>
      </c>
      <c r="C458" s="66" t="inlineStr">
        <is>
          <t>El Tiempo</t>
        </is>
      </c>
      <c r="D458" s="66" t="inlineStr">
        <is>
          <t>Deportes</t>
        </is>
      </c>
      <c r="E458" s="66" t="inlineStr">
        <is>
          <t>Opinión-análisis</t>
        </is>
      </c>
      <c r="F458" s="66" t="inlineStr">
        <is>
          <t>2026-07-08T22:24:03-05:00</t>
        </is>
      </c>
      <c r="G458" s="67" t="inlineStr">
        <is>
          <t>No fueron fruto de la euforia sino más bien fundadas las palabras de quienes dijeron que tenía con qué llegar a rondas más avanzadas.</t>
        </is>
      </c>
      <c r="H458" s="67" t="inlineStr">
        <is>
          <t>En varios momentos, además, mostró solidez en su juego y jerarquía propia de los grandes del planeta.</t>
        </is>
      </c>
      <c r="I458" s="67" t="inlineStr">
        <is>
          <t>Pero cumplió también en otra dimensión no menos importante: en una coyuntura como la actual y a pesar de haber terminado sin querer en el centro de una disputa ciertamente lamentable, al final volvió a ser punto de encuentro y oasis en medio de un desierto de referentes comunes.</t>
        </is>
      </c>
      <c r="J458" s="68" t="n"/>
      <c r="K458" s="69" t="n"/>
      <c r="L458" s="68" t="n"/>
      <c r="M458" s="69" t="n"/>
      <c r="N458" s="68" t="n"/>
      <c r="O458" s="69" t="n"/>
      <c r="P458" s="68" t="n"/>
      <c r="Q458" s="69" t="n"/>
      <c r="R458" s="68" t="n"/>
      <c r="S458" s="69" t="n"/>
      <c r="T458" s="68" t="n"/>
      <c r="U458" s="69" t="n"/>
      <c r="V458" s="68" t="n"/>
      <c r="W458" s="69" t="n"/>
      <c r="X458" s="68" t="n"/>
      <c r="Y458" s="69" t="n"/>
      <c r="Z458" s="68" t="n"/>
      <c r="AA458" s="69" t="n"/>
      <c r="AB458" s="68" t="n"/>
      <c r="AC458" s="69" t="n"/>
      <c r="AD458" s="70">
        <f>IF(AND(COUNTIF($B$5:B458,B458)=1,$B458&lt;&gt;"",$AB458&lt;&gt;""),1,0)</f>
        <v/>
      </c>
      <c r="AE458" s="67" t="inlineStr">
        <is>
          <t>https://www.eltiempo.com/opinion/editorial/lo-que-deja-el-mundial-3570067</t>
        </is>
      </c>
      <c r="AF458" s="64" t="n"/>
      <c r="AG458" s="65" t="n"/>
    </row>
    <row r="459" ht="15" customHeight="1" s="31">
      <c r="A459" s="66" t="inlineStr">
        <is>
          <t>ART_082</t>
        </is>
      </c>
      <c r="B459" s="66" t="inlineStr">
        <is>
          <t>ART_082_S05</t>
        </is>
      </c>
      <c r="C459" s="66" t="inlineStr">
        <is>
          <t>El Tiempo</t>
        </is>
      </c>
      <c r="D459" s="66" t="inlineStr">
        <is>
          <t>Deportes</t>
        </is>
      </c>
      <c r="E459" s="66" t="inlineStr">
        <is>
          <t>Opinión-análisis</t>
        </is>
      </c>
      <c r="F459" s="66" t="inlineStr">
        <is>
          <t>2026-07-08T22:24:03-05:00</t>
        </is>
      </c>
      <c r="G459" s="67" t="inlineStr">
        <is>
          <t>Pero cumplió también en otra dimensión no menos importante: en una coyuntura como la actual y a pesar de haber terminado sin querer en el centro de una disputa ciertamente lamentable, al final volvió a ser punto de encuentro y oasis en medio de un desierto de referentes comunes.</t>
        </is>
      </c>
      <c r="H459" s="67" t="inlineStr">
        <is>
          <t>No fueron fruto de la euforia sino más bien fundadas las palabras de quienes dijeron que tenía con qué llegar a rondas más avanzadas.</t>
        </is>
      </c>
      <c r="I459" s="67" t="inlineStr">
        <is>
          <t>También trajo alegría e ilusión cuando más se necesitaban.</t>
        </is>
      </c>
      <c r="J459" s="68" t="n"/>
      <c r="K459" s="69" t="n"/>
      <c r="L459" s="68" t="n"/>
      <c r="M459" s="69" t="n"/>
      <c r="N459" s="68" t="n"/>
      <c r="O459" s="69" t="n"/>
      <c r="P459" s="68" t="n"/>
      <c r="Q459" s="69" t="n"/>
      <c r="R459" s="68" t="n"/>
      <c r="S459" s="69" t="n"/>
      <c r="T459" s="68" t="n"/>
      <c r="U459" s="69" t="n"/>
      <c r="V459" s="68" t="n"/>
      <c r="W459" s="69" t="n"/>
      <c r="X459" s="68" t="n"/>
      <c r="Y459" s="69" t="n"/>
      <c r="Z459" s="68" t="n"/>
      <c r="AA459" s="69" t="n"/>
      <c r="AB459" s="68" t="n"/>
      <c r="AC459" s="69" t="n"/>
      <c r="AD459" s="70">
        <f>IF(AND(COUNTIF($B$5:B459,B459)=1,$B459&lt;&gt;"",$AB459&lt;&gt;""),1,0)</f>
        <v/>
      </c>
      <c r="AE459" s="67" t="inlineStr">
        <is>
          <t>https://www.eltiempo.com/opinion/editorial/lo-que-deja-el-mundial-3570067</t>
        </is>
      </c>
      <c r="AF459" s="64" t="n"/>
      <c r="AG459" s="65" t="n"/>
    </row>
    <row r="460" ht="15" customHeight="1" s="31">
      <c r="A460" s="66" t="inlineStr">
        <is>
          <t>ART_082</t>
        </is>
      </c>
      <c r="B460" s="66" t="inlineStr">
        <is>
          <t>ART_082_S06</t>
        </is>
      </c>
      <c r="C460" s="66" t="inlineStr">
        <is>
          <t>El Tiempo</t>
        </is>
      </c>
      <c r="D460" s="66" t="inlineStr">
        <is>
          <t>Deportes</t>
        </is>
      </c>
      <c r="E460" s="66" t="inlineStr">
        <is>
          <t>Opinión-análisis</t>
        </is>
      </c>
      <c r="F460" s="66" t="inlineStr">
        <is>
          <t>2026-07-08T22:24:03-05:00</t>
        </is>
      </c>
      <c r="G460" s="67" t="inlineStr">
        <is>
          <t>También trajo alegría e ilusión cuando más se necesitaban.</t>
        </is>
      </c>
      <c r="H460" s="67" t="inlineStr">
        <is>
          <t>Pero cumplió también en otra dimensión no menos importante: en una coyuntura como la actual y a pesar de haber terminado sin querer en el centro de una disputa ciertamente lamentable, al final volvió a ser punto de encuentro y oasis en medio de un desierto de referentes comunes.</t>
        </is>
      </c>
      <c r="I460" s="67" t="inlineStr"/>
      <c r="J460" s="68" t="n"/>
      <c r="K460" s="69" t="n"/>
      <c r="L460" s="68" t="n"/>
      <c r="M460" s="69" t="n"/>
      <c r="N460" s="68" t="n"/>
      <c r="O460" s="69" t="n"/>
      <c r="P460" s="68" t="n"/>
      <c r="Q460" s="69" t="n"/>
      <c r="R460" s="68" t="n"/>
      <c r="S460" s="69" t="n"/>
      <c r="T460" s="68" t="n"/>
      <c r="U460" s="69" t="n"/>
      <c r="V460" s="68" t="n"/>
      <c r="W460" s="69" t="n"/>
      <c r="X460" s="68" t="n"/>
      <c r="Y460" s="69" t="n"/>
      <c r="Z460" s="68" t="n"/>
      <c r="AA460" s="69" t="n"/>
      <c r="AB460" s="68" t="n"/>
      <c r="AC460" s="69" t="n"/>
      <c r="AD460" s="70">
        <f>IF(AND(COUNTIF($B$5:B460,B460)=1,$B460&lt;&gt;"",$AB460&lt;&gt;""),1,0)</f>
        <v/>
      </c>
      <c r="AE460" s="67" t="inlineStr">
        <is>
          <t>https://www.eltiempo.com/opinion/editorial/lo-que-deja-el-mundial-3570067</t>
        </is>
      </c>
      <c r="AF460" s="64" t="n"/>
      <c r="AG460" s="65" t="n"/>
    </row>
    <row r="461" ht="15" customHeight="1" s="31">
      <c r="A461" s="66" t="inlineStr">
        <is>
          <t>ART_083</t>
        </is>
      </c>
      <c r="B461" s="66" t="inlineStr">
        <is>
          <t>ART_083_S01</t>
        </is>
      </c>
      <c r="C461" s="66" t="inlineStr">
        <is>
          <t>El Espectador</t>
        </is>
      </c>
      <c r="D461" s="66" t="inlineStr">
        <is>
          <t>Deportes</t>
        </is>
      </c>
      <c r="E461" s="66" t="inlineStr">
        <is>
          <t>Noticia dura</t>
        </is>
      </c>
      <c r="F461" s="66" t="inlineStr">
        <is>
          <t>2025-12-22T17:22:42-05:00</t>
        </is>
      </c>
      <c r="G461" s="67" t="inlineStr">
        <is>
          <t>La Comisión Arbitral vuelve a quedar bajo la lupa por castigos que abren el debate sobre criterios y transparencia en el fútbol colombiano.</t>
        </is>
      </c>
      <c r="H461" s="67" t="inlineStr"/>
      <c r="I461" s="67" t="inlineStr">
        <is>
          <t>El arbitraje del fútbol profesional colombiano atraviesa uno de sus momentos más críticos.</t>
        </is>
      </c>
      <c r="J461" s="68" t="n"/>
      <c r="K461" s="69" t="n"/>
      <c r="L461" s="68" t="n"/>
      <c r="M461" s="69" t="n"/>
      <c r="N461" s="68" t="n"/>
      <c r="O461" s="69" t="n"/>
      <c r="P461" s="68" t="n"/>
      <c r="Q461" s="69" t="n"/>
      <c r="R461" s="68" t="n"/>
      <c r="S461" s="69" t="n"/>
      <c r="T461" s="68" t="n"/>
      <c r="U461" s="69" t="n"/>
      <c r="V461" s="68" t="n"/>
      <c r="W461" s="69" t="n"/>
      <c r="X461" s="68" t="n"/>
      <c r="Y461" s="69" t="n"/>
      <c r="Z461" s="68" t="n"/>
      <c r="AA461" s="69" t="n"/>
      <c r="AB461" s="68" t="n"/>
      <c r="AC461" s="69" t="n"/>
      <c r="AD461" s="70">
        <f>IF(AND(COUNTIF($B$5:B461,B461)=1,$B461&lt;&gt;"",$AB461&lt;&gt;""),1,0)</f>
        <v/>
      </c>
      <c r="AE461" s="67" t="inlineStr">
        <is>
          <t>https://www.elespectador.com/deportes/futbol-colombiano/crisis-en-el-arbitraje-colombiano-jueces-sancionados-y-otros-no-fueron-llamados-para-2026/</t>
        </is>
      </c>
      <c r="AF461" s="64" t="n"/>
      <c r="AG461" s="65" t="n"/>
    </row>
    <row r="462" ht="15" customHeight="1" s="31">
      <c r="A462" s="66" t="inlineStr">
        <is>
          <t>ART_083</t>
        </is>
      </c>
      <c r="B462" s="66" t="inlineStr">
        <is>
          <t>ART_083_S02</t>
        </is>
      </c>
      <c r="C462" s="66" t="inlineStr">
        <is>
          <t>El Espectador</t>
        </is>
      </c>
      <c r="D462" s="66" t="inlineStr">
        <is>
          <t>Deportes</t>
        </is>
      </c>
      <c r="E462" s="66" t="inlineStr">
        <is>
          <t>Noticia dura</t>
        </is>
      </c>
      <c r="F462" s="66" t="inlineStr">
        <is>
          <t>2025-12-22T17:22:42-05:00</t>
        </is>
      </c>
      <c r="G462" s="67" t="inlineStr">
        <is>
          <t>El arbitraje del fútbol profesional colombiano atraviesa uno de sus momentos más críticos.</t>
        </is>
      </c>
      <c r="H462" s="67" t="inlineStr">
        <is>
          <t>La Comisión Arbitral vuelve a quedar bajo la lupa por castigos que abren el debate sobre criterios y transparencia en el fútbol colombiano.</t>
        </is>
      </c>
      <c r="I462" s="67" t="inlineStr">
        <is>
          <t>En cuestión de días, la Comisión Arbitral de la Federación Colombiana de Fútbol tomó decisiones sin precedentes que reavivaron el debate sobre la coherencia disciplinaria del sistema arbitral en el país.</t>
        </is>
      </c>
      <c r="J462" s="68" t="n"/>
      <c r="K462" s="69" t="n"/>
      <c r="L462" s="68" t="n"/>
      <c r="M462" s="69" t="n"/>
      <c r="N462" s="68" t="n"/>
      <c r="O462" s="69" t="n"/>
      <c r="P462" s="68" t="n"/>
      <c r="Q462" s="69" t="n"/>
      <c r="R462" s="68" t="n"/>
      <c r="S462" s="69" t="n"/>
      <c r="T462" s="68" t="n"/>
      <c r="U462" s="69" t="n"/>
      <c r="V462" s="68" t="n"/>
      <c r="W462" s="69" t="n"/>
      <c r="X462" s="68" t="n"/>
      <c r="Y462" s="69" t="n"/>
      <c r="Z462" s="68" t="n"/>
      <c r="AA462" s="69" t="n"/>
      <c r="AB462" s="68" t="n"/>
      <c r="AC462" s="69" t="n"/>
      <c r="AD462" s="70">
        <f>IF(AND(COUNTIF($B$5:B462,B462)=1,$B462&lt;&gt;"",$AB462&lt;&gt;""),1,0)</f>
        <v/>
      </c>
      <c r="AE462" s="67" t="inlineStr">
        <is>
          <t>https://www.elespectador.com/deportes/futbol-colombiano/crisis-en-el-arbitraje-colombiano-jueces-sancionados-y-otros-no-fueron-llamados-para-2026/</t>
        </is>
      </c>
      <c r="AF462" s="64" t="n"/>
      <c r="AG462" s="65" t="n"/>
    </row>
    <row r="463" ht="15" customHeight="1" s="31">
      <c r="A463" s="66" t="inlineStr">
        <is>
          <t>ART_083</t>
        </is>
      </c>
      <c r="B463" s="66" t="inlineStr">
        <is>
          <t>ART_083_S03</t>
        </is>
      </c>
      <c r="C463" s="66" t="inlineStr">
        <is>
          <t>El Espectador</t>
        </is>
      </c>
      <c r="D463" s="66" t="inlineStr">
        <is>
          <t>Deportes</t>
        </is>
      </c>
      <c r="E463" s="66" t="inlineStr">
        <is>
          <t>Noticia dura</t>
        </is>
      </c>
      <c r="F463" s="66" t="inlineStr">
        <is>
          <t>2025-12-22T17:22:42-05:00</t>
        </is>
      </c>
      <c r="G463" s="67" t="inlineStr">
        <is>
          <t>En cuestión de días, la Comisión Arbitral de la Federación Colombiana de Fútbol tomó decisiones sin precedentes que reavivaron el debate sobre la coherencia disciplinaria del sistema arbitral en el país.</t>
        </is>
      </c>
      <c r="H463" s="67" t="inlineStr">
        <is>
          <t>El arbitraje del fútbol profesional colombiano atraviesa uno de sus momentos más críticos.</t>
        </is>
      </c>
      <c r="I463" s="67" t="inlineStr">
        <is>
          <t>El caso que detonó la polémica fue el del árbitro Jhon Hinestroza, quien recibió el castigo más severo posible tras un error cometido en el partido de cuadrangulares de la Liga BetPlay 2024-2 entre Deportes Tolima y Once Caldas.</t>
        </is>
      </c>
      <c r="J463" s="68" t="n"/>
      <c r="K463" s="69" t="n"/>
      <c r="L463" s="68" t="n"/>
      <c r="M463" s="69" t="n"/>
      <c r="N463" s="68" t="n"/>
      <c r="O463" s="69" t="n"/>
      <c r="P463" s="68" t="n"/>
      <c r="Q463" s="69" t="n"/>
      <c r="R463" s="68" t="n"/>
      <c r="S463" s="69" t="n"/>
      <c r="T463" s="68" t="n"/>
      <c r="U463" s="69" t="n"/>
      <c r="V463" s="68" t="n"/>
      <c r="W463" s="69" t="n"/>
      <c r="X463" s="68" t="n"/>
      <c r="Y463" s="69" t="n"/>
      <c r="Z463" s="68" t="n"/>
      <c r="AA463" s="69" t="n"/>
      <c r="AB463" s="68" t="n"/>
      <c r="AC463" s="69" t="n"/>
      <c r="AD463" s="70">
        <f>IF(AND(COUNTIF($B$5:B463,B463)=1,$B463&lt;&gt;"",$AB463&lt;&gt;""),1,0)</f>
        <v/>
      </c>
      <c r="AE463" s="67" t="inlineStr">
        <is>
          <t>https://www.elespectador.com/deportes/futbol-colombiano/crisis-en-el-arbitraje-colombiano-jueces-sancionados-y-otros-no-fueron-llamados-para-2026/</t>
        </is>
      </c>
      <c r="AF463" s="64" t="n"/>
      <c r="AG463" s="65" t="n"/>
    </row>
    <row r="464" ht="15" customHeight="1" s="31">
      <c r="A464" s="66" t="inlineStr">
        <is>
          <t>ART_083</t>
        </is>
      </c>
      <c r="B464" s="66" t="inlineStr">
        <is>
          <t>ART_083_S04</t>
        </is>
      </c>
      <c r="C464" s="66" t="inlineStr">
        <is>
          <t>El Espectador</t>
        </is>
      </c>
      <c r="D464" s="66" t="inlineStr">
        <is>
          <t>Deportes</t>
        </is>
      </c>
      <c r="E464" s="66" t="inlineStr">
        <is>
          <t>Noticia dura</t>
        </is>
      </c>
      <c r="F464" s="66" t="inlineStr">
        <is>
          <t>2025-12-22T17:22:42-05:00</t>
        </is>
      </c>
      <c r="G464" s="67" t="inlineStr">
        <is>
          <t>El caso que detonó la polémica fue el del árbitro Jhon Hinestroza, quien recibió el castigo más severo posible tras un error cometido en el partido de cuadrangulares de la Liga BetPlay 2024-2 entre Deportes Tolima y Once Caldas.</t>
        </is>
      </c>
      <c r="H464" s="67" t="inlineStr">
        <is>
          <t>En cuestión de días, la Comisión Arbitral de la Federación Colombiana de Fútbol tomó decisiones sin precedentes que reavivaron el debate sobre la coherencia disciplinaria del sistema arbitral en el país.</t>
        </is>
      </c>
      <c r="I464" s="67" t="inlineStr">
        <is>
          <t>Jhon Hinestroza (Chocó) no dirige en Colombia desde el 08 de diciembre de 2024.</t>
        </is>
      </c>
      <c r="J464" s="68" t="n"/>
      <c r="K464" s="69" t="n"/>
      <c r="L464" s="68" t="n"/>
      <c r="M464" s="69" t="n"/>
      <c r="N464" s="68" t="n"/>
      <c r="O464" s="69" t="n"/>
      <c r="P464" s="68" t="n"/>
      <c r="Q464" s="69" t="n"/>
      <c r="R464" s="68" t="n"/>
      <c r="S464" s="69" t="n"/>
      <c r="T464" s="68" t="n"/>
      <c r="U464" s="69" t="n"/>
      <c r="V464" s="68" t="n"/>
      <c r="W464" s="69" t="n"/>
      <c r="X464" s="68" t="n"/>
      <c r="Y464" s="69" t="n"/>
      <c r="Z464" s="68" t="n"/>
      <c r="AA464" s="69" t="n"/>
      <c r="AB464" s="68" t="n"/>
      <c r="AC464" s="69" t="n"/>
      <c r="AD464" s="70">
        <f>IF(AND(COUNTIF($B$5:B464,B464)=1,$B464&lt;&gt;"",$AB464&lt;&gt;""),1,0)</f>
        <v/>
      </c>
      <c r="AE464" s="67" t="inlineStr">
        <is>
          <t>https://www.elespectador.com/deportes/futbol-colombiano/crisis-en-el-arbitraje-colombiano-jueces-sancionados-y-otros-no-fueron-llamados-para-2026/</t>
        </is>
      </c>
      <c r="AF464" s="64" t="n"/>
      <c r="AG464" s="65" t="n"/>
    </row>
    <row r="465" ht="15" customHeight="1" s="31">
      <c r="A465" s="66" t="inlineStr">
        <is>
          <t>ART_083</t>
        </is>
      </c>
      <c r="B465" s="66" t="inlineStr">
        <is>
          <t>ART_083_S05</t>
        </is>
      </c>
      <c r="C465" s="66" t="inlineStr">
        <is>
          <t>El Espectador</t>
        </is>
      </c>
      <c r="D465" s="66" t="inlineStr">
        <is>
          <t>Deportes</t>
        </is>
      </c>
      <c r="E465" s="66" t="inlineStr">
        <is>
          <t>Noticia dura</t>
        </is>
      </c>
      <c r="F465" s="66" t="inlineStr">
        <is>
          <t>2025-12-22T17:22:42-05:00</t>
        </is>
      </c>
      <c r="G465" s="67" t="inlineStr">
        <is>
          <t>Jhon Hinestroza (Chocó) no dirige en Colombia desde el 08 de diciembre de 2024.</t>
        </is>
      </c>
      <c r="H465" s="67" t="inlineStr">
        <is>
          <t>El caso que detonó la polémica fue el del árbitro Jhon Hinestroza, quien recibió el castigo más severo posible tras un error cometido en el partido de cuadrangulares de la Liga BetPlay 2024-2 entre Deportes Tolima y Once Caldas.</t>
        </is>
      </c>
      <c r="I465" s="67" t="inlineStr">
        <is>
          <t>Aquel día se equivocó al no conceder un penal a Once Caldas quien se jugaba su paso a la final.</t>
        </is>
      </c>
      <c r="J465" s="68" t="n"/>
      <c r="K465" s="69" t="n"/>
      <c r="L465" s="68" t="n"/>
      <c r="M465" s="69" t="n"/>
      <c r="N465" s="68" t="n"/>
      <c r="O465" s="69" t="n"/>
      <c r="P465" s="68" t="n"/>
      <c r="Q465" s="69" t="n"/>
      <c r="R465" s="68" t="n"/>
      <c r="S465" s="69" t="n"/>
      <c r="T465" s="68" t="n"/>
      <c r="U465" s="69" t="n"/>
      <c r="V465" s="68" t="n"/>
      <c r="W465" s="69" t="n"/>
      <c r="X465" s="68" t="n"/>
      <c r="Y465" s="69" t="n"/>
      <c r="Z465" s="68" t="n"/>
      <c r="AA465" s="69" t="n"/>
      <c r="AB465" s="68" t="n"/>
      <c r="AC465" s="69" t="n"/>
      <c r="AD465" s="70">
        <f>IF(AND(COUNTIF($B$5:B465,B465)=1,$B465&lt;&gt;"",$AB465&lt;&gt;""),1,0)</f>
        <v/>
      </c>
      <c r="AE465" s="67" t="inlineStr">
        <is>
          <t>https://www.elespectador.com/deportes/futbol-colombiano/crisis-en-el-arbitraje-colombiano-jueces-sancionados-y-otros-no-fueron-llamados-para-2026/</t>
        </is>
      </c>
      <c r="AF465" s="64" t="n"/>
      <c r="AG465" s="65" t="n"/>
    </row>
    <row r="466" ht="15" customHeight="1" s="31">
      <c r="A466" s="66" t="inlineStr">
        <is>
          <t>ART_083</t>
        </is>
      </c>
      <c r="B466" s="66" t="inlineStr">
        <is>
          <t>ART_083_S06</t>
        </is>
      </c>
      <c r="C466" s="66" t="inlineStr">
        <is>
          <t>El Espectador</t>
        </is>
      </c>
      <c r="D466" s="66" t="inlineStr">
        <is>
          <t>Deportes</t>
        </is>
      </c>
      <c r="E466" s="66" t="inlineStr">
        <is>
          <t>Noticia dura</t>
        </is>
      </c>
      <c r="F466" s="66" t="inlineStr">
        <is>
          <t>2025-12-22T17:22:42-05:00</t>
        </is>
      </c>
      <c r="G466" s="67" t="inlineStr">
        <is>
          <t>Aquel día se equivocó al no conceder un penal a Once Caldas quien se jugaba su paso a la final.</t>
        </is>
      </c>
      <c r="H466" s="67" t="inlineStr">
        <is>
          <t>Jhon Hinestroza (Chocó) no dirige en Colombia desde el 08 de diciembre de 2024.</t>
        </is>
      </c>
      <c r="I466" s="67" t="inlineStr"/>
      <c r="J466" s="68" t="n"/>
      <c r="K466" s="69" t="n"/>
      <c r="L466" s="68" t="n"/>
      <c r="M466" s="69" t="n"/>
      <c r="N466" s="68" t="n"/>
      <c r="O466" s="69" t="n"/>
      <c r="P466" s="68" t="n"/>
      <c r="Q466" s="69" t="n"/>
      <c r="R466" s="68" t="n"/>
      <c r="S466" s="69" t="n"/>
      <c r="T466" s="68" t="n"/>
      <c r="U466" s="69" t="n"/>
      <c r="V466" s="68" t="n"/>
      <c r="W466" s="69" t="n"/>
      <c r="X466" s="68" t="n"/>
      <c r="Y466" s="69" t="n"/>
      <c r="Z466" s="68" t="n"/>
      <c r="AA466" s="69" t="n"/>
      <c r="AB466" s="68" t="n"/>
      <c r="AC466" s="69" t="n"/>
      <c r="AD466" s="70">
        <f>IF(AND(COUNTIF($B$5:B466,B466)=1,$B466&lt;&gt;"",$AB466&lt;&gt;""),1,0)</f>
        <v/>
      </c>
      <c r="AE466" s="67" t="inlineStr">
        <is>
          <t>https://www.elespectador.com/deportes/futbol-colombiano/crisis-en-el-arbitraje-colombiano-jueces-sancionados-y-otros-no-fueron-llamados-para-2026/</t>
        </is>
      </c>
      <c r="AF466" s="64" t="n"/>
      <c r="AG466" s="65" t="n"/>
    </row>
    <row r="467" ht="15" customHeight="1" s="31">
      <c r="A467" s="66" t="inlineStr">
        <is>
          <t>ART_084</t>
        </is>
      </c>
      <c r="B467" s="66" t="inlineStr">
        <is>
          <t>ART_084_S01</t>
        </is>
      </c>
      <c r="C467" s="66" t="inlineStr">
        <is>
          <t>El Espectador</t>
        </is>
      </c>
      <c r="D467" s="66" t="inlineStr">
        <is>
          <t>Deportes</t>
        </is>
      </c>
      <c r="E467" s="66" t="inlineStr">
        <is>
          <t>Noticia dura</t>
        </is>
      </c>
      <c r="F467" s="66" t="inlineStr">
        <is>
          <t>2025-12-23T08:27:05-05:00</t>
        </is>
      </c>
      <c r="G467" s="67" t="inlineStr">
        <is>
          <t>Carlos Mario Zuluaga, presidente de la División Mayor del Fútbol Colombiano, deslegitimó logros obtenidos en la Copa Colombia.</t>
        </is>
      </c>
      <c r="H467" s="67" t="inlineStr"/>
      <c r="I467" s="67" t="inlineStr">
        <is>
          <t>Una nueva controversia en el fútbol profesional colombiano generó malestar entre algunos hinchas tras las declaraciones del presidente de la Dimayor, Carlos Mario Zuluaga, quien aseguró que los títulos de la Copa Colombia obtenidos antes de 2008 no deben considerarse oficiales.</t>
        </is>
      </c>
      <c r="J467" s="68" t="n"/>
      <c r="K467" s="69" t="n"/>
      <c r="L467" s="68" t="n"/>
      <c r="M467" s="69" t="n"/>
      <c r="N467" s="68" t="n"/>
      <c r="O467" s="69" t="n"/>
      <c r="P467" s="68" t="n"/>
      <c r="Q467" s="69" t="n"/>
      <c r="R467" s="68" t="n"/>
      <c r="S467" s="69" t="n"/>
      <c r="T467" s="68" t="n"/>
      <c r="U467" s="69" t="n"/>
      <c r="V467" s="68" t="n"/>
      <c r="W467" s="69" t="n"/>
      <c r="X467" s="68" t="n"/>
      <c r="Y467" s="69" t="n"/>
      <c r="Z467" s="68" t="n"/>
      <c r="AA467" s="69" t="n"/>
      <c r="AB467" s="68" t="n"/>
      <c r="AC467" s="69" t="n"/>
      <c r="AD467" s="70">
        <f>IF(AND(COUNTIF($B$5:B467,B467)=1,$B467&lt;&gt;"",$AB467&lt;&gt;""),1,0)</f>
        <v/>
      </c>
      <c r="AE467" s="67" t="inlineStr">
        <is>
          <t>https://www.elespectador.com/deportes/futbol-colombiano/santa-fe/polemica-en-el-futbol-colombiano-la-dimayor-puso-en-duda-titulos-de-santa-fe-y-millonarios/</t>
        </is>
      </c>
      <c r="AF467" s="64" t="n"/>
      <c r="AG467" s="65" t="n"/>
    </row>
    <row r="468" ht="15" customHeight="1" s="31">
      <c r="A468" s="66" t="inlineStr">
        <is>
          <t>ART_084</t>
        </is>
      </c>
      <c r="B468" s="66" t="inlineStr">
        <is>
          <t>ART_084_S02</t>
        </is>
      </c>
      <c r="C468" s="66" t="inlineStr">
        <is>
          <t>El Espectador</t>
        </is>
      </c>
      <c r="D468" s="66" t="inlineStr">
        <is>
          <t>Deportes</t>
        </is>
      </c>
      <c r="E468" s="66" t="inlineStr">
        <is>
          <t>Noticia dura</t>
        </is>
      </c>
      <c r="F468" s="66" t="inlineStr">
        <is>
          <t>2025-12-23T08:27:05-05:00</t>
        </is>
      </c>
      <c r="G468" s="67" t="inlineStr">
        <is>
          <t>Una nueva controversia en el fútbol profesional colombiano generó malestar entre algunos hinchas tras las declaraciones del presidente de la Dimayor, Carlos Mario Zuluaga, quien aseguró que los títulos de la Copa Colombia obtenidos antes de 2008 no deben considerarse oficiales.</t>
        </is>
      </c>
      <c r="H468" s="67" t="inlineStr">
        <is>
          <t>Carlos Mario Zuluaga, presidente de la División Mayor del Fútbol Colombiano, deslegitimó logros obtenidos en la Copa Colombia.</t>
        </is>
      </c>
      <c r="I468" s="67" t="inlineStr"/>
      <c r="J468" s="68" t="n"/>
      <c r="K468" s="69" t="n"/>
      <c r="L468" s="68" t="n"/>
      <c r="M468" s="69" t="n"/>
      <c r="N468" s="68" t="n"/>
      <c r="O468" s="69" t="n"/>
      <c r="P468" s="68" t="n"/>
      <c r="Q468" s="69" t="n"/>
      <c r="R468" s="68" t="n"/>
      <c r="S468" s="69" t="n"/>
      <c r="T468" s="68" t="n"/>
      <c r="U468" s="69" t="n"/>
      <c r="V468" s="68" t="n"/>
      <c r="W468" s="69" t="n"/>
      <c r="X468" s="68" t="n"/>
      <c r="Y468" s="69" t="n"/>
      <c r="Z468" s="68" t="n"/>
      <c r="AA468" s="69" t="n"/>
      <c r="AB468" s="68" t="n"/>
      <c r="AC468" s="69" t="n"/>
      <c r="AD468" s="70">
        <f>IF(AND(COUNTIF($B$5:B468,B468)=1,$B468&lt;&gt;"",$AB468&lt;&gt;""),1,0)</f>
        <v/>
      </c>
      <c r="AE468" s="67" t="inlineStr">
        <is>
          <t>https://www.elespectador.com/deportes/futbol-colombiano/santa-fe/polemica-en-el-futbol-colombiano-la-dimayor-puso-en-duda-titulos-de-santa-fe-y-millonarios/</t>
        </is>
      </c>
      <c r="AF468" s="64" t="n"/>
      <c r="AG468" s="65" t="n"/>
    </row>
    <row r="469" ht="15" customHeight="1" s="31">
      <c r="A469" s="66" t="inlineStr">
        <is>
          <t>ART_085</t>
        </is>
      </c>
      <c r="B469" s="66" t="inlineStr">
        <is>
          <t>ART_085_S01</t>
        </is>
      </c>
      <c r="C469" s="66" t="inlineStr">
        <is>
          <t>El Espectador</t>
        </is>
      </c>
      <c r="D469" s="66" t="inlineStr">
        <is>
          <t>Deportes</t>
        </is>
      </c>
      <c r="E469" s="66" t="inlineStr">
        <is>
          <t>Opinión-análisis</t>
        </is>
      </c>
      <c r="F469" s="66" t="inlineStr">
        <is>
          <t>2026-07-13T07:00:00-05:00</t>
        </is>
      </c>
      <c r="G469" s="67" t="inlineStr">
        <is>
          <t>Néstor Lorenzo merece continuar.</t>
        </is>
      </c>
      <c r="H469" s="67" t="inlineStr"/>
      <c r="I469" s="67" t="inlineStr">
        <is>
          <t>No por gratitud ni por nostalgia, sino porque ha hecho méritos suficientes para que Colombia construya sobre una base sólida en lugar de volver a empezar de cero, un error que ya cometimos y que nos costó demasiado.</t>
        </is>
      </c>
      <c r="J469" s="68" t="n"/>
      <c r="K469" s="69" t="n"/>
      <c r="L469" s="68" t="n"/>
      <c r="M469" s="69" t="n"/>
      <c r="N469" s="68" t="n"/>
      <c r="O469" s="69" t="n"/>
      <c r="P469" s="68" t="n"/>
      <c r="Q469" s="69" t="n"/>
      <c r="R469" s="68" t="n"/>
      <c r="S469" s="69" t="n"/>
      <c r="T469" s="68" t="n"/>
      <c r="U469" s="69" t="n"/>
      <c r="V469" s="68" t="n"/>
      <c r="W469" s="69" t="n"/>
      <c r="X469" s="68" t="n"/>
      <c r="Y469" s="69" t="n"/>
      <c r="Z469" s="68" t="n"/>
      <c r="AA469" s="69" t="n"/>
      <c r="AB469" s="68" t="n"/>
      <c r="AC469" s="69" t="n"/>
      <c r="AD469" s="70">
        <f>IF(AND(COUNTIF($B$5:B469,B469)=1,$B469&lt;&gt;"",$AB469&lt;&gt;""),1,0)</f>
        <v/>
      </c>
      <c r="AE469" s="67" t="inlineStr">
        <is>
          <t>https://www.elespectador.com/opinion/columnistas/antonio-casale/la-tentacion-de-destruir-el-futuro-de-la-seleccion-colombia-y-nestor-lorenzo-columna-de-antonio-casale/</t>
        </is>
      </c>
      <c r="AF469" s="64" t="n"/>
      <c r="AG469" s="65" t="n"/>
    </row>
    <row r="470" ht="15" customHeight="1" s="31">
      <c r="A470" s="66" t="inlineStr">
        <is>
          <t>ART_085</t>
        </is>
      </c>
      <c r="B470" s="66" t="inlineStr">
        <is>
          <t>ART_085_S02</t>
        </is>
      </c>
      <c r="C470" s="66" t="inlineStr">
        <is>
          <t>El Espectador</t>
        </is>
      </c>
      <c r="D470" s="66" t="inlineStr">
        <is>
          <t>Deportes</t>
        </is>
      </c>
      <c r="E470" s="66" t="inlineStr">
        <is>
          <t>Opinión-análisis</t>
        </is>
      </c>
      <c r="F470" s="66" t="inlineStr">
        <is>
          <t>2026-07-13T07:00:00-05:00</t>
        </is>
      </c>
      <c r="G470" s="67" t="inlineStr">
        <is>
          <t>No por gratitud ni por nostalgia, sino porque ha hecho méritos suficientes para que Colombia construya sobre una base sólida en lugar de volver a empezar de cero, un error que ya cometimos y que nos costó demasiado.</t>
        </is>
      </c>
      <c r="H470" s="67" t="inlineStr">
        <is>
          <t>Néstor Lorenzo merece continuar.</t>
        </is>
      </c>
      <c r="I470" s="67" t="inlineStr">
        <is>
          <t>Estamos hablando de un hombre de fútbol.</t>
        </is>
      </c>
      <c r="J470" s="68" t="n"/>
      <c r="K470" s="69" t="n"/>
      <c r="L470" s="68" t="n"/>
      <c r="M470" s="69" t="n"/>
      <c r="N470" s="68" t="n"/>
      <c r="O470" s="69" t="n"/>
      <c r="P470" s="68" t="n"/>
      <c r="Q470" s="69" t="n"/>
      <c r="R470" s="68" t="n"/>
      <c r="S470" s="69" t="n"/>
      <c r="T470" s="68" t="n"/>
      <c r="U470" s="69" t="n"/>
      <c r="V470" s="68" t="n"/>
      <c r="W470" s="69" t="n"/>
      <c r="X470" s="68" t="n"/>
      <c r="Y470" s="69" t="n"/>
      <c r="Z470" s="68" t="n"/>
      <c r="AA470" s="69" t="n"/>
      <c r="AB470" s="68" t="n"/>
      <c r="AC470" s="69" t="n"/>
      <c r="AD470" s="70">
        <f>IF(AND(COUNTIF($B$5:B470,B470)=1,$B470&lt;&gt;"",$AB470&lt;&gt;""),1,0)</f>
        <v/>
      </c>
      <c r="AE470" s="67" t="inlineStr">
        <is>
          <t>https://www.elespectador.com/opinion/columnistas/antonio-casale/la-tentacion-de-destruir-el-futuro-de-la-seleccion-colombia-y-nestor-lorenzo-columna-de-antonio-casale/</t>
        </is>
      </c>
      <c r="AF470" s="64" t="n"/>
      <c r="AG470" s="65" t="n"/>
    </row>
    <row r="471" ht="15" customHeight="1" s="31">
      <c r="A471" s="66" t="inlineStr">
        <is>
          <t>ART_085</t>
        </is>
      </c>
      <c r="B471" s="66" t="inlineStr">
        <is>
          <t>ART_085_S03</t>
        </is>
      </c>
      <c r="C471" s="66" t="inlineStr">
        <is>
          <t>El Espectador</t>
        </is>
      </c>
      <c r="D471" s="66" t="inlineStr">
        <is>
          <t>Deportes</t>
        </is>
      </c>
      <c r="E471" s="66" t="inlineStr">
        <is>
          <t>Opinión-análisis</t>
        </is>
      </c>
      <c r="F471" s="66" t="inlineStr">
        <is>
          <t>2026-07-13T07:00:00-05:00</t>
        </is>
      </c>
      <c r="G471" s="67" t="inlineStr">
        <is>
          <t>Estamos hablando de un hombre de fútbol.</t>
        </is>
      </c>
      <c r="H471" s="67" t="inlineStr">
        <is>
          <t>No por gratitud ni por nostalgia, sino porque ha hecho méritos suficientes para que Colombia construya sobre una base sólida en lugar de volver a empezar de cero, un error que ya cometimos y que nos costó demasiado.</t>
        </is>
      </c>
      <c r="I471" s="67" t="inlineStr">
        <is>
          <t>Un entrenador que disputó la final del Mundial de Italia 1990 como jugador de Argentina bajo la conducción de Carlos Salvador Bilardo; que luego integró el cuerpo técnico de José Néstor Pekerman en el ciclo más exitoso de la historia de la selección de Colombia, el que nos llevó por primera y única vez a los cuartos de final de una Copa del Mundo, en Brasil 2014; y que ahora acaba de completar su primer proceso como seleccionador.</t>
        </is>
      </c>
      <c r="J471" s="68" t="n"/>
      <c r="K471" s="69" t="n"/>
      <c r="L471" s="68" t="n"/>
      <c r="M471" s="69" t="n"/>
      <c r="N471" s="68" t="n"/>
      <c r="O471" s="69" t="n"/>
      <c r="P471" s="68" t="n"/>
      <c r="Q471" s="69" t="n"/>
      <c r="R471" s="68" t="n"/>
      <c r="S471" s="69" t="n"/>
      <c r="T471" s="68" t="n"/>
      <c r="U471" s="69" t="n"/>
      <c r="V471" s="68" t="n"/>
      <c r="W471" s="69" t="n"/>
      <c r="X471" s="68" t="n"/>
      <c r="Y471" s="69" t="n"/>
      <c r="Z471" s="68" t="n"/>
      <c r="AA471" s="69" t="n"/>
      <c r="AB471" s="68" t="n"/>
      <c r="AC471" s="69" t="n"/>
      <c r="AD471" s="70">
        <f>IF(AND(COUNTIF($B$5:B471,B471)=1,$B471&lt;&gt;"",$AB471&lt;&gt;""),1,0)</f>
        <v/>
      </c>
      <c r="AE471" s="67" t="inlineStr">
        <is>
          <t>https://www.elespectador.com/opinion/columnistas/antonio-casale/la-tentacion-de-destruir-el-futuro-de-la-seleccion-colombia-y-nestor-lorenzo-columna-de-antonio-casale/</t>
        </is>
      </c>
      <c r="AF471" s="64" t="n"/>
      <c r="AG471" s="65" t="n"/>
    </row>
    <row r="472" ht="15" customHeight="1" s="31">
      <c r="A472" s="66" t="inlineStr">
        <is>
          <t>ART_085</t>
        </is>
      </c>
      <c r="B472" s="66" t="inlineStr">
        <is>
          <t>ART_085_S04</t>
        </is>
      </c>
      <c r="C472" s="66" t="inlineStr">
        <is>
          <t>El Espectador</t>
        </is>
      </c>
      <c r="D472" s="66" t="inlineStr">
        <is>
          <t>Deportes</t>
        </is>
      </c>
      <c r="E472" s="66" t="inlineStr">
        <is>
          <t>Opinión-análisis</t>
        </is>
      </c>
      <c r="F472" s="66" t="inlineStr">
        <is>
          <t>2026-07-13T07:00:00-05:00</t>
        </is>
      </c>
      <c r="G472" s="67" t="inlineStr">
        <is>
          <t>Un entrenador que disputó la final del Mundial de Italia 1990 como jugador de Argentina bajo la conducción de Carlos Salvador Bilardo; que luego integró el cuerpo técnico de José Néstor Pekerman en el ciclo más exitoso de la historia de la selección de Colombia, el que nos llevó por primera y única vez a los cuartos de final de una Copa del Mundo, en Brasil 2014; y que ahora acaba de completar su primer proceso como seleccionador.</t>
        </is>
      </c>
      <c r="H472" s="67" t="inlineStr">
        <is>
          <t>Estamos hablando de un hombre de fútbol.</t>
        </is>
      </c>
      <c r="I472" s="67" t="inlineStr">
        <is>
          <t>El balance es positivo.</t>
        </is>
      </c>
      <c r="J472" s="68" t="n"/>
      <c r="K472" s="69" t="n"/>
      <c r="L472" s="68" t="n"/>
      <c r="M472" s="69" t="n"/>
      <c r="N472" s="68" t="n"/>
      <c r="O472" s="69" t="n"/>
      <c r="P472" s="68" t="n"/>
      <c r="Q472" s="69" t="n"/>
      <c r="R472" s="68" t="n"/>
      <c r="S472" s="69" t="n"/>
      <c r="T472" s="68" t="n"/>
      <c r="U472" s="69" t="n"/>
      <c r="V472" s="68" t="n"/>
      <c r="W472" s="69" t="n"/>
      <c r="X472" s="68" t="n"/>
      <c r="Y472" s="69" t="n"/>
      <c r="Z472" s="68" t="n"/>
      <c r="AA472" s="69" t="n"/>
      <c r="AB472" s="68" t="n"/>
      <c r="AC472" s="69" t="n"/>
      <c r="AD472" s="70">
        <f>IF(AND(COUNTIF($B$5:B472,B472)=1,$B472&lt;&gt;"",$AB472&lt;&gt;""),1,0)</f>
        <v/>
      </c>
      <c r="AE472" s="67" t="inlineStr">
        <is>
          <t>https://www.elespectador.com/opinion/columnistas/antonio-casale/la-tentacion-de-destruir-el-futuro-de-la-seleccion-colombia-y-nestor-lorenzo-columna-de-antonio-casale/</t>
        </is>
      </c>
      <c r="AF472" s="64" t="n"/>
      <c r="AG472" s="65" t="n"/>
    </row>
    <row r="473" ht="15" customHeight="1" s="31">
      <c r="A473" s="66" t="inlineStr">
        <is>
          <t>ART_085</t>
        </is>
      </c>
      <c r="B473" s="66" t="inlineStr">
        <is>
          <t>ART_085_S05</t>
        </is>
      </c>
      <c r="C473" s="66" t="inlineStr">
        <is>
          <t>El Espectador</t>
        </is>
      </c>
      <c r="D473" s="66" t="inlineStr">
        <is>
          <t>Deportes</t>
        </is>
      </c>
      <c r="E473" s="66" t="inlineStr">
        <is>
          <t>Opinión-análisis</t>
        </is>
      </c>
      <c r="F473" s="66" t="inlineStr">
        <is>
          <t>2026-07-13T07:00:00-05:00</t>
        </is>
      </c>
      <c r="G473" s="67" t="inlineStr">
        <is>
          <t>El balance es positivo.</t>
        </is>
      </c>
      <c r="H473" s="67" t="inlineStr">
        <is>
          <t>Un entrenador que disputó la final del Mundial de Italia 1990 como jugador de Argentina bajo la conducción de Carlos Salvador Bilardo; que luego integró el cuerpo técnico de José Néstor Pekerman en el ciclo más exitoso de la historia de la selección de Colombia, el que nos llevó por primera y única vez a los cuartos de final de una Copa del Mundo, en Brasil 2014; y que ahora acaba de completar su primer proceso como seleccionador.</t>
        </is>
      </c>
      <c r="I473" s="67" t="inlineStr">
        <is>
          <t>Colombia disputó una final de Copa América y alcanzó los octavos de final del Mundial, en el que recibió apenas un gol y anotó cinco.</t>
        </is>
      </c>
      <c r="J473" s="68" t="n"/>
      <c r="K473" s="69" t="n"/>
      <c r="L473" s="68" t="n"/>
      <c r="M473" s="69" t="n"/>
      <c r="N473" s="68" t="n"/>
      <c r="O473" s="69" t="n"/>
      <c r="P473" s="68" t="n"/>
      <c r="Q473" s="69" t="n"/>
      <c r="R473" s="68" t="n"/>
      <c r="S473" s="69" t="n"/>
      <c r="T473" s="68" t="n"/>
      <c r="U473" s="69" t="n"/>
      <c r="V473" s="68" t="n"/>
      <c r="W473" s="69" t="n"/>
      <c r="X473" s="68" t="n"/>
      <c r="Y473" s="69" t="n"/>
      <c r="Z473" s="68" t="n"/>
      <c r="AA473" s="69" t="n"/>
      <c r="AB473" s="68" t="n"/>
      <c r="AC473" s="69" t="n"/>
      <c r="AD473" s="70">
        <f>IF(AND(COUNTIF($B$5:B473,B473)=1,$B473&lt;&gt;"",$AB473&lt;&gt;""),1,0)</f>
        <v/>
      </c>
      <c r="AE473" s="67" t="inlineStr">
        <is>
          <t>https://www.elespectador.com/opinion/columnistas/antonio-casale/la-tentacion-de-destruir-el-futuro-de-la-seleccion-colombia-y-nestor-lorenzo-columna-de-antonio-casale/</t>
        </is>
      </c>
      <c r="AF473" s="64" t="n"/>
      <c r="AG473" s="65" t="n"/>
    </row>
    <row r="474" ht="15" customHeight="1" s="31">
      <c r="A474" s="66" t="inlineStr">
        <is>
          <t>ART_085</t>
        </is>
      </c>
      <c r="B474" s="66" t="inlineStr">
        <is>
          <t>ART_085_S06</t>
        </is>
      </c>
      <c r="C474" s="66" t="inlineStr">
        <is>
          <t>El Espectador</t>
        </is>
      </c>
      <c r="D474" s="66" t="inlineStr">
        <is>
          <t>Deportes</t>
        </is>
      </c>
      <c r="E474" s="66" t="inlineStr">
        <is>
          <t>Opinión-análisis</t>
        </is>
      </c>
      <c r="F474" s="66" t="inlineStr">
        <is>
          <t>2026-07-13T07:00:00-05:00</t>
        </is>
      </c>
      <c r="G474" s="67" t="inlineStr">
        <is>
          <t>Colombia disputó una final de Copa América y alcanzó los octavos de final del Mundial, en el que recibió apenas un gol y anotó cinco.</t>
        </is>
      </c>
      <c r="H474" s="67" t="inlineStr">
        <is>
          <t>El balance es positivo.</t>
        </is>
      </c>
      <c r="I474" s="67" t="inlineStr">
        <is>
          <t>Sí, hay aspectos por corregir, como los hay en cualquier selección que aspire a competir con las mejores del planeta.</t>
        </is>
      </c>
      <c r="J474" s="68" t="n"/>
      <c r="K474" s="69" t="n"/>
      <c r="L474" s="68" t="n"/>
      <c r="M474" s="69" t="n"/>
      <c r="N474" s="68" t="n"/>
      <c r="O474" s="69" t="n"/>
      <c r="P474" s="68" t="n"/>
      <c r="Q474" s="69" t="n"/>
      <c r="R474" s="68" t="n"/>
      <c r="S474" s="69" t="n"/>
      <c r="T474" s="68" t="n"/>
      <c r="U474" s="69" t="n"/>
      <c r="V474" s="68" t="n"/>
      <c r="W474" s="69" t="n"/>
      <c r="X474" s="68" t="n"/>
      <c r="Y474" s="69" t="n"/>
      <c r="Z474" s="68" t="n"/>
      <c r="AA474" s="69" t="n"/>
      <c r="AB474" s="68" t="n"/>
      <c r="AC474" s="69" t="n"/>
      <c r="AD474" s="70">
        <f>IF(AND(COUNTIF($B$5:B474,B474)=1,$B474&lt;&gt;"",$AB474&lt;&gt;""),1,0)</f>
        <v/>
      </c>
      <c r="AE474" s="67" t="inlineStr">
        <is>
          <t>https://www.elespectador.com/opinion/columnistas/antonio-casale/la-tentacion-de-destruir-el-futuro-de-la-seleccion-colombia-y-nestor-lorenzo-columna-de-antonio-casale/</t>
        </is>
      </c>
      <c r="AF474" s="64" t="n"/>
      <c r="AG474" s="65" t="n"/>
    </row>
    <row r="475" ht="15" customHeight="1" s="31">
      <c r="A475" s="66" t="inlineStr">
        <is>
          <t>ART_085</t>
        </is>
      </c>
      <c r="B475" s="66" t="inlineStr">
        <is>
          <t>ART_085_S07</t>
        </is>
      </c>
      <c r="C475" s="66" t="inlineStr">
        <is>
          <t>El Espectador</t>
        </is>
      </c>
      <c r="D475" s="66" t="inlineStr">
        <is>
          <t>Deportes</t>
        </is>
      </c>
      <c r="E475" s="66" t="inlineStr">
        <is>
          <t>Opinión-análisis</t>
        </is>
      </c>
      <c r="F475" s="66" t="inlineStr">
        <is>
          <t>2026-07-13T07:00:00-05:00</t>
        </is>
      </c>
      <c r="G475" s="67" t="inlineStr">
        <is>
          <t>Sí, hay aspectos por corregir, como los hay en cualquier selección que aspire a competir con las mejores del planeta.</t>
        </is>
      </c>
      <c r="H475" s="67" t="inlineStr">
        <is>
          <t>Colombia disputó una final de Copa América y alcanzó los octavos de final del Mundial, en el que recibió apenas un gol y anotó cinco.</t>
        </is>
      </c>
      <c r="I475" s="67" t="inlineStr">
        <is>
          <t>Pero reducir todo el proceso a la eliminación sería desconocer el contexto y el camino recorrido.</t>
        </is>
      </c>
      <c r="J475" s="68" t="n"/>
      <c r="K475" s="69" t="n"/>
      <c r="L475" s="68" t="n"/>
      <c r="M475" s="69" t="n"/>
      <c r="N475" s="68" t="n"/>
      <c r="O475" s="69" t="n"/>
      <c r="P475" s="68" t="n"/>
      <c r="Q475" s="69" t="n"/>
      <c r="R475" s="68" t="n"/>
      <c r="S475" s="69" t="n"/>
      <c r="T475" s="68" t="n"/>
      <c r="U475" s="69" t="n"/>
      <c r="V475" s="68" t="n"/>
      <c r="W475" s="69" t="n"/>
      <c r="X475" s="68" t="n"/>
      <c r="Y475" s="69" t="n"/>
      <c r="Z475" s="68" t="n"/>
      <c r="AA475" s="69" t="n"/>
      <c r="AB475" s="68" t="n"/>
      <c r="AC475" s="69" t="n"/>
      <c r="AD475" s="70">
        <f>IF(AND(COUNTIF($B$5:B475,B475)=1,$B475&lt;&gt;"",$AB475&lt;&gt;""),1,0)</f>
        <v/>
      </c>
      <c r="AE475" s="67" t="inlineStr">
        <is>
          <t>https://www.elespectador.com/opinion/columnistas/antonio-casale/la-tentacion-de-destruir-el-futuro-de-la-seleccion-colombia-y-nestor-lorenzo-columna-de-antonio-casale/</t>
        </is>
      </c>
      <c r="AF475" s="64" t="n"/>
      <c r="AG475" s="65" t="n"/>
    </row>
    <row r="476" ht="15" customHeight="1" s="31">
      <c r="A476" s="66" t="inlineStr">
        <is>
          <t>ART_085</t>
        </is>
      </c>
      <c r="B476" s="66" t="inlineStr">
        <is>
          <t>ART_085_S08</t>
        </is>
      </c>
      <c r="C476" s="66" t="inlineStr">
        <is>
          <t>El Espectador</t>
        </is>
      </c>
      <c r="D476" s="66" t="inlineStr">
        <is>
          <t>Deportes</t>
        </is>
      </c>
      <c r="E476" s="66" t="inlineStr">
        <is>
          <t>Opinión-análisis</t>
        </is>
      </c>
      <c r="F476" s="66" t="inlineStr">
        <is>
          <t>2026-07-13T07:00:00-05:00</t>
        </is>
      </c>
      <c r="G476" s="67" t="inlineStr">
        <is>
          <t>Pero reducir todo el proceso a la eliminación sería desconocer el contexto y el camino recorrido.</t>
        </is>
      </c>
      <c r="H476" s="67" t="inlineStr">
        <is>
          <t>Sí, hay aspectos por corregir, como los hay en cualquier selección que aspire a competir con las mejores del planeta.</t>
        </is>
      </c>
      <c r="I476" s="67" t="inlineStr">
        <is>
          <t>Además, Lorenzo ha construido mucho más que un equipo competitivo.</t>
        </is>
      </c>
      <c r="J476" s="68" t="n"/>
      <c r="K476" s="69" t="n"/>
      <c r="L476" s="68" t="n"/>
      <c r="M476" s="69" t="n"/>
      <c r="N476" s="68" t="n"/>
      <c r="O476" s="69" t="n"/>
      <c r="P476" s="68" t="n"/>
      <c r="Q476" s="69" t="n"/>
      <c r="R476" s="68" t="n"/>
      <c r="S476" s="69" t="n"/>
      <c r="T476" s="68" t="n"/>
      <c r="U476" s="69" t="n"/>
      <c r="V476" s="68" t="n"/>
      <c r="W476" s="69" t="n"/>
      <c r="X476" s="68" t="n"/>
      <c r="Y476" s="69" t="n"/>
      <c r="Z476" s="68" t="n"/>
      <c r="AA476" s="69" t="n"/>
      <c r="AB476" s="68" t="n"/>
      <c r="AC476" s="69" t="n"/>
      <c r="AD476" s="70">
        <f>IF(AND(COUNTIF($B$5:B476,B476)=1,$B476&lt;&gt;"",$AB476&lt;&gt;""),1,0)</f>
        <v/>
      </c>
      <c r="AE476" s="67" t="inlineStr">
        <is>
          <t>https://www.elespectador.com/opinion/columnistas/antonio-casale/la-tentacion-de-destruir-el-futuro-de-la-seleccion-colombia-y-nestor-lorenzo-columna-de-antonio-casale/</t>
        </is>
      </c>
      <c r="AF476" s="64" t="n"/>
      <c r="AG476" s="65" t="n"/>
    </row>
    <row r="477" ht="15" customHeight="1" s="31">
      <c r="A477" s="66" t="inlineStr">
        <is>
          <t>ART_085</t>
        </is>
      </c>
      <c r="B477" s="66" t="inlineStr">
        <is>
          <t>ART_085_S09</t>
        </is>
      </c>
      <c r="C477" s="66" t="inlineStr">
        <is>
          <t>El Espectador</t>
        </is>
      </c>
      <c r="D477" s="66" t="inlineStr">
        <is>
          <t>Deportes</t>
        </is>
      </c>
      <c r="E477" s="66" t="inlineStr">
        <is>
          <t>Opinión-análisis</t>
        </is>
      </c>
      <c r="F477" s="66" t="inlineStr">
        <is>
          <t>2026-07-13T07:00:00-05:00</t>
        </is>
      </c>
      <c r="G477" s="67" t="inlineStr">
        <is>
          <t>Además, Lorenzo ha construido mucho más que un equipo competitivo.</t>
        </is>
      </c>
      <c r="H477" s="67" t="inlineStr">
        <is>
          <t>Pero reducir todo el proceso a la eliminación sería desconocer el contexto y el camino recorrido.</t>
        </is>
      </c>
      <c r="I477" s="67" t="inlineStr">
        <is>
          <t>Tiene un mapa muy claro del futbolista colombiano en el mundo, hace seguimiento permanente a quienes actúan en distintas ligas y mantiene una relación fluida con los entrenadores de las selecciones juveniles, algo indispensable para garantizar una transición ordenada y una identidad futbolística que no dependa únicamente de una generación.</t>
        </is>
      </c>
      <c r="J477" s="68" t="n"/>
      <c r="K477" s="69" t="n"/>
      <c r="L477" s="68" t="n"/>
      <c r="M477" s="69" t="n"/>
      <c r="N477" s="68" t="n"/>
      <c r="O477" s="69" t="n"/>
      <c r="P477" s="68" t="n"/>
      <c r="Q477" s="69" t="n"/>
      <c r="R477" s="68" t="n"/>
      <c r="S477" s="69" t="n"/>
      <c r="T477" s="68" t="n"/>
      <c r="U477" s="69" t="n"/>
      <c r="V477" s="68" t="n"/>
      <c r="W477" s="69" t="n"/>
      <c r="X477" s="68" t="n"/>
      <c r="Y477" s="69" t="n"/>
      <c r="Z477" s="68" t="n"/>
      <c r="AA477" s="69" t="n"/>
      <c r="AB477" s="68" t="n"/>
      <c r="AC477" s="69" t="n"/>
      <c r="AD477" s="70">
        <f>IF(AND(COUNTIF($B$5:B477,B477)=1,$B477&lt;&gt;"",$AB477&lt;&gt;""),1,0)</f>
        <v/>
      </c>
      <c r="AE477" s="67" t="inlineStr">
        <is>
          <t>https://www.elespectador.com/opinion/columnistas/antonio-casale/la-tentacion-de-destruir-el-futuro-de-la-seleccion-colombia-y-nestor-lorenzo-columna-de-antonio-casale/</t>
        </is>
      </c>
      <c r="AF477" s="64" t="n"/>
      <c r="AG477" s="65" t="n"/>
    </row>
    <row r="478" ht="15" customHeight="1" s="31">
      <c r="A478" s="66" t="inlineStr">
        <is>
          <t>ART_085</t>
        </is>
      </c>
      <c r="B478" s="66" t="inlineStr">
        <is>
          <t>ART_085_S10</t>
        </is>
      </c>
      <c r="C478" s="66" t="inlineStr">
        <is>
          <t>El Espectador</t>
        </is>
      </c>
      <c r="D478" s="66" t="inlineStr">
        <is>
          <t>Deportes</t>
        </is>
      </c>
      <c r="E478" s="66" t="inlineStr">
        <is>
          <t>Opinión-análisis</t>
        </is>
      </c>
      <c r="F478" s="66" t="inlineStr">
        <is>
          <t>2026-07-13T07:00:00-05:00</t>
        </is>
      </c>
      <c r="G478" s="67" t="inlineStr">
        <is>
          <t>Tiene un mapa muy claro del futbolista colombiano en el mundo, hace seguimiento permanente a quienes actúan en distintas ligas y mantiene una relación fluida con los entrenadores de las selecciones juveniles, algo indispensable para garantizar una transición ordenada y una identidad futbolística que no dependa únicamente de una generación.</t>
        </is>
      </c>
      <c r="H478" s="67" t="inlineStr">
        <is>
          <t>Además, Lorenzo ha construido mucho más que un equipo competitivo.</t>
        </is>
      </c>
      <c r="I478" s="67" t="inlineStr">
        <is>
          <t>No olvidemos tampoco la dimensión real de Colombia en el contexto internacional.</t>
        </is>
      </c>
      <c r="J478" s="68" t="n"/>
      <c r="K478" s="69" t="n"/>
      <c r="L478" s="68" t="n"/>
      <c r="M478" s="69" t="n"/>
      <c r="N478" s="68" t="n"/>
      <c r="O478" s="69" t="n"/>
      <c r="P478" s="68" t="n"/>
      <c r="Q478" s="69" t="n"/>
      <c r="R478" s="68" t="n"/>
      <c r="S478" s="69" t="n"/>
      <c r="T478" s="68" t="n"/>
      <c r="U478" s="69" t="n"/>
      <c r="V478" s="68" t="n"/>
      <c r="W478" s="69" t="n"/>
      <c r="X478" s="68" t="n"/>
      <c r="Y478" s="69" t="n"/>
      <c r="Z478" s="68" t="n"/>
      <c r="AA478" s="69" t="n"/>
      <c r="AB478" s="68" t="n"/>
      <c r="AC478" s="69" t="n"/>
      <c r="AD478" s="70">
        <f>IF(AND(COUNTIF($B$5:B478,B478)=1,$B478&lt;&gt;"",$AB478&lt;&gt;""),1,0)</f>
        <v/>
      </c>
      <c r="AE478" s="67" t="inlineStr">
        <is>
          <t>https://www.elespectador.com/opinion/columnistas/antonio-casale/la-tentacion-de-destruir-el-futuro-de-la-seleccion-colombia-y-nestor-lorenzo-columna-de-antonio-casale/</t>
        </is>
      </c>
      <c r="AF478" s="64" t="n"/>
      <c r="AG478" s="65" t="n"/>
    </row>
    <row r="479" ht="15" customHeight="1" s="31">
      <c r="A479" s="66" t="inlineStr">
        <is>
          <t>ART_085</t>
        </is>
      </c>
      <c r="B479" s="66" t="inlineStr">
        <is>
          <t>ART_085_S11</t>
        </is>
      </c>
      <c r="C479" s="66" t="inlineStr">
        <is>
          <t>El Espectador</t>
        </is>
      </c>
      <c r="D479" s="66" t="inlineStr">
        <is>
          <t>Deportes</t>
        </is>
      </c>
      <c r="E479" s="66" t="inlineStr">
        <is>
          <t>Opinión-análisis</t>
        </is>
      </c>
      <c r="F479" s="66" t="inlineStr">
        <is>
          <t>2026-07-13T07:00:00-05:00</t>
        </is>
      </c>
      <c r="G479" s="67" t="inlineStr">
        <is>
          <t>No olvidemos tampoco la dimensión real de Colombia en el contexto internacional.</t>
        </is>
      </c>
      <c r="H479" s="67" t="inlineStr">
        <is>
          <t>Tiene un mapa muy claro del futbolista colombiano en el mundo, hace seguimiento permanente a quienes actúan en distintas ligas y mantiene una relación fluida con los entrenadores de las selecciones juveniles, algo indispensable para garantizar una transición ordenada y una identidad futbolística que no dependa únicamente de una generación.</t>
        </is>
      </c>
      <c r="I479" s="67" t="inlineStr">
        <is>
          <t>Hoy solamente diez selecciones aparecen por delante en el ranking FIFA y cerca de 180 están por detrás.</t>
        </is>
      </c>
      <c r="J479" s="68" t="n"/>
      <c r="K479" s="69" t="n"/>
      <c r="L479" s="68" t="n"/>
      <c r="M479" s="69" t="n"/>
      <c r="N479" s="68" t="n"/>
      <c r="O479" s="69" t="n"/>
      <c r="P479" s="68" t="n"/>
      <c r="Q479" s="69" t="n"/>
      <c r="R479" s="68" t="n"/>
      <c r="S479" s="69" t="n"/>
      <c r="T479" s="68" t="n"/>
      <c r="U479" s="69" t="n"/>
      <c r="V479" s="68" t="n"/>
      <c r="W479" s="69" t="n"/>
      <c r="X479" s="68" t="n"/>
      <c r="Y479" s="69" t="n"/>
      <c r="Z479" s="68" t="n"/>
      <c r="AA479" s="69" t="n"/>
      <c r="AB479" s="68" t="n"/>
      <c r="AC479" s="69" t="n"/>
      <c r="AD479" s="70">
        <f>IF(AND(COUNTIF($B$5:B479,B479)=1,$B479&lt;&gt;"",$AB479&lt;&gt;""),1,0)</f>
        <v/>
      </c>
      <c r="AE479" s="67" t="inlineStr">
        <is>
          <t>https://www.elespectador.com/opinion/columnistas/antonio-casale/la-tentacion-de-destruir-el-futuro-de-la-seleccion-colombia-y-nestor-lorenzo-columna-de-antonio-casale/</t>
        </is>
      </c>
      <c r="AF479" s="64" t="n"/>
      <c r="AG479" s="65" t="n"/>
    </row>
    <row r="480" ht="15" customHeight="1" s="31">
      <c r="A480" s="66" t="inlineStr">
        <is>
          <t>ART_085</t>
        </is>
      </c>
      <c r="B480" s="66" t="inlineStr">
        <is>
          <t>ART_085_S12</t>
        </is>
      </c>
      <c r="C480" s="66" t="inlineStr">
        <is>
          <t>El Espectador</t>
        </is>
      </c>
      <c r="D480" s="66" t="inlineStr">
        <is>
          <t>Deportes</t>
        </is>
      </c>
      <c r="E480" s="66" t="inlineStr">
        <is>
          <t>Opinión-análisis</t>
        </is>
      </c>
      <c r="F480" s="66" t="inlineStr">
        <is>
          <t>2026-07-13T07:00:00-05:00</t>
        </is>
      </c>
      <c r="G480" s="67" t="inlineStr">
        <is>
          <t>Hoy solamente diez selecciones aparecen por delante en el ranking FIFA y cerca de 180 están por detrás.</t>
        </is>
      </c>
      <c r="H480" s="67" t="inlineStr">
        <is>
          <t>No olvidemos tampoco la dimensión real de Colombia en el contexto internacional.</t>
        </is>
      </c>
      <c r="I480" s="67" t="inlineStr">
        <is>
          <t>Eso no significa conformismo; significa reconocer desde dónde competimos y valorar un proceso que nos mantiene entre los mejores del mundo mientras se busca dar el siguiente salto.</t>
        </is>
      </c>
      <c r="J480" s="68" t="n"/>
      <c r="K480" s="69" t="n"/>
      <c r="L480" s="68" t="n"/>
      <c r="M480" s="69" t="n"/>
      <c r="N480" s="68" t="n"/>
      <c r="O480" s="69" t="n"/>
      <c r="P480" s="68" t="n"/>
      <c r="Q480" s="69" t="n"/>
      <c r="R480" s="68" t="n"/>
      <c r="S480" s="69" t="n"/>
      <c r="T480" s="68" t="n"/>
      <c r="U480" s="69" t="n"/>
      <c r="V480" s="68" t="n"/>
      <c r="W480" s="69" t="n"/>
      <c r="X480" s="68" t="n"/>
      <c r="Y480" s="69" t="n"/>
      <c r="Z480" s="68" t="n"/>
      <c r="AA480" s="69" t="n"/>
      <c r="AB480" s="68" t="n"/>
      <c r="AC480" s="69" t="n"/>
      <c r="AD480" s="70">
        <f>IF(AND(COUNTIF($B$5:B480,B480)=1,$B480&lt;&gt;"",$AB480&lt;&gt;""),1,0)</f>
        <v/>
      </c>
      <c r="AE480" s="67" t="inlineStr">
        <is>
          <t>https://www.elespectador.com/opinion/columnistas/antonio-casale/la-tentacion-de-destruir-el-futuro-de-la-seleccion-colombia-y-nestor-lorenzo-columna-de-antonio-casale/</t>
        </is>
      </c>
      <c r="AF480" s="64" t="n"/>
      <c r="AG480" s="65" t="n"/>
    </row>
    <row r="481" ht="15" customHeight="1" s="31">
      <c r="A481" s="66" t="inlineStr">
        <is>
          <t>ART_085</t>
        </is>
      </c>
      <c r="B481" s="66" t="inlineStr">
        <is>
          <t>ART_085_S13</t>
        </is>
      </c>
      <c r="C481" s="66" t="inlineStr">
        <is>
          <t>El Espectador</t>
        </is>
      </c>
      <c r="D481" s="66" t="inlineStr">
        <is>
          <t>Deportes</t>
        </is>
      </c>
      <c r="E481" s="66" t="inlineStr">
        <is>
          <t>Opinión-análisis</t>
        </is>
      </c>
      <c r="F481" s="66" t="inlineStr">
        <is>
          <t>2026-07-13T07:00:00-05:00</t>
        </is>
      </c>
      <c r="G481" s="67" t="inlineStr">
        <is>
          <t>Eso no significa conformismo; significa reconocer desde dónde competimos y valorar un proceso que nos mantiene entre los mejores del mundo mientras se busca dar el siguiente salto.</t>
        </is>
      </c>
      <c r="H481" s="67" t="inlineStr">
        <is>
          <t>Hoy solamente diez selecciones aparecen por delante en el ranking FIFA y cerca de 180 están por detrás.</t>
        </is>
      </c>
      <c r="I481" s="67" t="inlineStr">
        <is>
          <t>La historia reciente también deja una enseñanza.</t>
        </is>
      </c>
      <c r="J481" s="68" t="n"/>
      <c r="K481" s="69" t="n"/>
      <c r="L481" s="68" t="n"/>
      <c r="M481" s="69" t="n"/>
      <c r="N481" s="68" t="n"/>
      <c r="O481" s="69" t="n"/>
      <c r="P481" s="68" t="n"/>
      <c r="Q481" s="69" t="n"/>
      <c r="R481" s="68" t="n"/>
      <c r="S481" s="69" t="n"/>
      <c r="T481" s="68" t="n"/>
      <c r="U481" s="69" t="n"/>
      <c r="V481" s="68" t="n"/>
      <c r="W481" s="69" t="n"/>
      <c r="X481" s="68" t="n"/>
      <c r="Y481" s="69" t="n"/>
      <c r="Z481" s="68" t="n"/>
      <c r="AA481" s="69" t="n"/>
      <c r="AB481" s="68" t="n"/>
      <c r="AC481" s="69" t="n"/>
      <c r="AD481" s="70">
        <f>IF(AND(COUNTIF($B$5:B481,B481)=1,$B481&lt;&gt;"",$AB481&lt;&gt;""),1,0)</f>
        <v/>
      </c>
      <c r="AE481" s="67" t="inlineStr">
        <is>
          <t>https://www.elespectador.com/opinion/columnistas/antonio-casale/la-tentacion-de-destruir-el-futuro-de-la-seleccion-colombia-y-nestor-lorenzo-columna-de-antonio-casale/</t>
        </is>
      </c>
      <c r="AF481" s="64" t="n"/>
      <c r="AG481" s="65" t="n"/>
    </row>
    <row r="482" ht="15" customHeight="1" s="31">
      <c r="A482" s="66" t="inlineStr">
        <is>
          <t>ART_085</t>
        </is>
      </c>
      <c r="B482" s="66" t="inlineStr">
        <is>
          <t>ART_085_S14</t>
        </is>
      </c>
      <c r="C482" s="66" t="inlineStr">
        <is>
          <t>El Espectador</t>
        </is>
      </c>
      <c r="D482" s="66" t="inlineStr">
        <is>
          <t>Deportes</t>
        </is>
      </c>
      <c r="E482" s="66" t="inlineStr">
        <is>
          <t>Opinión-análisis</t>
        </is>
      </c>
      <c r="F482" s="66" t="inlineStr">
        <is>
          <t>2026-07-13T07:00:00-05:00</t>
        </is>
      </c>
      <c r="G482" s="67" t="inlineStr">
        <is>
          <t>La historia reciente también deja una enseñanza.</t>
        </is>
      </c>
      <c r="H482" s="67" t="inlineStr">
        <is>
          <t>Eso no significa conformismo; significa reconocer desde dónde competimos y valorar un proceso que nos mantiene entre los mejores del mundo mientras se busca dar el siguiente salto.</t>
        </is>
      </c>
      <c r="I482" s="67" t="inlineStr">
        <is>
          <t>Cuando terminó el exitoso ciclo de Pekerman decidimos derribar todo lo construido para comenzar desde cero con Carlos Queiroz.</t>
        </is>
      </c>
      <c r="J482" s="68" t="n"/>
      <c r="K482" s="69" t="n"/>
      <c r="L482" s="68" t="n"/>
      <c r="M482" s="69" t="n"/>
      <c r="N482" s="68" t="n"/>
      <c r="O482" s="69" t="n"/>
      <c r="P482" s="68" t="n"/>
      <c r="Q482" s="69" t="n"/>
      <c r="R482" s="68" t="n"/>
      <c r="S482" s="69" t="n"/>
      <c r="T482" s="68" t="n"/>
      <c r="U482" s="69" t="n"/>
      <c r="V482" s="68" t="n"/>
      <c r="W482" s="69" t="n"/>
      <c r="X482" s="68" t="n"/>
      <c r="Y482" s="69" t="n"/>
      <c r="Z482" s="68" t="n"/>
      <c r="AA482" s="69" t="n"/>
      <c r="AB482" s="68" t="n"/>
      <c r="AC482" s="69" t="n"/>
      <c r="AD482" s="70">
        <f>IF(AND(COUNTIF($B$5:B482,B482)=1,$B482&lt;&gt;"",$AB482&lt;&gt;""),1,0)</f>
        <v/>
      </c>
      <c r="AE482" s="67" t="inlineStr">
        <is>
          <t>https://www.elespectador.com/opinion/columnistas/antonio-casale/la-tentacion-de-destruir-el-futuro-de-la-seleccion-colombia-y-nestor-lorenzo-columna-de-antonio-casale/</t>
        </is>
      </c>
      <c r="AF482" s="64" t="n"/>
      <c r="AG482" s="65" t="n"/>
    </row>
    <row r="483" ht="15" customHeight="1" s="31">
      <c r="A483" s="66" t="inlineStr">
        <is>
          <t>ART_085</t>
        </is>
      </c>
      <c r="B483" s="66" t="inlineStr">
        <is>
          <t>ART_085_S15</t>
        </is>
      </c>
      <c r="C483" s="66" t="inlineStr">
        <is>
          <t>El Espectador</t>
        </is>
      </c>
      <c r="D483" s="66" t="inlineStr">
        <is>
          <t>Deportes</t>
        </is>
      </c>
      <c r="E483" s="66" t="inlineStr">
        <is>
          <t>Opinión-análisis</t>
        </is>
      </c>
      <c r="F483" s="66" t="inlineStr">
        <is>
          <t>2026-07-13T07:00:00-05:00</t>
        </is>
      </c>
      <c r="G483" s="67" t="inlineStr">
        <is>
          <t>Cuando terminó el exitoso ciclo de Pekerman decidimos derribar todo lo construido para comenzar desde cero con Carlos Queiroz.</t>
        </is>
      </c>
      <c r="H483" s="67" t="inlineStr">
        <is>
          <t>La historia reciente también deja una enseñanza.</t>
        </is>
      </c>
      <c r="I483" s="67" t="inlineStr">
        <is>
          <t>Aquella ruptura nos hizo perder tiempo, identidad y competitividad.</t>
        </is>
      </c>
      <c r="J483" s="68" t="n"/>
      <c r="K483" s="69" t="n"/>
      <c r="L483" s="68" t="n"/>
      <c r="M483" s="69" t="n"/>
      <c r="N483" s="68" t="n"/>
      <c r="O483" s="69" t="n"/>
      <c r="P483" s="68" t="n"/>
      <c r="Q483" s="69" t="n"/>
      <c r="R483" s="68" t="n"/>
      <c r="S483" s="69" t="n"/>
      <c r="T483" s="68" t="n"/>
      <c r="U483" s="69" t="n"/>
      <c r="V483" s="68" t="n"/>
      <c r="W483" s="69" t="n"/>
      <c r="X483" s="68" t="n"/>
      <c r="Y483" s="69" t="n"/>
      <c r="Z483" s="68" t="n"/>
      <c r="AA483" s="69" t="n"/>
      <c r="AB483" s="68" t="n"/>
      <c r="AC483" s="69" t="n"/>
      <c r="AD483" s="70">
        <f>IF(AND(COUNTIF($B$5:B483,B483)=1,$B483&lt;&gt;"",$AB483&lt;&gt;""),1,0)</f>
        <v/>
      </c>
      <c r="AE483" s="67" t="inlineStr">
        <is>
          <t>https://www.elespectador.com/opinion/columnistas/antonio-casale/la-tentacion-de-destruir-el-futuro-de-la-seleccion-colombia-y-nestor-lorenzo-columna-de-antonio-casale/</t>
        </is>
      </c>
      <c r="AF483" s="64" t="n"/>
      <c r="AG483" s="65" t="n"/>
    </row>
    <row r="484" ht="15" customHeight="1" s="31">
      <c r="A484" s="66" t="inlineStr">
        <is>
          <t>ART_085</t>
        </is>
      </c>
      <c r="B484" s="66" t="inlineStr">
        <is>
          <t>ART_085_S16</t>
        </is>
      </c>
      <c r="C484" s="66" t="inlineStr">
        <is>
          <t>El Espectador</t>
        </is>
      </c>
      <c r="D484" s="66" t="inlineStr">
        <is>
          <t>Deportes</t>
        </is>
      </c>
      <c r="E484" s="66" t="inlineStr">
        <is>
          <t>Opinión-análisis</t>
        </is>
      </c>
      <c r="F484" s="66" t="inlineStr">
        <is>
          <t>2026-07-13T07:00:00-05:00</t>
        </is>
      </c>
      <c r="G484" s="67" t="inlineStr">
        <is>
          <t>Aquella ruptura nos hizo perder tiempo, identidad y competitividad.</t>
        </is>
      </c>
      <c r="H484" s="67" t="inlineStr">
        <is>
          <t>Cuando terminó el exitoso ciclo de Pekerman decidimos derribar todo lo construido para comenzar desde cero con Carlos Queiroz.</t>
        </is>
      </c>
      <c r="I484" s="67" t="inlineStr"/>
      <c r="J484" s="68" t="n"/>
      <c r="K484" s="69" t="n"/>
      <c r="L484" s="68" t="n"/>
      <c r="M484" s="69" t="n"/>
      <c r="N484" s="68" t="n"/>
      <c r="O484" s="69" t="n"/>
      <c r="P484" s="68" t="n"/>
      <c r="Q484" s="69" t="n"/>
      <c r="R484" s="68" t="n"/>
      <c r="S484" s="69" t="n"/>
      <c r="T484" s="68" t="n"/>
      <c r="U484" s="69" t="n"/>
      <c r="V484" s="68" t="n"/>
      <c r="W484" s="69" t="n"/>
      <c r="X484" s="68" t="n"/>
      <c r="Y484" s="69" t="n"/>
      <c r="Z484" s="68" t="n"/>
      <c r="AA484" s="69" t="n"/>
      <c r="AB484" s="68" t="n"/>
      <c r="AC484" s="69" t="n"/>
      <c r="AD484" s="70">
        <f>IF(AND(COUNTIF($B$5:B484,B484)=1,$B484&lt;&gt;"",$AB484&lt;&gt;""),1,0)</f>
        <v/>
      </c>
      <c r="AE484" s="67" t="inlineStr">
        <is>
          <t>https://www.elespectador.com/opinion/columnistas/antonio-casale/la-tentacion-de-destruir-el-futuro-de-la-seleccion-colombia-y-nestor-lorenzo-columna-de-antonio-casale/</t>
        </is>
      </c>
      <c r="AF484" s="64" t="n"/>
      <c r="AG484" s="65" t="n"/>
    </row>
    <row r="485" ht="15" customHeight="1" s="31">
      <c r="A485" s="66" t="inlineStr">
        <is>
          <t>ART_086</t>
        </is>
      </c>
      <c r="B485" s="66" t="inlineStr">
        <is>
          <t>ART_086_S01</t>
        </is>
      </c>
      <c r="C485" s="66" t="inlineStr">
        <is>
          <t>El Espectador</t>
        </is>
      </c>
      <c r="D485" s="66" t="inlineStr">
        <is>
          <t>Deportes</t>
        </is>
      </c>
      <c r="E485" s="66" t="inlineStr">
        <is>
          <t>Opinión-análisis</t>
        </is>
      </c>
      <c r="F485" s="66" t="inlineStr">
        <is>
          <t>2026-07-07T06:39:07-05:00</t>
        </is>
      </c>
      <c r="G485" s="67" t="inlineStr">
        <is>
          <t>Hay selecciones que llegan a octavos de final buscando corregir muchos problemas.</t>
        </is>
      </c>
      <c r="H485" s="67" t="inlineStr"/>
      <c r="I485" s="67" t="inlineStr">
        <is>
          <t>Colombia, afortunadamente, no es una de ellas.</t>
        </is>
      </c>
      <c r="J485" s="68" t="n"/>
      <c r="K485" s="69" t="n"/>
      <c r="L485" s="68" t="n"/>
      <c r="M485" s="69" t="n"/>
      <c r="N485" s="68" t="n"/>
      <c r="O485" s="69" t="n"/>
      <c r="P485" s="68" t="n"/>
      <c r="Q485" s="69" t="n"/>
      <c r="R485" s="68" t="n"/>
      <c r="S485" s="69" t="n"/>
      <c r="T485" s="68" t="n"/>
      <c r="U485" s="69" t="n"/>
      <c r="V485" s="68" t="n"/>
      <c r="W485" s="69" t="n"/>
      <c r="X485" s="68" t="n"/>
      <c r="Y485" s="69" t="n"/>
      <c r="Z485" s="68" t="n"/>
      <c r="AA485" s="69" t="n"/>
      <c r="AB485" s="68" t="n"/>
      <c r="AC485" s="69" t="n"/>
      <c r="AD485" s="70">
        <f>IF(AND(COUNTIF($B$5:B485,B485)=1,$B485&lt;&gt;"",$AB485&lt;&gt;""),1,0)</f>
        <v/>
      </c>
      <c r="AE485" s="67" t="inlineStr">
        <is>
          <t>https://www.elespectador.com/opinion/columnistas/antonio-casale/lo-que-le-falta-a-colombia/</t>
        </is>
      </c>
      <c r="AF485" s="64" t="n"/>
      <c r="AG485" s="65" t="n"/>
    </row>
    <row r="486" ht="15" customHeight="1" s="31">
      <c r="A486" s="66" t="inlineStr">
        <is>
          <t>ART_086</t>
        </is>
      </c>
      <c r="B486" s="66" t="inlineStr">
        <is>
          <t>ART_086_S02</t>
        </is>
      </c>
      <c r="C486" s="66" t="inlineStr">
        <is>
          <t>El Espectador</t>
        </is>
      </c>
      <c r="D486" s="66" t="inlineStr">
        <is>
          <t>Deportes</t>
        </is>
      </c>
      <c r="E486" s="66" t="inlineStr">
        <is>
          <t>Opinión-análisis</t>
        </is>
      </c>
      <c r="F486" s="66" t="inlineStr">
        <is>
          <t>2026-07-07T06:39:07-05:00</t>
        </is>
      </c>
      <c r="G486" s="67" t="inlineStr">
        <is>
          <t>Colombia, afortunadamente, no es una de ellas.</t>
        </is>
      </c>
      <c r="H486" s="67" t="inlineStr">
        <is>
          <t>Hay selecciones que llegan a octavos de final buscando corregir muchos problemas.</t>
        </is>
      </c>
      <c r="I486" s="67" t="inlineStr">
        <is>
          <t>Después de cuatro partidos en el Mundial, el equipo de Néstor Lorenzo tiene prácticamente identificado el único aspecto que debe mejorar si quiere seguir avanzando: la definición.</t>
        </is>
      </c>
      <c r="J486" s="68" t="n"/>
      <c r="K486" s="69" t="n"/>
      <c r="L486" s="68" t="n"/>
      <c r="M486" s="69" t="n"/>
      <c r="N486" s="68" t="n"/>
      <c r="O486" s="69" t="n"/>
      <c r="P486" s="68" t="n"/>
      <c r="Q486" s="69" t="n"/>
      <c r="R486" s="68" t="n"/>
      <c r="S486" s="69" t="n"/>
      <c r="T486" s="68" t="n"/>
      <c r="U486" s="69" t="n"/>
      <c r="V486" s="68" t="n"/>
      <c r="W486" s="69" t="n"/>
      <c r="X486" s="68" t="n"/>
      <c r="Y486" s="69" t="n"/>
      <c r="Z486" s="68" t="n"/>
      <c r="AA486" s="69" t="n"/>
      <c r="AB486" s="68" t="n"/>
      <c r="AC486" s="69" t="n"/>
      <c r="AD486" s="70">
        <f>IF(AND(COUNTIF($B$5:B486,B486)=1,$B486&lt;&gt;"",$AB486&lt;&gt;""),1,0)</f>
        <v/>
      </c>
      <c r="AE486" s="67" t="inlineStr">
        <is>
          <t>https://www.elespectador.com/opinion/columnistas/antonio-casale/lo-que-le-falta-a-colombia/</t>
        </is>
      </c>
      <c r="AF486" s="64" t="n"/>
      <c r="AG486" s="65" t="n"/>
    </row>
    <row r="487" ht="15" customHeight="1" s="31">
      <c r="A487" s="66" t="inlineStr">
        <is>
          <t>ART_086</t>
        </is>
      </c>
      <c r="B487" s="66" t="inlineStr">
        <is>
          <t>ART_086_S03</t>
        </is>
      </c>
      <c r="C487" s="66" t="inlineStr">
        <is>
          <t>El Espectador</t>
        </is>
      </c>
      <c r="D487" s="66" t="inlineStr">
        <is>
          <t>Deportes</t>
        </is>
      </c>
      <c r="E487" s="66" t="inlineStr">
        <is>
          <t>Opinión-análisis</t>
        </is>
      </c>
      <c r="F487" s="66" t="inlineStr">
        <is>
          <t>2026-07-07T06:39:07-05:00</t>
        </is>
      </c>
      <c r="G487" s="67" t="inlineStr">
        <is>
          <t>Después de cuatro partidos en el Mundial, el equipo de Néstor Lorenzo tiene prácticamente identificado el único aspecto que debe mejorar si quiere seguir avanzando: la definición.</t>
        </is>
      </c>
      <c r="H487" s="67" t="inlineStr">
        <is>
          <t>Colombia, afortunadamente, no es una de ellas.</t>
        </is>
      </c>
      <c r="I487" s="67" t="inlineStr">
        <is>
          <t>Porque en todo lo demás el balance es ampliamente positivo.</t>
        </is>
      </c>
      <c r="J487" s="68" t="n"/>
      <c r="K487" s="69" t="n"/>
      <c r="L487" s="68" t="n"/>
      <c r="M487" s="69" t="n"/>
      <c r="N487" s="68" t="n"/>
      <c r="O487" s="69" t="n"/>
      <c r="P487" s="68" t="n"/>
      <c r="Q487" s="69" t="n"/>
      <c r="R487" s="68" t="n"/>
      <c r="S487" s="69" t="n"/>
      <c r="T487" s="68" t="n"/>
      <c r="U487" s="69" t="n"/>
      <c r="V487" s="68" t="n"/>
      <c r="W487" s="69" t="n"/>
      <c r="X487" s="68" t="n"/>
      <c r="Y487" s="69" t="n"/>
      <c r="Z487" s="68" t="n"/>
      <c r="AA487" s="69" t="n"/>
      <c r="AB487" s="68" t="n"/>
      <c r="AC487" s="69" t="n"/>
      <c r="AD487" s="70">
        <f>IF(AND(COUNTIF($B$5:B487,B487)=1,$B487&lt;&gt;"",$AB487&lt;&gt;""),1,0)</f>
        <v/>
      </c>
      <c r="AE487" s="67" t="inlineStr">
        <is>
          <t>https://www.elespectador.com/opinion/columnistas/antonio-casale/lo-que-le-falta-a-colombia/</t>
        </is>
      </c>
      <c r="AF487" s="64" t="n"/>
      <c r="AG487" s="65" t="n"/>
    </row>
    <row r="488" ht="15" customHeight="1" s="31">
      <c r="A488" s="66" t="inlineStr">
        <is>
          <t>ART_086</t>
        </is>
      </c>
      <c r="B488" s="66" t="inlineStr">
        <is>
          <t>ART_086_S04</t>
        </is>
      </c>
      <c r="C488" s="66" t="inlineStr">
        <is>
          <t>El Espectador</t>
        </is>
      </c>
      <c r="D488" s="66" t="inlineStr">
        <is>
          <t>Deportes</t>
        </is>
      </c>
      <c r="E488" s="66" t="inlineStr">
        <is>
          <t>Opinión-análisis</t>
        </is>
      </c>
      <c r="F488" s="66" t="inlineStr">
        <is>
          <t>2026-07-07T06:39:07-05:00</t>
        </is>
      </c>
      <c r="G488" s="67" t="inlineStr">
        <is>
          <t>Porque en todo lo demás el balance es ampliamente positivo.</t>
        </is>
      </c>
      <c r="H488" s="67" t="inlineStr">
        <is>
          <t>Después de cuatro partidos en el Mundial, el equipo de Néstor Lorenzo tiene prácticamente identificado el único aspecto que debe mejorar si quiere seguir avanzando: la definición.</t>
        </is>
      </c>
      <c r="I488" s="67" t="inlineStr">
        <is>
          <t>Colombia ha evolucionado de manera notable en el trabajo sin balón.</t>
        </is>
      </c>
      <c r="J488" s="68" t="n"/>
      <c r="K488" s="69" t="n"/>
      <c r="L488" s="68" t="n"/>
      <c r="M488" s="69" t="n"/>
      <c r="N488" s="68" t="n"/>
      <c r="O488" s="69" t="n"/>
      <c r="P488" s="68" t="n"/>
      <c r="Q488" s="69" t="n"/>
      <c r="R488" s="68" t="n"/>
      <c r="S488" s="69" t="n"/>
      <c r="T488" s="68" t="n"/>
      <c r="U488" s="69" t="n"/>
      <c r="V488" s="68" t="n"/>
      <c r="W488" s="69" t="n"/>
      <c r="X488" s="68" t="n"/>
      <c r="Y488" s="69" t="n"/>
      <c r="Z488" s="68" t="n"/>
      <c r="AA488" s="69" t="n"/>
      <c r="AB488" s="68" t="n"/>
      <c r="AC488" s="69" t="n"/>
      <c r="AD488" s="70">
        <f>IF(AND(COUNTIF($B$5:B488,B488)=1,$B488&lt;&gt;"",$AB488&lt;&gt;""),1,0)</f>
        <v/>
      </c>
      <c r="AE488" s="67" t="inlineStr">
        <is>
          <t>https://www.elespectador.com/opinion/columnistas/antonio-casale/lo-que-le-falta-a-colombia/</t>
        </is>
      </c>
      <c r="AF488" s="64" t="n"/>
      <c r="AG488" s="65" t="n"/>
    </row>
    <row r="489" ht="15" customHeight="1" s="31">
      <c r="A489" s="66" t="inlineStr">
        <is>
          <t>ART_086</t>
        </is>
      </c>
      <c r="B489" s="66" t="inlineStr">
        <is>
          <t>ART_086_S05</t>
        </is>
      </c>
      <c r="C489" s="66" t="inlineStr">
        <is>
          <t>El Espectador</t>
        </is>
      </c>
      <c r="D489" s="66" t="inlineStr">
        <is>
          <t>Deportes</t>
        </is>
      </c>
      <c r="E489" s="66" t="inlineStr">
        <is>
          <t>Opinión-análisis</t>
        </is>
      </c>
      <c r="F489" s="66" t="inlineStr">
        <is>
          <t>2026-07-07T06:39:07-05:00</t>
        </is>
      </c>
      <c r="G489" s="67" t="inlineStr">
        <is>
          <t>Colombia ha evolucionado de manera notable en el trabajo sin balón.</t>
        </is>
      </c>
      <c r="H489" s="67" t="inlineStr">
        <is>
          <t>Porque en todo lo demás el balance es ampliamente positivo.</t>
        </is>
      </c>
      <c r="I489" s="67" t="inlineStr"/>
      <c r="J489" s="68" t="n"/>
      <c r="K489" s="69" t="n"/>
      <c r="L489" s="68" t="n"/>
      <c r="M489" s="69" t="n"/>
      <c r="N489" s="68" t="n"/>
      <c r="O489" s="69" t="n"/>
      <c r="P489" s="68" t="n"/>
      <c r="Q489" s="69" t="n"/>
      <c r="R489" s="68" t="n"/>
      <c r="S489" s="69" t="n"/>
      <c r="T489" s="68" t="n"/>
      <c r="U489" s="69" t="n"/>
      <c r="V489" s="68" t="n"/>
      <c r="W489" s="69" t="n"/>
      <c r="X489" s="68" t="n"/>
      <c r="Y489" s="69" t="n"/>
      <c r="Z489" s="68" t="n"/>
      <c r="AA489" s="69" t="n"/>
      <c r="AB489" s="68" t="n"/>
      <c r="AC489" s="69" t="n"/>
      <c r="AD489" s="70">
        <f>IF(AND(COUNTIF($B$5:B489,B489)=1,$B489&lt;&gt;"",$AB489&lt;&gt;""),1,0)</f>
        <v/>
      </c>
      <c r="AE489" s="67" t="inlineStr">
        <is>
          <t>https://www.elespectador.com/opinion/columnistas/antonio-casale/lo-que-le-falta-a-colombia/</t>
        </is>
      </c>
      <c r="AF489" s="64" t="n"/>
      <c r="AG489" s="65" t="n"/>
    </row>
    <row r="490" ht="15" customHeight="1" s="31">
      <c r="A490" s="66" t="inlineStr">
        <is>
          <t>ART_087</t>
        </is>
      </c>
      <c r="B490" s="66" t="inlineStr">
        <is>
          <t>ART_087_S01</t>
        </is>
      </c>
      <c r="C490" s="66" t="inlineStr">
        <is>
          <t>El Espectador</t>
        </is>
      </c>
      <c r="D490" s="66" t="inlineStr">
        <is>
          <t>Deportes</t>
        </is>
      </c>
      <c r="E490" s="66" t="inlineStr">
        <is>
          <t>Opinión-análisis</t>
        </is>
      </c>
      <c r="F490" s="66" t="inlineStr">
        <is>
          <t>2026-05-29T07:23:54-05:00</t>
        </is>
      </c>
      <c r="G490" s="67" t="inlineStr">
        <is>
          <t>El técnico de la selección de Colombia de mayores, que disputará el Mundial del año 2026, eligió a los jugadores que tendrán la responsabilidad y el compromiso de realizar la mejor Copa del Mundo de nuestro país en el certamen más importante de esta disciplina deportiva.</t>
        </is>
      </c>
      <c r="H490" s="67" t="inlineStr"/>
      <c r="I490" s="67" t="inlineStr">
        <is>
          <t>Luego de haber dado a conocer una prelista de 55 jugadores, el profesor Lorenzo anunció los 26 elegidos.</t>
        </is>
      </c>
      <c r="J490" s="68" t="n"/>
      <c r="K490" s="69" t="n"/>
      <c r="L490" s="68" t="n"/>
      <c r="M490" s="69" t="n"/>
      <c r="N490" s="68" t="n"/>
      <c r="O490" s="69" t="n"/>
      <c r="P490" s="68" t="n"/>
      <c r="Q490" s="69" t="n"/>
      <c r="R490" s="68" t="n"/>
      <c r="S490" s="69" t="n"/>
      <c r="T490" s="68" t="n"/>
      <c r="U490" s="69" t="n"/>
      <c r="V490" s="68" t="n"/>
      <c r="W490" s="69" t="n"/>
      <c r="X490" s="68" t="n"/>
      <c r="Y490" s="69" t="n"/>
      <c r="Z490" s="68" t="n"/>
      <c r="AA490" s="69" t="n"/>
      <c r="AB490" s="68" t="n"/>
      <c r="AC490" s="69" t="n"/>
      <c r="AD490" s="70">
        <f>IF(AND(COUNTIF($B$5:B490,B490)=1,$B490&lt;&gt;"",$AB490&lt;&gt;""),1,0)</f>
        <v/>
      </c>
      <c r="AE490" s="67" t="inlineStr">
        <is>
          <t>https://www.elespectador.com/opinion/columnistas/luis-fernando-montoya/nestor-lorenzo-y-sus-mundialistas/</t>
        </is>
      </c>
      <c r="AF490" s="64" t="n"/>
      <c r="AG490" s="65" t="n"/>
    </row>
    <row r="491" ht="15" customHeight="1" s="31">
      <c r="A491" s="66" t="inlineStr">
        <is>
          <t>ART_087</t>
        </is>
      </c>
      <c r="B491" s="66" t="inlineStr">
        <is>
          <t>ART_087_S02</t>
        </is>
      </c>
      <c r="C491" s="66" t="inlineStr">
        <is>
          <t>El Espectador</t>
        </is>
      </c>
      <c r="D491" s="66" t="inlineStr">
        <is>
          <t>Deportes</t>
        </is>
      </c>
      <c r="E491" s="66" t="inlineStr">
        <is>
          <t>Opinión-análisis</t>
        </is>
      </c>
      <c r="F491" s="66" t="inlineStr">
        <is>
          <t>2026-05-29T07:23:54-05:00</t>
        </is>
      </c>
      <c r="G491" s="67" t="inlineStr">
        <is>
          <t>Luego de haber dado a conocer una prelista de 55 jugadores, el profesor Lorenzo anunció los 26 elegidos.</t>
        </is>
      </c>
      <c r="H491" s="67" t="inlineStr">
        <is>
          <t>El técnico de la selección de Colombia de mayores, que disputará el Mundial del año 2026, eligió a los jugadores que tendrán la responsabilidad y el compromiso de realizar la mejor Copa del Mundo de nuestro país en el certamen más importante de esta disciplina deportiva.</t>
        </is>
      </c>
      <c r="I491" s="67" t="inlineStr"/>
      <c r="J491" s="68" t="n"/>
      <c r="K491" s="69" t="n"/>
      <c r="L491" s="68" t="n"/>
      <c r="M491" s="69" t="n"/>
      <c r="N491" s="68" t="n"/>
      <c r="O491" s="69" t="n"/>
      <c r="P491" s="68" t="n"/>
      <c r="Q491" s="69" t="n"/>
      <c r="R491" s="68" t="n"/>
      <c r="S491" s="69" t="n"/>
      <c r="T491" s="68" t="n"/>
      <c r="U491" s="69" t="n"/>
      <c r="V491" s="68" t="n"/>
      <c r="W491" s="69" t="n"/>
      <c r="X491" s="68" t="n"/>
      <c r="Y491" s="69" t="n"/>
      <c r="Z491" s="68" t="n"/>
      <c r="AA491" s="69" t="n"/>
      <c r="AB491" s="68" t="n"/>
      <c r="AC491" s="69" t="n"/>
      <c r="AD491" s="70">
        <f>IF(AND(COUNTIF($B$5:B491,B491)=1,$B491&lt;&gt;"",$AB491&lt;&gt;""),1,0)</f>
        <v/>
      </c>
      <c r="AE491" s="67" t="inlineStr">
        <is>
          <t>https://www.elespectador.com/opinion/columnistas/luis-fernando-montoya/nestor-lorenzo-y-sus-mundialistas/</t>
        </is>
      </c>
      <c r="AF491" s="64" t="n"/>
      <c r="AG491" s="65" t="n"/>
    </row>
    <row r="492" ht="15" customHeight="1" s="31">
      <c r="A492" s="66" t="inlineStr">
        <is>
          <t>ART_088</t>
        </is>
      </c>
      <c r="B492" s="66" t="inlineStr">
        <is>
          <t>ART_088_S01</t>
        </is>
      </c>
      <c r="C492" s="66" t="inlineStr">
        <is>
          <t>Semana</t>
        </is>
      </c>
      <c r="D492" s="66" t="inlineStr">
        <is>
          <t>Deportes</t>
        </is>
      </c>
      <c r="E492" s="66" t="inlineStr">
        <is>
          <t>Noticia dura</t>
        </is>
      </c>
      <c r="F492" s="66" t="inlineStr">
        <is>
          <t>2025-06-05T09:29:08-05:00</t>
        </is>
      </c>
      <c r="G492" s="67" t="inlineStr">
        <is>
          <t>Más complicado de lo pensado ha sido la configuración de la nómina de la Selección Colombia para las dos fechas venideras de las Eliminatorias al Mundial 2026.</t>
        </is>
      </c>
      <c r="H492" s="67" t="inlineStr"/>
      <c r="I492" s="67" t="inlineStr">
        <is>
          <t>Al final, el entrenador nacional, Néstor Lorenzo, tuvo que cambiar más de dos veces los nombres de los citados tras las bajas de Jhon Córdoba, Rafael Santos Borré y Juan Fernando Quintero.</t>
        </is>
      </c>
      <c r="J492" s="68" t="n"/>
      <c r="K492" s="69" t="n"/>
      <c r="L492" s="68" t="n"/>
      <c r="M492" s="69" t="n"/>
      <c r="N492" s="68" t="n"/>
      <c r="O492" s="69" t="n"/>
      <c r="P492" s="68" t="n"/>
      <c r="Q492" s="69" t="n"/>
      <c r="R492" s="68" t="n"/>
      <c r="S492" s="69" t="n"/>
      <c r="T492" s="68" t="n"/>
      <c r="U492" s="69" t="n"/>
      <c r="V492" s="68" t="n"/>
      <c r="W492" s="69" t="n"/>
      <c r="X492" s="68" t="n"/>
      <c r="Y492" s="69" t="n"/>
      <c r="Z492" s="68" t="n"/>
      <c r="AA492" s="69" t="n"/>
      <c r="AB492" s="68" t="n"/>
      <c r="AC492" s="69" t="n"/>
      <c r="AD492" s="70">
        <f>IF(AND(COUNTIF($B$5:B492,B492)=1,$B492&lt;&gt;"",$AB492&lt;&gt;""),1,0)</f>
        <v/>
      </c>
      <c r="AE492" s="67" t="inlineStr">
        <is>
          <t>https://www.semana.com/deportes/articulo/nestor-lorenzo-no-aguanta-criticas-y-contesto-por-convocatoria-de-colombia-se-quejan/202549/</t>
        </is>
      </c>
      <c r="AF492" s="64" t="n"/>
      <c r="AG492" s="65" t="n"/>
    </row>
    <row r="493" ht="15" customHeight="1" s="31">
      <c r="A493" s="66" t="inlineStr">
        <is>
          <t>ART_088</t>
        </is>
      </c>
      <c r="B493" s="66" t="inlineStr">
        <is>
          <t>ART_088_S02</t>
        </is>
      </c>
      <c r="C493" s="66" t="inlineStr">
        <is>
          <t>Semana</t>
        </is>
      </c>
      <c r="D493" s="66" t="inlineStr">
        <is>
          <t>Deportes</t>
        </is>
      </c>
      <c r="E493" s="66" t="inlineStr">
        <is>
          <t>Noticia dura</t>
        </is>
      </c>
      <c r="F493" s="66" t="inlineStr">
        <is>
          <t>2025-06-05T09:29:08-05:00</t>
        </is>
      </c>
      <c r="G493" s="67" t="inlineStr">
        <is>
          <t>Al final, el entrenador nacional, Néstor Lorenzo, tuvo que cambiar más de dos veces los nombres de los citados tras las bajas de Jhon Córdoba, Rafael Santos Borré y Juan Fernando Quintero.</t>
        </is>
      </c>
      <c r="H493" s="67" t="inlineStr">
        <is>
          <t>Más complicado de lo pensado ha sido la configuración de la nómina de la Selección Colombia para las dos fechas venideras de las Eliminatorias al Mundial 2026.</t>
        </is>
      </c>
      <c r="I493" s="67" t="inlineStr">
        <is>
          <t>Quien entró a ser el delantero centro que reemplazó a los dos antes mencionados fue el del Almería de España, Luis Suárez.</t>
        </is>
      </c>
      <c r="J493" s="68" t="n"/>
      <c r="K493" s="69" t="n"/>
      <c r="L493" s="68" t="n"/>
      <c r="M493" s="69" t="n"/>
      <c r="N493" s="68" t="n"/>
      <c r="O493" s="69" t="n"/>
      <c r="P493" s="68" t="n"/>
      <c r="Q493" s="69" t="n"/>
      <c r="R493" s="68" t="n"/>
      <c r="S493" s="69" t="n"/>
      <c r="T493" s="68" t="n"/>
      <c r="U493" s="69" t="n"/>
      <c r="V493" s="68" t="n"/>
      <c r="W493" s="69" t="n"/>
      <c r="X493" s="68" t="n"/>
      <c r="Y493" s="69" t="n"/>
      <c r="Z493" s="68" t="n"/>
      <c r="AA493" s="69" t="n"/>
      <c r="AB493" s="68" t="n"/>
      <c r="AC493" s="69" t="n"/>
      <c r="AD493" s="70">
        <f>IF(AND(COUNTIF($B$5:B493,B493)=1,$B493&lt;&gt;"",$AB493&lt;&gt;""),1,0)</f>
        <v/>
      </c>
      <c r="AE493" s="67" t="inlineStr">
        <is>
          <t>https://www.semana.com/deportes/articulo/nestor-lorenzo-no-aguanta-criticas-y-contesto-por-convocatoria-de-colombia-se-quejan/202549/</t>
        </is>
      </c>
      <c r="AF493" s="64" t="n"/>
      <c r="AG493" s="65" t="n"/>
    </row>
    <row r="494" ht="15" customHeight="1" s="31">
      <c r="A494" s="66" t="inlineStr">
        <is>
          <t>ART_088</t>
        </is>
      </c>
      <c r="B494" s="66" t="inlineStr">
        <is>
          <t>ART_088_S03</t>
        </is>
      </c>
      <c r="C494" s="66" t="inlineStr">
        <is>
          <t>Semana</t>
        </is>
      </c>
      <c r="D494" s="66" t="inlineStr">
        <is>
          <t>Deportes</t>
        </is>
      </c>
      <c r="E494" s="66" t="inlineStr">
        <is>
          <t>Noticia dura</t>
        </is>
      </c>
      <c r="F494" s="66" t="inlineStr">
        <is>
          <t>2025-06-05T09:29:08-05:00</t>
        </is>
      </c>
      <c r="G494" s="67" t="inlineStr">
        <is>
          <t>Quien entró a ser el delantero centro que reemplazó a los dos antes mencionados fue el del Almería de España, Luis Suárez.</t>
        </is>
      </c>
      <c r="H494" s="67" t="inlineStr">
        <is>
          <t>Al final, el entrenador nacional, Néstor Lorenzo, tuvo que cambiar más de dos veces los nombres de los citados tras las bajas de Jhon Córdoba, Rafael Santos Borré y Juan Fernando Quintero.</t>
        </is>
      </c>
      <c r="I494" s="67" t="inlineStr">
        <is>
          <t>Sobre el infortunio que fue perder a habituales llamados a su proceso, en la rueda de prensa oficial previa al duelo con Perú el entrenador contestó: “Suele ocurrir.</t>
        </is>
      </c>
      <c r="J494" s="68" t="n"/>
      <c r="K494" s="69" t="n"/>
      <c r="L494" s="68" t="n"/>
      <c r="M494" s="69" t="n"/>
      <c r="N494" s="68" t="n"/>
      <c r="O494" s="69" t="n"/>
      <c r="P494" s="68" t="n"/>
      <c r="Q494" s="69" t="n"/>
      <c r="R494" s="68" t="n"/>
      <c r="S494" s="69" t="n"/>
      <c r="T494" s="68" t="n"/>
      <c r="U494" s="69" t="n"/>
      <c r="V494" s="68" t="n"/>
      <c r="W494" s="69" t="n"/>
      <c r="X494" s="68" t="n"/>
      <c r="Y494" s="69" t="n"/>
      <c r="Z494" s="68" t="n"/>
      <c r="AA494" s="69" t="n"/>
      <c r="AB494" s="68" t="n"/>
      <c r="AC494" s="69" t="n"/>
      <c r="AD494" s="70">
        <f>IF(AND(COUNTIF($B$5:B494,B494)=1,$B494&lt;&gt;"",$AB494&lt;&gt;""),1,0)</f>
        <v/>
      </c>
      <c r="AE494" s="67" t="inlineStr">
        <is>
          <t>https://www.semana.com/deportes/articulo/nestor-lorenzo-no-aguanta-criticas-y-contesto-por-convocatoria-de-colombia-se-quejan/202549/</t>
        </is>
      </c>
      <c r="AF494" s="64" t="n"/>
      <c r="AG494" s="65" t="n"/>
    </row>
    <row r="495" ht="15" customHeight="1" s="31">
      <c r="A495" s="66" t="inlineStr">
        <is>
          <t>ART_088</t>
        </is>
      </c>
      <c r="B495" s="66" t="inlineStr">
        <is>
          <t>ART_088_S04</t>
        </is>
      </c>
      <c r="C495" s="66" t="inlineStr">
        <is>
          <t>Semana</t>
        </is>
      </c>
      <c r="D495" s="66" t="inlineStr">
        <is>
          <t>Deportes</t>
        </is>
      </c>
      <c r="E495" s="66" t="inlineStr">
        <is>
          <t>Noticia dura</t>
        </is>
      </c>
      <c r="F495" s="66" t="inlineStr">
        <is>
          <t>2025-06-05T09:29:08-05:00</t>
        </is>
      </c>
      <c r="G495" s="67" t="inlineStr">
        <is>
          <t>Sobre el infortunio que fue perder a habituales llamados a su proceso, en la rueda de prensa oficial previa al duelo con Perú el entrenador contestó: “Suele ocurrir.</t>
        </is>
      </c>
      <c r="H495" s="67" t="inlineStr">
        <is>
          <t>Quien entró a ser el delantero centro que reemplazó a los dos antes mencionados fue el del Almería de España, Luis Suárez.</t>
        </is>
      </c>
      <c r="I495" s="67" t="inlineStr">
        <is>
          <t>Es final de temporada y es producto de la carga que tienen, sobre todo, los europeos”.</t>
        </is>
      </c>
      <c r="J495" s="68" t="n"/>
      <c r="K495" s="69" t="n"/>
      <c r="L495" s="68" t="n"/>
      <c r="M495" s="69" t="n"/>
      <c r="N495" s="68" t="n"/>
      <c r="O495" s="69" t="n"/>
      <c r="P495" s="68" t="n"/>
      <c r="Q495" s="69" t="n"/>
      <c r="R495" s="68" t="n"/>
      <c r="S495" s="69" t="n"/>
      <c r="T495" s="68" t="n"/>
      <c r="U495" s="69" t="n"/>
      <c r="V495" s="68" t="n"/>
      <c r="W495" s="69" t="n"/>
      <c r="X495" s="68" t="n"/>
      <c r="Y495" s="69" t="n"/>
      <c r="Z495" s="68" t="n"/>
      <c r="AA495" s="69" t="n"/>
      <c r="AB495" s="68" t="n"/>
      <c r="AC495" s="69" t="n"/>
      <c r="AD495" s="70">
        <f>IF(AND(COUNTIF($B$5:B495,B495)=1,$B495&lt;&gt;"",$AB495&lt;&gt;""),1,0)</f>
        <v/>
      </c>
      <c r="AE495" s="67" t="inlineStr">
        <is>
          <t>https://www.semana.com/deportes/articulo/nestor-lorenzo-no-aguanta-criticas-y-contesto-por-convocatoria-de-colombia-se-quejan/202549/</t>
        </is>
      </c>
      <c r="AF495" s="64" t="n"/>
      <c r="AG495" s="65" t="n"/>
    </row>
    <row r="496" ht="15" customHeight="1" s="31">
      <c r="A496" s="66" t="inlineStr">
        <is>
          <t>ART_088</t>
        </is>
      </c>
      <c r="B496" s="66" t="inlineStr">
        <is>
          <t>ART_088_S05</t>
        </is>
      </c>
      <c r="C496" s="66" t="inlineStr">
        <is>
          <t>Semana</t>
        </is>
      </c>
      <c r="D496" s="66" t="inlineStr">
        <is>
          <t>Deportes</t>
        </is>
      </c>
      <c r="E496" s="66" t="inlineStr">
        <is>
          <t>Noticia dura</t>
        </is>
      </c>
      <c r="F496" s="66" t="inlineStr">
        <is>
          <t>2025-06-05T09:29:08-05:00</t>
        </is>
      </c>
      <c r="G496" s="67" t="inlineStr">
        <is>
          <t>Es final de temporada y es producto de la carga que tienen, sobre todo, los europeos”.</t>
        </is>
      </c>
      <c r="H496" s="67" t="inlineStr">
        <is>
          <t>Sobre el infortunio que fue perder a habituales llamados a su proceso, en la rueda de prensa oficial previa al duelo con Perú el entrenador contestó: “Suele ocurrir.</t>
        </is>
      </c>
      <c r="I496" s="67" t="inlineStr">
        <is>
          <t>Después de eso, dio mirada a las críticas que cayeron sobre el llamado a última hora de Suárez, el cual no fue bien recibido por un sector del aficionado, pues se presionaba más era por la presencia de Dayro Moreno.</t>
        </is>
      </c>
      <c r="J496" s="68" t="n"/>
      <c r="K496" s="69" t="n"/>
      <c r="L496" s="68" t="n"/>
      <c r="M496" s="69" t="n"/>
      <c r="N496" s="68" t="n"/>
      <c r="O496" s="69" t="n"/>
      <c r="P496" s="68" t="n"/>
      <c r="Q496" s="69" t="n"/>
      <c r="R496" s="68" t="n"/>
      <c r="S496" s="69" t="n"/>
      <c r="T496" s="68" t="n"/>
      <c r="U496" s="69" t="n"/>
      <c r="V496" s="68" t="n"/>
      <c r="W496" s="69" t="n"/>
      <c r="X496" s="68" t="n"/>
      <c r="Y496" s="69" t="n"/>
      <c r="Z496" s="68" t="n"/>
      <c r="AA496" s="69" t="n"/>
      <c r="AB496" s="68" t="n"/>
      <c r="AC496" s="69" t="n"/>
      <c r="AD496" s="70">
        <f>IF(AND(COUNTIF($B$5:B496,B496)=1,$B496&lt;&gt;"",$AB496&lt;&gt;""),1,0)</f>
        <v/>
      </c>
      <c r="AE496" s="67" t="inlineStr">
        <is>
          <t>https://www.semana.com/deportes/articulo/nestor-lorenzo-no-aguanta-criticas-y-contesto-por-convocatoria-de-colombia-se-quejan/202549/</t>
        </is>
      </c>
      <c r="AF496" s="64" t="n"/>
      <c r="AG496" s="65" t="n"/>
    </row>
    <row r="497" ht="15" customHeight="1" s="31">
      <c r="A497" s="66" t="inlineStr">
        <is>
          <t>ART_088</t>
        </is>
      </c>
      <c r="B497" s="66" t="inlineStr">
        <is>
          <t>ART_088_S06</t>
        </is>
      </c>
      <c r="C497" s="66" t="inlineStr">
        <is>
          <t>Semana</t>
        </is>
      </c>
      <c r="D497" s="66" t="inlineStr">
        <is>
          <t>Deportes</t>
        </is>
      </c>
      <c r="E497" s="66" t="inlineStr">
        <is>
          <t>Noticia dura</t>
        </is>
      </c>
      <c r="F497" s="66" t="inlineStr">
        <is>
          <t>2025-06-05T09:29:08-05:00</t>
        </is>
      </c>
      <c r="G497" s="67" t="inlineStr">
        <is>
          <t>Después de eso, dio mirada a las críticas que cayeron sobre el llamado a última hora de Suárez, el cual no fue bien recibido por un sector del aficionado, pues se presionaba más era por la presencia de Dayro Moreno.</t>
        </is>
      </c>
      <c r="H497" s="67" t="inlineStr">
        <is>
          <t>Es final de temporada y es producto de la carga que tienen, sobre todo, los europeos”.</t>
        </is>
      </c>
      <c r="I497" s="67" t="inlineStr">
        <is>
          <t>“Cuando decimos que tenemos 50-55 bloqueados es lo que sucede.</t>
        </is>
      </c>
      <c r="J497" s="68" t="n"/>
      <c r="K497" s="69" t="n"/>
      <c r="L497" s="68" t="n"/>
      <c r="M497" s="69" t="n"/>
      <c r="N497" s="68" t="n"/>
      <c r="O497" s="69" t="n"/>
      <c r="P497" s="68" t="n"/>
      <c r="Q497" s="69" t="n"/>
      <c r="R497" s="68" t="n"/>
      <c r="S497" s="69" t="n"/>
      <c r="T497" s="68" t="n"/>
      <c r="U497" s="69" t="n"/>
      <c r="V497" s="68" t="n"/>
      <c r="W497" s="69" t="n"/>
      <c r="X497" s="68" t="n"/>
      <c r="Y497" s="69" t="n"/>
      <c r="Z497" s="68" t="n"/>
      <c r="AA497" s="69" t="n"/>
      <c r="AB497" s="68" t="n"/>
      <c r="AC497" s="69" t="n"/>
      <c r="AD497" s="70">
        <f>IF(AND(COUNTIF($B$5:B497,B497)=1,$B497&lt;&gt;"",$AB497&lt;&gt;""),1,0)</f>
        <v/>
      </c>
      <c r="AE497" s="67" t="inlineStr">
        <is>
          <t>https://www.semana.com/deportes/articulo/nestor-lorenzo-no-aguanta-criticas-y-contesto-por-convocatoria-de-colombia-se-quejan/202549/</t>
        </is>
      </c>
      <c r="AF497" s="64" t="n"/>
      <c r="AG497" s="65" t="n"/>
    </row>
    <row r="498" ht="15" customHeight="1" s="31">
      <c r="A498" s="66" t="inlineStr">
        <is>
          <t>ART_088</t>
        </is>
      </c>
      <c r="B498" s="66" t="inlineStr">
        <is>
          <t>ART_088_S07</t>
        </is>
      </c>
      <c r="C498" s="66" t="inlineStr">
        <is>
          <t>Semana</t>
        </is>
      </c>
      <c r="D498" s="66" t="inlineStr">
        <is>
          <t>Deportes</t>
        </is>
      </c>
      <c r="E498" s="66" t="inlineStr">
        <is>
          <t>Noticia dura</t>
        </is>
      </c>
      <c r="F498" s="66" t="inlineStr">
        <is>
          <t>2025-06-05T09:29:08-05:00</t>
        </is>
      </c>
      <c r="G498" s="67" t="inlineStr">
        <is>
          <t>“Cuando decimos que tenemos 50-55 bloqueados es lo que sucede.</t>
        </is>
      </c>
      <c r="H498" s="67" t="inlineStr">
        <is>
          <t>Después de eso, dio mirada a las críticas que cayeron sobre el llamado a última hora de Suárez, el cual no fue bien recibido por un sector del aficionado, pues se presionaba más era por la presencia de Dayro Moreno.</t>
        </is>
      </c>
      <c r="I498" s="67" t="inlineStr">
        <is>
          <t>A veces los clubes o los jugadores mismos se quejan de que se bloquean, pero no se traen, y ahora se traen y se quejan”, contestó a las críticas Lorenzo.</t>
        </is>
      </c>
      <c r="J498" s="68" t="n"/>
      <c r="K498" s="69" t="n"/>
      <c r="L498" s="68" t="n"/>
      <c r="M498" s="69" t="n"/>
      <c r="N498" s="68" t="n"/>
      <c r="O498" s="69" t="n"/>
      <c r="P498" s="68" t="n"/>
      <c r="Q498" s="69" t="n"/>
      <c r="R498" s="68" t="n"/>
      <c r="S498" s="69" t="n"/>
      <c r="T498" s="68" t="n"/>
      <c r="U498" s="69" t="n"/>
      <c r="V498" s="68" t="n"/>
      <c r="W498" s="69" t="n"/>
      <c r="X498" s="68" t="n"/>
      <c r="Y498" s="69" t="n"/>
      <c r="Z498" s="68" t="n"/>
      <c r="AA498" s="69" t="n"/>
      <c r="AB498" s="68" t="n"/>
      <c r="AC498" s="69" t="n"/>
      <c r="AD498" s="70">
        <f>IF(AND(COUNTIF($B$5:B498,B498)=1,$B498&lt;&gt;"",$AB498&lt;&gt;""),1,0)</f>
        <v/>
      </c>
      <c r="AE498" s="67" t="inlineStr">
        <is>
          <t>https://www.semana.com/deportes/articulo/nestor-lorenzo-no-aguanta-criticas-y-contesto-por-convocatoria-de-colombia-se-quejan/202549/</t>
        </is>
      </c>
      <c r="AF498" s="64" t="n"/>
      <c r="AG498" s="65" t="n"/>
    </row>
    <row r="499" ht="15" customHeight="1" s="31">
      <c r="A499" s="66" t="inlineStr">
        <is>
          <t>ART_088</t>
        </is>
      </c>
      <c r="B499" s="66" t="inlineStr">
        <is>
          <t>ART_088_S08</t>
        </is>
      </c>
      <c r="C499" s="66" t="inlineStr">
        <is>
          <t>Semana</t>
        </is>
      </c>
      <c r="D499" s="66" t="inlineStr">
        <is>
          <t>Deportes</t>
        </is>
      </c>
      <c r="E499" s="66" t="inlineStr">
        <is>
          <t>Noticia dura</t>
        </is>
      </c>
      <c r="F499" s="66" t="inlineStr">
        <is>
          <t>2025-06-05T09:29:08-05:00</t>
        </is>
      </c>
      <c r="G499" s="67" t="inlineStr">
        <is>
          <t>A veces los clubes o los jugadores mismos se quejan de que se bloquean, pero no se traen, y ahora se traen y se quejan”, contestó a las críticas Lorenzo.</t>
        </is>
      </c>
      <c r="H499" s="67" t="inlineStr">
        <is>
          <t>“Cuando decimos que tenemos 50-55 bloqueados es lo que sucede.</t>
        </is>
      </c>
      <c r="I499" s="67" t="inlineStr">
        <is>
          <t>Sobre el haber tenido que sumarlo al grupo de manera fugaz, no vio problema alguno a ello y lo defendió así.</t>
        </is>
      </c>
      <c r="J499" s="68" t="n"/>
      <c r="K499" s="69" t="n"/>
      <c r="L499" s="68" t="n"/>
      <c r="M499" s="69" t="n"/>
      <c r="N499" s="68" t="n"/>
      <c r="O499" s="69" t="n"/>
      <c r="P499" s="68" t="n"/>
      <c r="Q499" s="69" t="n"/>
      <c r="R499" s="68" t="n"/>
      <c r="S499" s="69" t="n"/>
      <c r="T499" s="68" t="n"/>
      <c r="U499" s="69" t="n"/>
      <c r="V499" s="68" t="n"/>
      <c r="W499" s="69" t="n"/>
      <c r="X499" s="68" t="n"/>
      <c r="Y499" s="69" t="n"/>
      <c r="Z499" s="68" t="n"/>
      <c r="AA499" s="69" t="n"/>
      <c r="AB499" s="68" t="n"/>
      <c r="AC499" s="69" t="n"/>
      <c r="AD499" s="70">
        <f>IF(AND(COUNTIF($B$5:B499,B499)=1,$B499&lt;&gt;"",$AB499&lt;&gt;""),1,0)</f>
        <v/>
      </c>
      <c r="AE499" s="67" t="inlineStr">
        <is>
          <t>https://www.semana.com/deportes/articulo/nestor-lorenzo-no-aguanta-criticas-y-contesto-por-convocatoria-de-colombia-se-quejan/202549/</t>
        </is>
      </c>
      <c r="AF499" s="64" t="n"/>
      <c r="AG499" s="65" t="n"/>
    </row>
    <row r="500" ht="15" customHeight="1" s="31">
      <c r="A500" s="66" t="inlineStr">
        <is>
          <t>ART_088</t>
        </is>
      </c>
      <c r="B500" s="66" t="inlineStr">
        <is>
          <t>ART_088_S09</t>
        </is>
      </c>
      <c r="C500" s="66" t="inlineStr">
        <is>
          <t>Semana</t>
        </is>
      </c>
      <c r="D500" s="66" t="inlineStr">
        <is>
          <t>Deportes</t>
        </is>
      </c>
      <c r="E500" s="66" t="inlineStr">
        <is>
          <t>Noticia dura</t>
        </is>
      </c>
      <c r="F500" s="66" t="inlineStr">
        <is>
          <t>2025-06-05T09:29:08-05:00</t>
        </is>
      </c>
      <c r="G500" s="67" t="inlineStr">
        <is>
          <t>Sobre el haber tenido que sumarlo al grupo de manera fugaz, no vio problema alguno a ello y lo defendió así.</t>
        </is>
      </c>
      <c r="H500" s="67" t="inlineStr">
        <is>
          <t>A veces los clubes o los jugadores mismos se quejan de que se bloquean, pero no se traen, y ahora se traen y se quejan”, contestó a las críticas Lorenzo.</t>
        </is>
      </c>
      <c r="I500" s="67" t="inlineStr">
        <is>
          <t>“El jugador está contento de haber venido.</t>
        </is>
      </c>
      <c r="J500" s="68" t="n"/>
      <c r="K500" s="69" t="n"/>
      <c r="L500" s="68" t="n"/>
      <c r="M500" s="69" t="n"/>
      <c r="N500" s="68" t="n"/>
      <c r="O500" s="69" t="n"/>
      <c r="P500" s="68" t="n"/>
      <c r="Q500" s="69" t="n"/>
      <c r="R500" s="68" t="n"/>
      <c r="S500" s="69" t="n"/>
      <c r="T500" s="68" t="n"/>
      <c r="U500" s="69" t="n"/>
      <c r="V500" s="68" t="n"/>
      <c r="W500" s="69" t="n"/>
      <c r="X500" s="68" t="n"/>
      <c r="Y500" s="69" t="n"/>
      <c r="Z500" s="68" t="n"/>
      <c r="AA500" s="69" t="n"/>
      <c r="AB500" s="68" t="n"/>
      <c r="AC500" s="69" t="n"/>
      <c r="AD500" s="70">
        <f>IF(AND(COUNTIF($B$5:B500,B500)=1,$B500&lt;&gt;"",$AB500&lt;&gt;""),1,0)</f>
        <v/>
      </c>
      <c r="AE500" s="67" t="inlineStr">
        <is>
          <t>https://www.semana.com/deportes/articulo/nestor-lorenzo-no-aguanta-criticas-y-contesto-por-convocatoria-de-colombia-se-quejan/202549/</t>
        </is>
      </c>
      <c r="AF500" s="64" t="n"/>
      <c r="AG500" s="65" t="n"/>
    </row>
    <row r="501" ht="15" customHeight="1" s="31">
      <c r="A501" s="66" t="inlineStr">
        <is>
          <t>ART_088</t>
        </is>
      </c>
      <c r="B501" s="66" t="inlineStr">
        <is>
          <t>ART_088_S10</t>
        </is>
      </c>
      <c r="C501" s="66" t="inlineStr">
        <is>
          <t>Semana</t>
        </is>
      </c>
      <c r="D501" s="66" t="inlineStr">
        <is>
          <t>Deportes</t>
        </is>
      </c>
      <c r="E501" s="66" t="inlineStr">
        <is>
          <t>Noticia dura</t>
        </is>
      </c>
      <c r="F501" s="66" t="inlineStr">
        <is>
          <t>2025-06-05T09:29:08-05:00</t>
        </is>
      </c>
      <c r="G501" s="67" t="inlineStr">
        <is>
          <t>“El jugador está contento de haber venido.</t>
        </is>
      </c>
      <c r="H501" s="67" t="inlineStr">
        <is>
          <t>Sobre el haber tenido que sumarlo al grupo de manera fugaz, no vio problema alguno a ello y lo defendió así.</t>
        </is>
      </c>
      <c r="I501" s="67" t="inlineStr">
        <is>
          <t>No estaba previsto, pero las cosas sucedieron y creemos es el indicado”.</t>
        </is>
      </c>
      <c r="J501" s="68" t="n"/>
      <c r="K501" s="69" t="n"/>
      <c r="L501" s="68" t="n"/>
      <c r="M501" s="69" t="n"/>
      <c r="N501" s="68" t="n"/>
      <c r="O501" s="69" t="n"/>
      <c r="P501" s="68" t="n"/>
      <c r="Q501" s="69" t="n"/>
      <c r="R501" s="68" t="n"/>
      <c r="S501" s="69" t="n"/>
      <c r="T501" s="68" t="n"/>
      <c r="U501" s="69" t="n"/>
      <c r="V501" s="68" t="n"/>
      <c r="W501" s="69" t="n"/>
      <c r="X501" s="68" t="n"/>
      <c r="Y501" s="69" t="n"/>
      <c r="Z501" s="68" t="n"/>
      <c r="AA501" s="69" t="n"/>
      <c r="AB501" s="68" t="n"/>
      <c r="AC501" s="69" t="n"/>
      <c r="AD501" s="70">
        <f>IF(AND(COUNTIF($B$5:B501,B501)=1,$B501&lt;&gt;"",$AB501&lt;&gt;""),1,0)</f>
        <v/>
      </c>
      <c r="AE501" s="67" t="inlineStr">
        <is>
          <t>https://www.semana.com/deportes/articulo/nestor-lorenzo-no-aguanta-criticas-y-contesto-por-convocatoria-de-colombia-se-quejan/202549/</t>
        </is>
      </c>
      <c r="AF501" s="64" t="n"/>
      <c r="AG501" s="65" t="n"/>
    </row>
    <row r="502" ht="15" customHeight="1" s="31">
      <c r="A502" s="66" t="inlineStr">
        <is>
          <t>ART_088</t>
        </is>
      </c>
      <c r="B502" s="66" t="inlineStr">
        <is>
          <t>ART_088_S11</t>
        </is>
      </c>
      <c r="C502" s="66" t="inlineStr">
        <is>
          <t>Semana</t>
        </is>
      </c>
      <c r="D502" s="66" t="inlineStr">
        <is>
          <t>Deportes</t>
        </is>
      </c>
      <c r="E502" s="66" t="inlineStr">
        <is>
          <t>Noticia dura</t>
        </is>
      </c>
      <c r="F502" s="66" t="inlineStr">
        <is>
          <t>2025-06-05T09:29:08-05:00</t>
        </is>
      </c>
      <c r="G502" s="67" t="inlineStr">
        <is>
          <t>No estaba previsto, pero las cosas sucedieron y creemos es el indicado”.</t>
        </is>
      </c>
      <c r="H502" s="67" t="inlineStr">
        <is>
          <t>“El jugador está contento de haber venido.</t>
        </is>
      </c>
      <c r="I502" s="67" t="inlineStr">
        <is>
          <t>De lo que ha sido un ambiente tenso en los meses previos al juego del viernes sumó: “No es que queramos que nos aplaudan siempre.</t>
        </is>
      </c>
      <c r="J502" s="68" t="n"/>
      <c r="K502" s="69" t="n"/>
      <c r="L502" s="68" t="n"/>
      <c r="M502" s="69" t="n"/>
      <c r="N502" s="68" t="n"/>
      <c r="O502" s="69" t="n"/>
      <c r="P502" s="68" t="n"/>
      <c r="Q502" s="69" t="n"/>
      <c r="R502" s="68" t="n"/>
      <c r="S502" s="69" t="n"/>
      <c r="T502" s="68" t="n"/>
      <c r="U502" s="69" t="n"/>
      <c r="V502" s="68" t="n"/>
      <c r="W502" s="69" t="n"/>
      <c r="X502" s="68" t="n"/>
      <c r="Y502" s="69" t="n"/>
      <c r="Z502" s="68" t="n"/>
      <c r="AA502" s="69" t="n"/>
      <c r="AB502" s="68" t="n"/>
      <c r="AC502" s="69" t="n"/>
      <c r="AD502" s="70">
        <f>IF(AND(COUNTIF($B$5:B502,B502)=1,$B502&lt;&gt;"",$AB502&lt;&gt;""),1,0)</f>
        <v/>
      </c>
      <c r="AE502" s="67" t="inlineStr">
        <is>
          <t>https://www.semana.com/deportes/articulo/nestor-lorenzo-no-aguanta-criticas-y-contesto-por-convocatoria-de-colombia-se-quejan/202549/</t>
        </is>
      </c>
      <c r="AF502" s="64" t="n"/>
      <c r="AG502" s="65" t="n"/>
    </row>
    <row r="503" ht="15" customHeight="1" s="31">
      <c r="A503" s="66" t="inlineStr">
        <is>
          <t>ART_088</t>
        </is>
      </c>
      <c r="B503" s="66" t="inlineStr">
        <is>
          <t>ART_088_S12</t>
        </is>
      </c>
      <c r="C503" s="66" t="inlineStr">
        <is>
          <t>Semana</t>
        </is>
      </c>
      <c r="D503" s="66" t="inlineStr">
        <is>
          <t>Deportes</t>
        </is>
      </c>
      <c r="E503" s="66" t="inlineStr">
        <is>
          <t>Noticia dura</t>
        </is>
      </c>
      <c r="F503" s="66" t="inlineStr">
        <is>
          <t>2025-06-05T09:29:08-05:00</t>
        </is>
      </c>
      <c r="G503" s="67" t="inlineStr">
        <is>
          <t>De lo que ha sido un ambiente tenso en los meses previos al juego del viernes sumó: “No es que queramos que nos aplaudan siempre.</t>
        </is>
      </c>
      <c r="H503" s="67" t="inlineStr">
        <is>
          <t>No estaba previsto, pero las cosas sucedieron y creemos es el indicado”.</t>
        </is>
      </c>
      <c r="I503" s="67" t="inlineStr"/>
      <c r="J503" s="68" t="n"/>
      <c r="K503" s="69" t="n"/>
      <c r="L503" s="68" t="n"/>
      <c r="M503" s="69" t="n"/>
      <c r="N503" s="68" t="n"/>
      <c r="O503" s="69" t="n"/>
      <c r="P503" s="68" t="n"/>
      <c r="Q503" s="69" t="n"/>
      <c r="R503" s="68" t="n"/>
      <c r="S503" s="69" t="n"/>
      <c r="T503" s="68" t="n"/>
      <c r="U503" s="69" t="n"/>
      <c r="V503" s="68" t="n"/>
      <c r="W503" s="69" t="n"/>
      <c r="X503" s="68" t="n"/>
      <c r="Y503" s="69" t="n"/>
      <c r="Z503" s="68" t="n"/>
      <c r="AA503" s="69" t="n"/>
      <c r="AB503" s="68" t="n"/>
      <c r="AC503" s="69" t="n"/>
      <c r="AD503" s="70">
        <f>IF(AND(COUNTIF($B$5:B503,B503)=1,$B503&lt;&gt;"",$AB503&lt;&gt;""),1,0)</f>
        <v/>
      </c>
      <c r="AE503" s="67" t="inlineStr">
        <is>
          <t>https://www.semana.com/deportes/articulo/nestor-lorenzo-no-aguanta-criticas-y-contesto-por-convocatoria-de-colombia-se-quejan/202549/</t>
        </is>
      </c>
      <c r="AF503" s="64" t="n"/>
      <c r="AG503" s="65" t="n"/>
    </row>
    <row r="504" ht="15" customHeight="1" s="31">
      <c r="A504" s="66" t="inlineStr">
        <is>
          <t>ART_089</t>
        </is>
      </c>
      <c r="B504" s="66" t="inlineStr">
        <is>
          <t>ART_089_S01</t>
        </is>
      </c>
      <c r="C504" s="66" t="inlineStr">
        <is>
          <t>Semana</t>
        </is>
      </c>
      <c r="D504" s="66" t="inlineStr">
        <is>
          <t>Deportes</t>
        </is>
      </c>
      <c r="E504" s="66" t="inlineStr">
        <is>
          <t>Noticia dura</t>
        </is>
      </c>
      <c r="F504" s="66" t="inlineStr">
        <is>
          <t>2026-05-25T12:55:54-05:00</t>
        </is>
      </c>
      <c r="G504" s="67" t="inlineStr">
        <is>
          <t>Sebastián Villa encontró cerradas las puertas de la Selección Colombia.</t>
        </is>
      </c>
      <c r="H504" s="67" t="inlineStr"/>
      <c r="I504" s="67" t="inlineStr"/>
      <c r="J504" s="68" t="n"/>
      <c r="K504" s="69" t="n"/>
      <c r="L504" s="68" t="n"/>
      <c r="M504" s="69" t="n"/>
      <c r="N504" s="68" t="n"/>
      <c r="O504" s="69" t="n"/>
      <c r="P504" s="68" t="n"/>
      <c r="Q504" s="69" t="n"/>
      <c r="R504" s="68" t="n"/>
      <c r="S504" s="69" t="n"/>
      <c r="T504" s="68" t="n"/>
      <c r="U504" s="69" t="n"/>
      <c r="V504" s="68" t="n"/>
      <c r="W504" s="69" t="n"/>
      <c r="X504" s="68" t="n"/>
      <c r="Y504" s="69" t="n"/>
      <c r="Z504" s="68" t="n"/>
      <c r="AA504" s="69" t="n"/>
      <c r="AB504" s="68" t="n"/>
      <c r="AC504" s="69" t="n"/>
      <c r="AD504" s="70">
        <f>IF(AND(COUNTIF($B$5:B504,B504)=1,$B504&lt;&gt;"",$AB504&lt;&gt;""),1,0)</f>
        <v/>
      </c>
      <c r="AE504" s="67" t="inlineStr">
        <is>
          <t>https://www.semana.com/deportes/articulo/asi-fue-el-portazo-de-la-seleccion-colombia-contra-sebastian-villa-escandalo-judicial-le-peso/202654/</t>
        </is>
      </c>
      <c r="AF504" s="64" t="n"/>
      <c r="AG504" s="65" t="n"/>
    </row>
    <row r="505" ht="15" customHeight="1" s="31">
      <c r="A505" s="66" t="n"/>
      <c r="B505" s="66" t="n"/>
      <c r="C505" s="66" t="n"/>
      <c r="D505" s="66" t="n"/>
      <c r="E505" s="66" t="n"/>
      <c r="F505" s="66" t="n"/>
      <c r="G505" s="67" t="n"/>
      <c r="H505" s="67" t="n"/>
      <c r="I505" s="67" t="n"/>
      <c r="J505" s="68" t="n"/>
      <c r="K505" s="69" t="n"/>
      <c r="L505" s="68" t="n"/>
      <c r="M505" s="69" t="n"/>
      <c r="N505" s="68" t="n"/>
      <c r="O505" s="69" t="n"/>
      <c r="P505" s="68" t="n"/>
      <c r="Q505" s="69" t="n"/>
      <c r="R505" s="68" t="n"/>
      <c r="S505" s="69" t="n"/>
      <c r="T505" s="68" t="n"/>
      <c r="U505" s="69" t="n"/>
      <c r="V505" s="68" t="n"/>
      <c r="W505" s="69" t="n"/>
      <c r="X505" s="68" t="n"/>
      <c r="Y505" s="69" t="n"/>
      <c r="Z505" s="68" t="n"/>
      <c r="AA505" s="69" t="n"/>
      <c r="AB505" s="68" t="n"/>
      <c r="AC505" s="69" t="n"/>
      <c r="AD505" s="70">
        <f>IF(AND(COUNTIF($B$5:B505,B505)=1,$B505&lt;&gt;"",$AB505&lt;&gt;""),1,0)</f>
        <v/>
      </c>
      <c r="AE505" s="67" t="n"/>
      <c r="AF505" s="64" t="n"/>
      <c r="AG505" s="65" t="n"/>
    </row>
    <row r="506" ht="15" customHeight="1" s="31">
      <c r="A506" s="66" t="n"/>
      <c r="B506" s="66" t="n"/>
      <c r="C506" s="66" t="n"/>
      <c r="D506" s="66" t="n"/>
      <c r="E506" s="66" t="n"/>
      <c r="F506" s="66" t="n"/>
      <c r="G506" s="67" t="n"/>
      <c r="H506" s="67" t="n"/>
      <c r="I506" s="67" t="n"/>
      <c r="J506" s="68" t="n"/>
      <c r="K506" s="69" t="n"/>
      <c r="L506" s="68" t="n"/>
      <c r="M506" s="69" t="n"/>
      <c r="N506" s="68" t="n"/>
      <c r="O506" s="69" t="n"/>
      <c r="P506" s="68" t="n"/>
      <c r="Q506" s="69" t="n"/>
      <c r="R506" s="68" t="n"/>
      <c r="S506" s="69" t="n"/>
      <c r="T506" s="68" t="n"/>
      <c r="U506" s="69" t="n"/>
      <c r="V506" s="68" t="n"/>
      <c r="W506" s="69" t="n"/>
      <c r="X506" s="68" t="n"/>
      <c r="Y506" s="69" t="n"/>
      <c r="Z506" s="68" t="n"/>
      <c r="AA506" s="69" t="n"/>
      <c r="AB506" s="68" t="n"/>
      <c r="AC506" s="69" t="n"/>
      <c r="AD506" s="70">
        <f>IF(AND(COUNTIF($B$5:B506,B506)=1,$B506&lt;&gt;"",$AB506&lt;&gt;""),1,0)</f>
        <v/>
      </c>
      <c r="AE506" s="67" t="n"/>
      <c r="AF506" s="64" t="n"/>
      <c r="AG506" s="65" t="n"/>
    </row>
    <row r="507" ht="15" customHeight="1" s="31">
      <c r="A507" s="66" t="n"/>
      <c r="B507" s="66" t="n"/>
      <c r="C507" s="66" t="n"/>
      <c r="D507" s="66" t="n"/>
      <c r="E507" s="66" t="n"/>
      <c r="F507" s="66" t="n"/>
      <c r="G507" s="67" t="n"/>
      <c r="H507" s="67" t="n"/>
      <c r="I507" s="67" t="n"/>
      <c r="J507" s="68" t="n"/>
      <c r="K507" s="69" t="n"/>
      <c r="L507" s="68" t="n"/>
      <c r="M507" s="69" t="n"/>
      <c r="N507" s="68" t="n"/>
      <c r="O507" s="69" t="n"/>
      <c r="P507" s="68" t="n"/>
      <c r="Q507" s="69" t="n"/>
      <c r="R507" s="68" t="n"/>
      <c r="S507" s="69" t="n"/>
      <c r="T507" s="68" t="n"/>
      <c r="U507" s="69" t="n"/>
      <c r="V507" s="68" t="n"/>
      <c r="W507" s="69" t="n"/>
      <c r="X507" s="68" t="n"/>
      <c r="Y507" s="69" t="n"/>
      <c r="Z507" s="68" t="n"/>
      <c r="AA507" s="69" t="n"/>
      <c r="AB507" s="68" t="n"/>
      <c r="AC507" s="69" t="n"/>
      <c r="AD507" s="70">
        <f>IF(AND(COUNTIF($B$5:B507,B507)=1,$B507&lt;&gt;"",$AB507&lt;&gt;""),1,0)</f>
        <v/>
      </c>
      <c r="AE507" s="67" t="n"/>
      <c r="AF507" s="64" t="n"/>
      <c r="AG507" s="65" t="n"/>
    </row>
    <row r="508" ht="15" customHeight="1" s="31">
      <c r="A508" s="66" t="n"/>
      <c r="B508" s="66" t="n"/>
      <c r="C508" s="66" t="n"/>
      <c r="D508" s="66" t="n"/>
      <c r="E508" s="66" t="n"/>
      <c r="F508" s="66" t="n"/>
      <c r="G508" s="67" t="n"/>
      <c r="H508" s="67" t="n"/>
      <c r="I508" s="67" t="n"/>
      <c r="J508" s="68" t="n"/>
      <c r="K508" s="69" t="n"/>
      <c r="L508" s="68" t="n"/>
      <c r="M508" s="69" t="n"/>
      <c r="N508" s="68" t="n"/>
      <c r="O508" s="69" t="n"/>
      <c r="P508" s="68" t="n"/>
      <c r="Q508" s="69" t="n"/>
      <c r="R508" s="68" t="n"/>
      <c r="S508" s="69" t="n"/>
      <c r="T508" s="68" t="n"/>
      <c r="U508" s="69" t="n"/>
      <c r="V508" s="68" t="n"/>
      <c r="W508" s="69" t="n"/>
      <c r="X508" s="68" t="n"/>
      <c r="Y508" s="69" t="n"/>
      <c r="Z508" s="68" t="n"/>
      <c r="AA508" s="69" t="n"/>
      <c r="AB508" s="68" t="n"/>
      <c r="AC508" s="69" t="n"/>
      <c r="AD508" s="70">
        <f>IF(AND(COUNTIF($B$5:B508,B508)=1,$B508&lt;&gt;"",$AB508&lt;&gt;""),1,0)</f>
        <v/>
      </c>
      <c r="AE508" s="67" t="n"/>
      <c r="AF508" s="64" t="n"/>
      <c r="AG508" s="65" t="n"/>
    </row>
    <row r="509" ht="15" customHeight="1" s="31">
      <c r="A509" s="66" t="n"/>
      <c r="B509" s="66" t="n"/>
      <c r="C509" s="66" t="n"/>
      <c r="D509" s="66" t="n"/>
      <c r="E509" s="66" t="n"/>
      <c r="F509" s="66" t="n"/>
      <c r="G509" s="67" t="n"/>
      <c r="H509" s="67" t="n"/>
      <c r="I509" s="67" t="n"/>
      <c r="J509" s="68" t="n"/>
      <c r="K509" s="69" t="n"/>
      <c r="L509" s="68" t="n"/>
      <c r="M509" s="69" t="n"/>
      <c r="N509" s="68" t="n"/>
      <c r="O509" s="69" t="n"/>
      <c r="P509" s="68" t="n"/>
      <c r="Q509" s="69" t="n"/>
      <c r="R509" s="68" t="n"/>
      <c r="S509" s="69" t="n"/>
      <c r="T509" s="68" t="n"/>
      <c r="U509" s="69" t="n"/>
      <c r="V509" s="68" t="n"/>
      <c r="W509" s="69" t="n"/>
      <c r="X509" s="68" t="n"/>
      <c r="Y509" s="69" t="n"/>
      <c r="Z509" s="68" t="n"/>
      <c r="AA509" s="69" t="n"/>
      <c r="AB509" s="68" t="n"/>
      <c r="AC509" s="69" t="n"/>
      <c r="AD509" s="70">
        <f>IF(AND(COUNTIF($B$5:B509,B509)=1,$B509&lt;&gt;"",$AB509&lt;&gt;""),1,0)</f>
        <v/>
      </c>
      <c r="AE509" s="67" t="n"/>
      <c r="AF509" s="64" t="n"/>
      <c r="AG509" s="65" t="n"/>
    </row>
    <row r="510" ht="15" customHeight="1" s="31">
      <c r="A510" s="66" t="n"/>
      <c r="B510" s="66" t="n"/>
      <c r="C510" s="66" t="n"/>
      <c r="D510" s="66" t="n"/>
      <c r="E510" s="66" t="n"/>
      <c r="F510" s="66" t="n"/>
      <c r="G510" s="67" t="n"/>
      <c r="H510" s="67" t="n"/>
      <c r="I510" s="67" t="n"/>
      <c r="J510" s="68" t="n"/>
      <c r="K510" s="69" t="n"/>
      <c r="L510" s="68" t="n"/>
      <c r="M510" s="69" t="n"/>
      <c r="N510" s="68" t="n"/>
      <c r="O510" s="69" t="n"/>
      <c r="P510" s="68" t="n"/>
      <c r="Q510" s="69" t="n"/>
      <c r="R510" s="68" t="n"/>
      <c r="S510" s="69" t="n"/>
      <c r="T510" s="68" t="n"/>
      <c r="U510" s="69" t="n"/>
      <c r="V510" s="68" t="n"/>
      <c r="W510" s="69" t="n"/>
      <c r="X510" s="68" t="n"/>
      <c r="Y510" s="69" t="n"/>
      <c r="Z510" s="68" t="n"/>
      <c r="AA510" s="69" t="n"/>
      <c r="AB510" s="68" t="n"/>
      <c r="AC510" s="69" t="n"/>
      <c r="AD510" s="70">
        <f>IF(AND(COUNTIF($B$5:B510,B510)=1,$B510&lt;&gt;"",$AB510&lt;&gt;""),1,0)</f>
        <v/>
      </c>
      <c r="AE510" s="67" t="n"/>
      <c r="AF510" s="64" t="n"/>
      <c r="AG510" s="65" t="n"/>
    </row>
    <row r="511" ht="15" customHeight="1" s="31">
      <c r="A511" s="66" t="n"/>
      <c r="B511" s="66" t="n"/>
      <c r="C511" s="66" t="n"/>
      <c r="D511" s="66" t="n"/>
      <c r="E511" s="66" t="n"/>
      <c r="F511" s="66" t="n"/>
      <c r="G511" s="67" t="n"/>
      <c r="H511" s="67" t="n"/>
      <c r="I511" s="67" t="n"/>
      <c r="J511" s="68" t="n"/>
      <c r="K511" s="69" t="n"/>
      <c r="L511" s="68" t="n"/>
      <c r="M511" s="69" t="n"/>
      <c r="N511" s="68" t="n"/>
      <c r="O511" s="69" t="n"/>
      <c r="P511" s="68" t="n"/>
      <c r="Q511" s="69" t="n"/>
      <c r="R511" s="68" t="n"/>
      <c r="S511" s="69" t="n"/>
      <c r="T511" s="68" t="n"/>
      <c r="U511" s="69" t="n"/>
      <c r="V511" s="68" t="n"/>
      <c r="W511" s="69" t="n"/>
      <c r="X511" s="68" t="n"/>
      <c r="Y511" s="69" t="n"/>
      <c r="Z511" s="68" t="n"/>
      <c r="AA511" s="69" t="n"/>
      <c r="AB511" s="68" t="n"/>
      <c r="AC511" s="69" t="n"/>
      <c r="AD511" s="70">
        <f>IF(AND(COUNTIF($B$5:B511,B511)=1,$B511&lt;&gt;"",$AB511&lt;&gt;""),1,0)</f>
        <v/>
      </c>
      <c r="AE511" s="67" t="n"/>
      <c r="AF511" s="64" t="n"/>
      <c r="AG511" s="65" t="n"/>
    </row>
    <row r="512" ht="15" customHeight="1" s="31">
      <c r="A512" s="66" t="n"/>
      <c r="B512" s="66" t="n"/>
      <c r="C512" s="66" t="n"/>
      <c r="D512" s="66" t="n"/>
      <c r="E512" s="66" t="n"/>
      <c r="F512" s="66" t="n"/>
      <c r="G512" s="67" t="n"/>
      <c r="H512" s="67" t="n"/>
      <c r="I512" s="67" t="n"/>
      <c r="J512" s="68" t="n"/>
      <c r="K512" s="69" t="n"/>
      <c r="L512" s="68" t="n"/>
      <c r="M512" s="69" t="n"/>
      <c r="N512" s="68" t="n"/>
      <c r="O512" s="69" t="n"/>
      <c r="P512" s="68" t="n"/>
      <c r="Q512" s="69" t="n"/>
      <c r="R512" s="68" t="n"/>
      <c r="S512" s="69" t="n"/>
      <c r="T512" s="68" t="n"/>
      <c r="U512" s="69" t="n"/>
      <c r="V512" s="68" t="n"/>
      <c r="W512" s="69" t="n"/>
      <c r="X512" s="68" t="n"/>
      <c r="Y512" s="69" t="n"/>
      <c r="Z512" s="68" t="n"/>
      <c r="AA512" s="69" t="n"/>
      <c r="AB512" s="68" t="n"/>
      <c r="AC512" s="69" t="n"/>
      <c r="AD512" s="70">
        <f>IF(AND(COUNTIF($B$5:B512,B512)=1,$B512&lt;&gt;"",$AB512&lt;&gt;""),1,0)</f>
        <v/>
      </c>
      <c r="AE512" s="67" t="n"/>
      <c r="AF512" s="64" t="n"/>
      <c r="AG512" s="65" t="n"/>
    </row>
    <row r="513" ht="15" customHeight="1" s="31">
      <c r="A513" s="66" t="n"/>
      <c r="B513" s="66" t="n"/>
      <c r="C513" s="66" t="n"/>
      <c r="D513" s="66" t="n"/>
      <c r="E513" s="66" t="n"/>
      <c r="F513" s="66" t="n"/>
      <c r="G513" s="67" t="n"/>
      <c r="H513" s="67" t="n"/>
      <c r="I513" s="67" t="n"/>
      <c r="J513" s="68" t="n"/>
      <c r="K513" s="69" t="n"/>
      <c r="L513" s="68" t="n"/>
      <c r="M513" s="69" t="n"/>
      <c r="N513" s="68" t="n"/>
      <c r="O513" s="69" t="n"/>
      <c r="P513" s="68" t="n"/>
      <c r="Q513" s="69" t="n"/>
      <c r="R513" s="68" t="n"/>
      <c r="S513" s="69" t="n"/>
      <c r="T513" s="68" t="n"/>
      <c r="U513" s="69" t="n"/>
      <c r="V513" s="68" t="n"/>
      <c r="W513" s="69" t="n"/>
      <c r="X513" s="68" t="n"/>
      <c r="Y513" s="69" t="n"/>
      <c r="Z513" s="68" t="n"/>
      <c r="AA513" s="69" t="n"/>
      <c r="AB513" s="68" t="n"/>
      <c r="AC513" s="69" t="n"/>
      <c r="AD513" s="70">
        <f>IF(AND(COUNTIF($B$5:B513,B513)=1,$B513&lt;&gt;"",$AB513&lt;&gt;""),1,0)</f>
        <v/>
      </c>
      <c r="AE513" s="67" t="n"/>
      <c r="AF513" s="64" t="n"/>
      <c r="AG513" s="65" t="n"/>
    </row>
    <row r="514" ht="15" customHeight="1" s="31">
      <c r="A514" s="66" t="n"/>
      <c r="B514" s="66" t="n"/>
      <c r="C514" s="66" t="n"/>
      <c r="D514" s="66" t="n"/>
      <c r="E514" s="66" t="n"/>
      <c r="F514" s="66" t="n"/>
      <c r="G514" s="67" t="n"/>
      <c r="H514" s="67" t="n"/>
      <c r="I514" s="67" t="n"/>
      <c r="J514" s="68" t="n"/>
      <c r="K514" s="69" t="n"/>
      <c r="L514" s="68" t="n"/>
      <c r="M514" s="69" t="n"/>
      <c r="N514" s="68" t="n"/>
      <c r="O514" s="69" t="n"/>
      <c r="P514" s="68" t="n"/>
      <c r="Q514" s="69" t="n"/>
      <c r="R514" s="68" t="n"/>
      <c r="S514" s="69" t="n"/>
      <c r="T514" s="68" t="n"/>
      <c r="U514" s="69" t="n"/>
      <c r="V514" s="68" t="n"/>
      <c r="W514" s="69" t="n"/>
      <c r="X514" s="68" t="n"/>
      <c r="Y514" s="69" t="n"/>
      <c r="Z514" s="68" t="n"/>
      <c r="AA514" s="69" t="n"/>
      <c r="AB514" s="68" t="n"/>
      <c r="AC514" s="69" t="n"/>
      <c r="AD514" s="70">
        <f>IF(AND(COUNTIF($B$5:B514,B514)=1,$B514&lt;&gt;"",$AB514&lt;&gt;""),1,0)</f>
        <v/>
      </c>
      <c r="AE514" s="67" t="n"/>
      <c r="AF514" s="64" t="n"/>
      <c r="AG514" s="65" t="n"/>
    </row>
    <row r="515" ht="15" customHeight="1" s="31">
      <c r="A515" s="66" t="n"/>
      <c r="B515" s="66" t="n"/>
      <c r="C515" s="66" t="n"/>
      <c r="D515" s="66" t="n"/>
      <c r="E515" s="66" t="n"/>
      <c r="F515" s="66" t="n"/>
      <c r="G515" s="67" t="n"/>
      <c r="H515" s="67" t="n"/>
      <c r="I515" s="67" t="n"/>
      <c r="J515" s="68" t="n"/>
      <c r="K515" s="69" t="n"/>
      <c r="L515" s="68" t="n"/>
      <c r="M515" s="69" t="n"/>
      <c r="N515" s="68" t="n"/>
      <c r="O515" s="69" t="n"/>
      <c r="P515" s="68" t="n"/>
      <c r="Q515" s="69" t="n"/>
      <c r="R515" s="68" t="n"/>
      <c r="S515" s="69" t="n"/>
      <c r="T515" s="68" t="n"/>
      <c r="U515" s="69" t="n"/>
      <c r="V515" s="68" t="n"/>
      <c r="W515" s="69" t="n"/>
      <c r="X515" s="68" t="n"/>
      <c r="Y515" s="69" t="n"/>
      <c r="Z515" s="68" t="n"/>
      <c r="AA515" s="69" t="n"/>
      <c r="AB515" s="68" t="n"/>
      <c r="AC515" s="69" t="n"/>
      <c r="AD515" s="70">
        <f>IF(AND(COUNTIF($B$5:B515,B515)=1,$B515&lt;&gt;"",$AB515&lt;&gt;""),1,0)</f>
        <v/>
      </c>
      <c r="AE515" s="67" t="n"/>
      <c r="AF515" s="64" t="n"/>
      <c r="AG515" s="65" t="n"/>
    </row>
    <row r="516" ht="15" customHeight="1" s="31">
      <c r="A516" s="66" t="n"/>
      <c r="B516" s="66" t="n"/>
      <c r="C516" s="66" t="n"/>
      <c r="D516" s="66" t="n"/>
      <c r="E516" s="66" t="n"/>
      <c r="F516" s="66" t="n"/>
      <c r="G516" s="67" t="n"/>
      <c r="H516" s="67" t="n"/>
      <c r="I516" s="67" t="n"/>
      <c r="J516" s="68" t="n"/>
      <c r="K516" s="69" t="n"/>
      <c r="L516" s="68" t="n"/>
      <c r="M516" s="69" t="n"/>
      <c r="N516" s="68" t="n"/>
      <c r="O516" s="69" t="n"/>
      <c r="P516" s="68" t="n"/>
      <c r="Q516" s="69" t="n"/>
      <c r="R516" s="68" t="n"/>
      <c r="S516" s="69" t="n"/>
      <c r="T516" s="68" t="n"/>
      <c r="U516" s="69" t="n"/>
      <c r="V516" s="68" t="n"/>
      <c r="W516" s="69" t="n"/>
      <c r="X516" s="68" t="n"/>
      <c r="Y516" s="69" t="n"/>
      <c r="Z516" s="68" t="n"/>
      <c r="AA516" s="69" t="n"/>
      <c r="AB516" s="68" t="n"/>
      <c r="AC516" s="69" t="n"/>
      <c r="AD516" s="70">
        <f>IF(AND(COUNTIF($B$5:B516,B516)=1,$B516&lt;&gt;"",$AB516&lt;&gt;""),1,0)</f>
        <v/>
      </c>
      <c r="AE516" s="67" t="n"/>
      <c r="AF516" s="64" t="n"/>
      <c r="AG516" s="65" t="n"/>
    </row>
    <row r="517" ht="15" customHeight="1" s="31">
      <c r="A517" s="66" t="n"/>
      <c r="B517" s="66" t="n"/>
      <c r="C517" s="66" t="n"/>
      <c r="D517" s="66" t="n"/>
      <c r="E517" s="66" t="n"/>
      <c r="F517" s="66" t="n"/>
      <c r="G517" s="67" t="n"/>
      <c r="H517" s="67" t="n"/>
      <c r="I517" s="67" t="n"/>
      <c r="J517" s="68" t="n"/>
      <c r="K517" s="69" t="n"/>
      <c r="L517" s="68" t="n"/>
      <c r="M517" s="69" t="n"/>
      <c r="N517" s="68" t="n"/>
      <c r="O517" s="69" t="n"/>
      <c r="P517" s="68" t="n"/>
      <c r="Q517" s="69" t="n"/>
      <c r="R517" s="68" t="n"/>
      <c r="S517" s="69" t="n"/>
      <c r="T517" s="68" t="n"/>
      <c r="U517" s="69" t="n"/>
      <c r="V517" s="68" t="n"/>
      <c r="W517" s="69" t="n"/>
      <c r="X517" s="68" t="n"/>
      <c r="Y517" s="69" t="n"/>
      <c r="Z517" s="68" t="n"/>
      <c r="AA517" s="69" t="n"/>
      <c r="AB517" s="68" t="n"/>
      <c r="AC517" s="69" t="n"/>
      <c r="AD517" s="70">
        <f>IF(AND(COUNTIF($B$5:B517,B517)=1,$B517&lt;&gt;"",$AB517&lt;&gt;""),1,0)</f>
        <v/>
      </c>
      <c r="AE517" s="67" t="n"/>
      <c r="AF517" s="64" t="n"/>
      <c r="AG517" s="65" t="n"/>
    </row>
    <row r="518" ht="15" customHeight="1" s="31">
      <c r="A518" s="66" t="n"/>
      <c r="B518" s="66" t="n"/>
      <c r="C518" s="66" t="n"/>
      <c r="D518" s="66" t="n"/>
      <c r="E518" s="66" t="n"/>
      <c r="F518" s="66" t="n"/>
      <c r="G518" s="67" t="n"/>
      <c r="H518" s="67" t="n"/>
      <c r="I518" s="67" t="n"/>
      <c r="J518" s="68" t="n"/>
      <c r="K518" s="69" t="n"/>
      <c r="L518" s="68" t="n"/>
      <c r="M518" s="69" t="n"/>
      <c r="N518" s="68" t="n"/>
      <c r="O518" s="69" t="n"/>
      <c r="P518" s="68" t="n"/>
      <c r="Q518" s="69" t="n"/>
      <c r="R518" s="68" t="n"/>
      <c r="S518" s="69" t="n"/>
      <c r="T518" s="68" t="n"/>
      <c r="U518" s="69" t="n"/>
      <c r="V518" s="68" t="n"/>
      <c r="W518" s="69" t="n"/>
      <c r="X518" s="68" t="n"/>
      <c r="Y518" s="69" t="n"/>
      <c r="Z518" s="68" t="n"/>
      <c r="AA518" s="69" t="n"/>
      <c r="AB518" s="68" t="n"/>
      <c r="AC518" s="69" t="n"/>
      <c r="AD518" s="70">
        <f>IF(AND(COUNTIF($B$5:B518,B518)=1,$B518&lt;&gt;"",$AB518&lt;&gt;""),1,0)</f>
        <v/>
      </c>
      <c r="AE518" s="67" t="n"/>
      <c r="AF518" s="64" t="n"/>
      <c r="AG518" s="65" t="n"/>
    </row>
    <row r="519" ht="15" customHeight="1" s="31">
      <c r="A519" s="66" t="n"/>
      <c r="B519" s="66" t="n"/>
      <c r="C519" s="66" t="n"/>
      <c r="D519" s="66" t="n"/>
      <c r="E519" s="66" t="n"/>
      <c r="F519" s="66" t="n"/>
      <c r="G519" s="67" t="n"/>
      <c r="H519" s="67" t="n"/>
      <c r="I519" s="67" t="n"/>
      <c r="J519" s="68" t="n"/>
      <c r="K519" s="69" t="n"/>
      <c r="L519" s="68" t="n"/>
      <c r="M519" s="69" t="n"/>
      <c r="N519" s="68" t="n"/>
      <c r="O519" s="69" t="n"/>
      <c r="P519" s="68" t="n"/>
      <c r="Q519" s="69" t="n"/>
      <c r="R519" s="68" t="n"/>
      <c r="S519" s="69" t="n"/>
      <c r="T519" s="68" t="n"/>
      <c r="U519" s="69" t="n"/>
      <c r="V519" s="68" t="n"/>
      <c r="W519" s="69" t="n"/>
      <c r="X519" s="68" t="n"/>
      <c r="Y519" s="69" t="n"/>
      <c r="Z519" s="68" t="n"/>
      <c r="AA519" s="69" t="n"/>
      <c r="AB519" s="68" t="n"/>
      <c r="AC519" s="69" t="n"/>
      <c r="AD519" s="70">
        <f>IF(AND(COUNTIF($B$5:B519,B519)=1,$B519&lt;&gt;"",$AB519&lt;&gt;""),1,0)</f>
        <v/>
      </c>
      <c r="AE519" s="67" t="n"/>
      <c r="AF519" s="64" t="n"/>
      <c r="AG519" s="65" t="n"/>
    </row>
    <row r="520" ht="15" customHeight="1" s="31">
      <c r="A520" s="66" t="n"/>
      <c r="B520" s="66" t="n"/>
      <c r="C520" s="66" t="n"/>
      <c r="D520" s="66" t="n"/>
      <c r="E520" s="66" t="n"/>
      <c r="F520" s="66" t="n"/>
      <c r="G520" s="67" t="n"/>
      <c r="H520" s="67" t="n"/>
      <c r="I520" s="67" t="n"/>
      <c r="J520" s="68" t="n"/>
      <c r="K520" s="69" t="n"/>
      <c r="L520" s="68" t="n"/>
      <c r="M520" s="69" t="n"/>
      <c r="N520" s="68" t="n"/>
      <c r="O520" s="69" t="n"/>
      <c r="P520" s="68" t="n"/>
      <c r="Q520" s="69" t="n"/>
      <c r="R520" s="68" t="n"/>
      <c r="S520" s="69" t="n"/>
      <c r="T520" s="68" t="n"/>
      <c r="U520" s="69" t="n"/>
      <c r="V520" s="68" t="n"/>
      <c r="W520" s="69" t="n"/>
      <c r="X520" s="68" t="n"/>
      <c r="Y520" s="69" t="n"/>
      <c r="Z520" s="68" t="n"/>
      <c r="AA520" s="69" t="n"/>
      <c r="AB520" s="68" t="n"/>
      <c r="AC520" s="69" t="n"/>
      <c r="AD520" s="70">
        <f>IF(AND(COUNTIF($B$5:B520,B520)=1,$B520&lt;&gt;"",$AB520&lt;&gt;""),1,0)</f>
        <v/>
      </c>
      <c r="AE520" s="67" t="n"/>
      <c r="AF520" s="64" t="n"/>
      <c r="AG520" s="65" t="n"/>
    </row>
    <row r="521" ht="15" customHeight="1" s="31">
      <c r="A521" s="66" t="n"/>
      <c r="B521" s="66" t="n"/>
      <c r="C521" s="66" t="n"/>
      <c r="D521" s="66" t="n"/>
      <c r="E521" s="66" t="n"/>
      <c r="F521" s="66" t="n"/>
      <c r="G521" s="67" t="n"/>
      <c r="H521" s="67" t="n"/>
      <c r="I521" s="67" t="n"/>
      <c r="J521" s="68" t="n"/>
      <c r="K521" s="69" t="n"/>
      <c r="L521" s="68" t="n"/>
      <c r="M521" s="69" t="n"/>
      <c r="N521" s="68" t="n"/>
      <c r="O521" s="69" t="n"/>
      <c r="P521" s="68" t="n"/>
      <c r="Q521" s="69" t="n"/>
      <c r="R521" s="68" t="n"/>
      <c r="S521" s="69" t="n"/>
      <c r="T521" s="68" t="n"/>
      <c r="U521" s="69" t="n"/>
      <c r="V521" s="68" t="n"/>
      <c r="W521" s="69" t="n"/>
      <c r="X521" s="68" t="n"/>
      <c r="Y521" s="69" t="n"/>
      <c r="Z521" s="68" t="n"/>
      <c r="AA521" s="69" t="n"/>
      <c r="AB521" s="68" t="n"/>
      <c r="AC521" s="69" t="n"/>
      <c r="AD521" s="70">
        <f>IF(AND(COUNTIF($B$5:B521,B521)=1,$B521&lt;&gt;"",$AB521&lt;&gt;""),1,0)</f>
        <v/>
      </c>
      <c r="AE521" s="67" t="n"/>
      <c r="AF521" s="64" t="n"/>
      <c r="AG521" s="65" t="n"/>
    </row>
    <row r="522" ht="15" customHeight="1" s="31">
      <c r="A522" s="66" t="n"/>
      <c r="B522" s="66" t="n"/>
      <c r="C522" s="66" t="n"/>
      <c r="D522" s="66" t="n"/>
      <c r="E522" s="66" t="n"/>
      <c r="F522" s="66" t="n"/>
      <c r="G522" s="67" t="n"/>
      <c r="H522" s="67" t="n"/>
      <c r="I522" s="67" t="n"/>
      <c r="J522" s="68" t="n"/>
      <c r="K522" s="69" t="n"/>
      <c r="L522" s="68" t="n"/>
      <c r="M522" s="69" t="n"/>
      <c r="N522" s="68" t="n"/>
      <c r="O522" s="69" t="n"/>
      <c r="P522" s="68" t="n"/>
      <c r="Q522" s="69" t="n"/>
      <c r="R522" s="68" t="n"/>
      <c r="S522" s="69" t="n"/>
      <c r="T522" s="68" t="n"/>
      <c r="U522" s="69" t="n"/>
      <c r="V522" s="68" t="n"/>
      <c r="W522" s="69" t="n"/>
      <c r="X522" s="68" t="n"/>
      <c r="Y522" s="69" t="n"/>
      <c r="Z522" s="68" t="n"/>
      <c r="AA522" s="69" t="n"/>
      <c r="AB522" s="68" t="n"/>
      <c r="AC522" s="69" t="n"/>
      <c r="AD522" s="70">
        <f>IF(AND(COUNTIF($B$5:B522,B522)=1,$B522&lt;&gt;"",$AB522&lt;&gt;""),1,0)</f>
        <v/>
      </c>
      <c r="AE522" s="67" t="n"/>
      <c r="AF522" s="64" t="n"/>
      <c r="AG522" s="65" t="n"/>
    </row>
    <row r="523" ht="15" customHeight="1" s="31">
      <c r="A523" s="66" t="n"/>
      <c r="B523" s="66" t="n"/>
      <c r="C523" s="66" t="n"/>
      <c r="D523" s="66" t="n"/>
      <c r="E523" s="66" t="n"/>
      <c r="F523" s="66" t="n"/>
      <c r="G523" s="67" t="n"/>
      <c r="H523" s="67" t="n"/>
      <c r="I523" s="67" t="n"/>
      <c r="J523" s="68" t="n"/>
      <c r="K523" s="69" t="n"/>
      <c r="L523" s="68" t="n"/>
      <c r="M523" s="69" t="n"/>
      <c r="N523" s="68" t="n"/>
      <c r="O523" s="69" t="n"/>
      <c r="P523" s="68" t="n"/>
      <c r="Q523" s="69" t="n"/>
      <c r="R523" s="68" t="n"/>
      <c r="S523" s="69" t="n"/>
      <c r="T523" s="68" t="n"/>
      <c r="U523" s="69" t="n"/>
      <c r="V523" s="68" t="n"/>
      <c r="W523" s="69" t="n"/>
      <c r="X523" s="68" t="n"/>
      <c r="Y523" s="69" t="n"/>
      <c r="Z523" s="68" t="n"/>
      <c r="AA523" s="69" t="n"/>
      <c r="AB523" s="68" t="n"/>
      <c r="AC523" s="69" t="n"/>
      <c r="AD523" s="70">
        <f>IF(AND(COUNTIF($B$5:B523,B523)=1,$B523&lt;&gt;"",$AB523&lt;&gt;""),1,0)</f>
        <v/>
      </c>
      <c r="AE523" s="67" t="n"/>
      <c r="AF523" s="64" t="n"/>
      <c r="AG523" s="65" t="n"/>
    </row>
    <row r="524" ht="15" customHeight="1" s="31">
      <c r="A524" s="66" t="n"/>
      <c r="B524" s="66" t="n"/>
      <c r="C524" s="66" t="n"/>
      <c r="D524" s="66" t="n"/>
      <c r="E524" s="66" t="n"/>
      <c r="F524" s="66" t="n"/>
      <c r="G524" s="67" t="n"/>
      <c r="H524" s="67" t="n"/>
      <c r="I524" s="67" t="n"/>
      <c r="J524" s="68" t="n"/>
      <c r="K524" s="69" t="n"/>
      <c r="L524" s="68" t="n"/>
      <c r="M524" s="69" t="n"/>
      <c r="N524" s="68" t="n"/>
      <c r="O524" s="69" t="n"/>
      <c r="P524" s="68" t="n"/>
      <c r="Q524" s="69" t="n"/>
      <c r="R524" s="68" t="n"/>
      <c r="S524" s="69" t="n"/>
      <c r="T524" s="68" t="n"/>
      <c r="U524" s="69" t="n"/>
      <c r="V524" s="68" t="n"/>
      <c r="W524" s="69" t="n"/>
      <c r="X524" s="68" t="n"/>
      <c r="Y524" s="69" t="n"/>
      <c r="Z524" s="68" t="n"/>
      <c r="AA524" s="69" t="n"/>
      <c r="AB524" s="68" t="n"/>
      <c r="AC524" s="69" t="n"/>
      <c r="AD524" s="70">
        <f>IF(AND(COUNTIF($B$5:B524,B524)=1,$B524&lt;&gt;"",$AB524&lt;&gt;""),1,0)</f>
        <v/>
      </c>
      <c r="AE524" s="67" t="n"/>
      <c r="AF524" s="64" t="n"/>
      <c r="AG524" s="65" t="n"/>
    </row>
    <row r="525" ht="15" customHeight="1" s="31">
      <c r="A525" s="66" t="n"/>
      <c r="B525" s="66" t="n"/>
      <c r="C525" s="66" t="n"/>
      <c r="D525" s="66" t="n"/>
      <c r="E525" s="66" t="n"/>
      <c r="F525" s="66" t="n"/>
      <c r="G525" s="67" t="n"/>
      <c r="H525" s="67" t="n"/>
      <c r="I525" s="67" t="n"/>
      <c r="J525" s="68" t="n"/>
      <c r="K525" s="69" t="n"/>
      <c r="L525" s="68" t="n"/>
      <c r="M525" s="69" t="n"/>
      <c r="N525" s="68" t="n"/>
      <c r="O525" s="69" t="n"/>
      <c r="P525" s="68" t="n"/>
      <c r="Q525" s="69" t="n"/>
      <c r="R525" s="68" t="n"/>
      <c r="S525" s="69" t="n"/>
      <c r="T525" s="68" t="n"/>
      <c r="U525" s="69" t="n"/>
      <c r="V525" s="68" t="n"/>
      <c r="W525" s="69" t="n"/>
      <c r="X525" s="68" t="n"/>
      <c r="Y525" s="69" t="n"/>
      <c r="Z525" s="68" t="n"/>
      <c r="AA525" s="69" t="n"/>
      <c r="AB525" s="68" t="n"/>
      <c r="AC525" s="69" t="n"/>
      <c r="AD525" s="70">
        <f>IF(AND(COUNTIF($B$5:B525,B525)=1,$B525&lt;&gt;"",$AB525&lt;&gt;""),1,0)</f>
        <v/>
      </c>
      <c r="AE525" s="67" t="n"/>
      <c r="AF525" s="64" t="n"/>
      <c r="AG525" s="65" t="n"/>
    </row>
    <row r="526" ht="15" customHeight="1" s="31">
      <c r="A526" s="66" t="n"/>
      <c r="B526" s="66" t="n"/>
      <c r="C526" s="66" t="n"/>
      <c r="D526" s="66" t="n"/>
      <c r="E526" s="66" t="n"/>
      <c r="F526" s="66" t="n"/>
      <c r="G526" s="67" t="n"/>
      <c r="H526" s="67" t="n"/>
      <c r="I526" s="67" t="n"/>
      <c r="J526" s="68" t="n"/>
      <c r="K526" s="69" t="n"/>
      <c r="L526" s="68" t="n"/>
      <c r="M526" s="69" t="n"/>
      <c r="N526" s="68" t="n"/>
      <c r="O526" s="69" t="n"/>
      <c r="P526" s="68" t="n"/>
      <c r="Q526" s="69" t="n"/>
      <c r="R526" s="68" t="n"/>
      <c r="S526" s="69" t="n"/>
      <c r="T526" s="68" t="n"/>
      <c r="U526" s="69" t="n"/>
      <c r="V526" s="68" t="n"/>
      <c r="W526" s="69" t="n"/>
      <c r="X526" s="68" t="n"/>
      <c r="Y526" s="69" t="n"/>
      <c r="Z526" s="68" t="n"/>
      <c r="AA526" s="69" t="n"/>
      <c r="AB526" s="68" t="n"/>
      <c r="AC526" s="69" t="n"/>
      <c r="AD526" s="70">
        <f>IF(AND(COUNTIF($B$5:B526,B526)=1,$B526&lt;&gt;"",$AB526&lt;&gt;""),1,0)</f>
        <v/>
      </c>
      <c r="AE526" s="67" t="n"/>
      <c r="AF526" s="64" t="n"/>
      <c r="AG526" s="65" t="n"/>
    </row>
    <row r="527" ht="15" customHeight="1" s="31">
      <c r="A527" s="66" t="n"/>
      <c r="B527" s="66" t="n"/>
      <c r="C527" s="66" t="n"/>
      <c r="D527" s="66" t="n"/>
      <c r="E527" s="66" t="n"/>
      <c r="F527" s="66" t="n"/>
      <c r="G527" s="67" t="n"/>
      <c r="H527" s="67" t="n"/>
      <c r="I527" s="67" t="n"/>
      <c r="J527" s="68" t="n"/>
      <c r="K527" s="69" t="n"/>
      <c r="L527" s="68" t="n"/>
      <c r="M527" s="69" t="n"/>
      <c r="N527" s="68" t="n"/>
      <c r="O527" s="69" t="n"/>
      <c r="P527" s="68" t="n"/>
      <c r="Q527" s="69" t="n"/>
      <c r="R527" s="68" t="n"/>
      <c r="S527" s="69" t="n"/>
      <c r="T527" s="68" t="n"/>
      <c r="U527" s="69" t="n"/>
      <c r="V527" s="68" t="n"/>
      <c r="W527" s="69" t="n"/>
      <c r="X527" s="68" t="n"/>
      <c r="Y527" s="69" t="n"/>
      <c r="Z527" s="68" t="n"/>
      <c r="AA527" s="69" t="n"/>
      <c r="AB527" s="68" t="n"/>
      <c r="AC527" s="69" t="n"/>
      <c r="AD527" s="70">
        <f>IF(AND(COUNTIF($B$5:B527,B527)=1,$B527&lt;&gt;"",$AB527&lt;&gt;""),1,0)</f>
        <v/>
      </c>
      <c r="AE527" s="67" t="n"/>
      <c r="AF527" s="64" t="n"/>
      <c r="AG527" s="65" t="n"/>
    </row>
    <row r="528" ht="15" customHeight="1" s="31">
      <c r="A528" s="66" t="n"/>
      <c r="B528" s="66" t="n"/>
      <c r="C528" s="66" t="n"/>
      <c r="D528" s="66" t="n"/>
      <c r="E528" s="66" t="n"/>
      <c r="F528" s="66" t="n"/>
      <c r="G528" s="67" t="n"/>
      <c r="H528" s="67" t="n"/>
      <c r="I528" s="67" t="n"/>
      <c r="J528" s="68" t="n"/>
      <c r="K528" s="69" t="n"/>
      <c r="L528" s="68" t="n"/>
      <c r="M528" s="69" t="n"/>
      <c r="N528" s="68" t="n"/>
      <c r="O528" s="69" t="n"/>
      <c r="P528" s="68" t="n"/>
      <c r="Q528" s="69" t="n"/>
      <c r="R528" s="68" t="n"/>
      <c r="S528" s="69" t="n"/>
      <c r="T528" s="68" t="n"/>
      <c r="U528" s="69" t="n"/>
      <c r="V528" s="68" t="n"/>
      <c r="W528" s="69" t="n"/>
      <c r="X528" s="68" t="n"/>
      <c r="Y528" s="69" t="n"/>
      <c r="Z528" s="68" t="n"/>
      <c r="AA528" s="69" t="n"/>
      <c r="AB528" s="68" t="n"/>
      <c r="AC528" s="69" t="n"/>
      <c r="AD528" s="70">
        <f>IF(AND(COUNTIF($B$5:B528,B528)=1,$B528&lt;&gt;"",$AB528&lt;&gt;""),1,0)</f>
        <v/>
      </c>
      <c r="AE528" s="67" t="n"/>
      <c r="AF528" s="64" t="n"/>
      <c r="AG528" s="65" t="n"/>
    </row>
    <row r="529" ht="15" customHeight="1" s="31">
      <c r="A529" s="66" t="n"/>
      <c r="B529" s="66" t="n"/>
      <c r="C529" s="66" t="n"/>
      <c r="D529" s="66" t="n"/>
      <c r="E529" s="66" t="n"/>
      <c r="F529" s="66" t="n"/>
      <c r="G529" s="67" t="n"/>
      <c r="H529" s="67" t="n"/>
      <c r="I529" s="67" t="n"/>
      <c r="J529" s="68" t="n"/>
      <c r="K529" s="69" t="n"/>
      <c r="L529" s="68" t="n"/>
      <c r="M529" s="69" t="n"/>
      <c r="N529" s="68" t="n"/>
      <c r="O529" s="69" t="n"/>
      <c r="P529" s="68" t="n"/>
      <c r="Q529" s="69" t="n"/>
      <c r="R529" s="68" t="n"/>
      <c r="S529" s="69" t="n"/>
      <c r="T529" s="68" t="n"/>
      <c r="U529" s="69" t="n"/>
      <c r="V529" s="68" t="n"/>
      <c r="W529" s="69" t="n"/>
      <c r="X529" s="68" t="n"/>
      <c r="Y529" s="69" t="n"/>
      <c r="Z529" s="68" t="n"/>
      <c r="AA529" s="69" t="n"/>
      <c r="AB529" s="68" t="n"/>
      <c r="AC529" s="69" t="n"/>
      <c r="AD529" s="70">
        <f>IF(AND(COUNTIF($B$5:B529,B529)=1,$B529&lt;&gt;"",$AB529&lt;&gt;""),1,0)</f>
        <v/>
      </c>
      <c r="AE529" s="67" t="n"/>
      <c r="AF529" s="64" t="n"/>
      <c r="AG529" s="65" t="n"/>
    </row>
    <row r="530" ht="15" customHeight="1" s="31">
      <c r="A530" s="66" t="n"/>
      <c r="B530" s="66" t="n"/>
      <c r="C530" s="66" t="n"/>
      <c r="D530" s="66" t="n"/>
      <c r="E530" s="66" t="n"/>
      <c r="F530" s="66" t="n"/>
      <c r="G530" s="67" t="n"/>
      <c r="H530" s="67" t="n"/>
      <c r="I530" s="67" t="n"/>
      <c r="J530" s="68" t="n"/>
      <c r="K530" s="69" t="n"/>
      <c r="L530" s="68" t="n"/>
      <c r="M530" s="69" t="n"/>
      <c r="N530" s="68" t="n"/>
      <c r="O530" s="69" t="n"/>
      <c r="P530" s="68" t="n"/>
      <c r="Q530" s="69" t="n"/>
      <c r="R530" s="68" t="n"/>
      <c r="S530" s="69" t="n"/>
      <c r="T530" s="68" t="n"/>
      <c r="U530" s="69" t="n"/>
      <c r="V530" s="68" t="n"/>
      <c r="W530" s="69" t="n"/>
      <c r="X530" s="68" t="n"/>
      <c r="Y530" s="69" t="n"/>
      <c r="Z530" s="68" t="n"/>
      <c r="AA530" s="69" t="n"/>
      <c r="AB530" s="68" t="n"/>
      <c r="AC530" s="69" t="n"/>
      <c r="AD530" s="70">
        <f>IF(AND(COUNTIF($B$5:B530,B530)=1,$B530&lt;&gt;"",$AB530&lt;&gt;""),1,0)</f>
        <v/>
      </c>
      <c r="AE530" s="67" t="n"/>
      <c r="AF530" s="64" t="n"/>
      <c r="AG530" s="65" t="n"/>
    </row>
    <row r="531" ht="15" customHeight="1" s="31">
      <c r="A531" s="66" t="n"/>
      <c r="B531" s="66" t="n"/>
      <c r="C531" s="66" t="n"/>
      <c r="D531" s="66" t="n"/>
      <c r="E531" s="66" t="n"/>
      <c r="F531" s="66" t="n"/>
      <c r="G531" s="67" t="n"/>
      <c r="H531" s="67" t="n"/>
      <c r="I531" s="67" t="n"/>
      <c r="J531" s="68" t="n"/>
      <c r="K531" s="69" t="n"/>
      <c r="L531" s="68" t="n"/>
      <c r="M531" s="69" t="n"/>
      <c r="N531" s="68" t="n"/>
      <c r="O531" s="69" t="n"/>
      <c r="P531" s="68" t="n"/>
      <c r="Q531" s="69" t="n"/>
      <c r="R531" s="68" t="n"/>
      <c r="S531" s="69" t="n"/>
      <c r="T531" s="68" t="n"/>
      <c r="U531" s="69" t="n"/>
      <c r="V531" s="68" t="n"/>
      <c r="W531" s="69" t="n"/>
      <c r="X531" s="68" t="n"/>
      <c r="Y531" s="69" t="n"/>
      <c r="Z531" s="68" t="n"/>
      <c r="AA531" s="69" t="n"/>
      <c r="AB531" s="68" t="n"/>
      <c r="AC531" s="69" t="n"/>
      <c r="AD531" s="70">
        <f>IF(AND(COUNTIF($B$5:B531,B531)=1,$B531&lt;&gt;"",$AB531&lt;&gt;""),1,0)</f>
        <v/>
      </c>
      <c r="AE531" s="67" t="n"/>
      <c r="AF531" s="64" t="n"/>
      <c r="AG531" s="65" t="n"/>
    </row>
    <row r="532" ht="15" customHeight="1" s="31">
      <c r="A532" s="66" t="n"/>
      <c r="B532" s="66" t="n"/>
      <c r="C532" s="66" t="n"/>
      <c r="D532" s="66" t="n"/>
      <c r="E532" s="66" t="n"/>
      <c r="F532" s="66" t="n"/>
      <c r="G532" s="67" t="n"/>
      <c r="H532" s="67" t="n"/>
      <c r="I532" s="67" t="n"/>
      <c r="J532" s="68" t="n"/>
      <c r="K532" s="69" t="n"/>
      <c r="L532" s="68" t="n"/>
      <c r="M532" s="69" t="n"/>
      <c r="N532" s="68" t="n"/>
      <c r="O532" s="69" t="n"/>
      <c r="P532" s="68" t="n"/>
      <c r="Q532" s="69" t="n"/>
      <c r="R532" s="68" t="n"/>
      <c r="S532" s="69" t="n"/>
      <c r="T532" s="68" t="n"/>
      <c r="U532" s="69" t="n"/>
      <c r="V532" s="68" t="n"/>
      <c r="W532" s="69" t="n"/>
      <c r="X532" s="68" t="n"/>
      <c r="Y532" s="69" t="n"/>
      <c r="Z532" s="68" t="n"/>
      <c r="AA532" s="69" t="n"/>
      <c r="AB532" s="68" t="n"/>
      <c r="AC532" s="69" t="n"/>
      <c r="AD532" s="70">
        <f>IF(AND(COUNTIF($B$5:B532,B532)=1,$B532&lt;&gt;"",$AB532&lt;&gt;""),1,0)</f>
        <v/>
      </c>
      <c r="AE532" s="67" t="n"/>
      <c r="AF532" s="64" t="n"/>
      <c r="AG532" s="65" t="n"/>
    </row>
    <row r="533" ht="15" customHeight="1" s="31">
      <c r="A533" s="66" t="n"/>
      <c r="B533" s="66" t="n"/>
      <c r="C533" s="66" t="n"/>
      <c r="D533" s="66" t="n"/>
      <c r="E533" s="66" t="n"/>
      <c r="F533" s="66" t="n"/>
      <c r="G533" s="67" t="n"/>
      <c r="H533" s="67" t="n"/>
      <c r="I533" s="67" t="n"/>
      <c r="J533" s="68" t="n"/>
      <c r="K533" s="69" t="n"/>
      <c r="L533" s="68" t="n"/>
      <c r="M533" s="69" t="n"/>
      <c r="N533" s="68" t="n"/>
      <c r="O533" s="69" t="n"/>
      <c r="P533" s="68" t="n"/>
      <c r="Q533" s="69" t="n"/>
      <c r="R533" s="68" t="n"/>
      <c r="S533" s="69" t="n"/>
      <c r="T533" s="68" t="n"/>
      <c r="U533" s="69" t="n"/>
      <c r="V533" s="68" t="n"/>
      <c r="W533" s="69" t="n"/>
      <c r="X533" s="68" t="n"/>
      <c r="Y533" s="69" t="n"/>
      <c r="Z533" s="68" t="n"/>
      <c r="AA533" s="69" t="n"/>
      <c r="AB533" s="68" t="n"/>
      <c r="AC533" s="69" t="n"/>
      <c r="AD533" s="70">
        <f>IF(AND(COUNTIF($B$5:B533,B533)=1,$B533&lt;&gt;"",$AB533&lt;&gt;""),1,0)</f>
        <v/>
      </c>
      <c r="AE533" s="67" t="n"/>
      <c r="AF533" s="64" t="n"/>
      <c r="AG533" s="65" t="n"/>
    </row>
    <row r="534" ht="15" customHeight="1" s="31">
      <c r="A534" s="66" t="n"/>
      <c r="B534" s="66" t="n"/>
      <c r="C534" s="66" t="n"/>
      <c r="D534" s="66" t="n"/>
      <c r="E534" s="66" t="n"/>
      <c r="F534" s="66" t="n"/>
      <c r="G534" s="67" t="n"/>
      <c r="H534" s="67" t="n"/>
      <c r="I534" s="67" t="n"/>
      <c r="J534" s="68" t="n"/>
      <c r="K534" s="69" t="n"/>
      <c r="L534" s="68" t="n"/>
      <c r="M534" s="69" t="n"/>
      <c r="N534" s="68" t="n"/>
      <c r="O534" s="69" t="n"/>
      <c r="P534" s="68" t="n"/>
      <c r="Q534" s="69" t="n"/>
      <c r="R534" s="68" t="n"/>
      <c r="S534" s="69" t="n"/>
      <c r="T534" s="68" t="n"/>
      <c r="U534" s="69" t="n"/>
      <c r="V534" s="68" t="n"/>
      <c r="W534" s="69" t="n"/>
      <c r="X534" s="68" t="n"/>
      <c r="Y534" s="69" t="n"/>
      <c r="Z534" s="68" t="n"/>
      <c r="AA534" s="69" t="n"/>
      <c r="AB534" s="68" t="n"/>
      <c r="AC534" s="69" t="n"/>
      <c r="AD534" s="70">
        <f>IF(AND(COUNTIF($B$5:B534,B534)=1,$B534&lt;&gt;"",$AB534&lt;&gt;""),1,0)</f>
        <v/>
      </c>
      <c r="AE534" s="67" t="n"/>
      <c r="AF534" s="64" t="n"/>
      <c r="AG534" s="65" t="n"/>
    </row>
    <row r="535" ht="15" customHeight="1" s="31">
      <c r="A535" s="66" t="n"/>
      <c r="B535" s="66" t="n"/>
      <c r="C535" s="66" t="n"/>
      <c r="D535" s="66" t="n"/>
      <c r="E535" s="66" t="n"/>
      <c r="F535" s="66" t="n"/>
      <c r="G535" s="67" t="n"/>
      <c r="H535" s="67" t="n"/>
      <c r="I535" s="67" t="n"/>
      <c r="J535" s="68" t="n"/>
      <c r="K535" s="69" t="n"/>
      <c r="L535" s="68" t="n"/>
      <c r="M535" s="69" t="n"/>
      <c r="N535" s="68" t="n"/>
      <c r="O535" s="69" t="n"/>
      <c r="P535" s="68" t="n"/>
      <c r="Q535" s="69" t="n"/>
      <c r="R535" s="68" t="n"/>
      <c r="S535" s="69" t="n"/>
      <c r="T535" s="68" t="n"/>
      <c r="U535" s="69" t="n"/>
      <c r="V535" s="68" t="n"/>
      <c r="W535" s="69" t="n"/>
      <c r="X535" s="68" t="n"/>
      <c r="Y535" s="69" t="n"/>
      <c r="Z535" s="68" t="n"/>
      <c r="AA535" s="69" t="n"/>
      <c r="AB535" s="68" t="n"/>
      <c r="AC535" s="69" t="n"/>
      <c r="AD535" s="70">
        <f>IF(AND(COUNTIF($B$5:B535,B535)=1,$B535&lt;&gt;"",$AB535&lt;&gt;""),1,0)</f>
        <v/>
      </c>
      <c r="AE535" s="67" t="n"/>
      <c r="AF535" s="64" t="n"/>
      <c r="AG535" s="65" t="n"/>
    </row>
    <row r="536" ht="15" customHeight="1" s="31">
      <c r="A536" s="66" t="n"/>
      <c r="B536" s="66" t="n"/>
      <c r="C536" s="66" t="n"/>
      <c r="D536" s="66" t="n"/>
      <c r="E536" s="66" t="n"/>
      <c r="F536" s="66" t="n"/>
      <c r="G536" s="67" t="n"/>
      <c r="H536" s="67" t="n"/>
      <c r="I536" s="67" t="n"/>
      <c r="J536" s="68" t="n"/>
      <c r="K536" s="69" t="n"/>
      <c r="L536" s="68" t="n"/>
      <c r="M536" s="69" t="n"/>
      <c r="N536" s="68" t="n"/>
      <c r="O536" s="69" t="n"/>
      <c r="P536" s="68" t="n"/>
      <c r="Q536" s="69" t="n"/>
      <c r="R536" s="68" t="n"/>
      <c r="S536" s="69" t="n"/>
      <c r="T536" s="68" t="n"/>
      <c r="U536" s="69" t="n"/>
      <c r="V536" s="68" t="n"/>
      <c r="W536" s="69" t="n"/>
      <c r="X536" s="68" t="n"/>
      <c r="Y536" s="69" t="n"/>
      <c r="Z536" s="68" t="n"/>
      <c r="AA536" s="69" t="n"/>
      <c r="AB536" s="68" t="n"/>
      <c r="AC536" s="69" t="n"/>
      <c r="AD536" s="70">
        <f>IF(AND(COUNTIF($B$5:B536,B536)=1,$B536&lt;&gt;"",$AB536&lt;&gt;""),1,0)</f>
        <v/>
      </c>
      <c r="AE536" s="67" t="n"/>
      <c r="AF536" s="64" t="n"/>
      <c r="AG536" s="65" t="n"/>
    </row>
    <row r="537" ht="15" customHeight="1" s="31">
      <c r="A537" s="66" t="n"/>
      <c r="B537" s="66" t="n"/>
      <c r="C537" s="66" t="n"/>
      <c r="D537" s="66" t="n"/>
      <c r="E537" s="66" t="n"/>
      <c r="F537" s="66" t="n"/>
      <c r="G537" s="67" t="n"/>
      <c r="H537" s="67" t="n"/>
      <c r="I537" s="67" t="n"/>
      <c r="J537" s="68" t="n"/>
      <c r="K537" s="69" t="n"/>
      <c r="L537" s="68" t="n"/>
      <c r="M537" s="69" t="n"/>
      <c r="N537" s="68" t="n"/>
      <c r="O537" s="69" t="n"/>
      <c r="P537" s="68" t="n"/>
      <c r="Q537" s="69" t="n"/>
      <c r="R537" s="68" t="n"/>
      <c r="S537" s="69" t="n"/>
      <c r="T537" s="68" t="n"/>
      <c r="U537" s="69" t="n"/>
      <c r="V537" s="68" t="n"/>
      <c r="W537" s="69" t="n"/>
      <c r="X537" s="68" t="n"/>
      <c r="Y537" s="69" t="n"/>
      <c r="Z537" s="68" t="n"/>
      <c r="AA537" s="69" t="n"/>
      <c r="AB537" s="68" t="n"/>
      <c r="AC537" s="69" t="n"/>
      <c r="AD537" s="70">
        <f>IF(AND(COUNTIF($B$5:B537,B537)=1,$B537&lt;&gt;"",$AB537&lt;&gt;""),1,0)</f>
        <v/>
      </c>
      <c r="AE537" s="67" t="n"/>
      <c r="AF537" s="64" t="n"/>
      <c r="AG537" s="65" t="n"/>
    </row>
    <row r="538" ht="15" customHeight="1" s="31">
      <c r="A538" s="66" t="n"/>
      <c r="B538" s="66" t="n"/>
      <c r="C538" s="66" t="n"/>
      <c r="D538" s="66" t="n"/>
      <c r="E538" s="66" t="n"/>
      <c r="F538" s="66" t="n"/>
      <c r="G538" s="67" t="n"/>
      <c r="H538" s="67" t="n"/>
      <c r="I538" s="67" t="n"/>
      <c r="J538" s="68" t="n"/>
      <c r="K538" s="69" t="n"/>
      <c r="L538" s="68" t="n"/>
      <c r="M538" s="69" t="n"/>
      <c r="N538" s="68" t="n"/>
      <c r="O538" s="69" t="n"/>
      <c r="P538" s="68" t="n"/>
      <c r="Q538" s="69" t="n"/>
      <c r="R538" s="68" t="n"/>
      <c r="S538" s="69" t="n"/>
      <c r="T538" s="68" t="n"/>
      <c r="U538" s="69" t="n"/>
      <c r="V538" s="68" t="n"/>
      <c r="W538" s="69" t="n"/>
      <c r="X538" s="68" t="n"/>
      <c r="Y538" s="69" t="n"/>
      <c r="Z538" s="68" t="n"/>
      <c r="AA538" s="69" t="n"/>
      <c r="AB538" s="68" t="n"/>
      <c r="AC538" s="69" t="n"/>
      <c r="AD538" s="70">
        <f>IF(AND(COUNTIF($B$5:B538,B538)=1,$B538&lt;&gt;"",$AB538&lt;&gt;""),1,0)</f>
        <v/>
      </c>
      <c r="AE538" s="67" t="n"/>
      <c r="AF538" s="64" t="n"/>
      <c r="AG538" s="65" t="n"/>
    </row>
    <row r="539" ht="15" customHeight="1" s="31">
      <c r="A539" s="66" t="n"/>
      <c r="B539" s="66" t="n"/>
      <c r="C539" s="66" t="n"/>
      <c r="D539" s="66" t="n"/>
      <c r="E539" s="66" t="n"/>
      <c r="F539" s="66" t="n"/>
      <c r="G539" s="67" t="n"/>
      <c r="H539" s="67" t="n"/>
      <c r="I539" s="67" t="n"/>
      <c r="J539" s="68" t="n"/>
      <c r="K539" s="69" t="n"/>
      <c r="L539" s="68" t="n"/>
      <c r="M539" s="69" t="n"/>
      <c r="N539" s="68" t="n"/>
      <c r="O539" s="69" t="n"/>
      <c r="P539" s="68" t="n"/>
      <c r="Q539" s="69" t="n"/>
      <c r="R539" s="68" t="n"/>
      <c r="S539" s="69" t="n"/>
      <c r="T539" s="68" t="n"/>
      <c r="U539" s="69" t="n"/>
      <c r="V539" s="68" t="n"/>
      <c r="W539" s="69" t="n"/>
      <c r="X539" s="68" t="n"/>
      <c r="Y539" s="69" t="n"/>
      <c r="Z539" s="68" t="n"/>
      <c r="AA539" s="69" t="n"/>
      <c r="AB539" s="68" t="n"/>
      <c r="AC539" s="69" t="n"/>
      <c r="AD539" s="70">
        <f>IF(AND(COUNTIF($B$5:B539,B539)=1,$B539&lt;&gt;"",$AB539&lt;&gt;""),1,0)</f>
        <v/>
      </c>
      <c r="AE539" s="67" t="n"/>
      <c r="AF539" s="64" t="n"/>
      <c r="AG539" s="65" t="n"/>
    </row>
    <row r="540" ht="15" customHeight="1" s="31">
      <c r="A540" s="66" t="n"/>
      <c r="B540" s="66" t="n"/>
      <c r="C540" s="66" t="n"/>
      <c r="D540" s="66" t="n"/>
      <c r="E540" s="66" t="n"/>
      <c r="F540" s="66" t="n"/>
      <c r="G540" s="67" t="n"/>
      <c r="H540" s="67" t="n"/>
      <c r="I540" s="67" t="n"/>
      <c r="J540" s="68" t="n"/>
      <c r="K540" s="69" t="n"/>
      <c r="L540" s="68" t="n"/>
      <c r="M540" s="69" t="n"/>
      <c r="N540" s="68" t="n"/>
      <c r="O540" s="69" t="n"/>
      <c r="P540" s="68" t="n"/>
      <c r="Q540" s="69" t="n"/>
      <c r="R540" s="68" t="n"/>
      <c r="S540" s="69" t="n"/>
      <c r="T540" s="68" t="n"/>
      <c r="U540" s="69" t="n"/>
      <c r="V540" s="68" t="n"/>
      <c r="W540" s="69" t="n"/>
      <c r="X540" s="68" t="n"/>
      <c r="Y540" s="69" t="n"/>
      <c r="Z540" s="68" t="n"/>
      <c r="AA540" s="69" t="n"/>
      <c r="AB540" s="68" t="n"/>
      <c r="AC540" s="69" t="n"/>
      <c r="AD540" s="70">
        <f>IF(AND(COUNTIF($B$5:B540,B540)=1,$B540&lt;&gt;"",$AB540&lt;&gt;""),1,0)</f>
        <v/>
      </c>
      <c r="AE540" s="67" t="n"/>
      <c r="AF540" s="64" t="n"/>
      <c r="AG540" s="65" t="n"/>
    </row>
    <row r="541" ht="15" customHeight="1" s="31">
      <c r="A541" s="66" t="n"/>
      <c r="B541" s="66" t="n"/>
      <c r="C541" s="66" t="n"/>
      <c r="D541" s="66" t="n"/>
      <c r="E541" s="66" t="n"/>
      <c r="F541" s="66" t="n"/>
      <c r="G541" s="67" t="n"/>
      <c r="H541" s="67" t="n"/>
      <c r="I541" s="67" t="n"/>
      <c r="J541" s="68" t="n"/>
      <c r="K541" s="69" t="n"/>
      <c r="L541" s="68" t="n"/>
      <c r="M541" s="69" t="n"/>
      <c r="N541" s="68" t="n"/>
      <c r="O541" s="69" t="n"/>
      <c r="P541" s="68" t="n"/>
      <c r="Q541" s="69" t="n"/>
      <c r="R541" s="68" t="n"/>
      <c r="S541" s="69" t="n"/>
      <c r="T541" s="68" t="n"/>
      <c r="U541" s="69" t="n"/>
      <c r="V541" s="68" t="n"/>
      <c r="W541" s="69" t="n"/>
      <c r="X541" s="68" t="n"/>
      <c r="Y541" s="69" t="n"/>
      <c r="Z541" s="68" t="n"/>
      <c r="AA541" s="69" t="n"/>
      <c r="AB541" s="68" t="n"/>
      <c r="AC541" s="69" t="n"/>
      <c r="AD541" s="70">
        <f>IF(AND(COUNTIF($B$5:B541,B541)=1,$B541&lt;&gt;"",$AB541&lt;&gt;""),1,0)</f>
        <v/>
      </c>
      <c r="AE541" s="67" t="n"/>
      <c r="AF541" s="64" t="n"/>
      <c r="AG541" s="65" t="n"/>
    </row>
    <row r="542" ht="15" customHeight="1" s="31">
      <c r="A542" s="66" t="n"/>
      <c r="B542" s="66" t="n"/>
      <c r="C542" s="66" t="n"/>
      <c r="D542" s="66" t="n"/>
      <c r="E542" s="66" t="n"/>
      <c r="F542" s="66" t="n"/>
      <c r="G542" s="67" t="n"/>
      <c r="H542" s="67" t="n"/>
      <c r="I542" s="67" t="n"/>
      <c r="J542" s="68" t="n"/>
      <c r="K542" s="69" t="n"/>
      <c r="L542" s="68" t="n"/>
      <c r="M542" s="69" t="n"/>
      <c r="N542" s="68" t="n"/>
      <c r="O542" s="69" t="n"/>
      <c r="P542" s="68" t="n"/>
      <c r="Q542" s="69" t="n"/>
      <c r="R542" s="68" t="n"/>
      <c r="S542" s="69" t="n"/>
      <c r="T542" s="68" t="n"/>
      <c r="U542" s="69" t="n"/>
      <c r="V542" s="68" t="n"/>
      <c r="W542" s="69" t="n"/>
      <c r="X542" s="68" t="n"/>
      <c r="Y542" s="69" t="n"/>
      <c r="Z542" s="68" t="n"/>
      <c r="AA542" s="69" t="n"/>
      <c r="AB542" s="68" t="n"/>
      <c r="AC542" s="69" t="n"/>
      <c r="AD542" s="70">
        <f>IF(AND(COUNTIF($B$5:B542,B542)=1,$B542&lt;&gt;"",$AB542&lt;&gt;""),1,0)</f>
        <v/>
      </c>
      <c r="AE542" s="67" t="n"/>
      <c r="AF542" s="64" t="n"/>
      <c r="AG542" s="65" t="n"/>
    </row>
    <row r="543" ht="15" customHeight="1" s="31">
      <c r="A543" s="66" t="n"/>
      <c r="B543" s="66" t="n"/>
      <c r="C543" s="66" t="n"/>
      <c r="D543" s="66" t="n"/>
      <c r="E543" s="66" t="n"/>
      <c r="F543" s="66" t="n"/>
      <c r="G543" s="67" t="n"/>
      <c r="H543" s="67" t="n"/>
      <c r="I543" s="67" t="n"/>
      <c r="J543" s="68" t="n"/>
      <c r="K543" s="69" t="n"/>
      <c r="L543" s="68" t="n"/>
      <c r="M543" s="69" t="n"/>
      <c r="N543" s="68" t="n"/>
      <c r="O543" s="69" t="n"/>
      <c r="P543" s="68" t="n"/>
      <c r="Q543" s="69" t="n"/>
      <c r="R543" s="68" t="n"/>
      <c r="S543" s="69" t="n"/>
      <c r="T543" s="68" t="n"/>
      <c r="U543" s="69" t="n"/>
      <c r="V543" s="68" t="n"/>
      <c r="W543" s="69" t="n"/>
      <c r="X543" s="68" t="n"/>
      <c r="Y543" s="69" t="n"/>
      <c r="Z543" s="68" t="n"/>
      <c r="AA543" s="69" t="n"/>
      <c r="AB543" s="68" t="n"/>
      <c r="AC543" s="69" t="n"/>
      <c r="AD543" s="70">
        <f>IF(AND(COUNTIF($B$5:B543,B543)=1,$B543&lt;&gt;"",$AB543&lt;&gt;""),1,0)</f>
        <v/>
      </c>
      <c r="AE543" s="67" t="n"/>
      <c r="AF543" s="64" t="n"/>
      <c r="AG543" s="65" t="n"/>
    </row>
    <row r="544" ht="15" customHeight="1" s="31">
      <c r="A544" s="66" t="n"/>
      <c r="B544" s="66" t="n"/>
      <c r="C544" s="66" t="n"/>
      <c r="D544" s="66" t="n"/>
      <c r="E544" s="66" t="n"/>
      <c r="F544" s="66" t="n"/>
      <c r="G544" s="67" t="n"/>
      <c r="H544" s="67" t="n"/>
      <c r="I544" s="67" t="n"/>
      <c r="J544" s="68" t="n"/>
      <c r="K544" s="69" t="n"/>
      <c r="L544" s="68" t="n"/>
      <c r="M544" s="69" t="n"/>
      <c r="N544" s="68" t="n"/>
      <c r="O544" s="69" t="n"/>
      <c r="P544" s="68" t="n"/>
      <c r="Q544" s="69" t="n"/>
      <c r="R544" s="68" t="n"/>
      <c r="S544" s="69" t="n"/>
      <c r="T544" s="68" t="n"/>
      <c r="U544" s="69" t="n"/>
      <c r="V544" s="68" t="n"/>
      <c r="W544" s="69" t="n"/>
      <c r="X544" s="68" t="n"/>
      <c r="Y544" s="69" t="n"/>
      <c r="Z544" s="68" t="n"/>
      <c r="AA544" s="69" t="n"/>
      <c r="AB544" s="68" t="n"/>
      <c r="AC544" s="69" t="n"/>
      <c r="AD544" s="70">
        <f>IF(AND(COUNTIF($B$5:B544,B544)=1,$B544&lt;&gt;"",$AB544&lt;&gt;""),1,0)</f>
        <v/>
      </c>
      <c r="AE544" s="67" t="n"/>
      <c r="AF544" s="64" t="n"/>
      <c r="AG544" s="65" t="n"/>
    </row>
    <row r="545" ht="15" customHeight="1" s="31">
      <c r="A545" s="66" t="n"/>
      <c r="B545" s="66" t="n"/>
      <c r="C545" s="66" t="n"/>
      <c r="D545" s="66" t="n"/>
      <c r="E545" s="66" t="n"/>
      <c r="F545" s="66" t="n"/>
      <c r="G545" s="67" t="n"/>
      <c r="H545" s="67" t="n"/>
      <c r="I545" s="67" t="n"/>
      <c r="J545" s="68" t="n"/>
      <c r="K545" s="69" t="n"/>
      <c r="L545" s="68" t="n"/>
      <c r="M545" s="69" t="n"/>
      <c r="N545" s="68" t="n"/>
      <c r="O545" s="69" t="n"/>
      <c r="P545" s="68" t="n"/>
      <c r="Q545" s="69" t="n"/>
      <c r="R545" s="68" t="n"/>
      <c r="S545" s="69" t="n"/>
      <c r="T545" s="68" t="n"/>
      <c r="U545" s="69" t="n"/>
      <c r="V545" s="68" t="n"/>
      <c r="W545" s="69" t="n"/>
      <c r="X545" s="68" t="n"/>
      <c r="Y545" s="69" t="n"/>
      <c r="Z545" s="68" t="n"/>
      <c r="AA545" s="69" t="n"/>
      <c r="AB545" s="68" t="n"/>
      <c r="AC545" s="69" t="n"/>
      <c r="AD545" s="70">
        <f>IF(AND(COUNTIF($B$5:B545,B545)=1,$B545&lt;&gt;"",$AB545&lt;&gt;""),1,0)</f>
        <v/>
      </c>
      <c r="AE545" s="67" t="n"/>
      <c r="AF545" s="64" t="n"/>
      <c r="AG545" s="65" t="n"/>
    </row>
    <row r="546" ht="15" customHeight="1" s="31">
      <c r="A546" s="66" t="n"/>
      <c r="B546" s="66" t="n"/>
      <c r="C546" s="66" t="n"/>
      <c r="D546" s="66" t="n"/>
      <c r="E546" s="66" t="n"/>
      <c r="F546" s="66" t="n"/>
      <c r="G546" s="67" t="n"/>
      <c r="H546" s="67" t="n"/>
      <c r="I546" s="67" t="n"/>
      <c r="J546" s="68" t="n"/>
      <c r="K546" s="69" t="n"/>
      <c r="L546" s="68" t="n"/>
      <c r="M546" s="69" t="n"/>
      <c r="N546" s="68" t="n"/>
      <c r="O546" s="69" t="n"/>
      <c r="P546" s="68" t="n"/>
      <c r="Q546" s="69" t="n"/>
      <c r="R546" s="68" t="n"/>
      <c r="S546" s="69" t="n"/>
      <c r="T546" s="68" t="n"/>
      <c r="U546" s="69" t="n"/>
      <c r="V546" s="68" t="n"/>
      <c r="W546" s="69" t="n"/>
      <c r="X546" s="68" t="n"/>
      <c r="Y546" s="69" t="n"/>
      <c r="Z546" s="68" t="n"/>
      <c r="AA546" s="69" t="n"/>
      <c r="AB546" s="68" t="n"/>
      <c r="AC546" s="69" t="n"/>
      <c r="AD546" s="70">
        <f>IF(AND(COUNTIF($B$5:B546,B546)=1,$B546&lt;&gt;"",$AB546&lt;&gt;""),1,0)</f>
        <v/>
      </c>
      <c r="AE546" s="67" t="n"/>
      <c r="AF546" s="64" t="n"/>
      <c r="AG546" s="65" t="n"/>
    </row>
    <row r="547" ht="15" customHeight="1" s="31">
      <c r="A547" s="66" t="n"/>
      <c r="B547" s="66" t="n"/>
      <c r="C547" s="66" t="n"/>
      <c r="D547" s="66" t="n"/>
      <c r="E547" s="66" t="n"/>
      <c r="F547" s="66" t="n"/>
      <c r="G547" s="67" t="n"/>
      <c r="H547" s="67" t="n"/>
      <c r="I547" s="67" t="n"/>
      <c r="J547" s="68" t="n"/>
      <c r="K547" s="69" t="n"/>
      <c r="L547" s="68" t="n"/>
      <c r="M547" s="69" t="n"/>
      <c r="N547" s="68" t="n"/>
      <c r="O547" s="69" t="n"/>
      <c r="P547" s="68" t="n"/>
      <c r="Q547" s="69" t="n"/>
      <c r="R547" s="68" t="n"/>
      <c r="S547" s="69" t="n"/>
      <c r="T547" s="68" t="n"/>
      <c r="U547" s="69" t="n"/>
      <c r="V547" s="68" t="n"/>
      <c r="W547" s="69" t="n"/>
      <c r="X547" s="68" t="n"/>
      <c r="Y547" s="69" t="n"/>
      <c r="Z547" s="68" t="n"/>
      <c r="AA547" s="69" t="n"/>
      <c r="AB547" s="68" t="n"/>
      <c r="AC547" s="69" t="n"/>
      <c r="AD547" s="70">
        <f>IF(AND(COUNTIF($B$5:B547,B547)=1,$B547&lt;&gt;"",$AB547&lt;&gt;""),1,0)</f>
        <v/>
      </c>
      <c r="AE547" s="67" t="n"/>
      <c r="AF547" s="64" t="n"/>
      <c r="AG547" s="65" t="n"/>
    </row>
    <row r="548" ht="15" customHeight="1" s="31">
      <c r="A548" s="66" t="n"/>
      <c r="B548" s="66" t="n"/>
      <c r="C548" s="66" t="n"/>
      <c r="D548" s="66" t="n"/>
      <c r="E548" s="66" t="n"/>
      <c r="F548" s="66" t="n"/>
      <c r="G548" s="67" t="n"/>
      <c r="H548" s="67" t="n"/>
      <c r="I548" s="67" t="n"/>
      <c r="J548" s="68" t="n"/>
      <c r="K548" s="69" t="n"/>
      <c r="L548" s="68" t="n"/>
      <c r="M548" s="69" t="n"/>
      <c r="N548" s="68" t="n"/>
      <c r="O548" s="69" t="n"/>
      <c r="P548" s="68" t="n"/>
      <c r="Q548" s="69" t="n"/>
      <c r="R548" s="68" t="n"/>
      <c r="S548" s="69" t="n"/>
      <c r="T548" s="68" t="n"/>
      <c r="U548" s="69" t="n"/>
      <c r="V548" s="68" t="n"/>
      <c r="W548" s="69" t="n"/>
      <c r="X548" s="68" t="n"/>
      <c r="Y548" s="69" t="n"/>
      <c r="Z548" s="68" t="n"/>
      <c r="AA548" s="69" t="n"/>
      <c r="AB548" s="68" t="n"/>
      <c r="AC548" s="69" t="n"/>
      <c r="AD548" s="70">
        <f>IF(AND(COUNTIF($B$5:B548,B548)=1,$B548&lt;&gt;"",$AB548&lt;&gt;""),1,0)</f>
        <v/>
      </c>
      <c r="AE548" s="67" t="n"/>
      <c r="AF548" s="64" t="n"/>
      <c r="AG548" s="65" t="n"/>
    </row>
    <row r="549" ht="15" customHeight="1" s="31">
      <c r="A549" s="66" t="n"/>
      <c r="B549" s="66" t="n"/>
      <c r="C549" s="66" t="n"/>
      <c r="D549" s="66" t="n"/>
      <c r="E549" s="66" t="n"/>
      <c r="F549" s="66" t="n"/>
      <c r="G549" s="67" t="n"/>
      <c r="H549" s="67" t="n"/>
      <c r="I549" s="67" t="n"/>
      <c r="J549" s="68" t="n"/>
      <c r="K549" s="69" t="n"/>
      <c r="L549" s="68" t="n"/>
      <c r="M549" s="69" t="n"/>
      <c r="N549" s="68" t="n"/>
      <c r="O549" s="69" t="n"/>
      <c r="P549" s="68" t="n"/>
      <c r="Q549" s="69" t="n"/>
      <c r="R549" s="68" t="n"/>
      <c r="S549" s="69" t="n"/>
      <c r="T549" s="68" t="n"/>
      <c r="U549" s="69" t="n"/>
      <c r="V549" s="68" t="n"/>
      <c r="W549" s="69" t="n"/>
      <c r="X549" s="68" t="n"/>
      <c r="Y549" s="69" t="n"/>
      <c r="Z549" s="68" t="n"/>
      <c r="AA549" s="69" t="n"/>
      <c r="AB549" s="68" t="n"/>
      <c r="AC549" s="69" t="n"/>
      <c r="AD549" s="70">
        <f>IF(AND(COUNTIF($B$5:B549,B549)=1,$B549&lt;&gt;"",$AB549&lt;&gt;""),1,0)</f>
        <v/>
      </c>
      <c r="AE549" s="67" t="n"/>
      <c r="AF549" s="64" t="n"/>
      <c r="AG549" s="65" t="n"/>
    </row>
    <row r="550" ht="15" customHeight="1" s="31">
      <c r="A550" s="66" t="n"/>
      <c r="B550" s="66" t="n"/>
      <c r="C550" s="66" t="n"/>
      <c r="D550" s="66" t="n"/>
      <c r="E550" s="66" t="n"/>
      <c r="F550" s="66" t="n"/>
      <c r="G550" s="67" t="n"/>
      <c r="H550" s="67" t="n"/>
      <c r="I550" s="67" t="n"/>
      <c r="J550" s="68" t="n"/>
      <c r="K550" s="69" t="n"/>
      <c r="L550" s="68" t="n"/>
      <c r="M550" s="69" t="n"/>
      <c r="N550" s="68" t="n"/>
      <c r="O550" s="69" t="n"/>
      <c r="P550" s="68" t="n"/>
      <c r="Q550" s="69" t="n"/>
      <c r="R550" s="68" t="n"/>
      <c r="S550" s="69" t="n"/>
      <c r="T550" s="68" t="n"/>
      <c r="U550" s="69" t="n"/>
      <c r="V550" s="68" t="n"/>
      <c r="W550" s="69" t="n"/>
      <c r="X550" s="68" t="n"/>
      <c r="Y550" s="69" t="n"/>
      <c r="Z550" s="68" t="n"/>
      <c r="AA550" s="69" t="n"/>
      <c r="AB550" s="68" t="n"/>
      <c r="AC550" s="69" t="n"/>
      <c r="AD550" s="70">
        <f>IF(AND(COUNTIF($B$5:B550,B550)=1,$B550&lt;&gt;"",$AB550&lt;&gt;""),1,0)</f>
        <v/>
      </c>
      <c r="AE550" s="67" t="n"/>
      <c r="AF550" s="64" t="n"/>
      <c r="AG550" s="65" t="n"/>
    </row>
    <row r="551" ht="15" customHeight="1" s="31">
      <c r="A551" s="66" t="n"/>
      <c r="B551" s="66" t="n"/>
      <c r="C551" s="66" t="n"/>
      <c r="D551" s="66" t="n"/>
      <c r="E551" s="66" t="n"/>
      <c r="F551" s="66" t="n"/>
      <c r="G551" s="67" t="n"/>
      <c r="H551" s="67" t="n"/>
      <c r="I551" s="67" t="n"/>
      <c r="J551" s="68" t="n"/>
      <c r="K551" s="69" t="n"/>
      <c r="L551" s="68" t="n"/>
      <c r="M551" s="69" t="n"/>
      <c r="N551" s="68" t="n"/>
      <c r="O551" s="69" t="n"/>
      <c r="P551" s="68" t="n"/>
      <c r="Q551" s="69" t="n"/>
      <c r="R551" s="68" t="n"/>
      <c r="S551" s="69" t="n"/>
      <c r="T551" s="68" t="n"/>
      <c r="U551" s="69" t="n"/>
      <c r="V551" s="68" t="n"/>
      <c r="W551" s="69" t="n"/>
      <c r="X551" s="68" t="n"/>
      <c r="Y551" s="69" t="n"/>
      <c r="Z551" s="68" t="n"/>
      <c r="AA551" s="69" t="n"/>
      <c r="AB551" s="68" t="n"/>
      <c r="AC551" s="69" t="n"/>
      <c r="AD551" s="70">
        <f>IF(AND(COUNTIF($B$5:B551,B551)=1,$B551&lt;&gt;"",$AB551&lt;&gt;""),1,0)</f>
        <v/>
      </c>
      <c r="AE551" s="67" t="n"/>
      <c r="AF551" s="64" t="n"/>
      <c r="AG551" s="65" t="n"/>
    </row>
    <row r="552" ht="15" customHeight="1" s="31">
      <c r="A552" s="66" t="n"/>
      <c r="B552" s="66" t="n"/>
      <c r="C552" s="66" t="n"/>
      <c r="D552" s="66" t="n"/>
      <c r="E552" s="66" t="n"/>
      <c r="F552" s="66" t="n"/>
      <c r="G552" s="67" t="n"/>
      <c r="H552" s="67" t="n"/>
      <c r="I552" s="67" t="n"/>
      <c r="J552" s="68" t="n"/>
      <c r="K552" s="69" t="n"/>
      <c r="L552" s="68" t="n"/>
      <c r="M552" s="69" t="n"/>
      <c r="N552" s="68" t="n"/>
      <c r="O552" s="69" t="n"/>
      <c r="P552" s="68" t="n"/>
      <c r="Q552" s="69" t="n"/>
      <c r="R552" s="68" t="n"/>
      <c r="S552" s="69" t="n"/>
      <c r="T552" s="68" t="n"/>
      <c r="U552" s="69" t="n"/>
      <c r="V552" s="68" t="n"/>
      <c r="W552" s="69" t="n"/>
      <c r="X552" s="68" t="n"/>
      <c r="Y552" s="69" t="n"/>
      <c r="Z552" s="68" t="n"/>
      <c r="AA552" s="69" t="n"/>
      <c r="AB552" s="68" t="n"/>
      <c r="AC552" s="69" t="n"/>
      <c r="AD552" s="70">
        <f>IF(AND(COUNTIF($B$5:B552,B552)=1,$B552&lt;&gt;"",$AB552&lt;&gt;""),1,0)</f>
        <v/>
      </c>
      <c r="AE552" s="67" t="n"/>
      <c r="AF552" s="64" t="n"/>
      <c r="AG552" s="65" t="n"/>
    </row>
    <row r="553" ht="15" customHeight="1" s="31">
      <c r="A553" s="66" t="n"/>
      <c r="B553" s="66" t="n"/>
      <c r="C553" s="66" t="n"/>
      <c r="D553" s="66" t="n"/>
      <c r="E553" s="66" t="n"/>
      <c r="F553" s="66" t="n"/>
      <c r="G553" s="67" t="n"/>
      <c r="H553" s="67" t="n"/>
      <c r="I553" s="67" t="n"/>
      <c r="J553" s="68" t="n"/>
      <c r="K553" s="69" t="n"/>
      <c r="L553" s="68" t="n"/>
      <c r="M553" s="69" t="n"/>
      <c r="N553" s="68" t="n"/>
      <c r="O553" s="69" t="n"/>
      <c r="P553" s="68" t="n"/>
      <c r="Q553" s="69" t="n"/>
      <c r="R553" s="68" t="n"/>
      <c r="S553" s="69" t="n"/>
      <c r="T553" s="68" t="n"/>
      <c r="U553" s="69" t="n"/>
      <c r="V553" s="68" t="n"/>
      <c r="W553" s="69" t="n"/>
      <c r="X553" s="68" t="n"/>
      <c r="Y553" s="69" t="n"/>
      <c r="Z553" s="68" t="n"/>
      <c r="AA553" s="69" t="n"/>
      <c r="AB553" s="68" t="n"/>
      <c r="AC553" s="69" t="n"/>
      <c r="AD553" s="70">
        <f>IF(AND(COUNTIF($B$5:B553,B553)=1,$B553&lt;&gt;"",$AB553&lt;&gt;""),1,0)</f>
        <v/>
      </c>
      <c r="AE553" s="67" t="n"/>
      <c r="AF553" s="64" t="n"/>
      <c r="AG553" s="65" t="n"/>
    </row>
    <row r="554" ht="15" customHeight="1" s="31">
      <c r="A554" s="66" t="n"/>
      <c r="B554" s="66" t="n"/>
      <c r="C554" s="66" t="n"/>
      <c r="D554" s="66" t="n"/>
      <c r="E554" s="66" t="n"/>
      <c r="F554" s="66" t="n"/>
      <c r="G554" s="67" t="n"/>
      <c r="H554" s="67" t="n"/>
      <c r="I554" s="67" t="n"/>
      <c r="J554" s="68" t="n"/>
      <c r="K554" s="69" t="n"/>
      <c r="L554" s="68" t="n"/>
      <c r="M554" s="69" t="n"/>
      <c r="N554" s="68" t="n"/>
      <c r="O554" s="69" t="n"/>
      <c r="P554" s="68" t="n"/>
      <c r="Q554" s="69" t="n"/>
      <c r="R554" s="68" t="n"/>
      <c r="S554" s="69" t="n"/>
      <c r="T554" s="68" t="n"/>
      <c r="U554" s="69" t="n"/>
      <c r="V554" s="68" t="n"/>
      <c r="W554" s="69" t="n"/>
      <c r="X554" s="68" t="n"/>
      <c r="Y554" s="69" t="n"/>
      <c r="Z554" s="68" t="n"/>
      <c r="AA554" s="69" t="n"/>
      <c r="AB554" s="68" t="n"/>
      <c r="AC554" s="69" t="n"/>
      <c r="AD554" s="70">
        <f>IF(AND(COUNTIF($B$5:B554,B554)=1,$B554&lt;&gt;"",$AB554&lt;&gt;""),1,0)</f>
        <v/>
      </c>
      <c r="AE554" s="67" t="n"/>
      <c r="AF554" s="64" t="n"/>
      <c r="AG554" s="65" t="n"/>
    </row>
    <row r="555" ht="15" customHeight="1" s="31">
      <c r="A555" s="66" t="n"/>
      <c r="B555" s="66" t="n"/>
      <c r="C555" s="66" t="n"/>
      <c r="D555" s="66" t="n"/>
      <c r="E555" s="66" t="n"/>
      <c r="F555" s="66" t="n"/>
      <c r="G555" s="67" t="n"/>
      <c r="H555" s="67" t="n"/>
      <c r="I555" s="67" t="n"/>
      <c r="J555" s="68" t="n"/>
      <c r="K555" s="69" t="n"/>
      <c r="L555" s="68" t="n"/>
      <c r="M555" s="69" t="n"/>
      <c r="N555" s="68" t="n"/>
      <c r="O555" s="69" t="n"/>
      <c r="P555" s="68" t="n"/>
      <c r="Q555" s="69" t="n"/>
      <c r="R555" s="68" t="n"/>
      <c r="S555" s="69" t="n"/>
      <c r="T555" s="68" t="n"/>
      <c r="U555" s="69" t="n"/>
      <c r="V555" s="68" t="n"/>
      <c r="W555" s="69" t="n"/>
      <c r="X555" s="68" t="n"/>
      <c r="Y555" s="69" t="n"/>
      <c r="Z555" s="68" t="n"/>
      <c r="AA555" s="69" t="n"/>
      <c r="AB555" s="68" t="n"/>
      <c r="AC555" s="69" t="n"/>
      <c r="AD555" s="70">
        <f>IF(AND(COUNTIF($B$5:B555,B555)=1,$B555&lt;&gt;"",$AB555&lt;&gt;""),1,0)</f>
        <v/>
      </c>
      <c r="AE555" s="67" t="n"/>
      <c r="AF555" s="64" t="n"/>
      <c r="AG555" s="65" t="n"/>
    </row>
    <row r="556" ht="15" customHeight="1" s="31">
      <c r="A556" s="66" t="n"/>
      <c r="B556" s="66" t="n"/>
      <c r="C556" s="66" t="n"/>
      <c r="D556" s="66" t="n"/>
      <c r="E556" s="66" t="n"/>
      <c r="F556" s="66" t="n"/>
      <c r="G556" s="67" t="n"/>
      <c r="H556" s="67" t="n"/>
      <c r="I556" s="67" t="n"/>
      <c r="J556" s="68" t="n"/>
      <c r="K556" s="69" t="n"/>
      <c r="L556" s="68" t="n"/>
      <c r="M556" s="69" t="n"/>
      <c r="N556" s="68" t="n"/>
      <c r="O556" s="69" t="n"/>
      <c r="P556" s="68" t="n"/>
      <c r="Q556" s="69" t="n"/>
      <c r="R556" s="68" t="n"/>
      <c r="S556" s="69" t="n"/>
      <c r="T556" s="68" t="n"/>
      <c r="U556" s="69" t="n"/>
      <c r="V556" s="68" t="n"/>
      <c r="W556" s="69" t="n"/>
      <c r="X556" s="68" t="n"/>
      <c r="Y556" s="69" t="n"/>
      <c r="Z556" s="68" t="n"/>
      <c r="AA556" s="69" t="n"/>
      <c r="AB556" s="68" t="n"/>
      <c r="AC556" s="69" t="n"/>
      <c r="AD556" s="70">
        <f>IF(AND(COUNTIF($B$5:B556,B556)=1,$B556&lt;&gt;"",$AB556&lt;&gt;""),1,0)</f>
        <v/>
      </c>
      <c r="AE556" s="67" t="n"/>
      <c r="AF556" s="64" t="n"/>
      <c r="AG556" s="65" t="n"/>
    </row>
    <row r="557" ht="15" customHeight="1" s="31">
      <c r="A557" s="66" t="n"/>
      <c r="B557" s="66" t="n"/>
      <c r="C557" s="66" t="n"/>
      <c r="D557" s="66" t="n"/>
      <c r="E557" s="66" t="n"/>
      <c r="F557" s="66" t="n"/>
      <c r="G557" s="67" t="n"/>
      <c r="H557" s="67" t="n"/>
      <c r="I557" s="67" t="n"/>
      <c r="J557" s="68" t="n"/>
      <c r="K557" s="69" t="n"/>
      <c r="L557" s="68" t="n"/>
      <c r="M557" s="69" t="n"/>
      <c r="N557" s="68" t="n"/>
      <c r="O557" s="69" t="n"/>
      <c r="P557" s="68" t="n"/>
      <c r="Q557" s="69" t="n"/>
      <c r="R557" s="68" t="n"/>
      <c r="S557" s="69" t="n"/>
      <c r="T557" s="68" t="n"/>
      <c r="U557" s="69" t="n"/>
      <c r="V557" s="68" t="n"/>
      <c r="W557" s="69" t="n"/>
      <c r="X557" s="68" t="n"/>
      <c r="Y557" s="69" t="n"/>
      <c r="Z557" s="68" t="n"/>
      <c r="AA557" s="69" t="n"/>
      <c r="AB557" s="68" t="n"/>
      <c r="AC557" s="69" t="n"/>
      <c r="AD557" s="70">
        <f>IF(AND(COUNTIF($B$5:B557,B557)=1,$B557&lt;&gt;"",$AB557&lt;&gt;""),1,0)</f>
        <v/>
      </c>
      <c r="AE557" s="67" t="n"/>
      <c r="AF557" s="64" t="n"/>
      <c r="AG557" s="65" t="n"/>
    </row>
  </sheetData>
  <mergeCells count="2">
    <mergeCell ref="A1:AE1"/>
    <mergeCell ref="A2:AE2"/>
  </mergeCells>
  <dataValidations count="6">
    <dataValidation sqref="C5:C557" showDropDown="0" showInputMessage="0" showErrorMessage="0" allowBlank="1" type="list" errorStyle="stop" operator="between">
      <formula1>"Infobae Colombia,El Tiempo,El Espectador,La Silla Vacía,Semana"</formula1>
      <formula2>0</formula2>
    </dataValidation>
    <dataValidation sqref="D5:D557" showDropDown="0" showInputMessage="0" showErrorMessage="0" allowBlank="1" type="list" errorStyle="stop" operator="between">
      <formula1>"Política,Economía y negocios,Salud,Medio ambiente,Deportes"</formula1>
      <formula2>0</formula2>
    </dataValidation>
    <dataValidation sqref="E5:E557" showDropDown="0" showInputMessage="0" showErrorMessage="0" allowBlank="1" type="list" errorStyle="stop" operator="between">
      <formula1>"Noticia dura,Opinión-análisis"</formula1>
      <formula2>0</formula2>
    </dataValidation>
    <dataValidation sqref="J5:J557 L5:L557 N5:N557 P5:P557 R5:R557 T5:T557 V5:V557 X5:X557 Z5:Z557" showDropDown="0" showInputMessage="0" showErrorMessage="0" allowBlank="0" type="list">
      <formula1>"TRUE,FALSE"</formula1>
    </dataValidation>
    <dataValidation sqref="AB5:AB557" showDropDown="0" showInputMessage="0" showErrorMessage="0" allowBlank="0" type="list">
      <formula1>"favorece,perjudica,neutral"</formula1>
    </dataValidation>
    <dataValidation sqref="AC5:AC557" showDropDown="0" showInputMessage="0" showErrorMessage="1" allowBlank="1" errorTitle="Valor no permitido" error="Seleccione un actor de la lista. Si direccion = neutral, deje la celda vacía." promptTitle="actor_objetivo" prompt="Rol institucional al que apunta el sesgo. Anote el ROL, no la persona (ej. Petro como presidente -&gt; Gobierno / Ejecutivo). Déjelo vacío si direccion = neutral." type="list">
      <formula1>"Gobierno / Ejecutivo,Oposición / partidos políticos,Instituciones del Estado,Empresas y gremios,Sindicatos y organizaciones sociales,Ciudadanía afectada,Actores del deporte,Actor internacional,Otro / no identificable"</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2026-09-04T05:19:50Z</dcterms:created>
  <dcterms:modified xmlns:dcterms="http://purl.org/dc/terms/" xmlns:xsi="http://www.w3.org/2001/XMLSchema-instance" xsi:type="dcterms:W3CDTF">2026-09-10T01:50:43Z</dcterms:modified>
  <cp:revision>0</cp:revision>
</cp:coreProperties>
</file>